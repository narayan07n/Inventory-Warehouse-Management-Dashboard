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f928904b2aaed30a/Documents/"/>
    </mc:Choice>
  </mc:AlternateContent>
  <xr:revisionPtr revIDLastSave="1138" documentId="8_{96A1E78D-D27C-4570-9B92-03A4EB6B3DCB}" xr6:coauthVersionLast="47" xr6:coauthVersionMax="47" xr10:uidLastSave="{F45D642A-0C38-4D8E-AF0D-7A331029E6B0}"/>
  <bookViews>
    <workbookView xWindow="-108" yWindow="-108" windowWidth="23256" windowHeight="12456" activeTab="2" xr2:uid="{AD31293F-C822-401B-80DF-84FAE96C9DD0}"/>
  </bookViews>
  <sheets>
    <sheet name="Inventory Data" sheetId="2" r:id="rId1"/>
    <sheet name="Pivot" sheetId="3" r:id="rId2"/>
    <sheet name="Dashboard" sheetId="1" r:id="rId3"/>
  </sheets>
  <definedNames>
    <definedName name="ExternalData_1" localSheetId="0" hidden="1">'Inventory Data'!$A$1:$L$3001</definedName>
    <definedName name="Slicer_Category">#N/A</definedName>
    <definedName name="Slicer_Months">#N/A</definedName>
    <definedName name="Slicer_Supplier">#N/A</definedName>
    <definedName name="Slicer_Warehous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O3" i="2"/>
  <c r="O2"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C16" i="3"/>
  <c r="C19" i="3"/>
  <c r="C20" i="3"/>
  <c r="C17" i="3"/>
  <c r="C21" i="3"/>
  <c r="C1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04A4E7-6A91-4390-A7ED-34AFCF7903E7}" keepAlive="1" name="Query - Inventory Data" description="Connection to the 'Inventory Data' query in the workbook." type="5" refreshedVersion="8" background="1" saveData="1">
    <dbPr connection="Provider=Microsoft.Mashup.OleDb.1;Data Source=$Workbook$;Location=&quot;Inventory Data&quot;;Extended Properties=&quot;&quot;" command="SELECT * FROM [Inventory Data]"/>
  </connection>
</connections>
</file>

<file path=xl/sharedStrings.xml><?xml version="1.0" encoding="utf-8"?>
<sst xmlns="http://schemas.openxmlformats.org/spreadsheetml/2006/main" count="12121" uniqueCount="67">
  <si>
    <t>Date</t>
  </si>
  <si>
    <t>Product</t>
  </si>
  <si>
    <t>Category</t>
  </si>
  <si>
    <t>Warehouse</t>
  </si>
  <si>
    <t>Supplier</t>
  </si>
  <si>
    <t>Opening Stock</t>
  </si>
  <si>
    <t>Purchase Qty</t>
  </si>
  <si>
    <t>Sales Qty</t>
  </si>
  <si>
    <t>Closing Stock</t>
  </si>
  <si>
    <t>Reorder Level</t>
  </si>
  <si>
    <t>Unit Cost</t>
  </si>
  <si>
    <t>Stock Value</t>
  </si>
  <si>
    <t>Coffee Maker</t>
  </si>
  <si>
    <t>Appliances</t>
  </si>
  <si>
    <t>North Warehouse</t>
  </si>
  <si>
    <t>Global Supplies</t>
  </si>
  <si>
    <t>Office Desk</t>
  </si>
  <si>
    <t>Furniture</t>
  </si>
  <si>
    <t>TechSource Ltd</t>
  </si>
  <si>
    <t>Microwave</t>
  </si>
  <si>
    <t>Metro Traders</t>
  </si>
  <si>
    <t>Marker Pack</t>
  </si>
  <si>
    <t>Stationery</t>
  </si>
  <si>
    <t>West Warehouse</t>
  </si>
  <si>
    <t>Prime Distributors</t>
  </si>
  <si>
    <t>Bookshelf</t>
  </si>
  <si>
    <t>South Warehouse</t>
  </si>
  <si>
    <t>Mouse</t>
  </si>
  <si>
    <t>Electronics</t>
  </si>
  <si>
    <t>Apex Suppliers</t>
  </si>
  <si>
    <t>Keyboard</t>
  </si>
  <si>
    <t>Printer Paper</t>
  </si>
  <si>
    <t>Printer</t>
  </si>
  <si>
    <t>Water Dispenser</t>
  </si>
  <si>
    <t>OfficeMart</t>
  </si>
  <si>
    <t>Stapler</t>
  </si>
  <si>
    <t>Notebook</t>
  </si>
  <si>
    <t>East Warehouse</t>
  </si>
  <si>
    <t>Office Chair</t>
  </si>
  <si>
    <t>Monitor</t>
  </si>
  <si>
    <t>Headphones</t>
  </si>
  <si>
    <t>Pen Pack</t>
  </si>
  <si>
    <t>Filing Cabinet</t>
  </si>
  <si>
    <t>Calculator</t>
  </si>
  <si>
    <t>Laptop</t>
  </si>
  <si>
    <t>Air Cooler</t>
  </si>
  <si>
    <t>Stock diff</t>
  </si>
  <si>
    <t>Purchased Val</t>
  </si>
  <si>
    <t>Stock status</t>
  </si>
  <si>
    <t>Row Labels</t>
  </si>
  <si>
    <t>Grand Total</t>
  </si>
  <si>
    <t>Sum of Stock Value</t>
  </si>
  <si>
    <t>Count of Product</t>
  </si>
  <si>
    <t>2025</t>
  </si>
  <si>
    <t>2026</t>
  </si>
  <si>
    <t>Months</t>
  </si>
  <si>
    <t>Year</t>
  </si>
  <si>
    <t>Sum of Closing Stock</t>
  </si>
  <si>
    <t>Sum of Sales Qty</t>
  </si>
  <si>
    <t>Sum of Purchase Qty</t>
  </si>
  <si>
    <t>In Stock</t>
  </si>
  <si>
    <t>Low Stock</t>
  </si>
  <si>
    <t>Total Stock</t>
  </si>
  <si>
    <t>Total Purchased</t>
  </si>
  <si>
    <t>Total Sold</t>
  </si>
  <si>
    <t>Low Stock Items</t>
  </si>
  <si>
    <t>Total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</si>
</sst>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14009]dd/mm/yyyy;@"/>
    <numFmt numFmtId="165" formatCode="[&gt;=1000000]&quot;₹&quot;0.0,,&quot;M&quot;;[&gt;=1000]&quot;₹&quot;0.0,&quot;K&quot;;&quot;₹&quot;0"/>
    <numFmt numFmtId="166" formatCode="[&gt;=1000000]0.0,,&quot;M&quot;;[&gt;=1000]0.0,&quot;K&quot;;0"/>
    <numFmt numFmtId="167" formatCode="_ * #,##0_ ;_ * \-#,##0_ ;_ * &quot;-&quot;??_ ;_ @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4" tint="0.79998168889431442"/>
        <bgColor theme="4" tint="0.79998168889431442"/>
      </patternFill>
    </fill>
    <fill>
      <patternFill patternType="solid">
        <fgColor theme="0"/>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165" fontId="0" fillId="0" borderId="0" xfId="0" applyNumberFormat="1"/>
    <xf numFmtId="165" fontId="2" fillId="3" borderId="1" xfId="0" applyNumberFormat="1" applyFont="1" applyFill="1" applyBorder="1"/>
    <xf numFmtId="166" fontId="0" fillId="0" borderId="0" xfId="0" applyNumberFormat="1"/>
    <xf numFmtId="166" fontId="2" fillId="0" borderId="0" xfId="0" applyNumberFormat="1" applyFont="1"/>
    <xf numFmtId="167" fontId="2" fillId="4" borderId="1" xfId="1" applyNumberFormat="1" applyFont="1" applyFill="1" applyBorder="1"/>
    <xf numFmtId="0" fontId="0" fillId="0" borderId="0" xfId="0" applyNumberFormat="1"/>
  </cellXfs>
  <cellStyles count="2">
    <cellStyle name="Currency" xfId="1" builtinId="4"/>
    <cellStyle name="Normal" xfId="0" builtinId="0"/>
  </cellStyles>
  <dxfs count="156">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166" formatCode="[&gt;=1000000]0.0,,&quot;M&quot;;[&gt;=1000]0.0,&quot;K&quot;;0"/>
    </dxf>
    <dxf>
      <numFmt numFmtId="165" formatCode="[&gt;=1000000]&quot;₹&quot;0.0,,&quot;M&quot;;[&gt;=1000]&quot;₹&quot;0.0,&quot;K&quot;;&quot;₹&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166"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4009]dd/mm/yyyy;@"/>
    </dxf>
    <dxf>
      <font>
        <b/>
        <color theme="1"/>
      </font>
      <border>
        <bottom style="thin">
          <color theme="4"/>
        </bottom>
        <vertical/>
        <horizontal/>
      </border>
    </dxf>
    <dxf>
      <font>
        <sz val="11"/>
        <color theme="1"/>
      </font>
      <border diagonalUp="0" diagonalDown="0">
        <left/>
        <right/>
        <top/>
        <bottom/>
        <vertical/>
        <horizontal/>
      </border>
    </dxf>
  </dxfs>
  <tableStyles count="1" defaultTableStyle="TableStyleMedium2" defaultPivotStyle="PivotStyleLight16">
    <tableStyle name="SlicerStyleLight1 2" pivot="0" table="0" count="10" xr9:uid="{F50808FD-8F29-409C-B5E2-25EB34D6D531}">
      <tableStyleElement type="wholeTable" dxfId="155"/>
      <tableStyleElement type="headerRow" dxfId="154"/>
    </tableStyle>
  </tableStyles>
  <colors>
    <mruColors>
      <color rgb="FFC6E7F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3" tint="0.499984740745262"/>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[Dashboard5.xlsx]Pivot!PivotTable1</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lt1"/>
            </a:solidFill>
          </a:ln>
          <a:effectLst/>
        </c:spPr>
      </c:pivotFmt>
      <c:pivotFmt>
        <c:idx val="8"/>
        <c:spPr>
          <a:solidFill>
            <a:schemeClr val="tx2">
              <a:lumMod val="75000"/>
              <a:lumOff val="25000"/>
            </a:schemeClr>
          </a:solidFill>
          <a:ln w="19050">
            <a:solidFill>
              <a:schemeClr val="lt1"/>
            </a:solidFill>
          </a:ln>
          <a:effectLst/>
        </c:spPr>
      </c:pivotFmt>
      <c:pivotFmt>
        <c:idx val="9"/>
        <c:spPr>
          <a:solidFill>
            <a:schemeClr val="tx2">
              <a:lumMod val="50000"/>
              <a:lumOff val="50000"/>
            </a:schemeClr>
          </a:solidFill>
          <a:ln w="19050">
            <a:solidFill>
              <a:schemeClr val="lt1"/>
            </a:solidFill>
          </a:ln>
          <a:effectLst/>
        </c:spPr>
      </c:pivotFmt>
      <c:pivotFmt>
        <c:idx val="10"/>
        <c:spPr>
          <a:solidFill>
            <a:schemeClr val="tx2">
              <a:lumMod val="25000"/>
              <a:lumOff val="75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4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75000"/>
              <a:lumOff val="25000"/>
            </a:schemeClr>
          </a:solidFill>
          <a:ln w="19050">
            <a:solidFill>
              <a:schemeClr val="lt1"/>
            </a:solidFill>
          </a:ln>
          <a:effectLst/>
        </c:spPr>
      </c:pivotFmt>
      <c:pivotFmt>
        <c:idx val="13"/>
        <c:spPr>
          <a:solidFill>
            <a:schemeClr val="accent1">
              <a:lumMod val="60000"/>
              <a:lumOff val="40000"/>
            </a:schemeClr>
          </a:solidFill>
          <a:ln w="19050">
            <a:solidFill>
              <a:schemeClr val="lt1"/>
            </a:solidFill>
          </a:ln>
          <a:effectLst/>
        </c:spPr>
      </c:pivotFmt>
      <c:pivotFmt>
        <c:idx val="14"/>
        <c:spPr>
          <a:solidFill>
            <a:schemeClr val="tx2">
              <a:lumMod val="25000"/>
              <a:lumOff val="75000"/>
            </a:schemeClr>
          </a:solidFill>
          <a:ln w="19050">
            <a:solidFill>
              <a:schemeClr val="lt1"/>
            </a:solidFill>
          </a:ln>
          <a:effectLst/>
        </c:spPr>
      </c:pivotFmt>
      <c:pivotFmt>
        <c:idx val="15"/>
        <c:spPr>
          <a:solidFill>
            <a:schemeClr val="bg2">
              <a:lumMod val="90000"/>
            </a:schemeClr>
          </a:solidFill>
          <a:ln w="19050">
            <a:solidFill>
              <a:schemeClr val="lt1"/>
            </a:solidFill>
          </a:ln>
          <a:effectLst/>
        </c:spPr>
      </c:pivotFmt>
    </c:pivotFmts>
    <c:plotArea>
      <c:layout>
        <c:manualLayout>
          <c:layoutTarget val="inner"/>
          <c:xMode val="edge"/>
          <c:yMode val="edge"/>
          <c:x val="0.16668790560360391"/>
          <c:y val="0.22748629826632302"/>
          <c:w val="0.48394584614860842"/>
          <c:h val="0.73845165358784837"/>
        </c:manualLayout>
      </c:layout>
      <c:doughnutChart>
        <c:varyColors val="1"/>
        <c:ser>
          <c:idx val="0"/>
          <c:order val="0"/>
          <c:tx>
            <c:strRef>
              <c:f>Pivot!$B$3</c:f>
              <c:strCache>
                <c:ptCount val="1"/>
                <c:pt idx="0">
                  <c:v>Total</c:v>
                </c:pt>
              </c:strCache>
            </c:strRef>
          </c:tx>
          <c:dPt>
            <c:idx val="0"/>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E-C0D2-473C-9103-C109278C5C58}"/>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B-C0D2-473C-9103-C109278C5C58}"/>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C-C0D2-473C-9103-C109278C5C58}"/>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D-C0D2-473C-9103-C109278C5C58}"/>
              </c:ext>
            </c:extLst>
          </c:dPt>
          <c:dLbls>
            <c:spPr>
              <a:noFill/>
              <a:ln>
                <a:noFill/>
              </a:ln>
              <a:effectLst/>
            </c:spPr>
            <c:txPr>
              <a:bodyPr rot="0" spcFirstLastPara="1" vertOverflow="ellipsis" vert="horz" wrap="square" lIns="38100" tIns="19050" rIns="38100" bIns="19050" anchor="ctr" anchorCtr="1">
                <a:spAutoFit/>
              </a:bodyPr>
              <a:lstStyle/>
              <a:p>
                <a:pPr>
                  <a:defRPr sz="104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Pivot!$A$4:$A$8</c:f>
              <c:strCache>
                <c:ptCount val="4"/>
                <c:pt idx="0">
                  <c:v>East Warehouse</c:v>
                </c:pt>
                <c:pt idx="1">
                  <c:v>North Warehouse</c:v>
                </c:pt>
                <c:pt idx="2">
                  <c:v>South Warehouse</c:v>
                </c:pt>
                <c:pt idx="3">
                  <c:v>West Warehouse</c:v>
                </c:pt>
              </c:strCache>
            </c:strRef>
          </c:cat>
          <c:val>
            <c:numRef>
              <c:f>Pivot!$B$4:$B$8</c:f>
              <c:numCache>
                <c:formatCode>[&gt;=1000000]0.0,,"M";[&gt;=1000]0.0,"K";0</c:formatCode>
                <c:ptCount val="4"/>
                <c:pt idx="0">
                  <c:v>1059775688</c:v>
                </c:pt>
                <c:pt idx="1">
                  <c:v>1166360944</c:v>
                </c:pt>
                <c:pt idx="2">
                  <c:v>1113399978</c:v>
                </c:pt>
                <c:pt idx="3">
                  <c:v>1125970507</c:v>
                </c:pt>
              </c:numCache>
            </c:numRef>
          </c:val>
          <c:extLst>
            <c:ext xmlns:c16="http://schemas.microsoft.com/office/drawing/2014/chart" uri="{C3380CC4-5D6E-409C-BE32-E72D297353CC}">
              <c16:uniqueId val="{00000009-C0D2-473C-9103-C109278C5C58}"/>
            </c:ext>
          </c:extLst>
        </c:ser>
        <c:dLbls>
          <c:showLegendKey val="0"/>
          <c:showVal val="0"/>
          <c:showCatName val="0"/>
          <c:showSerName val="0"/>
          <c:showPercent val="0"/>
          <c:showBubbleSize val="0"/>
          <c:showLeaderLines val="0"/>
        </c:dLbls>
        <c:firstSliceAng val="0"/>
        <c:holeSize val="35"/>
      </c:doughnutChart>
      <c:spPr>
        <a:noFill/>
        <a:ln>
          <a:noFill/>
        </a:ln>
        <a:effectLst/>
      </c:spPr>
    </c:plotArea>
    <c:legend>
      <c:legendPos val="r"/>
      <c:layout>
        <c:manualLayout>
          <c:xMode val="edge"/>
          <c:yMode val="edge"/>
          <c:x val="0.66220089449418196"/>
          <c:y val="0.23540718464366833"/>
          <c:w val="0.28975733943186355"/>
          <c:h val="0.41006207989286825"/>
        </c:manualLayout>
      </c:layout>
      <c:overlay val="0"/>
      <c:spPr>
        <a:noFill/>
        <a:ln>
          <a:noFill/>
        </a:ln>
        <a:effectLst/>
      </c:spPr>
      <c:txPr>
        <a:bodyPr rot="0" spcFirstLastPara="1" vertOverflow="ellipsis" vert="horz" wrap="square" anchor="ctr" anchorCtr="1"/>
        <a:lstStyle/>
        <a:p>
          <a:pPr>
            <a:defRPr sz="107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[Dashboard5.xlsx]Pivot!PivotTable3</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60000"/>
              <a:lumOff val="40000"/>
            </a:schemeClr>
          </a:solidFill>
          <a:ln w="69850">
            <a:solidFill>
              <a:schemeClr val="accent1">
                <a:lumMod val="60000"/>
                <a:lumOff val="40000"/>
              </a:schemeClr>
            </a:solidFill>
          </a:ln>
          <a:effectLst/>
        </c:spPr>
        <c:marker>
          <c:symbol val="none"/>
        </c:marker>
        <c:dLbl>
          <c:idx val="0"/>
          <c:spPr>
            <a:noFill/>
            <a:ln>
              <a:noFill/>
            </a:ln>
            <a:effectLst/>
          </c:spPr>
          <c:txPr>
            <a:bodyPr wrap="square" lIns="38100" tIns="19050" rIns="38100" bIns="19050" anchor="ctr">
              <a:spAutoFit/>
            </a:bodyPr>
            <a:lstStyle/>
            <a:p>
              <a:pPr>
                <a:defRPr sz="1110" baseline="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395464169354979"/>
          <c:y val="4.3377413695067472E-2"/>
          <c:w val="0.52823432653260571"/>
          <c:h val="0.86725179379595596"/>
        </c:manualLayout>
      </c:layout>
      <c:barChart>
        <c:barDir val="bar"/>
        <c:grouping val="clustered"/>
        <c:varyColors val="0"/>
        <c:ser>
          <c:idx val="0"/>
          <c:order val="0"/>
          <c:tx>
            <c:strRef>
              <c:f>Pivot!$J$16</c:f>
              <c:strCache>
                <c:ptCount val="1"/>
                <c:pt idx="0">
                  <c:v>Total</c:v>
                </c:pt>
              </c:strCache>
            </c:strRef>
          </c:tx>
          <c:spPr>
            <a:solidFill>
              <a:schemeClr val="accent1">
                <a:lumMod val="60000"/>
                <a:lumOff val="40000"/>
              </a:schemeClr>
            </a:solidFill>
            <a:ln w="69850">
              <a:solidFill>
                <a:schemeClr val="accent1">
                  <a:lumMod val="60000"/>
                  <a:lumOff val="40000"/>
                </a:schemeClr>
              </a:solidFill>
            </a:ln>
            <a:effectLst/>
          </c:spPr>
          <c:invertIfNegative val="0"/>
          <c:dLbls>
            <c:spPr>
              <a:noFill/>
              <a:ln>
                <a:noFill/>
              </a:ln>
              <a:effectLst/>
            </c:spPr>
            <c:txPr>
              <a:bodyPr wrap="square" lIns="38100" tIns="19050" rIns="38100" bIns="19050" anchor="ctr">
                <a:spAutoFit/>
              </a:bodyPr>
              <a:lstStyle/>
              <a:p>
                <a:pPr>
                  <a:defRPr sz="1110" baseline="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Pivot!$I$17:$I$38</c:f>
              <c:multiLvlStrCache>
                <c:ptCount val="20"/>
                <c:lvl>
                  <c:pt idx="0">
                    <c:v>Air Cooler</c:v>
                  </c:pt>
                  <c:pt idx="1">
                    <c:v>Bookshelf</c:v>
                  </c:pt>
                  <c:pt idx="2">
                    <c:v>Calculator</c:v>
                  </c:pt>
                  <c:pt idx="3">
                    <c:v>Coffee Maker</c:v>
                  </c:pt>
                  <c:pt idx="4">
                    <c:v>Filing Cabinet</c:v>
                  </c:pt>
                  <c:pt idx="5">
                    <c:v>Headphones</c:v>
                  </c:pt>
                  <c:pt idx="6">
                    <c:v>Keyboard</c:v>
                  </c:pt>
                  <c:pt idx="7">
                    <c:v>Laptop</c:v>
                  </c:pt>
                  <c:pt idx="8">
                    <c:v>Marker Pack</c:v>
                  </c:pt>
                  <c:pt idx="9">
                    <c:v>Microwave</c:v>
                  </c:pt>
                  <c:pt idx="10">
                    <c:v>Monitor</c:v>
                  </c:pt>
                  <c:pt idx="11">
                    <c:v>Mouse</c:v>
                  </c:pt>
                  <c:pt idx="12">
                    <c:v>Notebook</c:v>
                  </c:pt>
                  <c:pt idx="13">
                    <c:v>Office Chair</c:v>
                  </c:pt>
                  <c:pt idx="14">
                    <c:v>Office Desk</c:v>
                  </c:pt>
                  <c:pt idx="15">
                    <c:v>Pen Pack</c:v>
                  </c:pt>
                  <c:pt idx="16">
                    <c:v>Printer</c:v>
                  </c:pt>
                  <c:pt idx="17">
                    <c:v>Printer Paper</c:v>
                  </c:pt>
                  <c:pt idx="18">
                    <c:v>Stapler</c:v>
                  </c:pt>
                  <c:pt idx="19">
                    <c:v>Water Dispenser</c:v>
                  </c:pt>
                </c:lvl>
                <c:lvl>
                  <c:pt idx="0">
                    <c:v>Low Stock</c:v>
                  </c:pt>
                </c:lvl>
              </c:multiLvlStrCache>
            </c:multiLvlStrRef>
          </c:cat>
          <c:val>
            <c:numRef>
              <c:f>Pivot!$J$17:$J$38</c:f>
              <c:numCache>
                <c:formatCode>General</c:formatCode>
                <c:ptCount val="20"/>
                <c:pt idx="0">
                  <c:v>17</c:v>
                </c:pt>
                <c:pt idx="1">
                  <c:v>17</c:v>
                </c:pt>
                <c:pt idx="2">
                  <c:v>21</c:v>
                </c:pt>
                <c:pt idx="3">
                  <c:v>16</c:v>
                </c:pt>
                <c:pt idx="4">
                  <c:v>14</c:v>
                </c:pt>
                <c:pt idx="5">
                  <c:v>26</c:v>
                </c:pt>
                <c:pt idx="6">
                  <c:v>19</c:v>
                </c:pt>
                <c:pt idx="7">
                  <c:v>18</c:v>
                </c:pt>
                <c:pt idx="8">
                  <c:v>24</c:v>
                </c:pt>
                <c:pt idx="9">
                  <c:v>14</c:v>
                </c:pt>
                <c:pt idx="10">
                  <c:v>15</c:v>
                </c:pt>
                <c:pt idx="11">
                  <c:v>21</c:v>
                </c:pt>
                <c:pt idx="12">
                  <c:v>30</c:v>
                </c:pt>
                <c:pt idx="13">
                  <c:v>14</c:v>
                </c:pt>
                <c:pt idx="14">
                  <c:v>21</c:v>
                </c:pt>
                <c:pt idx="15">
                  <c:v>20</c:v>
                </c:pt>
                <c:pt idx="16">
                  <c:v>10</c:v>
                </c:pt>
                <c:pt idx="17">
                  <c:v>26</c:v>
                </c:pt>
                <c:pt idx="18">
                  <c:v>24</c:v>
                </c:pt>
                <c:pt idx="19">
                  <c:v>18</c:v>
                </c:pt>
              </c:numCache>
            </c:numRef>
          </c:val>
          <c:extLst>
            <c:ext xmlns:c16="http://schemas.microsoft.com/office/drawing/2014/chart" uri="{C3380CC4-5D6E-409C-BE32-E72D297353CC}">
              <c16:uniqueId val="{00000004-EA01-426D-9146-90A6A47B4CFF}"/>
            </c:ext>
          </c:extLst>
        </c:ser>
        <c:dLbls>
          <c:showLegendKey val="0"/>
          <c:showVal val="0"/>
          <c:showCatName val="0"/>
          <c:showSerName val="0"/>
          <c:showPercent val="0"/>
          <c:showBubbleSize val="0"/>
        </c:dLbls>
        <c:gapWidth val="219"/>
        <c:axId val="1265244608"/>
        <c:axId val="1057011408"/>
      </c:barChart>
      <c:catAx>
        <c:axId val="12652446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50" b="0" i="0" u="none" strike="noStrike" kern="1200" baseline="0">
                <a:solidFill>
                  <a:schemeClr val="tx1"/>
                </a:solidFill>
                <a:latin typeface="+mn-lt"/>
                <a:ea typeface="+mn-ea"/>
                <a:cs typeface="+mn-cs"/>
              </a:defRPr>
            </a:pPr>
            <a:endParaRPr lang="en-US"/>
          </a:p>
        </c:txPr>
        <c:crossAx val="1057011408"/>
        <c:crosses val="autoZero"/>
        <c:auto val="1"/>
        <c:lblAlgn val="ctr"/>
        <c:lblOffset val="100"/>
        <c:noMultiLvlLbl val="0"/>
      </c:catAx>
      <c:valAx>
        <c:axId val="1057011408"/>
        <c:scaling>
          <c:orientation val="minMax"/>
        </c:scaling>
        <c:delete val="1"/>
        <c:axPos val="b"/>
        <c:majorGridlines>
          <c:spPr>
            <a:ln w="9525" cap="flat" cmpd="sng" algn="ctr">
              <a:solidFill>
                <a:srgbClr val="C6E7F6">
                  <a:alpha val="78000"/>
                </a:srgbClr>
              </a:solidFill>
              <a:round/>
            </a:ln>
            <a:effectLst/>
          </c:spPr>
        </c:majorGridlines>
        <c:numFmt formatCode="General" sourceLinked="1"/>
        <c:majorTickMark val="none"/>
        <c:minorTickMark val="none"/>
        <c:tickLblPos val="nextTo"/>
        <c:crossAx val="1265244608"/>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[Dashboard5.xlsx]Pivot!PivotTable2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107950">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6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127680734827957E-2"/>
          <c:y val="9.7633023084072887E-2"/>
          <c:w val="0.8612816859206639"/>
          <c:h val="0.67616305342874894"/>
        </c:manualLayout>
      </c:layout>
      <c:barChart>
        <c:barDir val="col"/>
        <c:grouping val="clustered"/>
        <c:varyColors val="0"/>
        <c:ser>
          <c:idx val="0"/>
          <c:order val="0"/>
          <c:tx>
            <c:strRef>
              <c:f>Pivot!$E$3</c:f>
              <c:strCache>
                <c:ptCount val="1"/>
                <c:pt idx="0">
                  <c:v>Total</c:v>
                </c:pt>
              </c:strCache>
            </c:strRef>
          </c:tx>
          <c:spPr>
            <a:solidFill>
              <a:schemeClr val="accent1">
                <a:lumMod val="60000"/>
                <a:lumOff val="40000"/>
              </a:schemeClr>
            </a:solidFill>
            <a:ln w="107950">
              <a:solidFill>
                <a:schemeClr val="accent1">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6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Appliances</c:v>
                </c:pt>
                <c:pt idx="1">
                  <c:v>Electronics</c:v>
                </c:pt>
                <c:pt idx="2">
                  <c:v>Furniture</c:v>
                </c:pt>
                <c:pt idx="3">
                  <c:v>Stationery</c:v>
                </c:pt>
              </c:strCache>
            </c:strRef>
          </c:cat>
          <c:val>
            <c:numRef>
              <c:f>Pivot!$E$4:$E$8</c:f>
              <c:numCache>
                <c:formatCode>[&gt;=1000000]"₹"0.0,,"M";[&gt;=1000]"₹"0.0,"K";"₹"0</c:formatCode>
                <c:ptCount val="4"/>
                <c:pt idx="0">
                  <c:v>441440866</c:v>
                </c:pt>
                <c:pt idx="1">
                  <c:v>3356435765</c:v>
                </c:pt>
                <c:pt idx="2">
                  <c:v>503165100</c:v>
                </c:pt>
                <c:pt idx="3">
                  <c:v>164465386</c:v>
                </c:pt>
              </c:numCache>
            </c:numRef>
          </c:val>
          <c:extLst>
            <c:ext xmlns:c16="http://schemas.microsoft.com/office/drawing/2014/chart" uri="{C3380CC4-5D6E-409C-BE32-E72D297353CC}">
              <c16:uniqueId val="{00000000-AF63-425F-8BB8-31B86BD2E10F}"/>
            </c:ext>
          </c:extLst>
        </c:ser>
        <c:dLbls>
          <c:showLegendKey val="0"/>
          <c:showVal val="0"/>
          <c:showCatName val="0"/>
          <c:showSerName val="0"/>
          <c:showPercent val="0"/>
          <c:showBubbleSize val="0"/>
        </c:dLbls>
        <c:gapWidth val="219"/>
        <c:overlap val="-27"/>
        <c:axId val="1265244608"/>
        <c:axId val="1057011408"/>
      </c:barChart>
      <c:catAx>
        <c:axId val="126524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90" b="0" i="0" u="none" strike="noStrike" kern="1200" baseline="0">
                <a:solidFill>
                  <a:schemeClr val="tx1"/>
                </a:solidFill>
                <a:latin typeface="+mn-lt"/>
                <a:ea typeface="+mn-ea"/>
                <a:cs typeface="+mn-cs"/>
              </a:defRPr>
            </a:pPr>
            <a:endParaRPr lang="en-US"/>
          </a:p>
        </c:txPr>
        <c:crossAx val="1057011408"/>
        <c:crosses val="autoZero"/>
        <c:auto val="1"/>
        <c:lblAlgn val="ctr"/>
        <c:lblOffset val="100"/>
        <c:noMultiLvlLbl val="0"/>
      </c:catAx>
      <c:valAx>
        <c:axId val="1057011408"/>
        <c:scaling>
          <c:orientation val="minMax"/>
        </c:scaling>
        <c:delete val="1"/>
        <c:axPos val="l"/>
        <c:numFmt formatCode="[&gt;=1000000]&quot;₹&quot;0.0,,&quot;M&quot;;[&gt;=1000]&quot;₹&quot;0.0,&quot;K&quot;;&quot;₹&quot;0" sourceLinked="1"/>
        <c:majorTickMark val="none"/>
        <c:minorTickMark val="none"/>
        <c:tickLblPos val="nextTo"/>
        <c:crossAx val="126524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[Dashboard5.xlsx]Pivot!PivotTable12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dLbl>
          <c:idx val="0"/>
          <c:layout>
            <c:manualLayout>
              <c:x val="3.0798077617944595E-3"/>
              <c:y val="0"/>
            </c:manualLayout>
          </c:layout>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714958699050399E-2"/>
          <c:y val="0"/>
          <c:w val="0.93224422924051942"/>
          <c:h val="0.71908770841041192"/>
        </c:manualLayout>
      </c:layout>
      <c:barChart>
        <c:barDir val="col"/>
        <c:grouping val="clustered"/>
        <c:varyColors val="0"/>
        <c:ser>
          <c:idx val="0"/>
          <c:order val="0"/>
          <c:tx>
            <c:strRef>
              <c:f>Pivot!$E$13</c:f>
              <c:strCache>
                <c:ptCount val="1"/>
                <c:pt idx="0">
                  <c:v>Total</c:v>
                </c:pt>
              </c:strCache>
            </c:strRef>
          </c:tx>
          <c:spPr>
            <a:solidFill>
              <a:schemeClr val="accent1">
                <a:lumMod val="60000"/>
                <a:lumOff val="40000"/>
              </a:schemeClr>
            </a:solidFill>
            <a:ln>
              <a:noFill/>
            </a:ln>
            <a:effectLst/>
          </c:spPr>
          <c:invertIfNegative val="0"/>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834A-4470-BFC8-EF67C6037962}"/>
              </c:ext>
            </c:extLst>
          </c:dPt>
          <c:dLbls>
            <c:dLbl>
              <c:idx val="3"/>
              <c:layout>
                <c:manualLayout>
                  <c:x val="3.07980776179445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4A-4470-BFC8-EF67C6037962}"/>
                </c:ext>
              </c:extLst>
            </c:dLbl>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Pivot!$D$14:$D$20</c:f>
              <c:strCache>
                <c:ptCount val="6"/>
                <c:pt idx="0">
                  <c:v>Apex Suppliers</c:v>
                </c:pt>
                <c:pt idx="1">
                  <c:v>Global Supplies</c:v>
                </c:pt>
                <c:pt idx="2">
                  <c:v>Metro Traders</c:v>
                </c:pt>
                <c:pt idx="3">
                  <c:v>OfficeMart</c:v>
                </c:pt>
                <c:pt idx="4">
                  <c:v>Prime Distributors</c:v>
                </c:pt>
                <c:pt idx="5">
                  <c:v>TechSource Ltd</c:v>
                </c:pt>
              </c:strCache>
            </c:strRef>
          </c:cat>
          <c:val>
            <c:numRef>
              <c:f>Pivot!$E$14:$E$20</c:f>
              <c:numCache>
                <c:formatCode>[&gt;=1000000]0.0,,"M";[&gt;=1000]0.0,"K";0</c:formatCode>
                <c:ptCount val="6"/>
                <c:pt idx="0">
                  <c:v>40078</c:v>
                </c:pt>
                <c:pt idx="1">
                  <c:v>43547</c:v>
                </c:pt>
                <c:pt idx="2">
                  <c:v>41168</c:v>
                </c:pt>
                <c:pt idx="3">
                  <c:v>45575</c:v>
                </c:pt>
                <c:pt idx="4">
                  <c:v>41294</c:v>
                </c:pt>
                <c:pt idx="5">
                  <c:v>43884</c:v>
                </c:pt>
              </c:numCache>
            </c:numRef>
          </c:val>
          <c:extLst>
            <c:ext xmlns:c16="http://schemas.microsoft.com/office/drawing/2014/chart" uri="{C3380CC4-5D6E-409C-BE32-E72D297353CC}">
              <c16:uniqueId val="{00000000-834A-4470-BFC8-EF67C6037962}"/>
            </c:ext>
          </c:extLst>
        </c:ser>
        <c:dLbls>
          <c:showLegendKey val="0"/>
          <c:showVal val="0"/>
          <c:showCatName val="0"/>
          <c:showSerName val="0"/>
          <c:showPercent val="0"/>
          <c:showBubbleSize val="0"/>
        </c:dLbls>
        <c:gapWidth val="219"/>
        <c:overlap val="-27"/>
        <c:axId val="1755615120"/>
        <c:axId val="1666932752"/>
      </c:barChart>
      <c:catAx>
        <c:axId val="175561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40" b="0" i="0" u="none" strike="noStrike" kern="1200" baseline="0">
                <a:solidFill>
                  <a:schemeClr val="tx1"/>
                </a:solidFill>
                <a:latin typeface="+mn-lt"/>
                <a:ea typeface="+mn-ea"/>
                <a:cs typeface="+mn-cs"/>
              </a:defRPr>
            </a:pPr>
            <a:endParaRPr lang="en-US"/>
          </a:p>
        </c:txPr>
        <c:crossAx val="1666932752"/>
        <c:crosses val="autoZero"/>
        <c:auto val="1"/>
        <c:lblAlgn val="ctr"/>
        <c:lblOffset val="100"/>
        <c:noMultiLvlLbl val="0"/>
      </c:catAx>
      <c:valAx>
        <c:axId val="1666932752"/>
        <c:scaling>
          <c:orientation val="minMax"/>
        </c:scaling>
        <c:delete val="1"/>
        <c:axPos val="l"/>
        <c:majorGridlines>
          <c:spPr>
            <a:ln w="9525" cap="flat" cmpd="sng" algn="ctr">
              <a:noFill/>
              <a:round/>
            </a:ln>
            <a:effectLst/>
          </c:spPr>
        </c:majorGridlines>
        <c:numFmt formatCode="[&gt;=1000000]0.0,,&quot;M&quot;;[&gt;=1000]0.0,&quot;K&quot;;0" sourceLinked="1"/>
        <c:majorTickMark val="none"/>
        <c:minorTickMark val="none"/>
        <c:tickLblPos val="nextTo"/>
        <c:crossAx val="175561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[Dashboard5.xlsx]Pivot!PivotTable15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6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6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8.1185651227953612E-2"/>
          <c:w val="0.83207786526684169"/>
          <c:h val="0.77066615019728402"/>
        </c:manualLayout>
      </c:layout>
      <c:barChart>
        <c:barDir val="col"/>
        <c:grouping val="clustered"/>
        <c:varyColors val="0"/>
        <c:ser>
          <c:idx val="0"/>
          <c:order val="0"/>
          <c:tx>
            <c:strRef>
              <c:f>Pivot!$C$25</c:f>
              <c:strCache>
                <c:ptCount val="1"/>
                <c:pt idx="0">
                  <c:v>Sum of Purchase Qty</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lgn="ctr">
                  <a:defRPr lang="en-US" sz="106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Pivot!$C$26</c:f>
              <c:strCache>
                <c:ptCount val="1"/>
                <c:pt idx="0">
                  <c:v>Total</c:v>
                </c:pt>
              </c:strCache>
            </c:strRef>
          </c:cat>
          <c:val>
            <c:numRef>
              <c:f>Pivot!$C$26</c:f>
              <c:numCache>
                <c:formatCode>[&gt;=1000000]0.0,,"M";[&gt;=1000]0.0,"K";0</c:formatCode>
                <c:ptCount val="1"/>
                <c:pt idx="0">
                  <c:v>255546</c:v>
                </c:pt>
              </c:numCache>
            </c:numRef>
          </c:val>
          <c:extLst>
            <c:ext xmlns:c16="http://schemas.microsoft.com/office/drawing/2014/chart" uri="{C3380CC4-5D6E-409C-BE32-E72D297353CC}">
              <c16:uniqueId val="{00000000-21B6-4E5B-BC71-9DE752CBFB6E}"/>
            </c:ext>
          </c:extLst>
        </c:ser>
        <c:ser>
          <c:idx val="1"/>
          <c:order val="1"/>
          <c:tx>
            <c:strRef>
              <c:f>Pivot!$D$25</c:f>
              <c:strCache>
                <c:ptCount val="1"/>
                <c:pt idx="0">
                  <c:v>Sum of Sales Qty</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lgn="ctr">
                  <a:defRPr lang="en-US" sz="106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Pivot!$C$26</c:f>
              <c:strCache>
                <c:ptCount val="1"/>
                <c:pt idx="0">
                  <c:v>Total</c:v>
                </c:pt>
              </c:strCache>
            </c:strRef>
          </c:cat>
          <c:val>
            <c:numRef>
              <c:f>Pivot!$D$26</c:f>
              <c:numCache>
                <c:formatCode>[&gt;=1000000]0.0,,"M";[&gt;=1000]0.0,"K";0</c:formatCode>
                <c:ptCount val="1"/>
                <c:pt idx="0">
                  <c:v>212117</c:v>
                </c:pt>
              </c:numCache>
            </c:numRef>
          </c:val>
          <c:extLst>
            <c:ext xmlns:c16="http://schemas.microsoft.com/office/drawing/2014/chart" uri="{C3380CC4-5D6E-409C-BE32-E72D297353CC}">
              <c16:uniqueId val="{00000001-21B6-4E5B-BC71-9DE752CBFB6E}"/>
            </c:ext>
          </c:extLst>
        </c:ser>
        <c:dLbls>
          <c:showLegendKey val="0"/>
          <c:showVal val="0"/>
          <c:showCatName val="0"/>
          <c:showSerName val="0"/>
          <c:showPercent val="0"/>
          <c:showBubbleSize val="0"/>
        </c:dLbls>
        <c:gapWidth val="219"/>
        <c:overlap val="-27"/>
        <c:axId val="1755591920"/>
        <c:axId val="2115232080"/>
      </c:barChart>
      <c:catAx>
        <c:axId val="1755591920"/>
        <c:scaling>
          <c:orientation val="minMax"/>
        </c:scaling>
        <c:delete val="1"/>
        <c:axPos val="b"/>
        <c:numFmt formatCode="General" sourceLinked="1"/>
        <c:majorTickMark val="none"/>
        <c:minorTickMark val="none"/>
        <c:tickLblPos val="nextTo"/>
        <c:crossAx val="2115232080"/>
        <c:crosses val="autoZero"/>
        <c:auto val="1"/>
        <c:lblAlgn val="ctr"/>
        <c:lblOffset val="100"/>
        <c:noMultiLvlLbl val="0"/>
      </c:catAx>
      <c:valAx>
        <c:axId val="2115232080"/>
        <c:scaling>
          <c:orientation val="minMax"/>
        </c:scaling>
        <c:delete val="1"/>
        <c:axPos val="l"/>
        <c:numFmt formatCode="[&gt;=1000000]0.0,,&quot;M&quot;;[&gt;=1000]0.0,&quot;K&quot;;0" sourceLinked="1"/>
        <c:majorTickMark val="none"/>
        <c:minorTickMark val="none"/>
        <c:tickLblPos val="nextTo"/>
        <c:crossAx val="1755591920"/>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lang="en-US" sz="1060" b="0" i="0" u="none" strike="noStrike" kern="1200" baseline="0">
                <a:solidFill>
                  <a:schemeClr val="tx1"/>
                </a:solidFill>
                <a:latin typeface="+mn-lt"/>
                <a:ea typeface="+mn-ea"/>
                <a:cs typeface="+mn-cs"/>
              </a:defRPr>
            </a:pPr>
            <a:endParaRPr lang="en-US"/>
          </a:p>
        </c:txPr>
      </c:legendEntry>
      <c:layout>
        <c:manualLayout>
          <c:xMode val="edge"/>
          <c:yMode val="edge"/>
          <c:x val="0.1126334208223972"/>
          <c:y val="0.83854111986001745"/>
          <c:w val="0.72069991251093601"/>
          <c:h val="0.15625109361329834"/>
        </c:manualLayout>
      </c:layout>
      <c:overlay val="0"/>
      <c:spPr>
        <a:noFill/>
        <a:ln>
          <a:noFill/>
        </a:ln>
        <a:effectLst/>
      </c:spPr>
      <c:txPr>
        <a:bodyPr rot="0" spcFirstLastPara="1" vertOverflow="ellipsis" vert="horz" wrap="square" anchor="ctr" anchorCtr="1"/>
        <a:lstStyle/>
        <a:p>
          <a:pPr>
            <a:defRPr lang="en-US" sz="106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6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chart" Target="../charts/chart3.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548640</xdr:colOff>
      <xdr:row>4</xdr:row>
      <xdr:rowOff>99060</xdr:rowOff>
    </xdr:from>
    <xdr:to>
      <xdr:col>6</xdr:col>
      <xdr:colOff>18240</xdr:colOff>
      <xdr:row>8</xdr:row>
      <xdr:rowOff>87540</xdr:rowOff>
    </xdr:to>
    <xdr:sp macro="" textlink="">
      <xdr:nvSpPr>
        <xdr:cNvPr id="2" name="Rectangle: Rounded Corners 1">
          <a:extLst>
            <a:ext uri="{FF2B5EF4-FFF2-40B4-BE49-F238E27FC236}">
              <a16:creationId xmlns:a16="http://schemas.microsoft.com/office/drawing/2014/main" id="{69DD026C-7A7F-AFB0-8C91-E835547A58E5}"/>
            </a:ext>
          </a:extLst>
        </xdr:cNvPr>
        <xdr:cNvSpPr/>
      </xdr:nvSpPr>
      <xdr:spPr>
        <a:xfrm>
          <a:off x="1767840" y="830580"/>
          <a:ext cx="1908000" cy="720000"/>
        </a:xfrm>
        <a:prstGeom prst="round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230124</xdr:colOff>
      <xdr:row>4</xdr:row>
      <xdr:rowOff>106680</xdr:rowOff>
    </xdr:from>
    <xdr:to>
      <xdr:col>9</xdr:col>
      <xdr:colOff>309324</xdr:colOff>
      <xdr:row>8</xdr:row>
      <xdr:rowOff>95160</xdr:rowOff>
    </xdr:to>
    <xdr:sp macro="" textlink="">
      <xdr:nvSpPr>
        <xdr:cNvPr id="3" name="Rectangle: Rounded Corners 2">
          <a:extLst>
            <a:ext uri="{FF2B5EF4-FFF2-40B4-BE49-F238E27FC236}">
              <a16:creationId xmlns:a16="http://schemas.microsoft.com/office/drawing/2014/main" id="{ABBB300B-98FC-7FEE-46DE-0355C2D79CB2}"/>
            </a:ext>
          </a:extLst>
        </xdr:cNvPr>
        <xdr:cNvSpPr/>
      </xdr:nvSpPr>
      <xdr:spPr>
        <a:xfrm>
          <a:off x="3887724" y="838200"/>
          <a:ext cx="1908000" cy="720000"/>
        </a:xfrm>
        <a:prstGeom prst="round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505968</xdr:colOff>
      <xdr:row>4</xdr:row>
      <xdr:rowOff>106680</xdr:rowOff>
    </xdr:from>
    <xdr:to>
      <xdr:col>12</xdr:col>
      <xdr:colOff>585168</xdr:colOff>
      <xdr:row>8</xdr:row>
      <xdr:rowOff>95160</xdr:rowOff>
    </xdr:to>
    <xdr:sp macro="" textlink="">
      <xdr:nvSpPr>
        <xdr:cNvPr id="4" name="Rectangle: Rounded Corners 3">
          <a:extLst>
            <a:ext uri="{FF2B5EF4-FFF2-40B4-BE49-F238E27FC236}">
              <a16:creationId xmlns:a16="http://schemas.microsoft.com/office/drawing/2014/main" id="{B6510619-A7A4-E555-B530-943834CB8293}"/>
            </a:ext>
          </a:extLst>
        </xdr:cNvPr>
        <xdr:cNvSpPr/>
      </xdr:nvSpPr>
      <xdr:spPr>
        <a:xfrm>
          <a:off x="5992368" y="838200"/>
          <a:ext cx="1908000" cy="720000"/>
        </a:xfrm>
        <a:prstGeom prst="round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172212</xdr:colOff>
      <xdr:row>4</xdr:row>
      <xdr:rowOff>106680</xdr:rowOff>
    </xdr:from>
    <xdr:to>
      <xdr:col>16</xdr:col>
      <xdr:colOff>251412</xdr:colOff>
      <xdr:row>8</xdr:row>
      <xdr:rowOff>95160</xdr:rowOff>
    </xdr:to>
    <xdr:sp macro="" textlink="">
      <xdr:nvSpPr>
        <xdr:cNvPr id="5" name="Rectangle: Rounded Corners 4">
          <a:extLst>
            <a:ext uri="{FF2B5EF4-FFF2-40B4-BE49-F238E27FC236}">
              <a16:creationId xmlns:a16="http://schemas.microsoft.com/office/drawing/2014/main" id="{9BE45165-606B-590D-4B80-0D3F437C20DD}"/>
            </a:ext>
          </a:extLst>
        </xdr:cNvPr>
        <xdr:cNvSpPr/>
      </xdr:nvSpPr>
      <xdr:spPr>
        <a:xfrm>
          <a:off x="8097012" y="838200"/>
          <a:ext cx="1908000" cy="720000"/>
        </a:xfrm>
        <a:prstGeom prst="round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38100</xdr:colOff>
      <xdr:row>4</xdr:row>
      <xdr:rowOff>106680</xdr:rowOff>
    </xdr:from>
    <xdr:to>
      <xdr:col>23</xdr:col>
      <xdr:colOff>117300</xdr:colOff>
      <xdr:row>8</xdr:row>
      <xdr:rowOff>95160</xdr:rowOff>
    </xdr:to>
    <xdr:sp macro="" textlink="">
      <xdr:nvSpPr>
        <xdr:cNvPr id="6" name="Rectangle: Rounded Corners 5">
          <a:extLst>
            <a:ext uri="{FF2B5EF4-FFF2-40B4-BE49-F238E27FC236}">
              <a16:creationId xmlns:a16="http://schemas.microsoft.com/office/drawing/2014/main" id="{F23BCFCB-15E5-CB1E-3531-DA8FA898A802}"/>
            </a:ext>
          </a:extLst>
        </xdr:cNvPr>
        <xdr:cNvSpPr/>
      </xdr:nvSpPr>
      <xdr:spPr>
        <a:xfrm>
          <a:off x="12230100" y="838200"/>
          <a:ext cx="1908000" cy="720000"/>
        </a:xfrm>
        <a:prstGeom prst="round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432816</xdr:colOff>
      <xdr:row>4</xdr:row>
      <xdr:rowOff>106680</xdr:rowOff>
    </xdr:from>
    <xdr:to>
      <xdr:col>19</xdr:col>
      <xdr:colOff>512016</xdr:colOff>
      <xdr:row>8</xdr:row>
      <xdr:rowOff>95160</xdr:rowOff>
    </xdr:to>
    <xdr:sp macro="" textlink="">
      <xdr:nvSpPr>
        <xdr:cNvPr id="7" name="Rectangle: Rounded Corners 6">
          <a:extLst>
            <a:ext uri="{FF2B5EF4-FFF2-40B4-BE49-F238E27FC236}">
              <a16:creationId xmlns:a16="http://schemas.microsoft.com/office/drawing/2014/main" id="{2C67F588-6591-D6F4-1934-F06306A01827}"/>
            </a:ext>
          </a:extLst>
        </xdr:cNvPr>
        <xdr:cNvSpPr/>
      </xdr:nvSpPr>
      <xdr:spPr>
        <a:xfrm>
          <a:off x="10186416" y="838200"/>
          <a:ext cx="1908000" cy="720000"/>
        </a:xfrm>
        <a:prstGeom prst="round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38100</xdr:colOff>
      <xdr:row>0</xdr:row>
      <xdr:rowOff>30480</xdr:rowOff>
    </xdr:from>
    <xdr:to>
      <xdr:col>12</xdr:col>
      <xdr:colOff>586740</xdr:colOff>
      <xdr:row>4</xdr:row>
      <xdr:rowOff>57060</xdr:rowOff>
    </xdr:to>
    <xdr:sp macro="" textlink="">
      <xdr:nvSpPr>
        <xdr:cNvPr id="8" name="Rectangle: Rounded Corners 7">
          <a:extLst>
            <a:ext uri="{FF2B5EF4-FFF2-40B4-BE49-F238E27FC236}">
              <a16:creationId xmlns:a16="http://schemas.microsoft.com/office/drawing/2014/main" id="{B61AF3C7-B90E-ABFA-FD04-ECE956166AE6}"/>
            </a:ext>
          </a:extLst>
        </xdr:cNvPr>
        <xdr:cNvSpPr/>
      </xdr:nvSpPr>
      <xdr:spPr>
        <a:xfrm>
          <a:off x="38100" y="30480"/>
          <a:ext cx="7863840" cy="758100"/>
        </a:xfrm>
        <a:prstGeom prst="roundRect">
          <a:avLst/>
        </a:prstGeom>
        <a:solidFill>
          <a:srgbClr val="C6E7F6"/>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xdr:colOff>
      <xdr:row>0</xdr:row>
      <xdr:rowOff>144780</xdr:rowOff>
    </xdr:from>
    <xdr:to>
      <xdr:col>13</xdr:col>
      <xdr:colOff>144780</xdr:colOff>
      <xdr:row>3</xdr:row>
      <xdr:rowOff>129540</xdr:rowOff>
    </xdr:to>
    <xdr:sp macro="" textlink="">
      <xdr:nvSpPr>
        <xdr:cNvPr id="9" name="TextBox 8">
          <a:extLst>
            <a:ext uri="{FF2B5EF4-FFF2-40B4-BE49-F238E27FC236}">
              <a16:creationId xmlns:a16="http://schemas.microsoft.com/office/drawing/2014/main" id="{E37A30C4-42B7-8F38-8D5A-8FC4A9231490}"/>
            </a:ext>
          </a:extLst>
        </xdr:cNvPr>
        <xdr:cNvSpPr txBox="1"/>
      </xdr:nvSpPr>
      <xdr:spPr>
        <a:xfrm>
          <a:off x="655320" y="144780"/>
          <a:ext cx="7414260" cy="53340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2">
                  <a:lumMod val="10000"/>
                </a:schemeClr>
              </a:solidFill>
            </a:rPr>
            <a:t>Inventory &amp; Warehouse Management Dashboard</a:t>
          </a:r>
        </a:p>
      </xdr:txBody>
    </xdr:sp>
    <xdr:clientData/>
  </xdr:twoCellAnchor>
  <xdr:twoCellAnchor>
    <xdr:from>
      <xdr:col>0</xdr:col>
      <xdr:colOff>32004</xdr:colOff>
      <xdr:row>4</xdr:row>
      <xdr:rowOff>106680</xdr:rowOff>
    </xdr:from>
    <xdr:to>
      <xdr:col>2</xdr:col>
      <xdr:colOff>480060</xdr:colOff>
      <xdr:row>14</xdr:row>
      <xdr:rowOff>76200</xdr:rowOff>
    </xdr:to>
    <xdr:sp macro="" textlink="">
      <xdr:nvSpPr>
        <xdr:cNvPr id="10" name="Rectangle: Rounded Corners 9">
          <a:extLst>
            <a:ext uri="{FF2B5EF4-FFF2-40B4-BE49-F238E27FC236}">
              <a16:creationId xmlns:a16="http://schemas.microsoft.com/office/drawing/2014/main" id="{7A4A9BDC-C2E5-0D40-9057-6C1D19A96F47}"/>
            </a:ext>
          </a:extLst>
        </xdr:cNvPr>
        <xdr:cNvSpPr/>
      </xdr:nvSpPr>
      <xdr:spPr>
        <a:xfrm>
          <a:off x="32004" y="838200"/>
          <a:ext cx="1667256" cy="1798320"/>
        </a:xfrm>
        <a:prstGeom prst="roundRect">
          <a:avLst>
            <a:gd name="adj" fmla="val 5494"/>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147828</xdr:colOff>
      <xdr:row>0</xdr:row>
      <xdr:rowOff>30480</xdr:rowOff>
    </xdr:from>
    <xdr:to>
      <xdr:col>23</xdr:col>
      <xdr:colOff>91440</xdr:colOff>
      <xdr:row>4</xdr:row>
      <xdr:rowOff>64680</xdr:rowOff>
    </xdr:to>
    <xdr:sp macro="" textlink="">
      <xdr:nvSpPr>
        <xdr:cNvPr id="11" name="Rectangle: Rounded Corners 10">
          <a:extLst>
            <a:ext uri="{FF2B5EF4-FFF2-40B4-BE49-F238E27FC236}">
              <a16:creationId xmlns:a16="http://schemas.microsoft.com/office/drawing/2014/main" id="{C76B6ED4-013E-49BC-B090-635F23696922}"/>
            </a:ext>
          </a:extLst>
        </xdr:cNvPr>
        <xdr:cNvSpPr/>
      </xdr:nvSpPr>
      <xdr:spPr>
        <a:xfrm>
          <a:off x="8072628" y="30480"/>
          <a:ext cx="6039612" cy="765720"/>
        </a:xfrm>
        <a:prstGeom prst="round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496956</xdr:colOff>
      <xdr:row>22</xdr:row>
      <xdr:rowOff>99060</xdr:rowOff>
    </xdr:from>
    <xdr:to>
      <xdr:col>9</xdr:col>
      <xdr:colOff>502920</xdr:colOff>
      <xdr:row>38</xdr:row>
      <xdr:rowOff>114300</xdr:rowOff>
    </xdr:to>
    <xdr:sp macro="" textlink="">
      <xdr:nvSpPr>
        <xdr:cNvPr id="19" name="Rectangle: Rounded Corners 18">
          <a:extLst>
            <a:ext uri="{FF2B5EF4-FFF2-40B4-BE49-F238E27FC236}">
              <a16:creationId xmlns:a16="http://schemas.microsoft.com/office/drawing/2014/main" id="{3AFD44E4-B000-03EC-DF22-474D9D88483D}"/>
            </a:ext>
          </a:extLst>
        </xdr:cNvPr>
        <xdr:cNvSpPr/>
      </xdr:nvSpPr>
      <xdr:spPr>
        <a:xfrm>
          <a:off x="1711739" y="4229321"/>
          <a:ext cx="4257703" cy="3019066"/>
        </a:xfrm>
        <a:prstGeom prst="roundRect">
          <a:avLst>
            <a:gd name="adj" fmla="val 3421"/>
          </a:avLst>
        </a:prstGeom>
        <a:solidFill>
          <a:schemeClr val="tx2">
            <a:lumMod val="10000"/>
            <a:lumOff val="9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519042</xdr:colOff>
      <xdr:row>22</xdr:row>
      <xdr:rowOff>99060</xdr:rowOff>
    </xdr:from>
    <xdr:to>
      <xdr:col>16</xdr:col>
      <xdr:colOff>55216</xdr:colOff>
      <xdr:row>38</xdr:row>
      <xdr:rowOff>114300</xdr:rowOff>
    </xdr:to>
    <xdr:sp macro="" textlink="">
      <xdr:nvSpPr>
        <xdr:cNvPr id="22" name="Rectangle: Rounded Corners 21">
          <a:extLst>
            <a:ext uri="{FF2B5EF4-FFF2-40B4-BE49-F238E27FC236}">
              <a16:creationId xmlns:a16="http://schemas.microsoft.com/office/drawing/2014/main" id="{A7BEB424-E45F-41D4-9B82-46E1D5E82FEE}"/>
            </a:ext>
          </a:extLst>
        </xdr:cNvPr>
        <xdr:cNvSpPr/>
      </xdr:nvSpPr>
      <xdr:spPr>
        <a:xfrm>
          <a:off x="5985564" y="4229321"/>
          <a:ext cx="3787913" cy="3019066"/>
        </a:xfrm>
        <a:prstGeom prst="roundRect">
          <a:avLst>
            <a:gd name="adj" fmla="val 3940"/>
          </a:avLst>
        </a:prstGeom>
        <a:solidFill>
          <a:schemeClr val="tx2">
            <a:lumMod val="10000"/>
            <a:lumOff val="9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39624</xdr:colOff>
      <xdr:row>14</xdr:row>
      <xdr:rowOff>106680</xdr:rowOff>
    </xdr:from>
    <xdr:to>
      <xdr:col>2</xdr:col>
      <xdr:colOff>487680</xdr:colOff>
      <xdr:row>28</xdr:row>
      <xdr:rowOff>53340</xdr:rowOff>
    </xdr:to>
    <xdr:sp macro="" textlink="">
      <xdr:nvSpPr>
        <xdr:cNvPr id="23" name="Rectangle: Rounded Corners 22">
          <a:extLst>
            <a:ext uri="{FF2B5EF4-FFF2-40B4-BE49-F238E27FC236}">
              <a16:creationId xmlns:a16="http://schemas.microsoft.com/office/drawing/2014/main" id="{F05DA0C5-81AF-CA98-4355-06BA55219F92}"/>
            </a:ext>
          </a:extLst>
        </xdr:cNvPr>
        <xdr:cNvSpPr/>
      </xdr:nvSpPr>
      <xdr:spPr>
        <a:xfrm>
          <a:off x="39624" y="2667000"/>
          <a:ext cx="1667256" cy="2506980"/>
        </a:xfrm>
        <a:prstGeom prst="roundRect">
          <a:avLst>
            <a:gd name="adj" fmla="val 5494"/>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47244</xdr:colOff>
      <xdr:row>28</xdr:row>
      <xdr:rowOff>76200</xdr:rowOff>
    </xdr:from>
    <xdr:to>
      <xdr:col>2</xdr:col>
      <xdr:colOff>495300</xdr:colOff>
      <xdr:row>38</xdr:row>
      <xdr:rowOff>114300</xdr:rowOff>
    </xdr:to>
    <xdr:sp macro="" textlink="">
      <xdr:nvSpPr>
        <xdr:cNvPr id="24" name="Rectangle: Rounded Corners 23">
          <a:extLst>
            <a:ext uri="{FF2B5EF4-FFF2-40B4-BE49-F238E27FC236}">
              <a16:creationId xmlns:a16="http://schemas.microsoft.com/office/drawing/2014/main" id="{E44D110E-7D62-8DE8-F39D-3837047E62C6}"/>
            </a:ext>
          </a:extLst>
        </xdr:cNvPr>
        <xdr:cNvSpPr/>
      </xdr:nvSpPr>
      <xdr:spPr>
        <a:xfrm>
          <a:off x="47244" y="5196840"/>
          <a:ext cx="1667256" cy="1866900"/>
        </a:xfrm>
        <a:prstGeom prst="roundRect">
          <a:avLst>
            <a:gd name="adj" fmla="val 5494"/>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50940</xdr:colOff>
      <xdr:row>0</xdr:row>
      <xdr:rowOff>0</xdr:rowOff>
    </xdr:from>
    <xdr:to>
      <xdr:col>1</xdr:col>
      <xdr:colOff>152400</xdr:colOff>
      <xdr:row>3</xdr:row>
      <xdr:rowOff>162420</xdr:rowOff>
    </xdr:to>
    <xdr:pic>
      <xdr:nvPicPr>
        <xdr:cNvPr id="28" name="Graphic 27" descr="Factory with solid fill">
          <a:extLst>
            <a:ext uri="{FF2B5EF4-FFF2-40B4-BE49-F238E27FC236}">
              <a16:creationId xmlns:a16="http://schemas.microsoft.com/office/drawing/2014/main" id="{02791AAC-FC26-55EE-9948-3CC2847DE3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940" y="0"/>
          <a:ext cx="711060" cy="711060"/>
        </a:xfrm>
        <a:prstGeom prst="rect">
          <a:avLst/>
        </a:prstGeom>
      </xdr:spPr>
    </xdr:pic>
    <xdr:clientData/>
  </xdr:twoCellAnchor>
  <xdr:twoCellAnchor>
    <xdr:from>
      <xdr:col>3</xdr:col>
      <xdr:colOff>68580</xdr:colOff>
      <xdr:row>4</xdr:row>
      <xdr:rowOff>144780</xdr:rowOff>
    </xdr:from>
    <xdr:to>
      <xdr:col>5</xdr:col>
      <xdr:colOff>525780</xdr:colOff>
      <xdr:row>6</xdr:row>
      <xdr:rowOff>167640</xdr:rowOff>
    </xdr:to>
    <xdr:sp macro="" textlink="">
      <xdr:nvSpPr>
        <xdr:cNvPr id="12" name="TextBox 11">
          <a:extLst>
            <a:ext uri="{FF2B5EF4-FFF2-40B4-BE49-F238E27FC236}">
              <a16:creationId xmlns:a16="http://schemas.microsoft.com/office/drawing/2014/main" id="{1A716270-11AA-9759-67DB-070355AC6CF7}"/>
            </a:ext>
          </a:extLst>
        </xdr:cNvPr>
        <xdr:cNvSpPr txBox="1"/>
      </xdr:nvSpPr>
      <xdr:spPr>
        <a:xfrm>
          <a:off x="1897380" y="876300"/>
          <a:ext cx="1676400" cy="38862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800" b="1">
            <a:solidFill>
              <a:schemeClr val="bg2">
                <a:lumMod val="10000"/>
              </a:schemeClr>
            </a:solidFill>
          </a:endParaRPr>
        </a:p>
      </xdr:txBody>
    </xdr:sp>
    <xdr:clientData/>
  </xdr:twoCellAnchor>
  <xdr:twoCellAnchor>
    <xdr:from>
      <xdr:col>3</xdr:col>
      <xdr:colOff>190500</xdr:colOff>
      <xdr:row>4</xdr:row>
      <xdr:rowOff>129540</xdr:rowOff>
    </xdr:from>
    <xdr:to>
      <xdr:col>6</xdr:col>
      <xdr:colOff>38100</xdr:colOff>
      <xdr:row>6</xdr:row>
      <xdr:rowOff>152400</xdr:rowOff>
    </xdr:to>
    <xdr:sp macro="" textlink="">
      <xdr:nvSpPr>
        <xdr:cNvPr id="13" name="TextBox 12">
          <a:extLst>
            <a:ext uri="{FF2B5EF4-FFF2-40B4-BE49-F238E27FC236}">
              <a16:creationId xmlns:a16="http://schemas.microsoft.com/office/drawing/2014/main" id="{0AAD53F5-12C5-5F8D-88AA-9AF5D922F28B}"/>
            </a:ext>
          </a:extLst>
        </xdr:cNvPr>
        <xdr:cNvSpPr txBox="1"/>
      </xdr:nvSpPr>
      <xdr:spPr>
        <a:xfrm>
          <a:off x="2019300" y="861060"/>
          <a:ext cx="1676400" cy="38862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2">
                  <a:lumMod val="10000"/>
                </a:schemeClr>
              </a:solidFill>
            </a:rPr>
            <a:t>Stock Value</a:t>
          </a:r>
        </a:p>
      </xdr:txBody>
    </xdr:sp>
    <xdr:clientData/>
  </xdr:twoCellAnchor>
  <xdr:twoCellAnchor>
    <xdr:from>
      <xdr:col>7</xdr:col>
      <xdr:colOff>68580</xdr:colOff>
      <xdr:row>4</xdr:row>
      <xdr:rowOff>129540</xdr:rowOff>
    </xdr:from>
    <xdr:to>
      <xdr:col>9</xdr:col>
      <xdr:colOff>525780</xdr:colOff>
      <xdr:row>6</xdr:row>
      <xdr:rowOff>152400</xdr:rowOff>
    </xdr:to>
    <xdr:sp macro="" textlink="">
      <xdr:nvSpPr>
        <xdr:cNvPr id="15" name="TextBox 14">
          <a:extLst>
            <a:ext uri="{FF2B5EF4-FFF2-40B4-BE49-F238E27FC236}">
              <a16:creationId xmlns:a16="http://schemas.microsoft.com/office/drawing/2014/main" id="{19D3B53F-57EC-6BCA-5F29-BF7EC40A9A19}"/>
            </a:ext>
          </a:extLst>
        </xdr:cNvPr>
        <xdr:cNvSpPr txBox="1"/>
      </xdr:nvSpPr>
      <xdr:spPr>
        <a:xfrm>
          <a:off x="4335780" y="861060"/>
          <a:ext cx="1676400" cy="38862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a:solidFill>
                <a:schemeClr val="bg2">
                  <a:lumMod val="10000"/>
                </a:schemeClr>
              </a:solidFill>
              <a:latin typeface="+mn-lt"/>
              <a:ea typeface="+mn-ea"/>
              <a:cs typeface="+mn-cs"/>
            </a:rPr>
            <a:t>Total Stock</a:t>
          </a:r>
        </a:p>
      </xdr:txBody>
    </xdr:sp>
    <xdr:clientData/>
  </xdr:twoCellAnchor>
  <xdr:twoCellAnchor>
    <xdr:from>
      <xdr:col>10</xdr:col>
      <xdr:colOff>152400</xdr:colOff>
      <xdr:row>4</xdr:row>
      <xdr:rowOff>99060</xdr:rowOff>
    </xdr:from>
    <xdr:to>
      <xdr:col>13</xdr:col>
      <xdr:colOff>182880</xdr:colOff>
      <xdr:row>6</xdr:row>
      <xdr:rowOff>121920</xdr:rowOff>
    </xdr:to>
    <xdr:sp macro="" textlink="">
      <xdr:nvSpPr>
        <xdr:cNvPr id="25" name="TextBox 24">
          <a:extLst>
            <a:ext uri="{FF2B5EF4-FFF2-40B4-BE49-F238E27FC236}">
              <a16:creationId xmlns:a16="http://schemas.microsoft.com/office/drawing/2014/main" id="{5ADEF96D-D75A-B742-7EFC-9ED8EFF32303}"/>
            </a:ext>
          </a:extLst>
        </xdr:cNvPr>
        <xdr:cNvSpPr txBox="1"/>
      </xdr:nvSpPr>
      <xdr:spPr>
        <a:xfrm>
          <a:off x="6248400" y="830580"/>
          <a:ext cx="1859280" cy="388620"/>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a:solidFill>
                <a:schemeClr val="bg2">
                  <a:lumMod val="10000"/>
                </a:schemeClr>
              </a:solidFill>
              <a:latin typeface="+mn-lt"/>
              <a:ea typeface="+mn-ea"/>
              <a:cs typeface="+mn-cs"/>
            </a:rPr>
            <a:t>Total Products</a:t>
          </a:r>
        </a:p>
      </xdr:txBody>
    </xdr:sp>
    <xdr:clientData/>
  </xdr:twoCellAnchor>
  <xdr:twoCellAnchor>
    <xdr:from>
      <xdr:col>13</xdr:col>
      <xdr:colOff>350078</xdr:colOff>
      <xdr:row>4</xdr:row>
      <xdr:rowOff>120374</xdr:rowOff>
    </xdr:from>
    <xdr:to>
      <xdr:col>16</xdr:col>
      <xdr:colOff>456758</xdr:colOff>
      <xdr:row>6</xdr:row>
      <xdr:rowOff>143234</xdr:rowOff>
    </xdr:to>
    <xdr:sp macro="" textlink="">
      <xdr:nvSpPr>
        <xdr:cNvPr id="26" name="TextBox 25">
          <a:extLst>
            <a:ext uri="{FF2B5EF4-FFF2-40B4-BE49-F238E27FC236}">
              <a16:creationId xmlns:a16="http://schemas.microsoft.com/office/drawing/2014/main" id="{3935658C-1174-8DDD-15FF-514D7255CAC5}"/>
            </a:ext>
          </a:extLst>
        </xdr:cNvPr>
        <xdr:cNvSpPr txBox="1"/>
      </xdr:nvSpPr>
      <xdr:spPr>
        <a:xfrm>
          <a:off x="8246165" y="871331"/>
          <a:ext cx="1928854" cy="398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i="0" u="none" strike="noStrike">
              <a:solidFill>
                <a:srgbClr val="000000"/>
              </a:solidFill>
              <a:latin typeface="Aptos Narrow"/>
              <a:ea typeface="+mn-ea"/>
              <a:cs typeface="+mn-cs"/>
            </a:rPr>
            <a:t>Total Purchased</a:t>
          </a:r>
        </a:p>
      </xdr:txBody>
    </xdr:sp>
    <xdr:clientData/>
  </xdr:twoCellAnchor>
  <xdr:twoCellAnchor>
    <xdr:from>
      <xdr:col>17</xdr:col>
      <xdr:colOff>429260</xdr:colOff>
      <xdr:row>4</xdr:row>
      <xdr:rowOff>136387</xdr:rowOff>
    </xdr:from>
    <xdr:to>
      <xdr:col>20</xdr:col>
      <xdr:colOff>276860</xdr:colOff>
      <xdr:row>6</xdr:row>
      <xdr:rowOff>159247</xdr:rowOff>
    </xdr:to>
    <xdr:sp macro="" textlink="">
      <xdr:nvSpPr>
        <xdr:cNvPr id="27" name="TextBox 26">
          <a:extLst>
            <a:ext uri="{FF2B5EF4-FFF2-40B4-BE49-F238E27FC236}">
              <a16:creationId xmlns:a16="http://schemas.microsoft.com/office/drawing/2014/main" id="{43178A83-5C86-EBE5-E53D-873A0E90FEE7}"/>
            </a:ext>
          </a:extLst>
        </xdr:cNvPr>
        <xdr:cNvSpPr txBox="1"/>
      </xdr:nvSpPr>
      <xdr:spPr>
        <a:xfrm>
          <a:off x="10754912" y="887344"/>
          <a:ext cx="1669774" cy="398338"/>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a:solidFill>
                <a:schemeClr val="bg2">
                  <a:lumMod val="10000"/>
                </a:schemeClr>
              </a:solidFill>
              <a:latin typeface="+mn-lt"/>
              <a:ea typeface="+mn-ea"/>
              <a:cs typeface="+mn-cs"/>
            </a:rPr>
            <a:t>Total Sold</a:t>
          </a:r>
        </a:p>
      </xdr:txBody>
    </xdr:sp>
    <xdr:clientData/>
  </xdr:twoCellAnchor>
  <xdr:twoCellAnchor>
    <xdr:from>
      <xdr:col>20</xdr:col>
      <xdr:colOff>496735</xdr:colOff>
      <xdr:row>4</xdr:row>
      <xdr:rowOff>166094</xdr:rowOff>
    </xdr:from>
    <xdr:to>
      <xdr:col>23</xdr:col>
      <xdr:colOff>344335</xdr:colOff>
      <xdr:row>7</xdr:row>
      <xdr:rowOff>1215</xdr:rowOff>
    </xdr:to>
    <xdr:sp macro="" textlink="">
      <xdr:nvSpPr>
        <xdr:cNvPr id="29" name="TextBox 28">
          <a:extLst>
            <a:ext uri="{FF2B5EF4-FFF2-40B4-BE49-F238E27FC236}">
              <a16:creationId xmlns:a16="http://schemas.microsoft.com/office/drawing/2014/main" id="{BF2884F0-251B-BA8A-30A3-6DAF9EDE9890}"/>
            </a:ext>
          </a:extLst>
        </xdr:cNvPr>
        <xdr:cNvSpPr txBox="1"/>
      </xdr:nvSpPr>
      <xdr:spPr>
        <a:xfrm>
          <a:off x="12644561" y="917051"/>
          <a:ext cx="1669774" cy="398338"/>
        </a:xfrm>
        <a:prstGeom prst="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a:solidFill>
                <a:schemeClr val="bg2">
                  <a:lumMod val="10000"/>
                </a:schemeClr>
              </a:solidFill>
              <a:latin typeface="+mn-lt"/>
              <a:ea typeface="+mn-ea"/>
              <a:cs typeface="+mn-cs"/>
            </a:rPr>
            <a:t>Low Stock Items</a:t>
          </a:r>
        </a:p>
      </xdr:txBody>
    </xdr:sp>
    <xdr:clientData/>
  </xdr:twoCellAnchor>
  <xdr:twoCellAnchor editAs="oneCell">
    <xdr:from>
      <xdr:col>0</xdr:col>
      <xdr:colOff>99060</xdr:colOff>
      <xdr:row>4</xdr:row>
      <xdr:rowOff>168480</xdr:rowOff>
    </xdr:from>
    <xdr:to>
      <xdr:col>2</xdr:col>
      <xdr:colOff>383310</xdr:colOff>
      <xdr:row>13</xdr:row>
      <xdr:rowOff>178560</xdr:rowOff>
    </xdr:to>
    <mc:AlternateContent xmlns:mc="http://schemas.openxmlformats.org/markup-compatibility/2006" xmlns:a14="http://schemas.microsoft.com/office/drawing/2010/main">
      <mc:Choice Requires="a14">
        <xdr:graphicFrame macro="">
          <xdr:nvGraphicFramePr>
            <xdr:cNvPr id="30" name="Warehouse">
              <a:extLst>
                <a:ext uri="{FF2B5EF4-FFF2-40B4-BE49-F238E27FC236}">
                  <a16:creationId xmlns:a16="http://schemas.microsoft.com/office/drawing/2014/main" id="{938AF0A9-0F54-4967-B4DB-BEE65CB016F7}"/>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99060" y="900000"/>
              <a:ext cx="150345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28</xdr:row>
      <xdr:rowOff>152400</xdr:rowOff>
    </xdr:from>
    <xdr:to>
      <xdr:col>2</xdr:col>
      <xdr:colOff>441960</xdr:colOff>
      <xdr:row>38</xdr:row>
      <xdr:rowOff>53340</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022FD5E7-8C28-4DB2-824A-1977D4691E4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820" y="5273040"/>
              <a:ext cx="157734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15</xdr:row>
      <xdr:rowOff>7621</xdr:rowOff>
    </xdr:from>
    <xdr:to>
      <xdr:col>2</xdr:col>
      <xdr:colOff>419100</xdr:colOff>
      <xdr:row>27</xdr:row>
      <xdr:rowOff>144781</xdr:rowOff>
    </xdr:to>
    <mc:AlternateContent xmlns:mc="http://schemas.openxmlformats.org/markup-compatibility/2006" xmlns:a14="http://schemas.microsoft.com/office/drawing/2010/main">
      <mc:Choice Requires="a14">
        <xdr:graphicFrame macro="">
          <xdr:nvGraphicFramePr>
            <xdr:cNvPr id="32" name="Supplier">
              <a:extLst>
                <a:ext uri="{FF2B5EF4-FFF2-40B4-BE49-F238E27FC236}">
                  <a16:creationId xmlns:a16="http://schemas.microsoft.com/office/drawing/2014/main" id="{A23FCE3F-34F2-42F9-B0C9-EE4642863DCB}"/>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83820" y="2750821"/>
              <a:ext cx="155448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495627</xdr:colOff>
      <xdr:row>8</xdr:row>
      <xdr:rowOff>110435</xdr:rowOff>
    </xdr:from>
    <xdr:to>
      <xdr:col>9</xdr:col>
      <xdr:colOff>465147</xdr:colOff>
      <xdr:row>22</xdr:row>
      <xdr:rowOff>88348</xdr:rowOff>
    </xdr:to>
    <xdr:sp macro="" textlink="">
      <xdr:nvSpPr>
        <xdr:cNvPr id="36" name="Rectangle: Rounded Corners 35">
          <a:extLst>
            <a:ext uri="{FF2B5EF4-FFF2-40B4-BE49-F238E27FC236}">
              <a16:creationId xmlns:a16="http://schemas.microsoft.com/office/drawing/2014/main" id="{09D45BE1-6EC7-4593-20B4-8780230EABDB}"/>
            </a:ext>
          </a:extLst>
        </xdr:cNvPr>
        <xdr:cNvSpPr/>
      </xdr:nvSpPr>
      <xdr:spPr>
        <a:xfrm>
          <a:off x="1710410" y="1612348"/>
          <a:ext cx="4221259" cy="2606261"/>
        </a:xfrm>
        <a:prstGeom prst="roundRect">
          <a:avLst>
            <a:gd name="adj" fmla="val 3421"/>
          </a:avLst>
        </a:prstGeom>
        <a:solidFill>
          <a:schemeClr val="tx2">
            <a:lumMod val="10000"/>
            <a:lumOff val="9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60140</xdr:colOff>
      <xdr:row>8</xdr:row>
      <xdr:rowOff>110435</xdr:rowOff>
    </xdr:from>
    <xdr:to>
      <xdr:col>23</xdr:col>
      <xdr:colOff>113854</xdr:colOff>
      <xdr:row>38</xdr:row>
      <xdr:rowOff>132522</xdr:rowOff>
    </xdr:to>
    <xdr:sp macro="" textlink="">
      <xdr:nvSpPr>
        <xdr:cNvPr id="37" name="Rectangle: Rounded Corners 36">
          <a:extLst>
            <a:ext uri="{FF2B5EF4-FFF2-40B4-BE49-F238E27FC236}">
              <a16:creationId xmlns:a16="http://schemas.microsoft.com/office/drawing/2014/main" id="{76FA1274-AB36-983F-FF8A-C982627B99C4}"/>
            </a:ext>
          </a:extLst>
        </xdr:cNvPr>
        <xdr:cNvSpPr/>
      </xdr:nvSpPr>
      <xdr:spPr>
        <a:xfrm>
          <a:off x="9778401" y="1612348"/>
          <a:ext cx="4305453" cy="5654261"/>
        </a:xfrm>
        <a:prstGeom prst="roundRect">
          <a:avLst>
            <a:gd name="adj" fmla="val 2903"/>
          </a:avLst>
        </a:prstGeom>
        <a:solidFill>
          <a:schemeClr val="tx2">
            <a:lumMod val="10000"/>
            <a:lumOff val="9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474869</xdr:colOff>
      <xdr:row>8</xdr:row>
      <xdr:rowOff>110435</xdr:rowOff>
    </xdr:from>
    <xdr:to>
      <xdr:col>16</xdr:col>
      <xdr:colOff>44173</xdr:colOff>
      <xdr:row>22</xdr:row>
      <xdr:rowOff>88348</xdr:rowOff>
    </xdr:to>
    <xdr:sp macro="" textlink="">
      <xdr:nvSpPr>
        <xdr:cNvPr id="38" name="Rectangle: Rounded Corners 37">
          <a:extLst>
            <a:ext uri="{FF2B5EF4-FFF2-40B4-BE49-F238E27FC236}">
              <a16:creationId xmlns:a16="http://schemas.microsoft.com/office/drawing/2014/main" id="{9BEFF7F0-16EB-7F4F-0FA6-140815062EEA}"/>
            </a:ext>
          </a:extLst>
        </xdr:cNvPr>
        <xdr:cNvSpPr/>
      </xdr:nvSpPr>
      <xdr:spPr>
        <a:xfrm>
          <a:off x="5941391" y="1612348"/>
          <a:ext cx="3821043" cy="2606261"/>
        </a:xfrm>
        <a:prstGeom prst="roundRect">
          <a:avLst>
            <a:gd name="adj" fmla="val 3940"/>
          </a:avLst>
        </a:prstGeom>
        <a:solidFill>
          <a:schemeClr val="tx2">
            <a:lumMod val="10000"/>
            <a:lumOff val="9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198782</xdr:colOff>
      <xdr:row>7</xdr:row>
      <xdr:rowOff>176697</xdr:rowOff>
    </xdr:from>
    <xdr:to>
      <xdr:col>16</xdr:col>
      <xdr:colOff>176696</xdr:colOff>
      <xdr:row>22</xdr:row>
      <xdr:rowOff>132522</xdr:rowOff>
    </xdr:to>
    <xdr:graphicFrame macro="">
      <xdr:nvGraphicFramePr>
        <xdr:cNvPr id="35" name="Chart 34">
          <a:extLst>
            <a:ext uri="{FF2B5EF4-FFF2-40B4-BE49-F238E27FC236}">
              <a16:creationId xmlns:a16="http://schemas.microsoft.com/office/drawing/2014/main" id="{EF48E647-6C3D-41D6-BB27-FE16CB8E2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530087</xdr:colOff>
      <xdr:row>9</xdr:row>
      <xdr:rowOff>165653</xdr:rowOff>
    </xdr:from>
    <xdr:to>
      <xdr:col>23</xdr:col>
      <xdr:colOff>430694</xdr:colOff>
      <xdr:row>40</xdr:row>
      <xdr:rowOff>121480</xdr:rowOff>
    </xdr:to>
    <xdr:graphicFrame macro="">
      <xdr:nvGraphicFramePr>
        <xdr:cNvPr id="33" name="Chart 32">
          <a:extLst>
            <a:ext uri="{FF2B5EF4-FFF2-40B4-BE49-F238E27FC236}">
              <a16:creationId xmlns:a16="http://schemas.microsoft.com/office/drawing/2014/main" id="{12E58B5E-FD31-401C-8269-600ADB931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397565</xdr:colOff>
      <xdr:row>22</xdr:row>
      <xdr:rowOff>121478</xdr:rowOff>
    </xdr:from>
    <xdr:to>
      <xdr:col>16</xdr:col>
      <xdr:colOff>77304</xdr:colOff>
      <xdr:row>40</xdr:row>
      <xdr:rowOff>91440</xdr:rowOff>
    </xdr:to>
    <xdr:graphicFrame macro="">
      <xdr:nvGraphicFramePr>
        <xdr:cNvPr id="34" name="Chart 33">
          <a:extLst>
            <a:ext uri="{FF2B5EF4-FFF2-40B4-BE49-F238E27FC236}">
              <a16:creationId xmlns:a16="http://schemas.microsoft.com/office/drawing/2014/main" id="{F7C2125A-2508-48EB-916A-F49FB4759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574261</xdr:colOff>
      <xdr:row>10</xdr:row>
      <xdr:rowOff>83820</xdr:rowOff>
    </xdr:from>
    <xdr:to>
      <xdr:col>9</xdr:col>
      <xdr:colOff>430695</xdr:colOff>
      <xdr:row>22</xdr:row>
      <xdr:rowOff>22085</xdr:rowOff>
    </xdr:to>
    <xdr:graphicFrame macro="">
      <xdr:nvGraphicFramePr>
        <xdr:cNvPr id="39" name="Chart 38">
          <a:extLst>
            <a:ext uri="{FF2B5EF4-FFF2-40B4-BE49-F238E27FC236}">
              <a16:creationId xmlns:a16="http://schemas.microsoft.com/office/drawing/2014/main" id="{54AB9DEF-BAD3-4444-8397-931181CEB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563217</xdr:colOff>
      <xdr:row>23</xdr:row>
      <xdr:rowOff>144779</xdr:rowOff>
    </xdr:from>
    <xdr:to>
      <xdr:col>10</xdr:col>
      <xdr:colOff>276087</xdr:colOff>
      <xdr:row>39</xdr:row>
      <xdr:rowOff>0</xdr:rowOff>
    </xdr:to>
    <xdr:graphicFrame macro="">
      <xdr:nvGraphicFramePr>
        <xdr:cNvPr id="40" name="Chart 39">
          <a:extLst>
            <a:ext uri="{FF2B5EF4-FFF2-40B4-BE49-F238E27FC236}">
              <a16:creationId xmlns:a16="http://schemas.microsoft.com/office/drawing/2014/main" id="{E3DACFF4-0407-488E-80EE-F02E83CA6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321388</xdr:colOff>
      <xdr:row>0</xdr:row>
      <xdr:rowOff>86523</xdr:rowOff>
    </xdr:from>
    <xdr:to>
      <xdr:col>22</xdr:col>
      <xdr:colOff>541129</xdr:colOff>
      <xdr:row>4</xdr:row>
      <xdr:rowOff>0</xdr:rowOff>
    </xdr:to>
    <mc:AlternateContent xmlns:mc="http://schemas.openxmlformats.org/markup-compatibility/2006" xmlns:a14="http://schemas.microsoft.com/office/drawing/2010/main">
      <mc:Choice Requires="a14">
        <xdr:graphicFrame macro="">
          <xdr:nvGraphicFramePr>
            <xdr:cNvPr id="44" name="Year">
              <a:extLst>
                <a:ext uri="{FF2B5EF4-FFF2-40B4-BE49-F238E27FC236}">
                  <a16:creationId xmlns:a16="http://schemas.microsoft.com/office/drawing/2014/main" id="{1F86CBF8-B768-4CCB-B8AF-5865E7CE19A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122988" y="86523"/>
              <a:ext cx="829341" cy="644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220868</xdr:colOff>
      <xdr:row>0</xdr:row>
      <xdr:rowOff>77304</xdr:rowOff>
    </xdr:from>
    <xdr:to>
      <xdr:col>21</xdr:col>
      <xdr:colOff>353392</xdr:colOff>
      <xdr:row>4</xdr:row>
      <xdr:rowOff>0</xdr:rowOff>
    </xdr:to>
    <mc:AlternateContent xmlns:mc="http://schemas.openxmlformats.org/markup-compatibility/2006" xmlns:a14="http://schemas.microsoft.com/office/drawing/2010/main">
      <mc:Choice Requires="a14">
        <xdr:graphicFrame macro="">
          <xdr:nvGraphicFramePr>
            <xdr:cNvPr id="45" name="Months">
              <a:extLst>
                <a:ext uri="{FF2B5EF4-FFF2-40B4-BE49-F238E27FC236}">
                  <a16:creationId xmlns:a16="http://schemas.microsoft.com/office/drawing/2014/main" id="{C97D5FDA-DA89-4859-A109-60E0ED3B33C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145668" y="77304"/>
              <a:ext cx="5009324" cy="654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342348</xdr:colOff>
      <xdr:row>0</xdr:row>
      <xdr:rowOff>88348</xdr:rowOff>
    </xdr:from>
    <xdr:to>
      <xdr:col>21</xdr:col>
      <xdr:colOff>342348</xdr:colOff>
      <xdr:row>3</xdr:row>
      <xdr:rowOff>165653</xdr:rowOff>
    </xdr:to>
    <xdr:cxnSp macro="">
      <xdr:nvCxnSpPr>
        <xdr:cNvPr id="47" name="Straight Connector 46">
          <a:extLst>
            <a:ext uri="{FF2B5EF4-FFF2-40B4-BE49-F238E27FC236}">
              <a16:creationId xmlns:a16="http://schemas.microsoft.com/office/drawing/2014/main" id="{F127DE78-4222-060B-0AFE-D7CF14052EE6}"/>
            </a:ext>
          </a:extLst>
        </xdr:cNvPr>
        <xdr:cNvCxnSpPr/>
      </xdr:nvCxnSpPr>
      <xdr:spPr>
        <a:xfrm>
          <a:off x="13097565" y="88348"/>
          <a:ext cx="0" cy="64052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265043</xdr:colOff>
      <xdr:row>5</xdr:row>
      <xdr:rowOff>165651</xdr:rowOff>
    </xdr:from>
    <xdr:to>
      <xdr:col>7</xdr:col>
      <xdr:colOff>342348</xdr:colOff>
      <xdr:row>8</xdr:row>
      <xdr:rowOff>132521</xdr:rowOff>
    </xdr:to>
    <xdr:sp macro="" textlink="Pivot!C18">
      <xdr:nvSpPr>
        <xdr:cNvPr id="53" name="TextBox 52">
          <a:extLst>
            <a:ext uri="{FF2B5EF4-FFF2-40B4-BE49-F238E27FC236}">
              <a16:creationId xmlns:a16="http://schemas.microsoft.com/office/drawing/2014/main" id="{716C62B3-B968-EBE6-8ED6-46BAC73A6124}"/>
            </a:ext>
          </a:extLst>
        </xdr:cNvPr>
        <xdr:cNvSpPr txBox="1"/>
      </xdr:nvSpPr>
      <xdr:spPr>
        <a:xfrm>
          <a:off x="2087217" y="1104347"/>
          <a:ext cx="2506870" cy="53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17A910-1285-4B24-B173-F44C248EDA1E}" type="TxLink">
            <a:rPr lang="en-US" sz="2400" b="1" i="0" u="none" strike="noStrike">
              <a:solidFill>
                <a:srgbClr val="000000"/>
              </a:solidFill>
              <a:latin typeface="Aptos Narrow"/>
            </a:rPr>
            <a:pPr/>
            <a:t>₹4465.5M</a:t>
          </a:fld>
          <a:endParaRPr lang="en-IN" sz="2400" b="1"/>
        </a:p>
      </xdr:txBody>
    </xdr:sp>
    <xdr:clientData/>
  </xdr:twoCellAnchor>
  <xdr:twoCellAnchor>
    <xdr:from>
      <xdr:col>17</xdr:col>
      <xdr:colOff>505790</xdr:colOff>
      <xdr:row>5</xdr:row>
      <xdr:rowOff>185529</xdr:rowOff>
    </xdr:from>
    <xdr:to>
      <xdr:col>20</xdr:col>
      <xdr:colOff>22087</xdr:colOff>
      <xdr:row>9</xdr:row>
      <xdr:rowOff>33131</xdr:rowOff>
    </xdr:to>
    <xdr:sp macro="" textlink="Pivot!C20">
      <xdr:nvSpPr>
        <xdr:cNvPr id="54" name="TextBox 53">
          <a:extLst>
            <a:ext uri="{FF2B5EF4-FFF2-40B4-BE49-F238E27FC236}">
              <a16:creationId xmlns:a16="http://schemas.microsoft.com/office/drawing/2014/main" id="{C6B017DA-93F5-B136-3DF1-6D13BEA75E63}"/>
            </a:ext>
          </a:extLst>
        </xdr:cNvPr>
        <xdr:cNvSpPr txBox="1"/>
      </xdr:nvSpPr>
      <xdr:spPr>
        <a:xfrm>
          <a:off x="10831442" y="1124225"/>
          <a:ext cx="1338471" cy="598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E12D50-32ED-4CC7-8149-D47B94A49F58}" type="TxLink">
            <a:rPr lang="en-US" sz="2400" b="1" i="0" u="none" strike="noStrike">
              <a:solidFill>
                <a:srgbClr val="000000"/>
              </a:solidFill>
              <a:latin typeface="Aptos Narrow"/>
              <a:ea typeface="+mn-ea"/>
              <a:cs typeface="+mn-cs"/>
            </a:rPr>
            <a:pPr marL="0" indent="0"/>
            <a:t>212.1K</a:t>
          </a:fld>
          <a:endParaRPr lang="en-IN" sz="2400" b="1" i="0" u="none" strike="noStrike">
            <a:solidFill>
              <a:srgbClr val="000000"/>
            </a:solidFill>
            <a:latin typeface="Aptos Narrow"/>
            <a:ea typeface="+mn-ea"/>
            <a:cs typeface="+mn-cs"/>
          </a:endParaRPr>
        </a:p>
      </xdr:txBody>
    </xdr:sp>
    <xdr:clientData/>
  </xdr:twoCellAnchor>
  <xdr:twoCellAnchor>
    <xdr:from>
      <xdr:col>14</xdr:col>
      <xdr:colOff>238539</xdr:colOff>
      <xdr:row>5</xdr:row>
      <xdr:rowOff>183321</xdr:rowOff>
    </xdr:from>
    <xdr:to>
      <xdr:col>16</xdr:col>
      <xdr:colOff>265043</xdr:colOff>
      <xdr:row>8</xdr:row>
      <xdr:rowOff>110435</xdr:rowOff>
    </xdr:to>
    <xdr:sp macro="" textlink="Pivot!C19">
      <xdr:nvSpPr>
        <xdr:cNvPr id="55" name="TextBox 54">
          <a:extLst>
            <a:ext uri="{FF2B5EF4-FFF2-40B4-BE49-F238E27FC236}">
              <a16:creationId xmlns:a16="http://schemas.microsoft.com/office/drawing/2014/main" id="{7E6822FD-0938-6455-0043-9DBAE41FC3A4}"/>
            </a:ext>
          </a:extLst>
        </xdr:cNvPr>
        <xdr:cNvSpPr txBox="1"/>
      </xdr:nvSpPr>
      <xdr:spPr>
        <a:xfrm>
          <a:off x="8742017" y="1122017"/>
          <a:ext cx="1241287" cy="49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221FB88-D8E5-4171-8EDE-FC6999B3C668}" type="TxLink">
            <a:rPr lang="en-US" sz="2400" b="1" i="0" u="none" strike="noStrike">
              <a:solidFill>
                <a:srgbClr val="000000"/>
              </a:solidFill>
              <a:latin typeface="Aptos Narrow"/>
              <a:ea typeface="+mn-ea"/>
              <a:cs typeface="+mn-cs"/>
            </a:rPr>
            <a:pPr marL="0" indent="0"/>
            <a:t>255.5K</a:t>
          </a:fld>
          <a:endParaRPr lang="en-IN" sz="2400" b="1" i="0" u="none" strike="noStrike">
            <a:solidFill>
              <a:srgbClr val="000000"/>
            </a:solidFill>
            <a:latin typeface="Aptos Narrow"/>
            <a:ea typeface="+mn-ea"/>
            <a:cs typeface="+mn-cs"/>
          </a:endParaRPr>
        </a:p>
      </xdr:txBody>
    </xdr:sp>
    <xdr:clientData/>
  </xdr:twoCellAnchor>
  <xdr:twoCellAnchor>
    <xdr:from>
      <xdr:col>11</xdr:col>
      <xdr:colOff>64162</xdr:colOff>
      <xdr:row>5</xdr:row>
      <xdr:rowOff>155601</xdr:rowOff>
    </xdr:from>
    <xdr:to>
      <xdr:col>12</xdr:col>
      <xdr:colOff>541019</xdr:colOff>
      <xdr:row>8</xdr:row>
      <xdr:rowOff>122471</xdr:rowOff>
    </xdr:to>
    <xdr:sp macro="" textlink="Pivot!C16">
      <xdr:nvSpPr>
        <xdr:cNvPr id="56" name="TextBox 55">
          <a:extLst>
            <a:ext uri="{FF2B5EF4-FFF2-40B4-BE49-F238E27FC236}">
              <a16:creationId xmlns:a16="http://schemas.microsoft.com/office/drawing/2014/main" id="{7DC1B760-83CD-CD4F-0129-A92AEBE1290E}"/>
            </a:ext>
          </a:extLst>
        </xdr:cNvPr>
        <xdr:cNvSpPr txBox="1"/>
      </xdr:nvSpPr>
      <xdr:spPr>
        <a:xfrm>
          <a:off x="6769762" y="1070001"/>
          <a:ext cx="1086457" cy="51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04BB63-9FC4-4657-A361-C0B0C2F430E3}" type="TxLink">
            <a:rPr lang="en-US" sz="2400" b="1" i="0" u="none" strike="noStrike">
              <a:solidFill>
                <a:srgbClr val="000000"/>
              </a:solidFill>
              <a:latin typeface="Aptos Narrow"/>
              <a:ea typeface="+mn-ea"/>
              <a:cs typeface="+mn-cs"/>
            </a:rPr>
            <a:pPr marL="0" indent="0"/>
            <a:t> 3,000 </a:t>
          </a:fld>
          <a:endParaRPr lang="en-IN" sz="2400" b="1" i="0" u="none" strike="noStrike">
            <a:solidFill>
              <a:srgbClr val="000000"/>
            </a:solidFill>
            <a:latin typeface="Aptos Narrow"/>
            <a:ea typeface="+mn-ea"/>
            <a:cs typeface="+mn-cs"/>
          </a:endParaRPr>
        </a:p>
      </xdr:txBody>
    </xdr:sp>
    <xdr:clientData/>
  </xdr:twoCellAnchor>
  <xdr:twoCellAnchor>
    <xdr:from>
      <xdr:col>7</xdr:col>
      <xdr:colOff>223078</xdr:colOff>
      <xdr:row>5</xdr:row>
      <xdr:rowOff>167860</xdr:rowOff>
    </xdr:from>
    <xdr:to>
      <xdr:col>9</xdr:col>
      <xdr:colOff>342348</xdr:colOff>
      <xdr:row>8</xdr:row>
      <xdr:rowOff>134730</xdr:rowOff>
    </xdr:to>
    <xdr:sp macro="" textlink="Pivot!C17">
      <xdr:nvSpPr>
        <xdr:cNvPr id="57" name="TextBox 56">
          <a:extLst>
            <a:ext uri="{FF2B5EF4-FFF2-40B4-BE49-F238E27FC236}">
              <a16:creationId xmlns:a16="http://schemas.microsoft.com/office/drawing/2014/main" id="{23DC7272-DE5B-02C3-C72B-0FCA76D7FD1F}"/>
            </a:ext>
          </a:extLst>
        </xdr:cNvPr>
        <xdr:cNvSpPr txBox="1"/>
      </xdr:nvSpPr>
      <xdr:spPr>
        <a:xfrm>
          <a:off x="4474817" y="1106556"/>
          <a:ext cx="1334053" cy="53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04B2D75-5559-4084-83D2-70CB67603044}" type="TxLink">
            <a:rPr lang="en-US" sz="2400" b="1" i="0" u="none" strike="noStrike">
              <a:solidFill>
                <a:srgbClr val="000000"/>
              </a:solidFill>
              <a:latin typeface="Aptos Narrow"/>
              <a:ea typeface="+mn-ea"/>
              <a:cs typeface="+mn-cs"/>
            </a:rPr>
            <a:pPr marL="0" indent="0"/>
            <a:t>462.2K</a:t>
          </a:fld>
          <a:endParaRPr lang="en-IN" sz="2400" b="1" i="0" u="none" strike="noStrike">
            <a:solidFill>
              <a:srgbClr val="000000"/>
            </a:solidFill>
            <a:latin typeface="Aptos Narrow"/>
            <a:ea typeface="+mn-ea"/>
            <a:cs typeface="+mn-cs"/>
          </a:endParaRPr>
        </a:p>
      </xdr:txBody>
    </xdr:sp>
    <xdr:clientData/>
  </xdr:twoCellAnchor>
  <xdr:twoCellAnchor>
    <xdr:from>
      <xdr:col>21</xdr:col>
      <xdr:colOff>265044</xdr:colOff>
      <xdr:row>5</xdr:row>
      <xdr:rowOff>180118</xdr:rowOff>
    </xdr:from>
    <xdr:to>
      <xdr:col>23</xdr:col>
      <xdr:colOff>22087</xdr:colOff>
      <xdr:row>8</xdr:row>
      <xdr:rowOff>154608</xdr:rowOff>
    </xdr:to>
    <xdr:sp macro="" textlink="Pivot!C21">
      <xdr:nvSpPr>
        <xdr:cNvPr id="58" name="TextBox 57">
          <a:extLst>
            <a:ext uri="{FF2B5EF4-FFF2-40B4-BE49-F238E27FC236}">
              <a16:creationId xmlns:a16="http://schemas.microsoft.com/office/drawing/2014/main" id="{F88E73D5-6524-8496-F16C-40592AA7C9A7}"/>
            </a:ext>
          </a:extLst>
        </xdr:cNvPr>
        <xdr:cNvSpPr txBox="1"/>
      </xdr:nvSpPr>
      <xdr:spPr>
        <a:xfrm>
          <a:off x="13020261" y="1118814"/>
          <a:ext cx="971826" cy="537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03988DC-93F9-470B-BFF9-2934C8F0AE5E}" type="TxLink">
            <a:rPr lang="en-US" sz="2400" b="1" i="0" u="none" strike="noStrike">
              <a:solidFill>
                <a:srgbClr val="000000"/>
              </a:solidFill>
              <a:latin typeface="Aptos Narrow"/>
              <a:ea typeface="+mn-ea"/>
              <a:cs typeface="+mn-cs"/>
            </a:rPr>
            <a:pPr marL="0" indent="0"/>
            <a:t>385</a:t>
          </a:fld>
          <a:endParaRPr lang="en-IN" sz="2400" b="1" i="0" u="none" strike="noStrike">
            <a:solidFill>
              <a:srgbClr val="000000"/>
            </a:solidFill>
            <a:latin typeface="Aptos Narrow"/>
            <a:ea typeface="+mn-ea"/>
            <a:cs typeface="+mn-cs"/>
          </a:endParaRPr>
        </a:p>
      </xdr:txBody>
    </xdr:sp>
    <xdr:clientData/>
  </xdr:twoCellAnchor>
  <xdr:twoCellAnchor>
    <xdr:from>
      <xdr:col>10</xdr:col>
      <xdr:colOff>566198</xdr:colOff>
      <xdr:row>8</xdr:row>
      <xdr:rowOff>152841</xdr:rowOff>
    </xdr:from>
    <xdr:to>
      <xdr:col>14</xdr:col>
      <xdr:colOff>426719</xdr:colOff>
      <xdr:row>10</xdr:row>
      <xdr:rowOff>175260</xdr:rowOff>
    </xdr:to>
    <xdr:sp macro="" textlink="Pivot!C19">
      <xdr:nvSpPr>
        <xdr:cNvPr id="59" name="TextBox 58">
          <a:extLst>
            <a:ext uri="{FF2B5EF4-FFF2-40B4-BE49-F238E27FC236}">
              <a16:creationId xmlns:a16="http://schemas.microsoft.com/office/drawing/2014/main" id="{2BCD9F8B-E365-2AF1-D74E-907BFFF102ED}"/>
            </a:ext>
          </a:extLst>
        </xdr:cNvPr>
        <xdr:cNvSpPr txBox="1"/>
      </xdr:nvSpPr>
      <xdr:spPr>
        <a:xfrm>
          <a:off x="6662198" y="1615881"/>
          <a:ext cx="2298921" cy="388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i="0" u="none" strike="noStrike">
              <a:solidFill>
                <a:srgbClr val="000000"/>
              </a:solidFill>
              <a:latin typeface="Aptos Narrow"/>
              <a:ea typeface="+mn-ea"/>
              <a:cs typeface="+mn-cs"/>
            </a:rPr>
            <a:t>Warehouse</a:t>
          </a:r>
          <a:r>
            <a:rPr lang="en-IN" sz="1600" b="1" i="0" u="none" strike="noStrike" baseline="0">
              <a:solidFill>
                <a:srgbClr val="000000"/>
              </a:solidFill>
              <a:latin typeface="Aptos Narrow"/>
              <a:ea typeface="+mn-ea"/>
              <a:cs typeface="+mn-cs"/>
            </a:rPr>
            <a:t>-wise Stock</a:t>
          </a:r>
          <a:endParaRPr lang="en-IN" sz="1600" b="1" i="0" u="none" strike="noStrike">
            <a:solidFill>
              <a:srgbClr val="000000"/>
            </a:solidFill>
            <a:latin typeface="Aptos Narrow"/>
            <a:ea typeface="+mn-ea"/>
            <a:cs typeface="+mn-cs"/>
          </a:endParaRPr>
        </a:p>
      </xdr:txBody>
    </xdr:sp>
    <xdr:clientData/>
  </xdr:twoCellAnchor>
  <xdr:twoCellAnchor>
    <xdr:from>
      <xdr:col>18</xdr:col>
      <xdr:colOff>322358</xdr:colOff>
      <xdr:row>9</xdr:row>
      <xdr:rowOff>441</xdr:rowOff>
    </xdr:from>
    <xdr:to>
      <xdr:col>22</xdr:col>
      <xdr:colOff>182879</xdr:colOff>
      <xdr:row>11</xdr:row>
      <xdr:rowOff>22860</xdr:rowOff>
    </xdr:to>
    <xdr:sp macro="" textlink="Pivot!C19">
      <xdr:nvSpPr>
        <xdr:cNvPr id="60" name="TextBox 59">
          <a:extLst>
            <a:ext uri="{FF2B5EF4-FFF2-40B4-BE49-F238E27FC236}">
              <a16:creationId xmlns:a16="http://schemas.microsoft.com/office/drawing/2014/main" id="{CCDE948B-63CA-B7E3-0C80-42D7FDCE7785}"/>
            </a:ext>
          </a:extLst>
        </xdr:cNvPr>
        <xdr:cNvSpPr txBox="1"/>
      </xdr:nvSpPr>
      <xdr:spPr>
        <a:xfrm>
          <a:off x="11295158" y="1646361"/>
          <a:ext cx="2298921" cy="388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i="0" u="none" strike="noStrike">
              <a:solidFill>
                <a:srgbClr val="000000"/>
              </a:solidFill>
              <a:latin typeface="Aptos Narrow"/>
              <a:ea typeface="+mn-ea"/>
              <a:cs typeface="+mn-cs"/>
            </a:rPr>
            <a:t>Low</a:t>
          </a:r>
          <a:r>
            <a:rPr lang="en-IN" sz="1600" b="1" i="0" u="none" strike="noStrike" baseline="0">
              <a:solidFill>
                <a:srgbClr val="000000"/>
              </a:solidFill>
              <a:latin typeface="Aptos Narrow"/>
              <a:ea typeface="+mn-ea"/>
              <a:cs typeface="+mn-cs"/>
            </a:rPr>
            <a:t> Stock Items</a:t>
          </a:r>
          <a:endParaRPr lang="en-IN" sz="1600" b="1" i="0" u="none" strike="noStrike">
            <a:solidFill>
              <a:srgbClr val="000000"/>
            </a:solidFill>
            <a:latin typeface="Aptos Narrow"/>
            <a:ea typeface="+mn-ea"/>
            <a:cs typeface="+mn-cs"/>
          </a:endParaRPr>
        </a:p>
      </xdr:txBody>
    </xdr:sp>
    <xdr:clientData/>
  </xdr:twoCellAnchor>
  <xdr:twoCellAnchor>
    <xdr:from>
      <xdr:col>4</xdr:col>
      <xdr:colOff>169958</xdr:colOff>
      <xdr:row>8</xdr:row>
      <xdr:rowOff>137601</xdr:rowOff>
    </xdr:from>
    <xdr:to>
      <xdr:col>8</xdr:col>
      <xdr:colOff>495300</xdr:colOff>
      <xdr:row>10</xdr:row>
      <xdr:rowOff>160020</xdr:rowOff>
    </xdr:to>
    <xdr:sp macro="" textlink="Pivot!C19">
      <xdr:nvSpPr>
        <xdr:cNvPr id="62" name="TextBox 61">
          <a:extLst>
            <a:ext uri="{FF2B5EF4-FFF2-40B4-BE49-F238E27FC236}">
              <a16:creationId xmlns:a16="http://schemas.microsoft.com/office/drawing/2014/main" id="{D5103B7F-9EF5-730F-9DCC-B96F94547296}"/>
            </a:ext>
          </a:extLst>
        </xdr:cNvPr>
        <xdr:cNvSpPr txBox="1"/>
      </xdr:nvSpPr>
      <xdr:spPr>
        <a:xfrm>
          <a:off x="2608358" y="1600641"/>
          <a:ext cx="2763742" cy="388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i="0" u="none" strike="noStrike">
              <a:solidFill>
                <a:srgbClr val="000000"/>
              </a:solidFill>
              <a:latin typeface="Aptos Narrow"/>
              <a:ea typeface="+mn-ea"/>
              <a:cs typeface="+mn-cs"/>
            </a:rPr>
            <a:t>Supplier-wise</a:t>
          </a:r>
          <a:r>
            <a:rPr lang="en-IN" sz="1600" b="1" i="0" u="none" strike="noStrike" baseline="0">
              <a:solidFill>
                <a:srgbClr val="000000"/>
              </a:solidFill>
              <a:latin typeface="Aptos Narrow"/>
              <a:ea typeface="+mn-ea"/>
              <a:cs typeface="+mn-cs"/>
            </a:rPr>
            <a:t> Purchased</a:t>
          </a:r>
          <a:endParaRPr lang="en-IN" sz="1600" b="1" i="0" u="none" strike="noStrike">
            <a:solidFill>
              <a:srgbClr val="000000"/>
            </a:solidFill>
            <a:latin typeface="Aptos Narrow"/>
            <a:ea typeface="+mn-ea"/>
            <a:cs typeface="+mn-cs"/>
          </a:endParaRPr>
        </a:p>
      </xdr:txBody>
    </xdr:sp>
    <xdr:clientData/>
  </xdr:twoCellAnchor>
  <xdr:twoCellAnchor>
    <xdr:from>
      <xdr:col>5</xdr:col>
      <xdr:colOff>17558</xdr:colOff>
      <xdr:row>22</xdr:row>
      <xdr:rowOff>152841</xdr:rowOff>
    </xdr:from>
    <xdr:to>
      <xdr:col>9</xdr:col>
      <xdr:colOff>342900</xdr:colOff>
      <xdr:row>24</xdr:row>
      <xdr:rowOff>175260</xdr:rowOff>
    </xdr:to>
    <xdr:sp macro="" textlink="Pivot!C19">
      <xdr:nvSpPr>
        <xdr:cNvPr id="63" name="TextBox 62">
          <a:extLst>
            <a:ext uri="{FF2B5EF4-FFF2-40B4-BE49-F238E27FC236}">
              <a16:creationId xmlns:a16="http://schemas.microsoft.com/office/drawing/2014/main" id="{45AA0077-AD33-EF14-CD9F-68F1A4B2B706}"/>
            </a:ext>
          </a:extLst>
        </xdr:cNvPr>
        <xdr:cNvSpPr txBox="1"/>
      </xdr:nvSpPr>
      <xdr:spPr>
        <a:xfrm>
          <a:off x="3065558" y="4176201"/>
          <a:ext cx="2763742" cy="388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t>Purchase vs Sales</a:t>
          </a:r>
          <a:endParaRPr lang="en-IN" sz="1600" b="1" i="0" u="none" strike="noStrike">
            <a:solidFill>
              <a:srgbClr val="000000"/>
            </a:solidFill>
            <a:latin typeface="Aptos Narrow"/>
            <a:ea typeface="+mn-ea"/>
            <a:cs typeface="+mn-cs"/>
          </a:endParaRPr>
        </a:p>
      </xdr:txBody>
    </xdr:sp>
    <xdr:clientData/>
  </xdr:twoCellAnchor>
  <xdr:twoCellAnchor>
    <xdr:from>
      <xdr:col>10</xdr:col>
      <xdr:colOff>520478</xdr:colOff>
      <xdr:row>22</xdr:row>
      <xdr:rowOff>168081</xdr:rowOff>
    </xdr:from>
    <xdr:to>
      <xdr:col>15</xdr:col>
      <xdr:colOff>236220</xdr:colOff>
      <xdr:row>25</xdr:row>
      <xdr:rowOff>7620</xdr:rowOff>
    </xdr:to>
    <xdr:sp macro="" textlink="Pivot!C19">
      <xdr:nvSpPr>
        <xdr:cNvPr id="64" name="TextBox 63">
          <a:extLst>
            <a:ext uri="{FF2B5EF4-FFF2-40B4-BE49-F238E27FC236}">
              <a16:creationId xmlns:a16="http://schemas.microsoft.com/office/drawing/2014/main" id="{D8DAE0F0-EF25-FCFF-10F3-CAC363EE77DE}"/>
            </a:ext>
          </a:extLst>
        </xdr:cNvPr>
        <xdr:cNvSpPr txBox="1"/>
      </xdr:nvSpPr>
      <xdr:spPr>
        <a:xfrm>
          <a:off x="6616478" y="4191441"/>
          <a:ext cx="2763742" cy="388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t>Category-wise Stock Value</a:t>
          </a:r>
          <a:endParaRPr lang="en-IN" sz="1600" b="1" i="0" u="none" strike="noStrike">
            <a:solidFill>
              <a:srgbClr val="000000"/>
            </a:solidFill>
            <a:latin typeface="Aptos Narrow"/>
            <a:ea typeface="+mn-ea"/>
            <a:cs typeface="+mn-cs"/>
          </a:endParaRPr>
        </a:p>
      </xdr:txBody>
    </xdr:sp>
    <xdr:clientData/>
  </xdr:twoCellAnchor>
  <xdr:twoCellAnchor>
    <xdr:from>
      <xdr:col>20</xdr:col>
      <xdr:colOff>144780</xdr:colOff>
      <xdr:row>5</xdr:row>
      <xdr:rowOff>45720</xdr:rowOff>
    </xdr:from>
    <xdr:to>
      <xdr:col>21</xdr:col>
      <xdr:colOff>68580</xdr:colOff>
      <xdr:row>8</xdr:row>
      <xdr:rowOff>45720</xdr:rowOff>
    </xdr:to>
    <xdr:sp macro="" textlink="">
      <xdr:nvSpPr>
        <xdr:cNvPr id="1025" name="Text Box 1">
          <a:extLst>
            <a:ext uri="{FF2B5EF4-FFF2-40B4-BE49-F238E27FC236}">
              <a16:creationId xmlns:a16="http://schemas.microsoft.com/office/drawing/2014/main" id="{625ECFB1-036A-B0E1-D2CA-07E17FF6E38F}"/>
            </a:ext>
          </a:extLst>
        </xdr:cNvPr>
        <xdr:cNvSpPr txBox="1">
          <a:spLocks noChangeArrowheads="1"/>
        </xdr:cNvSpPr>
      </xdr:nvSpPr>
      <xdr:spPr bwMode="auto">
        <a:xfrm>
          <a:off x="12336780" y="960120"/>
          <a:ext cx="533400" cy="54864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2400" b="0" i="0" u="none" strike="noStrike" baseline="0">
              <a:solidFill>
                <a:srgbClr val="000000"/>
              </a:solidFill>
              <a:latin typeface="Aptos Narrow"/>
            </a:rPr>
            <a:t>⚠️</a:t>
          </a:r>
        </a:p>
      </xdr:txBody>
    </xdr:sp>
    <xdr:clientData/>
  </xdr:twoCellAnchor>
  <xdr:twoCellAnchor editAs="oneCell">
    <xdr:from>
      <xdr:col>16</xdr:col>
      <xdr:colOff>519391</xdr:colOff>
      <xdr:row>5</xdr:row>
      <xdr:rowOff>15401</xdr:rowOff>
    </xdr:from>
    <xdr:to>
      <xdr:col>17</xdr:col>
      <xdr:colOff>512011</xdr:colOff>
      <xdr:row>8</xdr:row>
      <xdr:rowOff>68981</xdr:rowOff>
    </xdr:to>
    <xdr:pic>
      <xdr:nvPicPr>
        <xdr:cNvPr id="66" name="Graphic 65" descr="Bullseye with solid fill">
          <a:extLst>
            <a:ext uri="{FF2B5EF4-FFF2-40B4-BE49-F238E27FC236}">
              <a16:creationId xmlns:a16="http://schemas.microsoft.com/office/drawing/2014/main" id="{10F3B4AC-189F-D134-7283-5D706EA2F92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1809625">
          <a:off x="10272991" y="929801"/>
          <a:ext cx="602220" cy="602220"/>
        </a:xfrm>
        <a:prstGeom prst="rect">
          <a:avLst/>
        </a:prstGeom>
      </xdr:spPr>
    </xdr:pic>
    <xdr:clientData/>
  </xdr:twoCellAnchor>
  <xdr:twoCellAnchor editAs="oneCell">
    <xdr:from>
      <xdr:col>2</xdr:col>
      <xdr:colOff>508140</xdr:colOff>
      <xdr:row>5</xdr:row>
      <xdr:rowOff>12840</xdr:rowOff>
    </xdr:from>
    <xdr:to>
      <xdr:col>3</xdr:col>
      <xdr:colOff>312420</xdr:colOff>
      <xdr:row>8</xdr:row>
      <xdr:rowOff>22860</xdr:rowOff>
    </xdr:to>
    <xdr:pic>
      <xdr:nvPicPr>
        <xdr:cNvPr id="68" name="Graphic 67" descr="Money with solid fill">
          <a:extLst>
            <a:ext uri="{FF2B5EF4-FFF2-40B4-BE49-F238E27FC236}">
              <a16:creationId xmlns:a16="http://schemas.microsoft.com/office/drawing/2014/main" id="{B37AAF58-63CC-4B29-2534-0BCD9974A1F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16200000">
          <a:off x="1654950" y="999630"/>
          <a:ext cx="558660" cy="413880"/>
        </a:xfrm>
        <a:prstGeom prst="rect">
          <a:avLst/>
        </a:prstGeom>
      </xdr:spPr>
    </xdr:pic>
    <xdr:clientData/>
  </xdr:twoCellAnchor>
  <xdr:twoCellAnchor editAs="oneCell">
    <xdr:from>
      <xdr:col>13</xdr:col>
      <xdr:colOff>302820</xdr:colOff>
      <xdr:row>6</xdr:row>
      <xdr:rowOff>38382</xdr:rowOff>
    </xdr:from>
    <xdr:to>
      <xdr:col>14</xdr:col>
      <xdr:colOff>167640</xdr:colOff>
      <xdr:row>8</xdr:row>
      <xdr:rowOff>91440</xdr:rowOff>
    </xdr:to>
    <xdr:pic>
      <xdr:nvPicPr>
        <xdr:cNvPr id="74" name="Graphic 73" descr="Presentation with bar chart with solid fill">
          <a:extLst>
            <a:ext uri="{FF2B5EF4-FFF2-40B4-BE49-F238E27FC236}">
              <a16:creationId xmlns:a16="http://schemas.microsoft.com/office/drawing/2014/main" id="{AA218048-CF36-8E2A-5EFC-818EDE8F62C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227620" y="1135662"/>
          <a:ext cx="474420" cy="418818"/>
        </a:xfrm>
        <a:prstGeom prst="rect">
          <a:avLst/>
        </a:prstGeom>
      </xdr:spPr>
    </xdr:pic>
    <xdr:clientData/>
  </xdr:twoCellAnchor>
  <xdr:twoCellAnchor editAs="oneCell">
    <xdr:from>
      <xdr:col>6</xdr:col>
      <xdr:colOff>371820</xdr:colOff>
      <xdr:row>5</xdr:row>
      <xdr:rowOff>48518</xdr:rowOff>
    </xdr:from>
    <xdr:to>
      <xdr:col>7</xdr:col>
      <xdr:colOff>190500</xdr:colOff>
      <xdr:row>7</xdr:row>
      <xdr:rowOff>160020</xdr:rowOff>
    </xdr:to>
    <xdr:pic>
      <xdr:nvPicPr>
        <xdr:cNvPr id="80" name="Graphic 79" descr="Upward trend with solid fill">
          <a:extLst>
            <a:ext uri="{FF2B5EF4-FFF2-40B4-BE49-F238E27FC236}">
              <a16:creationId xmlns:a16="http://schemas.microsoft.com/office/drawing/2014/main" id="{1D814886-D70C-6D42-85AB-D0EE11F2448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029420" y="962918"/>
          <a:ext cx="428280" cy="477262"/>
        </a:xfrm>
        <a:prstGeom prst="rect">
          <a:avLst/>
        </a:prstGeom>
      </xdr:spPr>
    </xdr:pic>
    <xdr:clientData/>
  </xdr:twoCellAnchor>
  <xdr:twoCellAnchor editAs="oneCell">
    <xdr:from>
      <xdr:col>10</xdr:col>
      <xdr:colOff>60960</xdr:colOff>
      <xdr:row>5</xdr:row>
      <xdr:rowOff>106680</xdr:rowOff>
    </xdr:from>
    <xdr:to>
      <xdr:col>11</xdr:col>
      <xdr:colOff>45720</xdr:colOff>
      <xdr:row>8</xdr:row>
      <xdr:rowOff>129540</xdr:rowOff>
    </xdr:to>
    <xdr:pic>
      <xdr:nvPicPr>
        <xdr:cNvPr id="82" name="Graphic 81" descr="Books on shelf with solid fill">
          <a:extLst>
            <a:ext uri="{FF2B5EF4-FFF2-40B4-BE49-F238E27FC236}">
              <a16:creationId xmlns:a16="http://schemas.microsoft.com/office/drawing/2014/main" id="{692D2C9C-FC37-8C57-3FCC-3BAE092D3F9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56960" y="1021080"/>
          <a:ext cx="594360" cy="571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ayan" refreshedDate="46294.781738541664" createdVersion="8" refreshedVersion="8" minRefreshableVersion="3" recordCount="3000" xr:uid="{3F391A03-CB69-4C23-BAC7-96795E933EC0}">
  <cacheSource type="worksheet">
    <worksheetSource name="Inventory_Data"/>
  </cacheSource>
  <cacheFields count="20">
    <cacheField name="Date" numFmtId="164">
      <sharedItems containsSemiMixedTypes="0" containsNonDate="0" containsDate="1" containsString="0" minDate="2025-01-01T00:00:00" maxDate="2026-09-29T00:00:00" count="634">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sharedItems>
      <fieldGroup par="19"/>
    </cacheField>
    <cacheField name="Product" numFmtId="0">
      <sharedItems count="20">
        <s v="Coffee Maker"/>
        <s v="Office Desk"/>
        <s v="Microwave"/>
        <s v="Marker Pack"/>
        <s v="Bookshelf"/>
        <s v="Mouse"/>
        <s v="Keyboard"/>
        <s v="Printer Paper"/>
        <s v="Printer"/>
        <s v="Water Dispenser"/>
        <s v="Stapler"/>
        <s v="Notebook"/>
        <s v="Office Chair"/>
        <s v="Monitor"/>
        <s v="Headphones"/>
        <s v="Pen Pack"/>
        <s v="Filing Cabinet"/>
        <s v="Calculator"/>
        <s v="Laptop"/>
        <s v="Air Cooler"/>
      </sharedItems>
    </cacheField>
    <cacheField name="Category" numFmtId="0">
      <sharedItems count="4">
        <s v="Appliances"/>
        <s v="Furniture"/>
        <s v="Stationery"/>
        <s v="Electronics"/>
      </sharedItems>
    </cacheField>
    <cacheField name="Warehouse" numFmtId="0">
      <sharedItems count="4">
        <s v="North Warehouse"/>
        <s v="West Warehouse"/>
        <s v="South Warehouse"/>
        <s v="East Warehouse"/>
      </sharedItems>
    </cacheField>
    <cacheField name="Supplier" numFmtId="0">
      <sharedItems count="6">
        <s v="Global Supplies"/>
        <s v="TechSource Ltd"/>
        <s v="Metro Traders"/>
        <s v="Prime Distributors"/>
        <s v="Apex Suppliers"/>
        <s v="OfficeMart"/>
      </sharedItems>
    </cacheField>
    <cacheField name="Opening Stock" numFmtId="0">
      <sharedItems containsSemiMixedTypes="0" containsString="0" containsNumber="1" containsInteger="1" minValue="10" maxValue="499"/>
    </cacheField>
    <cacheField name="Purchase Qty" numFmtId="0">
      <sharedItems containsSemiMixedTypes="0" containsString="0" containsNumber="1" containsInteger="1" minValue="5" maxValue="299"/>
    </cacheField>
    <cacheField name="Sales Qty" numFmtId="0">
      <sharedItems containsSemiMixedTypes="0" containsString="0" containsNumber="1" containsInteger="1" minValue="2" maxValue="279"/>
    </cacheField>
    <cacheField name="Closing Stock" numFmtId="0">
      <sharedItems containsSemiMixedTypes="0" containsString="0" containsNumber="1" containsInteger="1" minValue="0" maxValue="722"/>
    </cacheField>
    <cacheField name="Reorder Level" numFmtId="0">
      <sharedItems containsSemiMixedTypes="0" containsString="0" containsNumber="1" containsInteger="1" minValue="10" maxValue="149"/>
    </cacheField>
    <cacheField name="Unit Cost" numFmtId="0">
      <sharedItems containsSemiMixedTypes="0" containsString="0" containsNumber="1" containsInteger="1" minValue="20" maxValue="64959"/>
    </cacheField>
    <cacheField name="Stock Value" numFmtId="0">
      <sharedItems containsSemiMixedTypes="0" containsString="0" containsNumber="1" containsInteger="1" minValue="0" maxValue="15713544"/>
    </cacheField>
    <cacheField name="Stock diff" numFmtId="0">
      <sharedItems containsSemiMixedTypes="0" containsString="0" containsNumber="1" containsInteger="1" minValue="0" maxValue="0"/>
    </cacheField>
    <cacheField name="Purchased Val" numFmtId="0">
      <sharedItems containsSemiMixedTypes="0" containsString="0" containsNumber="1" containsInteger="1" minValue="1216" maxValue="7375295"/>
    </cacheField>
    <cacheField name="Stock status" numFmtId="0">
      <sharedItems count="2">
        <s v="In Stock"/>
        <s v="Low Stock"/>
      </sharedItems>
    </cacheField>
    <cacheField name="Months" numFmtId="0">
      <sharedItems count="12">
        <s v="Jan"/>
        <s v="Feb"/>
        <s v="Mar"/>
        <s v="Apr"/>
        <s v="May"/>
        <s v="Jun"/>
        <s v="Jul"/>
        <s v="Aug"/>
        <s v="Sep"/>
        <s v="Oct"/>
        <s v="Nov"/>
        <s v="Dec"/>
      </sharedItems>
    </cacheField>
    <cacheField name="Year" numFmtId="0">
      <sharedItems count="2">
        <s v="2025"/>
        <s v="2026"/>
      </sharedItems>
    </cacheField>
    <cacheField name="Months (Date)" numFmtId="0" databaseField="0">
      <fieldGroup base="0">
        <rangePr groupBy="months" startDate="2025-01-01T00:00:00" endDate="2026-09-29T00:00:00"/>
        <groupItems count="14">
          <s v="&lt;01-01-2025"/>
          <s v="Jan"/>
          <s v="Feb"/>
          <s v="Mar"/>
          <s v="Apr"/>
          <s v="May"/>
          <s v="Jun"/>
          <s v="Jul"/>
          <s v="Aug"/>
          <s v="Sep"/>
          <s v="Oct"/>
          <s v="Nov"/>
          <s v="Dec"/>
          <s v="&gt;29-09-2026"/>
        </groupItems>
      </fieldGroup>
    </cacheField>
    <cacheField name="Quarters (Date)" numFmtId="0" databaseField="0">
      <fieldGroup base="0">
        <rangePr groupBy="quarters" startDate="2025-01-01T00:00:00" endDate="2026-09-29T00:00:00"/>
        <groupItems count="6">
          <s v="&lt;01-01-2025"/>
          <s v="Qtr1"/>
          <s v="Qtr2"/>
          <s v="Qtr3"/>
          <s v="Qtr4"/>
          <s v="&gt;29-09-2026"/>
        </groupItems>
      </fieldGroup>
    </cacheField>
    <cacheField name="Years (Date)" numFmtId="0" databaseField="0">
      <fieldGroup base="0">
        <rangePr groupBy="years" startDate="2025-01-01T00:00:00" endDate="2026-09-29T00:00:00"/>
        <groupItems count="4">
          <s v="&lt;01-01-2025"/>
          <s v="2025"/>
          <s v="2026"/>
          <s v="&gt;29-09-2026"/>
        </groupItems>
      </fieldGroup>
    </cacheField>
  </cacheFields>
  <extLst>
    <ext xmlns:x14="http://schemas.microsoft.com/office/spreadsheetml/2009/9/main" uri="{725AE2AE-9491-48be-B2B4-4EB974FC3084}">
      <x14:pivotCacheDefinition pivotCacheId="589715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n v="24"/>
    <n v="76"/>
    <n v="58"/>
    <n v="42"/>
    <n v="32"/>
    <n v="4756"/>
    <n v="199752"/>
    <n v="0"/>
    <n v="361456"/>
    <x v="0"/>
    <x v="0"/>
    <x v="0"/>
  </r>
  <r>
    <x v="0"/>
    <x v="1"/>
    <x v="1"/>
    <x v="0"/>
    <x v="1"/>
    <n v="12"/>
    <n v="17"/>
    <n v="29"/>
    <n v="0"/>
    <n v="26"/>
    <n v="2004"/>
    <n v="0"/>
    <n v="0"/>
    <n v="34068"/>
    <x v="1"/>
    <x v="0"/>
    <x v="0"/>
  </r>
  <r>
    <x v="0"/>
    <x v="2"/>
    <x v="0"/>
    <x v="0"/>
    <x v="2"/>
    <n v="48"/>
    <n v="66"/>
    <n v="17"/>
    <n v="97"/>
    <n v="16"/>
    <n v="16408"/>
    <n v="1591576"/>
    <n v="0"/>
    <n v="1082928"/>
    <x v="0"/>
    <x v="0"/>
    <x v="0"/>
  </r>
  <r>
    <x v="0"/>
    <x v="3"/>
    <x v="2"/>
    <x v="1"/>
    <x v="3"/>
    <n v="268"/>
    <n v="259"/>
    <n v="181"/>
    <n v="346"/>
    <n v="90"/>
    <n v="1130"/>
    <n v="390980"/>
    <n v="0"/>
    <n v="292670"/>
    <x v="0"/>
    <x v="0"/>
    <x v="0"/>
  </r>
  <r>
    <x v="0"/>
    <x v="4"/>
    <x v="1"/>
    <x v="1"/>
    <x v="3"/>
    <n v="71"/>
    <n v="16"/>
    <n v="39"/>
    <n v="48"/>
    <n v="22"/>
    <n v="22455"/>
    <n v="1077840"/>
    <n v="0"/>
    <n v="359280"/>
    <x v="0"/>
    <x v="0"/>
    <x v="0"/>
  </r>
  <r>
    <x v="0"/>
    <x v="2"/>
    <x v="0"/>
    <x v="2"/>
    <x v="0"/>
    <n v="19"/>
    <n v="67"/>
    <n v="37"/>
    <n v="49"/>
    <n v="28"/>
    <n v="12284"/>
    <n v="601916"/>
    <n v="0"/>
    <n v="823028"/>
    <x v="0"/>
    <x v="0"/>
    <x v="0"/>
  </r>
  <r>
    <x v="0"/>
    <x v="5"/>
    <x v="3"/>
    <x v="1"/>
    <x v="4"/>
    <n v="42"/>
    <n v="73"/>
    <n v="32"/>
    <n v="83"/>
    <n v="23"/>
    <n v="50447"/>
    <n v="4187101"/>
    <n v="0"/>
    <n v="3682631"/>
    <x v="0"/>
    <x v="0"/>
    <x v="0"/>
  </r>
  <r>
    <x v="0"/>
    <x v="3"/>
    <x v="2"/>
    <x v="0"/>
    <x v="0"/>
    <n v="210"/>
    <n v="273"/>
    <n v="260"/>
    <n v="223"/>
    <n v="113"/>
    <n v="898"/>
    <n v="200254"/>
    <n v="0"/>
    <n v="245154"/>
    <x v="0"/>
    <x v="0"/>
    <x v="0"/>
  </r>
  <r>
    <x v="0"/>
    <x v="4"/>
    <x v="1"/>
    <x v="1"/>
    <x v="0"/>
    <n v="81"/>
    <n v="52"/>
    <n v="14"/>
    <n v="119"/>
    <n v="21"/>
    <n v="24080"/>
    <n v="2865520"/>
    <n v="0"/>
    <n v="1252160"/>
    <x v="0"/>
    <x v="0"/>
    <x v="0"/>
  </r>
  <r>
    <x v="0"/>
    <x v="1"/>
    <x v="1"/>
    <x v="0"/>
    <x v="4"/>
    <n v="28"/>
    <n v="35"/>
    <n v="17"/>
    <n v="46"/>
    <n v="25"/>
    <n v="15465"/>
    <n v="711390"/>
    <n v="0"/>
    <n v="541275"/>
    <x v="0"/>
    <x v="0"/>
    <x v="0"/>
  </r>
  <r>
    <x v="1"/>
    <x v="6"/>
    <x v="3"/>
    <x v="2"/>
    <x v="0"/>
    <n v="169"/>
    <n v="80"/>
    <n v="8"/>
    <n v="241"/>
    <n v="57"/>
    <n v="30992"/>
    <n v="7469072"/>
    <n v="0"/>
    <n v="2479360"/>
    <x v="0"/>
    <x v="0"/>
    <x v="0"/>
  </r>
  <r>
    <x v="1"/>
    <x v="7"/>
    <x v="2"/>
    <x v="2"/>
    <x v="3"/>
    <n v="59"/>
    <n v="154"/>
    <n v="90"/>
    <n v="123"/>
    <n v="61"/>
    <n v="504"/>
    <n v="61992"/>
    <n v="0"/>
    <n v="77616"/>
    <x v="0"/>
    <x v="0"/>
    <x v="0"/>
  </r>
  <r>
    <x v="1"/>
    <x v="8"/>
    <x v="3"/>
    <x v="1"/>
    <x v="2"/>
    <n v="132"/>
    <n v="59"/>
    <n v="69"/>
    <n v="122"/>
    <n v="39"/>
    <n v="16267"/>
    <n v="1984574"/>
    <n v="0"/>
    <n v="959753"/>
    <x v="0"/>
    <x v="0"/>
    <x v="0"/>
  </r>
  <r>
    <x v="1"/>
    <x v="9"/>
    <x v="0"/>
    <x v="1"/>
    <x v="0"/>
    <n v="20"/>
    <n v="58"/>
    <n v="44"/>
    <n v="34"/>
    <n v="32"/>
    <n v="8689"/>
    <n v="295426"/>
    <n v="0"/>
    <n v="503962"/>
    <x v="0"/>
    <x v="0"/>
    <x v="0"/>
  </r>
  <r>
    <x v="1"/>
    <x v="3"/>
    <x v="2"/>
    <x v="1"/>
    <x v="5"/>
    <n v="261"/>
    <n v="97"/>
    <n v="137"/>
    <n v="221"/>
    <n v="73"/>
    <n v="352"/>
    <n v="77792"/>
    <n v="0"/>
    <n v="34144"/>
    <x v="0"/>
    <x v="0"/>
    <x v="0"/>
  </r>
  <r>
    <x v="2"/>
    <x v="10"/>
    <x v="2"/>
    <x v="1"/>
    <x v="2"/>
    <n v="62"/>
    <n v="191"/>
    <n v="253"/>
    <n v="0"/>
    <n v="58"/>
    <n v="102"/>
    <n v="0"/>
    <n v="0"/>
    <n v="19482"/>
    <x v="1"/>
    <x v="0"/>
    <x v="0"/>
  </r>
  <r>
    <x v="2"/>
    <x v="5"/>
    <x v="3"/>
    <x v="1"/>
    <x v="3"/>
    <n v="82"/>
    <n v="117"/>
    <n v="68"/>
    <n v="131"/>
    <n v="56"/>
    <n v="25309"/>
    <n v="3315479"/>
    <n v="0"/>
    <n v="2961153"/>
    <x v="0"/>
    <x v="0"/>
    <x v="0"/>
  </r>
  <r>
    <x v="2"/>
    <x v="11"/>
    <x v="2"/>
    <x v="3"/>
    <x v="4"/>
    <n v="134"/>
    <n v="146"/>
    <n v="230"/>
    <n v="50"/>
    <n v="74"/>
    <n v="1197"/>
    <n v="59850"/>
    <n v="0"/>
    <n v="174762"/>
    <x v="1"/>
    <x v="0"/>
    <x v="0"/>
  </r>
  <r>
    <x v="2"/>
    <x v="12"/>
    <x v="1"/>
    <x v="1"/>
    <x v="4"/>
    <n v="73"/>
    <n v="33"/>
    <n v="12"/>
    <n v="94"/>
    <n v="15"/>
    <n v="7740"/>
    <n v="727560"/>
    <n v="0"/>
    <n v="255420"/>
    <x v="0"/>
    <x v="0"/>
    <x v="0"/>
  </r>
  <r>
    <x v="3"/>
    <x v="4"/>
    <x v="1"/>
    <x v="1"/>
    <x v="4"/>
    <n v="27"/>
    <n v="20"/>
    <n v="41"/>
    <n v="6"/>
    <n v="21"/>
    <n v="8948"/>
    <n v="53688"/>
    <n v="0"/>
    <n v="178960"/>
    <x v="1"/>
    <x v="0"/>
    <x v="0"/>
  </r>
  <r>
    <x v="3"/>
    <x v="13"/>
    <x v="3"/>
    <x v="0"/>
    <x v="5"/>
    <n v="86"/>
    <n v="43"/>
    <n v="61"/>
    <n v="68"/>
    <n v="42"/>
    <n v="27856"/>
    <n v="1894208"/>
    <n v="0"/>
    <n v="1197808"/>
    <x v="0"/>
    <x v="0"/>
    <x v="0"/>
  </r>
  <r>
    <x v="3"/>
    <x v="12"/>
    <x v="1"/>
    <x v="0"/>
    <x v="5"/>
    <n v="19"/>
    <n v="43"/>
    <n v="25"/>
    <n v="37"/>
    <n v="29"/>
    <n v="23532"/>
    <n v="870684"/>
    <n v="0"/>
    <n v="1011876"/>
    <x v="0"/>
    <x v="0"/>
    <x v="0"/>
  </r>
  <r>
    <x v="3"/>
    <x v="7"/>
    <x v="2"/>
    <x v="1"/>
    <x v="4"/>
    <n v="216"/>
    <n v="233"/>
    <n v="203"/>
    <n v="246"/>
    <n v="127"/>
    <n v="254"/>
    <n v="62484"/>
    <n v="0"/>
    <n v="59182"/>
    <x v="0"/>
    <x v="0"/>
    <x v="0"/>
  </r>
  <r>
    <x v="3"/>
    <x v="0"/>
    <x v="0"/>
    <x v="1"/>
    <x v="0"/>
    <n v="37"/>
    <n v="29"/>
    <n v="43"/>
    <n v="23"/>
    <n v="35"/>
    <n v="1301"/>
    <n v="29923"/>
    <n v="0"/>
    <n v="37729"/>
    <x v="1"/>
    <x v="0"/>
    <x v="0"/>
  </r>
  <r>
    <x v="4"/>
    <x v="9"/>
    <x v="0"/>
    <x v="3"/>
    <x v="2"/>
    <n v="47"/>
    <n v="69"/>
    <n v="20"/>
    <n v="96"/>
    <n v="29"/>
    <n v="9115"/>
    <n v="875040"/>
    <n v="0"/>
    <n v="628935"/>
    <x v="0"/>
    <x v="0"/>
    <x v="0"/>
  </r>
  <r>
    <x v="5"/>
    <x v="13"/>
    <x v="3"/>
    <x v="3"/>
    <x v="4"/>
    <n v="168"/>
    <n v="86"/>
    <n v="93"/>
    <n v="161"/>
    <n v="58"/>
    <n v="1465"/>
    <n v="235865"/>
    <n v="0"/>
    <n v="125990"/>
    <x v="0"/>
    <x v="0"/>
    <x v="0"/>
  </r>
  <r>
    <x v="5"/>
    <x v="11"/>
    <x v="2"/>
    <x v="3"/>
    <x v="4"/>
    <n v="382"/>
    <n v="287"/>
    <n v="220"/>
    <n v="449"/>
    <n v="110"/>
    <n v="70"/>
    <n v="31430"/>
    <n v="0"/>
    <n v="20090"/>
    <x v="0"/>
    <x v="0"/>
    <x v="0"/>
  </r>
  <r>
    <x v="6"/>
    <x v="0"/>
    <x v="0"/>
    <x v="3"/>
    <x v="2"/>
    <n v="41"/>
    <n v="14"/>
    <n v="36"/>
    <n v="19"/>
    <n v="39"/>
    <n v="7391"/>
    <n v="140429"/>
    <n v="0"/>
    <n v="103474"/>
    <x v="1"/>
    <x v="0"/>
    <x v="0"/>
  </r>
  <r>
    <x v="6"/>
    <x v="1"/>
    <x v="1"/>
    <x v="0"/>
    <x v="2"/>
    <n v="99"/>
    <n v="17"/>
    <n v="17"/>
    <n v="99"/>
    <n v="25"/>
    <n v="24416"/>
    <n v="2417184"/>
    <n v="0"/>
    <n v="415072"/>
    <x v="0"/>
    <x v="0"/>
    <x v="0"/>
  </r>
  <r>
    <x v="6"/>
    <x v="1"/>
    <x v="1"/>
    <x v="0"/>
    <x v="4"/>
    <n v="80"/>
    <n v="31"/>
    <n v="25"/>
    <n v="86"/>
    <n v="18"/>
    <n v="4206"/>
    <n v="361716"/>
    <n v="0"/>
    <n v="130386"/>
    <x v="0"/>
    <x v="0"/>
    <x v="0"/>
  </r>
  <r>
    <x v="6"/>
    <x v="14"/>
    <x v="3"/>
    <x v="3"/>
    <x v="2"/>
    <n v="23"/>
    <n v="112"/>
    <n v="9"/>
    <n v="126"/>
    <n v="34"/>
    <n v="20138"/>
    <n v="2537388"/>
    <n v="0"/>
    <n v="2255456"/>
    <x v="0"/>
    <x v="0"/>
    <x v="0"/>
  </r>
  <r>
    <x v="7"/>
    <x v="9"/>
    <x v="0"/>
    <x v="3"/>
    <x v="2"/>
    <n v="79"/>
    <n v="61"/>
    <n v="57"/>
    <n v="83"/>
    <n v="37"/>
    <n v="14995"/>
    <n v="1244585"/>
    <n v="0"/>
    <n v="914695"/>
    <x v="0"/>
    <x v="0"/>
    <x v="0"/>
  </r>
  <r>
    <x v="7"/>
    <x v="15"/>
    <x v="2"/>
    <x v="0"/>
    <x v="2"/>
    <n v="382"/>
    <n v="229"/>
    <n v="96"/>
    <n v="515"/>
    <n v="50"/>
    <n v="62"/>
    <n v="31930"/>
    <n v="0"/>
    <n v="14198"/>
    <x v="0"/>
    <x v="0"/>
    <x v="0"/>
  </r>
  <r>
    <x v="7"/>
    <x v="6"/>
    <x v="3"/>
    <x v="1"/>
    <x v="1"/>
    <n v="59"/>
    <n v="63"/>
    <n v="18"/>
    <n v="104"/>
    <n v="49"/>
    <n v="60890"/>
    <n v="6332560"/>
    <n v="0"/>
    <n v="3836070"/>
    <x v="0"/>
    <x v="0"/>
    <x v="0"/>
  </r>
  <r>
    <x v="7"/>
    <x v="8"/>
    <x v="3"/>
    <x v="3"/>
    <x v="3"/>
    <n v="28"/>
    <n v="24"/>
    <n v="11"/>
    <n v="41"/>
    <n v="27"/>
    <n v="39423"/>
    <n v="1616343"/>
    <n v="0"/>
    <n v="946152"/>
    <x v="0"/>
    <x v="0"/>
    <x v="0"/>
  </r>
  <r>
    <x v="7"/>
    <x v="13"/>
    <x v="3"/>
    <x v="1"/>
    <x v="1"/>
    <n v="64"/>
    <n v="96"/>
    <n v="51"/>
    <n v="109"/>
    <n v="31"/>
    <n v="35015"/>
    <n v="3816635"/>
    <n v="0"/>
    <n v="3361440"/>
    <x v="0"/>
    <x v="0"/>
    <x v="0"/>
  </r>
  <r>
    <x v="7"/>
    <x v="11"/>
    <x v="2"/>
    <x v="1"/>
    <x v="1"/>
    <n v="492"/>
    <n v="56"/>
    <n v="155"/>
    <n v="393"/>
    <n v="135"/>
    <n v="1134"/>
    <n v="445662"/>
    <n v="0"/>
    <n v="63504"/>
    <x v="0"/>
    <x v="0"/>
    <x v="0"/>
  </r>
  <r>
    <x v="7"/>
    <x v="6"/>
    <x v="3"/>
    <x v="3"/>
    <x v="1"/>
    <n v="81"/>
    <n v="16"/>
    <n v="11"/>
    <n v="86"/>
    <n v="38"/>
    <n v="1959"/>
    <n v="168474"/>
    <n v="0"/>
    <n v="31344"/>
    <x v="0"/>
    <x v="0"/>
    <x v="0"/>
  </r>
  <r>
    <x v="7"/>
    <x v="2"/>
    <x v="0"/>
    <x v="3"/>
    <x v="0"/>
    <n v="94"/>
    <n v="45"/>
    <n v="5"/>
    <n v="134"/>
    <n v="19"/>
    <n v="4507"/>
    <n v="603938"/>
    <n v="0"/>
    <n v="202815"/>
    <x v="0"/>
    <x v="0"/>
    <x v="0"/>
  </r>
  <r>
    <x v="8"/>
    <x v="14"/>
    <x v="3"/>
    <x v="1"/>
    <x v="0"/>
    <n v="47"/>
    <n v="20"/>
    <n v="67"/>
    <n v="0"/>
    <n v="34"/>
    <n v="21111"/>
    <n v="0"/>
    <n v="0"/>
    <n v="422220"/>
    <x v="1"/>
    <x v="0"/>
    <x v="0"/>
  </r>
  <r>
    <x v="8"/>
    <x v="11"/>
    <x v="2"/>
    <x v="2"/>
    <x v="0"/>
    <n v="123"/>
    <n v="282"/>
    <n v="239"/>
    <n v="166"/>
    <n v="58"/>
    <n v="189"/>
    <n v="31374"/>
    <n v="0"/>
    <n v="53298"/>
    <x v="0"/>
    <x v="0"/>
    <x v="0"/>
  </r>
  <r>
    <x v="9"/>
    <x v="16"/>
    <x v="1"/>
    <x v="2"/>
    <x v="1"/>
    <n v="97"/>
    <n v="46"/>
    <n v="9"/>
    <n v="134"/>
    <n v="25"/>
    <n v="7795"/>
    <n v="1044530"/>
    <n v="0"/>
    <n v="358570"/>
    <x v="0"/>
    <x v="0"/>
    <x v="0"/>
  </r>
  <r>
    <x v="9"/>
    <x v="8"/>
    <x v="3"/>
    <x v="3"/>
    <x v="2"/>
    <n v="139"/>
    <n v="113"/>
    <n v="17"/>
    <n v="235"/>
    <n v="24"/>
    <n v="49148"/>
    <n v="11549780"/>
    <n v="0"/>
    <n v="5553724"/>
    <x v="0"/>
    <x v="0"/>
    <x v="0"/>
  </r>
  <r>
    <x v="9"/>
    <x v="6"/>
    <x v="3"/>
    <x v="0"/>
    <x v="4"/>
    <n v="65"/>
    <n v="112"/>
    <n v="62"/>
    <n v="115"/>
    <n v="54"/>
    <n v="50756"/>
    <n v="5836940"/>
    <n v="0"/>
    <n v="5684672"/>
    <x v="0"/>
    <x v="0"/>
    <x v="0"/>
  </r>
  <r>
    <x v="10"/>
    <x v="0"/>
    <x v="0"/>
    <x v="3"/>
    <x v="1"/>
    <n v="116"/>
    <n v="45"/>
    <n v="64"/>
    <n v="97"/>
    <n v="34"/>
    <n v="16173"/>
    <n v="1568781"/>
    <n v="0"/>
    <n v="727785"/>
    <x v="0"/>
    <x v="0"/>
    <x v="0"/>
  </r>
  <r>
    <x v="10"/>
    <x v="3"/>
    <x v="2"/>
    <x v="1"/>
    <x v="0"/>
    <n v="119"/>
    <n v="285"/>
    <n v="228"/>
    <n v="176"/>
    <n v="52"/>
    <n v="428"/>
    <n v="75328"/>
    <n v="0"/>
    <n v="121980"/>
    <x v="0"/>
    <x v="0"/>
    <x v="0"/>
  </r>
  <r>
    <x v="10"/>
    <x v="14"/>
    <x v="3"/>
    <x v="3"/>
    <x v="4"/>
    <n v="31"/>
    <n v="119"/>
    <n v="9"/>
    <n v="141"/>
    <n v="39"/>
    <n v="28063"/>
    <n v="3956883"/>
    <n v="0"/>
    <n v="3339497"/>
    <x v="0"/>
    <x v="0"/>
    <x v="0"/>
  </r>
  <r>
    <x v="11"/>
    <x v="12"/>
    <x v="1"/>
    <x v="1"/>
    <x v="1"/>
    <n v="25"/>
    <n v="20"/>
    <n v="44"/>
    <n v="1"/>
    <n v="13"/>
    <n v="24400"/>
    <n v="24400"/>
    <n v="0"/>
    <n v="488000"/>
    <x v="1"/>
    <x v="0"/>
    <x v="0"/>
  </r>
  <r>
    <x v="11"/>
    <x v="12"/>
    <x v="1"/>
    <x v="3"/>
    <x v="2"/>
    <n v="31"/>
    <n v="17"/>
    <n v="29"/>
    <n v="19"/>
    <n v="21"/>
    <n v="15209"/>
    <n v="288971"/>
    <n v="0"/>
    <n v="258553"/>
    <x v="1"/>
    <x v="0"/>
    <x v="0"/>
  </r>
  <r>
    <x v="11"/>
    <x v="11"/>
    <x v="2"/>
    <x v="2"/>
    <x v="4"/>
    <n v="136"/>
    <n v="41"/>
    <n v="34"/>
    <n v="143"/>
    <n v="68"/>
    <n v="141"/>
    <n v="20163"/>
    <n v="0"/>
    <n v="5781"/>
    <x v="0"/>
    <x v="0"/>
    <x v="0"/>
  </r>
  <r>
    <x v="11"/>
    <x v="12"/>
    <x v="1"/>
    <x v="0"/>
    <x v="5"/>
    <n v="88"/>
    <n v="35"/>
    <n v="16"/>
    <n v="107"/>
    <n v="13"/>
    <n v="18271"/>
    <n v="1954997"/>
    <n v="0"/>
    <n v="639485"/>
    <x v="0"/>
    <x v="0"/>
    <x v="0"/>
  </r>
  <r>
    <x v="12"/>
    <x v="12"/>
    <x v="1"/>
    <x v="3"/>
    <x v="4"/>
    <n v="10"/>
    <n v="6"/>
    <n v="16"/>
    <n v="0"/>
    <n v="10"/>
    <n v="8008"/>
    <n v="0"/>
    <n v="0"/>
    <n v="48048"/>
    <x v="1"/>
    <x v="0"/>
    <x v="0"/>
  </r>
  <r>
    <x v="12"/>
    <x v="15"/>
    <x v="2"/>
    <x v="1"/>
    <x v="5"/>
    <n v="391"/>
    <n v="64"/>
    <n v="56"/>
    <n v="399"/>
    <n v="67"/>
    <n v="424"/>
    <n v="169176"/>
    <n v="0"/>
    <n v="27136"/>
    <x v="0"/>
    <x v="0"/>
    <x v="0"/>
  </r>
  <r>
    <x v="12"/>
    <x v="9"/>
    <x v="0"/>
    <x v="2"/>
    <x v="1"/>
    <n v="70"/>
    <n v="22"/>
    <n v="56"/>
    <n v="36"/>
    <n v="19"/>
    <n v="6956"/>
    <n v="250416"/>
    <n v="0"/>
    <n v="153032"/>
    <x v="0"/>
    <x v="0"/>
    <x v="0"/>
  </r>
  <r>
    <x v="12"/>
    <x v="12"/>
    <x v="1"/>
    <x v="1"/>
    <x v="4"/>
    <n v="90"/>
    <n v="19"/>
    <n v="37"/>
    <n v="72"/>
    <n v="24"/>
    <n v="5815"/>
    <n v="418680"/>
    <n v="0"/>
    <n v="110485"/>
    <x v="0"/>
    <x v="0"/>
    <x v="0"/>
  </r>
  <r>
    <x v="12"/>
    <x v="11"/>
    <x v="2"/>
    <x v="2"/>
    <x v="5"/>
    <n v="186"/>
    <n v="202"/>
    <n v="239"/>
    <n v="149"/>
    <n v="92"/>
    <n v="262"/>
    <n v="39038"/>
    <n v="0"/>
    <n v="52924"/>
    <x v="0"/>
    <x v="0"/>
    <x v="0"/>
  </r>
  <r>
    <x v="13"/>
    <x v="11"/>
    <x v="2"/>
    <x v="0"/>
    <x v="5"/>
    <n v="130"/>
    <n v="236"/>
    <n v="213"/>
    <n v="153"/>
    <n v="83"/>
    <n v="42"/>
    <n v="6426"/>
    <n v="0"/>
    <n v="9912"/>
    <x v="0"/>
    <x v="0"/>
    <x v="0"/>
  </r>
  <r>
    <x v="13"/>
    <x v="7"/>
    <x v="2"/>
    <x v="3"/>
    <x v="4"/>
    <n v="148"/>
    <n v="62"/>
    <n v="210"/>
    <n v="0"/>
    <n v="68"/>
    <n v="53"/>
    <n v="0"/>
    <n v="0"/>
    <n v="3286"/>
    <x v="1"/>
    <x v="0"/>
    <x v="0"/>
  </r>
  <r>
    <x v="13"/>
    <x v="15"/>
    <x v="2"/>
    <x v="1"/>
    <x v="4"/>
    <n v="420"/>
    <n v="141"/>
    <n v="237"/>
    <n v="324"/>
    <n v="90"/>
    <n v="504"/>
    <n v="163296"/>
    <n v="0"/>
    <n v="71064"/>
    <x v="0"/>
    <x v="0"/>
    <x v="0"/>
  </r>
  <r>
    <x v="13"/>
    <x v="5"/>
    <x v="3"/>
    <x v="0"/>
    <x v="0"/>
    <n v="28"/>
    <n v="99"/>
    <n v="57"/>
    <n v="70"/>
    <n v="39"/>
    <n v="56993"/>
    <n v="3989510"/>
    <n v="0"/>
    <n v="5642307"/>
    <x v="0"/>
    <x v="0"/>
    <x v="0"/>
  </r>
  <r>
    <x v="13"/>
    <x v="0"/>
    <x v="0"/>
    <x v="2"/>
    <x v="2"/>
    <n v="38"/>
    <n v="61"/>
    <n v="52"/>
    <n v="47"/>
    <n v="19"/>
    <n v="11764"/>
    <n v="552908"/>
    <n v="0"/>
    <n v="717604"/>
    <x v="0"/>
    <x v="0"/>
    <x v="0"/>
  </r>
  <r>
    <x v="13"/>
    <x v="10"/>
    <x v="2"/>
    <x v="2"/>
    <x v="5"/>
    <n v="406"/>
    <n v="135"/>
    <n v="84"/>
    <n v="457"/>
    <n v="145"/>
    <n v="213"/>
    <n v="97341"/>
    <n v="0"/>
    <n v="28755"/>
    <x v="0"/>
    <x v="0"/>
    <x v="0"/>
  </r>
  <r>
    <x v="13"/>
    <x v="10"/>
    <x v="2"/>
    <x v="0"/>
    <x v="5"/>
    <n v="183"/>
    <n v="105"/>
    <n v="93"/>
    <n v="195"/>
    <n v="79"/>
    <n v="689"/>
    <n v="134355"/>
    <n v="0"/>
    <n v="72345"/>
    <x v="0"/>
    <x v="0"/>
    <x v="0"/>
  </r>
  <r>
    <x v="13"/>
    <x v="17"/>
    <x v="2"/>
    <x v="0"/>
    <x v="1"/>
    <n v="408"/>
    <n v="272"/>
    <n v="154"/>
    <n v="526"/>
    <n v="80"/>
    <n v="910"/>
    <n v="478660"/>
    <n v="0"/>
    <n v="247520"/>
    <x v="0"/>
    <x v="0"/>
    <x v="0"/>
  </r>
  <r>
    <x v="14"/>
    <x v="4"/>
    <x v="1"/>
    <x v="2"/>
    <x v="4"/>
    <n v="57"/>
    <n v="15"/>
    <n v="35"/>
    <n v="37"/>
    <n v="12"/>
    <n v="24441"/>
    <n v="904317"/>
    <n v="0"/>
    <n v="366615"/>
    <x v="0"/>
    <x v="0"/>
    <x v="0"/>
  </r>
  <r>
    <x v="14"/>
    <x v="18"/>
    <x v="3"/>
    <x v="2"/>
    <x v="4"/>
    <n v="80"/>
    <n v="30"/>
    <n v="50"/>
    <n v="60"/>
    <n v="25"/>
    <n v="27876"/>
    <n v="1672560"/>
    <n v="0"/>
    <n v="836280"/>
    <x v="0"/>
    <x v="0"/>
    <x v="0"/>
  </r>
  <r>
    <x v="15"/>
    <x v="16"/>
    <x v="1"/>
    <x v="1"/>
    <x v="3"/>
    <n v="10"/>
    <n v="49"/>
    <n v="22"/>
    <n v="37"/>
    <n v="22"/>
    <n v="18553"/>
    <n v="686461"/>
    <n v="0"/>
    <n v="909097"/>
    <x v="0"/>
    <x v="0"/>
    <x v="0"/>
  </r>
  <r>
    <x v="15"/>
    <x v="7"/>
    <x v="2"/>
    <x v="3"/>
    <x v="2"/>
    <n v="246"/>
    <n v="287"/>
    <n v="253"/>
    <n v="280"/>
    <n v="103"/>
    <n v="124"/>
    <n v="34720"/>
    <n v="0"/>
    <n v="35588"/>
    <x v="0"/>
    <x v="0"/>
    <x v="0"/>
  </r>
  <r>
    <x v="15"/>
    <x v="17"/>
    <x v="2"/>
    <x v="3"/>
    <x v="3"/>
    <n v="473"/>
    <n v="41"/>
    <n v="250"/>
    <n v="264"/>
    <n v="99"/>
    <n v="40"/>
    <n v="10560"/>
    <n v="0"/>
    <n v="1640"/>
    <x v="0"/>
    <x v="0"/>
    <x v="0"/>
  </r>
  <r>
    <x v="15"/>
    <x v="19"/>
    <x v="0"/>
    <x v="1"/>
    <x v="3"/>
    <n v="35"/>
    <n v="46"/>
    <n v="56"/>
    <n v="25"/>
    <n v="32"/>
    <n v="5249"/>
    <n v="131225"/>
    <n v="0"/>
    <n v="241454"/>
    <x v="1"/>
    <x v="0"/>
    <x v="0"/>
  </r>
  <r>
    <x v="15"/>
    <x v="9"/>
    <x v="0"/>
    <x v="1"/>
    <x v="0"/>
    <n v="90"/>
    <n v="43"/>
    <n v="27"/>
    <n v="106"/>
    <n v="38"/>
    <n v="9833"/>
    <n v="1042298"/>
    <n v="0"/>
    <n v="422819"/>
    <x v="0"/>
    <x v="0"/>
    <x v="0"/>
  </r>
  <r>
    <x v="15"/>
    <x v="14"/>
    <x v="3"/>
    <x v="3"/>
    <x v="2"/>
    <n v="130"/>
    <n v="113"/>
    <n v="77"/>
    <n v="166"/>
    <n v="53"/>
    <n v="17290"/>
    <n v="2870140"/>
    <n v="0"/>
    <n v="1953770"/>
    <x v="0"/>
    <x v="0"/>
    <x v="0"/>
  </r>
  <r>
    <x v="15"/>
    <x v="7"/>
    <x v="2"/>
    <x v="3"/>
    <x v="2"/>
    <n v="473"/>
    <n v="238"/>
    <n v="167"/>
    <n v="544"/>
    <n v="137"/>
    <n v="77"/>
    <n v="41888"/>
    <n v="0"/>
    <n v="18326"/>
    <x v="0"/>
    <x v="0"/>
    <x v="0"/>
  </r>
  <r>
    <x v="15"/>
    <x v="7"/>
    <x v="2"/>
    <x v="0"/>
    <x v="2"/>
    <n v="345"/>
    <n v="135"/>
    <n v="113"/>
    <n v="367"/>
    <n v="67"/>
    <n v="380"/>
    <n v="139460"/>
    <n v="0"/>
    <n v="51300"/>
    <x v="0"/>
    <x v="0"/>
    <x v="0"/>
  </r>
  <r>
    <x v="16"/>
    <x v="3"/>
    <x v="2"/>
    <x v="3"/>
    <x v="3"/>
    <n v="182"/>
    <n v="177"/>
    <n v="241"/>
    <n v="118"/>
    <n v="149"/>
    <n v="385"/>
    <n v="45430"/>
    <n v="0"/>
    <n v="68145"/>
    <x v="1"/>
    <x v="0"/>
    <x v="0"/>
  </r>
  <r>
    <x v="16"/>
    <x v="5"/>
    <x v="3"/>
    <x v="1"/>
    <x v="5"/>
    <n v="92"/>
    <n v="21"/>
    <n v="90"/>
    <n v="23"/>
    <n v="31"/>
    <n v="35090"/>
    <n v="807070"/>
    <n v="0"/>
    <n v="736890"/>
    <x v="1"/>
    <x v="0"/>
    <x v="0"/>
  </r>
  <r>
    <x v="16"/>
    <x v="0"/>
    <x v="0"/>
    <x v="1"/>
    <x v="1"/>
    <n v="88"/>
    <n v="22"/>
    <n v="47"/>
    <n v="63"/>
    <n v="38"/>
    <n v="7945"/>
    <n v="500535"/>
    <n v="0"/>
    <n v="174790"/>
    <x v="0"/>
    <x v="0"/>
    <x v="0"/>
  </r>
  <r>
    <x v="16"/>
    <x v="9"/>
    <x v="0"/>
    <x v="0"/>
    <x v="1"/>
    <n v="33"/>
    <n v="74"/>
    <n v="37"/>
    <n v="70"/>
    <n v="16"/>
    <n v="9504"/>
    <n v="665280"/>
    <n v="0"/>
    <n v="703296"/>
    <x v="0"/>
    <x v="0"/>
    <x v="0"/>
  </r>
  <r>
    <x v="16"/>
    <x v="5"/>
    <x v="3"/>
    <x v="0"/>
    <x v="2"/>
    <n v="66"/>
    <n v="71"/>
    <n v="54"/>
    <n v="83"/>
    <n v="23"/>
    <n v="26442"/>
    <n v="2194686"/>
    <n v="0"/>
    <n v="1877382"/>
    <x v="0"/>
    <x v="0"/>
    <x v="0"/>
  </r>
  <r>
    <x v="17"/>
    <x v="8"/>
    <x v="3"/>
    <x v="2"/>
    <x v="0"/>
    <n v="113"/>
    <n v="31"/>
    <n v="37"/>
    <n v="107"/>
    <n v="51"/>
    <n v="42480"/>
    <n v="4545360"/>
    <n v="0"/>
    <n v="1316880"/>
    <x v="0"/>
    <x v="0"/>
    <x v="0"/>
  </r>
  <r>
    <x v="17"/>
    <x v="19"/>
    <x v="0"/>
    <x v="1"/>
    <x v="2"/>
    <n v="36"/>
    <n v="60"/>
    <n v="19"/>
    <n v="77"/>
    <n v="39"/>
    <n v="4321"/>
    <n v="332717"/>
    <n v="0"/>
    <n v="259260"/>
    <x v="0"/>
    <x v="0"/>
    <x v="0"/>
  </r>
  <r>
    <x v="17"/>
    <x v="8"/>
    <x v="3"/>
    <x v="0"/>
    <x v="5"/>
    <n v="83"/>
    <n v="115"/>
    <n v="78"/>
    <n v="120"/>
    <n v="36"/>
    <n v="64133"/>
    <n v="7695960"/>
    <n v="0"/>
    <n v="7375295"/>
    <x v="0"/>
    <x v="0"/>
    <x v="0"/>
  </r>
  <r>
    <x v="17"/>
    <x v="18"/>
    <x v="3"/>
    <x v="2"/>
    <x v="4"/>
    <n v="62"/>
    <n v="59"/>
    <n v="7"/>
    <n v="114"/>
    <n v="46"/>
    <n v="11783"/>
    <n v="1343262"/>
    <n v="0"/>
    <n v="695197"/>
    <x v="0"/>
    <x v="0"/>
    <x v="0"/>
  </r>
  <r>
    <x v="17"/>
    <x v="4"/>
    <x v="1"/>
    <x v="3"/>
    <x v="2"/>
    <n v="56"/>
    <n v="36"/>
    <n v="31"/>
    <n v="61"/>
    <n v="18"/>
    <n v="23935"/>
    <n v="1460035"/>
    <n v="0"/>
    <n v="861660"/>
    <x v="0"/>
    <x v="0"/>
    <x v="0"/>
  </r>
  <r>
    <x v="17"/>
    <x v="1"/>
    <x v="1"/>
    <x v="2"/>
    <x v="3"/>
    <n v="68"/>
    <n v="31"/>
    <n v="17"/>
    <n v="82"/>
    <n v="17"/>
    <n v="14565"/>
    <n v="1194330"/>
    <n v="0"/>
    <n v="451515"/>
    <x v="0"/>
    <x v="0"/>
    <x v="0"/>
  </r>
  <r>
    <x v="17"/>
    <x v="4"/>
    <x v="1"/>
    <x v="1"/>
    <x v="4"/>
    <n v="36"/>
    <n v="28"/>
    <n v="30"/>
    <n v="34"/>
    <n v="27"/>
    <n v="4555"/>
    <n v="154870"/>
    <n v="0"/>
    <n v="127540"/>
    <x v="0"/>
    <x v="0"/>
    <x v="0"/>
  </r>
  <r>
    <x v="18"/>
    <x v="9"/>
    <x v="0"/>
    <x v="1"/>
    <x v="1"/>
    <n v="100"/>
    <n v="73"/>
    <n v="61"/>
    <n v="112"/>
    <n v="29"/>
    <n v="12953"/>
    <n v="1450736"/>
    <n v="0"/>
    <n v="945569"/>
    <x v="0"/>
    <x v="0"/>
    <x v="0"/>
  </r>
  <r>
    <x v="18"/>
    <x v="5"/>
    <x v="3"/>
    <x v="2"/>
    <x v="2"/>
    <n v="149"/>
    <n v="21"/>
    <n v="85"/>
    <n v="85"/>
    <n v="53"/>
    <n v="9321"/>
    <n v="792285"/>
    <n v="0"/>
    <n v="195741"/>
    <x v="0"/>
    <x v="0"/>
    <x v="0"/>
  </r>
  <r>
    <x v="18"/>
    <x v="14"/>
    <x v="3"/>
    <x v="2"/>
    <x v="4"/>
    <n v="50"/>
    <n v="29"/>
    <n v="23"/>
    <n v="56"/>
    <n v="59"/>
    <n v="11937"/>
    <n v="668472"/>
    <n v="0"/>
    <n v="346173"/>
    <x v="1"/>
    <x v="0"/>
    <x v="0"/>
  </r>
  <r>
    <x v="18"/>
    <x v="18"/>
    <x v="3"/>
    <x v="0"/>
    <x v="5"/>
    <n v="78"/>
    <n v="77"/>
    <n v="71"/>
    <n v="84"/>
    <n v="29"/>
    <n v="44232"/>
    <n v="3715488"/>
    <n v="0"/>
    <n v="3405864"/>
    <x v="0"/>
    <x v="0"/>
    <x v="0"/>
  </r>
  <r>
    <x v="18"/>
    <x v="5"/>
    <x v="3"/>
    <x v="1"/>
    <x v="0"/>
    <n v="128"/>
    <n v="53"/>
    <n v="11"/>
    <n v="170"/>
    <n v="23"/>
    <n v="29208"/>
    <n v="4965360"/>
    <n v="0"/>
    <n v="1548024"/>
    <x v="0"/>
    <x v="0"/>
    <x v="0"/>
  </r>
  <r>
    <x v="19"/>
    <x v="15"/>
    <x v="2"/>
    <x v="2"/>
    <x v="4"/>
    <n v="265"/>
    <n v="164"/>
    <n v="138"/>
    <n v="291"/>
    <n v="87"/>
    <n v="429"/>
    <n v="124839"/>
    <n v="0"/>
    <n v="70356"/>
    <x v="0"/>
    <x v="0"/>
    <x v="0"/>
  </r>
  <r>
    <x v="19"/>
    <x v="19"/>
    <x v="0"/>
    <x v="2"/>
    <x v="4"/>
    <n v="47"/>
    <n v="76"/>
    <n v="27"/>
    <n v="96"/>
    <n v="23"/>
    <n v="15593"/>
    <n v="1496928"/>
    <n v="0"/>
    <n v="1185068"/>
    <x v="0"/>
    <x v="0"/>
    <x v="0"/>
  </r>
  <r>
    <x v="20"/>
    <x v="1"/>
    <x v="1"/>
    <x v="2"/>
    <x v="1"/>
    <n v="33"/>
    <n v="13"/>
    <n v="27"/>
    <n v="19"/>
    <n v="12"/>
    <n v="5231"/>
    <n v="99389"/>
    <n v="0"/>
    <n v="68003"/>
    <x v="0"/>
    <x v="0"/>
    <x v="0"/>
  </r>
  <r>
    <x v="20"/>
    <x v="14"/>
    <x v="3"/>
    <x v="2"/>
    <x v="2"/>
    <n v="128"/>
    <n v="56"/>
    <n v="88"/>
    <n v="96"/>
    <n v="54"/>
    <n v="16754"/>
    <n v="1608384"/>
    <n v="0"/>
    <n v="938224"/>
    <x v="0"/>
    <x v="0"/>
    <x v="0"/>
  </r>
  <r>
    <x v="20"/>
    <x v="11"/>
    <x v="2"/>
    <x v="3"/>
    <x v="1"/>
    <n v="443"/>
    <n v="200"/>
    <n v="24"/>
    <n v="619"/>
    <n v="135"/>
    <n v="579"/>
    <n v="358401"/>
    <n v="0"/>
    <n v="115800"/>
    <x v="0"/>
    <x v="0"/>
    <x v="0"/>
  </r>
  <r>
    <x v="20"/>
    <x v="10"/>
    <x v="2"/>
    <x v="2"/>
    <x v="0"/>
    <n v="303"/>
    <n v="93"/>
    <n v="227"/>
    <n v="169"/>
    <n v="143"/>
    <n v="1115"/>
    <n v="188435"/>
    <n v="0"/>
    <n v="103695"/>
    <x v="0"/>
    <x v="0"/>
    <x v="0"/>
  </r>
  <r>
    <x v="20"/>
    <x v="10"/>
    <x v="2"/>
    <x v="2"/>
    <x v="4"/>
    <n v="231"/>
    <n v="187"/>
    <n v="85"/>
    <n v="333"/>
    <n v="81"/>
    <n v="348"/>
    <n v="115884"/>
    <n v="0"/>
    <n v="65076"/>
    <x v="0"/>
    <x v="0"/>
    <x v="0"/>
  </r>
  <r>
    <x v="20"/>
    <x v="11"/>
    <x v="2"/>
    <x v="3"/>
    <x v="1"/>
    <n v="88"/>
    <n v="252"/>
    <n v="111"/>
    <n v="229"/>
    <n v="115"/>
    <n v="1089"/>
    <n v="249381"/>
    <n v="0"/>
    <n v="274428"/>
    <x v="0"/>
    <x v="0"/>
    <x v="0"/>
  </r>
  <r>
    <x v="21"/>
    <x v="15"/>
    <x v="2"/>
    <x v="2"/>
    <x v="1"/>
    <n v="169"/>
    <n v="239"/>
    <n v="279"/>
    <n v="129"/>
    <n v="96"/>
    <n v="723"/>
    <n v="93267"/>
    <n v="0"/>
    <n v="172797"/>
    <x v="0"/>
    <x v="0"/>
    <x v="0"/>
  </r>
  <r>
    <x v="21"/>
    <x v="8"/>
    <x v="3"/>
    <x v="3"/>
    <x v="4"/>
    <n v="102"/>
    <n v="44"/>
    <n v="92"/>
    <n v="54"/>
    <n v="25"/>
    <n v="37897"/>
    <n v="2046438"/>
    <n v="0"/>
    <n v="1667468"/>
    <x v="0"/>
    <x v="0"/>
    <x v="0"/>
  </r>
  <r>
    <x v="21"/>
    <x v="5"/>
    <x v="3"/>
    <x v="2"/>
    <x v="5"/>
    <n v="173"/>
    <n v="12"/>
    <n v="45"/>
    <n v="140"/>
    <n v="33"/>
    <n v="57819"/>
    <n v="8094660"/>
    <n v="0"/>
    <n v="693828"/>
    <x v="0"/>
    <x v="0"/>
    <x v="0"/>
  </r>
  <r>
    <x v="21"/>
    <x v="5"/>
    <x v="3"/>
    <x v="0"/>
    <x v="0"/>
    <n v="146"/>
    <n v="89"/>
    <n v="65"/>
    <n v="170"/>
    <n v="44"/>
    <n v="47235"/>
    <n v="8029950"/>
    <n v="0"/>
    <n v="4203915"/>
    <x v="0"/>
    <x v="0"/>
    <x v="0"/>
  </r>
  <r>
    <x v="22"/>
    <x v="2"/>
    <x v="0"/>
    <x v="2"/>
    <x v="0"/>
    <n v="119"/>
    <n v="39"/>
    <n v="5"/>
    <n v="153"/>
    <n v="15"/>
    <n v="16861"/>
    <n v="2579733"/>
    <n v="0"/>
    <n v="657579"/>
    <x v="0"/>
    <x v="0"/>
    <x v="0"/>
  </r>
  <r>
    <x v="22"/>
    <x v="6"/>
    <x v="3"/>
    <x v="3"/>
    <x v="2"/>
    <n v="156"/>
    <n v="92"/>
    <n v="59"/>
    <n v="189"/>
    <n v="38"/>
    <n v="45342"/>
    <n v="8569638"/>
    <n v="0"/>
    <n v="4171464"/>
    <x v="0"/>
    <x v="0"/>
    <x v="0"/>
  </r>
  <r>
    <x v="22"/>
    <x v="8"/>
    <x v="3"/>
    <x v="2"/>
    <x v="3"/>
    <n v="113"/>
    <n v="118"/>
    <n v="65"/>
    <n v="166"/>
    <n v="46"/>
    <n v="57014"/>
    <n v="9464324"/>
    <n v="0"/>
    <n v="6727652"/>
    <x v="0"/>
    <x v="0"/>
    <x v="0"/>
  </r>
  <r>
    <x v="23"/>
    <x v="3"/>
    <x v="2"/>
    <x v="1"/>
    <x v="2"/>
    <n v="219"/>
    <n v="132"/>
    <n v="69"/>
    <n v="282"/>
    <n v="86"/>
    <n v="1129"/>
    <n v="318378"/>
    <n v="0"/>
    <n v="149028"/>
    <x v="0"/>
    <x v="0"/>
    <x v="0"/>
  </r>
  <r>
    <x v="23"/>
    <x v="3"/>
    <x v="2"/>
    <x v="0"/>
    <x v="1"/>
    <n v="270"/>
    <n v="39"/>
    <n v="174"/>
    <n v="135"/>
    <n v="146"/>
    <n v="1039"/>
    <n v="140265"/>
    <n v="0"/>
    <n v="40521"/>
    <x v="1"/>
    <x v="0"/>
    <x v="0"/>
  </r>
  <r>
    <x v="23"/>
    <x v="5"/>
    <x v="3"/>
    <x v="1"/>
    <x v="1"/>
    <n v="46"/>
    <n v="58"/>
    <n v="79"/>
    <n v="25"/>
    <n v="42"/>
    <n v="62992"/>
    <n v="1574800"/>
    <n v="0"/>
    <n v="3653536"/>
    <x v="1"/>
    <x v="0"/>
    <x v="0"/>
  </r>
  <r>
    <x v="23"/>
    <x v="17"/>
    <x v="2"/>
    <x v="0"/>
    <x v="0"/>
    <n v="320"/>
    <n v="124"/>
    <n v="151"/>
    <n v="293"/>
    <n v="127"/>
    <n v="921"/>
    <n v="269853"/>
    <n v="0"/>
    <n v="114204"/>
    <x v="0"/>
    <x v="0"/>
    <x v="0"/>
  </r>
  <r>
    <x v="24"/>
    <x v="0"/>
    <x v="0"/>
    <x v="0"/>
    <x v="0"/>
    <n v="82"/>
    <n v="14"/>
    <n v="5"/>
    <n v="91"/>
    <n v="27"/>
    <n v="17316"/>
    <n v="1575756"/>
    <n v="0"/>
    <n v="242424"/>
    <x v="0"/>
    <x v="0"/>
    <x v="0"/>
  </r>
  <r>
    <x v="24"/>
    <x v="14"/>
    <x v="3"/>
    <x v="3"/>
    <x v="2"/>
    <n v="151"/>
    <n v="103"/>
    <n v="98"/>
    <n v="156"/>
    <n v="33"/>
    <n v="46252"/>
    <n v="7215312"/>
    <n v="0"/>
    <n v="4763956"/>
    <x v="0"/>
    <x v="0"/>
    <x v="0"/>
  </r>
  <r>
    <x v="24"/>
    <x v="14"/>
    <x v="3"/>
    <x v="2"/>
    <x v="0"/>
    <n v="156"/>
    <n v="112"/>
    <n v="66"/>
    <n v="202"/>
    <n v="45"/>
    <n v="4107"/>
    <n v="829614"/>
    <n v="0"/>
    <n v="459984"/>
    <x v="0"/>
    <x v="0"/>
    <x v="0"/>
  </r>
  <r>
    <x v="24"/>
    <x v="16"/>
    <x v="1"/>
    <x v="1"/>
    <x v="3"/>
    <n v="47"/>
    <n v="25"/>
    <n v="25"/>
    <n v="47"/>
    <n v="28"/>
    <n v="11251"/>
    <n v="528797"/>
    <n v="0"/>
    <n v="281275"/>
    <x v="0"/>
    <x v="0"/>
    <x v="0"/>
  </r>
  <r>
    <x v="24"/>
    <x v="11"/>
    <x v="2"/>
    <x v="1"/>
    <x v="5"/>
    <n v="88"/>
    <n v="160"/>
    <n v="238"/>
    <n v="10"/>
    <n v="93"/>
    <n v="127"/>
    <n v="1270"/>
    <n v="0"/>
    <n v="20320"/>
    <x v="1"/>
    <x v="0"/>
    <x v="0"/>
  </r>
  <r>
    <x v="24"/>
    <x v="5"/>
    <x v="3"/>
    <x v="2"/>
    <x v="4"/>
    <n v="47"/>
    <n v="74"/>
    <n v="49"/>
    <n v="72"/>
    <n v="26"/>
    <n v="42851"/>
    <n v="3085272"/>
    <n v="0"/>
    <n v="3170974"/>
    <x v="0"/>
    <x v="0"/>
    <x v="0"/>
  </r>
  <r>
    <x v="25"/>
    <x v="15"/>
    <x v="2"/>
    <x v="2"/>
    <x v="1"/>
    <n v="357"/>
    <n v="122"/>
    <n v="241"/>
    <n v="238"/>
    <n v="100"/>
    <n v="552"/>
    <n v="131376"/>
    <n v="0"/>
    <n v="67344"/>
    <x v="0"/>
    <x v="0"/>
    <x v="0"/>
  </r>
  <r>
    <x v="25"/>
    <x v="17"/>
    <x v="2"/>
    <x v="0"/>
    <x v="5"/>
    <n v="459"/>
    <n v="275"/>
    <n v="28"/>
    <n v="706"/>
    <n v="99"/>
    <n v="1149"/>
    <n v="811194"/>
    <n v="0"/>
    <n v="315975"/>
    <x v="0"/>
    <x v="0"/>
    <x v="0"/>
  </r>
  <r>
    <x v="25"/>
    <x v="10"/>
    <x v="2"/>
    <x v="3"/>
    <x v="2"/>
    <n v="170"/>
    <n v="211"/>
    <n v="208"/>
    <n v="173"/>
    <n v="80"/>
    <n v="833"/>
    <n v="144109"/>
    <n v="0"/>
    <n v="175763"/>
    <x v="0"/>
    <x v="0"/>
    <x v="0"/>
  </r>
  <r>
    <x v="26"/>
    <x v="8"/>
    <x v="3"/>
    <x v="2"/>
    <x v="1"/>
    <n v="55"/>
    <n v="41"/>
    <n v="45"/>
    <n v="51"/>
    <n v="50"/>
    <n v="64686"/>
    <n v="3298986"/>
    <n v="0"/>
    <n v="2652126"/>
    <x v="0"/>
    <x v="0"/>
    <x v="0"/>
  </r>
  <r>
    <x v="26"/>
    <x v="9"/>
    <x v="0"/>
    <x v="1"/>
    <x v="4"/>
    <n v="106"/>
    <n v="22"/>
    <n v="61"/>
    <n v="67"/>
    <n v="31"/>
    <n v="1378"/>
    <n v="92326"/>
    <n v="0"/>
    <n v="30316"/>
    <x v="0"/>
    <x v="0"/>
    <x v="0"/>
  </r>
  <r>
    <x v="26"/>
    <x v="1"/>
    <x v="1"/>
    <x v="0"/>
    <x v="4"/>
    <n v="37"/>
    <n v="9"/>
    <n v="42"/>
    <n v="4"/>
    <n v="25"/>
    <n v="15179"/>
    <n v="60716"/>
    <n v="0"/>
    <n v="136611"/>
    <x v="1"/>
    <x v="0"/>
    <x v="0"/>
  </r>
  <r>
    <x v="26"/>
    <x v="16"/>
    <x v="1"/>
    <x v="2"/>
    <x v="1"/>
    <n v="97"/>
    <n v="33"/>
    <n v="18"/>
    <n v="112"/>
    <n v="16"/>
    <n v="21551"/>
    <n v="2413712"/>
    <n v="0"/>
    <n v="711183"/>
    <x v="0"/>
    <x v="0"/>
    <x v="0"/>
  </r>
  <r>
    <x v="26"/>
    <x v="9"/>
    <x v="0"/>
    <x v="1"/>
    <x v="2"/>
    <n v="32"/>
    <n v="64"/>
    <n v="12"/>
    <n v="84"/>
    <n v="24"/>
    <n v="3509"/>
    <n v="294756"/>
    <n v="0"/>
    <n v="224576"/>
    <x v="0"/>
    <x v="0"/>
    <x v="0"/>
  </r>
  <r>
    <x v="26"/>
    <x v="10"/>
    <x v="2"/>
    <x v="2"/>
    <x v="3"/>
    <n v="295"/>
    <n v="164"/>
    <n v="211"/>
    <n v="248"/>
    <n v="128"/>
    <n v="1064"/>
    <n v="263872"/>
    <n v="0"/>
    <n v="174496"/>
    <x v="0"/>
    <x v="0"/>
    <x v="0"/>
  </r>
  <r>
    <x v="26"/>
    <x v="0"/>
    <x v="0"/>
    <x v="0"/>
    <x v="1"/>
    <n v="37"/>
    <n v="51"/>
    <n v="33"/>
    <n v="55"/>
    <n v="35"/>
    <n v="3015"/>
    <n v="165825"/>
    <n v="0"/>
    <n v="153765"/>
    <x v="0"/>
    <x v="0"/>
    <x v="0"/>
  </r>
  <r>
    <x v="26"/>
    <x v="3"/>
    <x v="2"/>
    <x v="2"/>
    <x v="0"/>
    <n v="87"/>
    <n v="225"/>
    <n v="212"/>
    <n v="100"/>
    <n v="113"/>
    <n v="104"/>
    <n v="10400"/>
    <n v="0"/>
    <n v="23400"/>
    <x v="1"/>
    <x v="0"/>
    <x v="0"/>
  </r>
  <r>
    <x v="27"/>
    <x v="8"/>
    <x v="3"/>
    <x v="0"/>
    <x v="3"/>
    <n v="45"/>
    <n v="100"/>
    <n v="53"/>
    <n v="92"/>
    <n v="40"/>
    <n v="57865"/>
    <n v="5323580"/>
    <n v="0"/>
    <n v="5786500"/>
    <x v="0"/>
    <x v="0"/>
    <x v="0"/>
  </r>
  <r>
    <x v="28"/>
    <x v="18"/>
    <x v="3"/>
    <x v="1"/>
    <x v="3"/>
    <n v="108"/>
    <n v="22"/>
    <n v="55"/>
    <n v="75"/>
    <n v="38"/>
    <n v="13451"/>
    <n v="1008825"/>
    <n v="0"/>
    <n v="295922"/>
    <x v="0"/>
    <x v="0"/>
    <x v="0"/>
  </r>
  <r>
    <x v="28"/>
    <x v="15"/>
    <x v="2"/>
    <x v="2"/>
    <x v="3"/>
    <n v="320"/>
    <n v="203"/>
    <n v="262"/>
    <n v="261"/>
    <n v="109"/>
    <n v="404"/>
    <n v="105444"/>
    <n v="0"/>
    <n v="82012"/>
    <x v="0"/>
    <x v="0"/>
    <x v="0"/>
  </r>
  <r>
    <x v="28"/>
    <x v="13"/>
    <x v="3"/>
    <x v="2"/>
    <x v="3"/>
    <n v="22"/>
    <n v="67"/>
    <n v="37"/>
    <n v="52"/>
    <n v="24"/>
    <n v="35690"/>
    <n v="1855880"/>
    <n v="0"/>
    <n v="2391230"/>
    <x v="0"/>
    <x v="0"/>
    <x v="0"/>
  </r>
  <r>
    <x v="28"/>
    <x v="10"/>
    <x v="2"/>
    <x v="2"/>
    <x v="1"/>
    <n v="79"/>
    <n v="167"/>
    <n v="60"/>
    <n v="186"/>
    <n v="85"/>
    <n v="454"/>
    <n v="84444"/>
    <n v="0"/>
    <n v="75818"/>
    <x v="0"/>
    <x v="0"/>
    <x v="0"/>
  </r>
  <r>
    <x v="29"/>
    <x v="2"/>
    <x v="0"/>
    <x v="0"/>
    <x v="0"/>
    <n v="87"/>
    <n v="46"/>
    <n v="63"/>
    <n v="70"/>
    <n v="34"/>
    <n v="11243"/>
    <n v="787010"/>
    <n v="0"/>
    <n v="517178"/>
    <x v="0"/>
    <x v="0"/>
    <x v="0"/>
  </r>
  <r>
    <x v="29"/>
    <x v="2"/>
    <x v="0"/>
    <x v="0"/>
    <x v="4"/>
    <n v="77"/>
    <n v="8"/>
    <n v="15"/>
    <n v="70"/>
    <n v="22"/>
    <n v="6290"/>
    <n v="440300"/>
    <n v="0"/>
    <n v="50320"/>
    <x v="0"/>
    <x v="0"/>
    <x v="0"/>
  </r>
  <r>
    <x v="29"/>
    <x v="17"/>
    <x v="2"/>
    <x v="2"/>
    <x v="2"/>
    <n v="94"/>
    <n v="63"/>
    <n v="150"/>
    <n v="7"/>
    <n v="142"/>
    <n v="849"/>
    <n v="5943"/>
    <n v="0"/>
    <n v="53487"/>
    <x v="1"/>
    <x v="0"/>
    <x v="0"/>
  </r>
  <r>
    <x v="29"/>
    <x v="18"/>
    <x v="3"/>
    <x v="1"/>
    <x v="0"/>
    <n v="30"/>
    <n v="101"/>
    <n v="80"/>
    <n v="51"/>
    <n v="45"/>
    <n v="4806"/>
    <n v="245106"/>
    <n v="0"/>
    <n v="485406"/>
    <x v="0"/>
    <x v="0"/>
    <x v="0"/>
  </r>
  <r>
    <x v="30"/>
    <x v="4"/>
    <x v="1"/>
    <x v="1"/>
    <x v="1"/>
    <n v="62"/>
    <n v="38"/>
    <n v="39"/>
    <n v="61"/>
    <n v="14"/>
    <n v="12180"/>
    <n v="742980"/>
    <n v="0"/>
    <n v="462840"/>
    <x v="0"/>
    <x v="0"/>
    <x v="0"/>
  </r>
  <r>
    <x v="30"/>
    <x v="6"/>
    <x v="3"/>
    <x v="0"/>
    <x v="1"/>
    <n v="144"/>
    <n v="21"/>
    <n v="15"/>
    <n v="150"/>
    <n v="27"/>
    <n v="44151"/>
    <n v="6622650"/>
    <n v="0"/>
    <n v="927171"/>
    <x v="0"/>
    <x v="0"/>
    <x v="0"/>
  </r>
  <r>
    <x v="30"/>
    <x v="19"/>
    <x v="0"/>
    <x v="0"/>
    <x v="1"/>
    <n v="95"/>
    <n v="59"/>
    <n v="25"/>
    <n v="129"/>
    <n v="24"/>
    <n v="6265"/>
    <n v="808185"/>
    <n v="0"/>
    <n v="369635"/>
    <x v="0"/>
    <x v="0"/>
    <x v="0"/>
  </r>
  <r>
    <x v="30"/>
    <x v="12"/>
    <x v="1"/>
    <x v="1"/>
    <x v="0"/>
    <n v="83"/>
    <n v="57"/>
    <n v="35"/>
    <n v="105"/>
    <n v="19"/>
    <n v="19076"/>
    <n v="2002980"/>
    <n v="0"/>
    <n v="1087332"/>
    <x v="0"/>
    <x v="0"/>
    <x v="0"/>
  </r>
  <r>
    <x v="30"/>
    <x v="17"/>
    <x v="2"/>
    <x v="1"/>
    <x v="5"/>
    <n v="272"/>
    <n v="295"/>
    <n v="53"/>
    <n v="514"/>
    <n v="122"/>
    <n v="81"/>
    <n v="41634"/>
    <n v="0"/>
    <n v="23895"/>
    <x v="0"/>
    <x v="0"/>
    <x v="0"/>
  </r>
  <r>
    <x v="30"/>
    <x v="13"/>
    <x v="3"/>
    <x v="0"/>
    <x v="4"/>
    <n v="77"/>
    <n v="113"/>
    <n v="46"/>
    <n v="144"/>
    <n v="37"/>
    <n v="46041"/>
    <n v="6629904"/>
    <n v="0"/>
    <n v="5202633"/>
    <x v="0"/>
    <x v="0"/>
    <x v="0"/>
  </r>
  <r>
    <x v="31"/>
    <x v="12"/>
    <x v="1"/>
    <x v="2"/>
    <x v="4"/>
    <n v="75"/>
    <n v="55"/>
    <n v="12"/>
    <n v="118"/>
    <n v="29"/>
    <n v="7062"/>
    <n v="833316"/>
    <n v="0"/>
    <n v="388410"/>
    <x v="0"/>
    <x v="1"/>
    <x v="0"/>
  </r>
  <r>
    <x v="31"/>
    <x v="12"/>
    <x v="1"/>
    <x v="3"/>
    <x v="5"/>
    <n v="40"/>
    <n v="22"/>
    <n v="44"/>
    <n v="18"/>
    <n v="10"/>
    <n v="18500"/>
    <n v="333000"/>
    <n v="0"/>
    <n v="407000"/>
    <x v="0"/>
    <x v="1"/>
    <x v="0"/>
  </r>
  <r>
    <x v="31"/>
    <x v="15"/>
    <x v="2"/>
    <x v="1"/>
    <x v="1"/>
    <n v="82"/>
    <n v="229"/>
    <n v="243"/>
    <n v="68"/>
    <n v="91"/>
    <n v="1069"/>
    <n v="72692"/>
    <n v="0"/>
    <n v="244801"/>
    <x v="1"/>
    <x v="1"/>
    <x v="0"/>
  </r>
  <r>
    <x v="31"/>
    <x v="11"/>
    <x v="2"/>
    <x v="0"/>
    <x v="1"/>
    <n v="77"/>
    <n v="235"/>
    <n v="237"/>
    <n v="75"/>
    <n v="140"/>
    <n v="659"/>
    <n v="49425"/>
    <n v="0"/>
    <n v="154865"/>
    <x v="1"/>
    <x v="1"/>
    <x v="0"/>
  </r>
  <r>
    <x v="31"/>
    <x v="19"/>
    <x v="0"/>
    <x v="3"/>
    <x v="1"/>
    <n v="21"/>
    <n v="25"/>
    <n v="22"/>
    <n v="24"/>
    <n v="18"/>
    <n v="10069"/>
    <n v="241656"/>
    <n v="0"/>
    <n v="251725"/>
    <x v="0"/>
    <x v="1"/>
    <x v="0"/>
  </r>
  <r>
    <x v="32"/>
    <x v="8"/>
    <x v="3"/>
    <x v="1"/>
    <x v="1"/>
    <n v="54"/>
    <n v="113"/>
    <n v="54"/>
    <n v="113"/>
    <n v="43"/>
    <n v="46135"/>
    <n v="5213255"/>
    <n v="0"/>
    <n v="5213255"/>
    <x v="0"/>
    <x v="1"/>
    <x v="0"/>
  </r>
  <r>
    <x v="32"/>
    <x v="2"/>
    <x v="0"/>
    <x v="1"/>
    <x v="3"/>
    <n v="56"/>
    <n v="19"/>
    <n v="6"/>
    <n v="69"/>
    <n v="25"/>
    <n v="13915"/>
    <n v="960135"/>
    <n v="0"/>
    <n v="264385"/>
    <x v="0"/>
    <x v="1"/>
    <x v="0"/>
  </r>
  <r>
    <x v="32"/>
    <x v="8"/>
    <x v="3"/>
    <x v="2"/>
    <x v="1"/>
    <n v="31"/>
    <n v="103"/>
    <n v="31"/>
    <n v="103"/>
    <n v="28"/>
    <n v="20678"/>
    <n v="2129834"/>
    <n v="0"/>
    <n v="2129834"/>
    <x v="0"/>
    <x v="1"/>
    <x v="0"/>
  </r>
  <r>
    <x v="32"/>
    <x v="17"/>
    <x v="2"/>
    <x v="2"/>
    <x v="0"/>
    <n v="164"/>
    <n v="32"/>
    <n v="13"/>
    <n v="183"/>
    <n v="58"/>
    <n v="61"/>
    <n v="11163"/>
    <n v="0"/>
    <n v="1952"/>
    <x v="0"/>
    <x v="1"/>
    <x v="0"/>
  </r>
  <r>
    <x v="32"/>
    <x v="12"/>
    <x v="1"/>
    <x v="0"/>
    <x v="0"/>
    <n v="57"/>
    <n v="59"/>
    <n v="24"/>
    <n v="92"/>
    <n v="14"/>
    <n v="13337"/>
    <n v="1227004"/>
    <n v="0"/>
    <n v="786883"/>
    <x v="0"/>
    <x v="1"/>
    <x v="0"/>
  </r>
  <r>
    <x v="32"/>
    <x v="11"/>
    <x v="2"/>
    <x v="0"/>
    <x v="0"/>
    <n v="452"/>
    <n v="140"/>
    <n v="130"/>
    <n v="462"/>
    <n v="148"/>
    <n v="35"/>
    <n v="16170"/>
    <n v="0"/>
    <n v="4900"/>
    <x v="0"/>
    <x v="1"/>
    <x v="0"/>
  </r>
  <r>
    <x v="33"/>
    <x v="8"/>
    <x v="3"/>
    <x v="3"/>
    <x v="3"/>
    <n v="72"/>
    <n v="21"/>
    <n v="66"/>
    <n v="27"/>
    <n v="21"/>
    <n v="19839"/>
    <n v="535653"/>
    <n v="0"/>
    <n v="416619"/>
    <x v="0"/>
    <x v="1"/>
    <x v="0"/>
  </r>
  <r>
    <x v="33"/>
    <x v="7"/>
    <x v="2"/>
    <x v="0"/>
    <x v="1"/>
    <n v="429"/>
    <n v="237"/>
    <n v="208"/>
    <n v="458"/>
    <n v="120"/>
    <n v="611"/>
    <n v="279838"/>
    <n v="0"/>
    <n v="144807"/>
    <x v="0"/>
    <x v="1"/>
    <x v="0"/>
  </r>
  <r>
    <x v="34"/>
    <x v="4"/>
    <x v="1"/>
    <x v="0"/>
    <x v="5"/>
    <n v="92"/>
    <n v="10"/>
    <n v="20"/>
    <n v="82"/>
    <n v="29"/>
    <n v="18832"/>
    <n v="1544224"/>
    <n v="0"/>
    <n v="188320"/>
    <x v="0"/>
    <x v="1"/>
    <x v="0"/>
  </r>
  <r>
    <x v="34"/>
    <x v="10"/>
    <x v="2"/>
    <x v="1"/>
    <x v="5"/>
    <n v="266"/>
    <n v="238"/>
    <n v="169"/>
    <n v="335"/>
    <n v="73"/>
    <n v="1035"/>
    <n v="346725"/>
    <n v="0"/>
    <n v="246330"/>
    <x v="0"/>
    <x v="1"/>
    <x v="0"/>
  </r>
  <r>
    <x v="34"/>
    <x v="12"/>
    <x v="1"/>
    <x v="1"/>
    <x v="5"/>
    <n v="43"/>
    <n v="57"/>
    <n v="23"/>
    <n v="77"/>
    <n v="28"/>
    <n v="20730"/>
    <n v="1596210"/>
    <n v="0"/>
    <n v="1181610"/>
    <x v="0"/>
    <x v="1"/>
    <x v="0"/>
  </r>
  <r>
    <x v="34"/>
    <x v="13"/>
    <x v="3"/>
    <x v="0"/>
    <x v="3"/>
    <n v="100"/>
    <n v="99"/>
    <n v="12"/>
    <n v="187"/>
    <n v="45"/>
    <n v="23932"/>
    <n v="4475284"/>
    <n v="0"/>
    <n v="2369268"/>
    <x v="0"/>
    <x v="1"/>
    <x v="0"/>
  </r>
  <r>
    <x v="35"/>
    <x v="3"/>
    <x v="2"/>
    <x v="3"/>
    <x v="4"/>
    <n v="422"/>
    <n v="288"/>
    <n v="28"/>
    <n v="682"/>
    <n v="72"/>
    <n v="943"/>
    <n v="643126"/>
    <n v="0"/>
    <n v="271584"/>
    <x v="0"/>
    <x v="1"/>
    <x v="0"/>
  </r>
  <r>
    <x v="36"/>
    <x v="9"/>
    <x v="0"/>
    <x v="2"/>
    <x v="5"/>
    <n v="40"/>
    <n v="13"/>
    <n v="53"/>
    <n v="0"/>
    <n v="34"/>
    <n v="6659"/>
    <n v="0"/>
    <n v="0"/>
    <n v="86567"/>
    <x v="1"/>
    <x v="1"/>
    <x v="0"/>
  </r>
  <r>
    <x v="36"/>
    <x v="17"/>
    <x v="2"/>
    <x v="1"/>
    <x v="4"/>
    <n v="113"/>
    <n v="248"/>
    <n v="43"/>
    <n v="318"/>
    <n v="116"/>
    <n v="58"/>
    <n v="18444"/>
    <n v="0"/>
    <n v="14384"/>
    <x v="0"/>
    <x v="1"/>
    <x v="0"/>
  </r>
  <r>
    <x v="36"/>
    <x v="1"/>
    <x v="1"/>
    <x v="3"/>
    <x v="0"/>
    <n v="23"/>
    <n v="31"/>
    <n v="20"/>
    <n v="34"/>
    <n v="23"/>
    <n v="6778"/>
    <n v="230452"/>
    <n v="0"/>
    <n v="210118"/>
    <x v="0"/>
    <x v="1"/>
    <x v="0"/>
  </r>
  <r>
    <x v="36"/>
    <x v="9"/>
    <x v="0"/>
    <x v="0"/>
    <x v="4"/>
    <n v="26"/>
    <n v="59"/>
    <n v="15"/>
    <n v="70"/>
    <n v="39"/>
    <n v="11218"/>
    <n v="785260"/>
    <n v="0"/>
    <n v="661862"/>
    <x v="0"/>
    <x v="1"/>
    <x v="0"/>
  </r>
  <r>
    <x v="37"/>
    <x v="18"/>
    <x v="3"/>
    <x v="2"/>
    <x v="1"/>
    <n v="98"/>
    <n v="98"/>
    <n v="74"/>
    <n v="122"/>
    <n v="20"/>
    <n v="34929"/>
    <n v="4261338"/>
    <n v="0"/>
    <n v="3423042"/>
    <x v="0"/>
    <x v="1"/>
    <x v="0"/>
  </r>
  <r>
    <x v="37"/>
    <x v="18"/>
    <x v="3"/>
    <x v="0"/>
    <x v="1"/>
    <n v="44"/>
    <n v="35"/>
    <n v="79"/>
    <n v="0"/>
    <n v="47"/>
    <n v="49498"/>
    <n v="0"/>
    <n v="0"/>
    <n v="1732430"/>
    <x v="1"/>
    <x v="1"/>
    <x v="0"/>
  </r>
  <r>
    <x v="37"/>
    <x v="14"/>
    <x v="3"/>
    <x v="2"/>
    <x v="5"/>
    <n v="122"/>
    <n v="65"/>
    <n v="67"/>
    <n v="120"/>
    <n v="45"/>
    <n v="57629"/>
    <n v="6915480"/>
    <n v="0"/>
    <n v="3745885"/>
    <x v="0"/>
    <x v="1"/>
    <x v="0"/>
  </r>
  <r>
    <x v="37"/>
    <x v="18"/>
    <x v="3"/>
    <x v="0"/>
    <x v="4"/>
    <n v="157"/>
    <n v="66"/>
    <n v="32"/>
    <n v="191"/>
    <n v="55"/>
    <n v="50413"/>
    <n v="9628883"/>
    <n v="0"/>
    <n v="3327258"/>
    <x v="0"/>
    <x v="1"/>
    <x v="0"/>
  </r>
  <r>
    <x v="37"/>
    <x v="2"/>
    <x v="0"/>
    <x v="3"/>
    <x v="2"/>
    <n v="34"/>
    <n v="29"/>
    <n v="4"/>
    <n v="59"/>
    <n v="20"/>
    <n v="10548"/>
    <n v="622332"/>
    <n v="0"/>
    <n v="305892"/>
    <x v="0"/>
    <x v="1"/>
    <x v="0"/>
  </r>
  <r>
    <x v="37"/>
    <x v="5"/>
    <x v="3"/>
    <x v="2"/>
    <x v="3"/>
    <n v="155"/>
    <n v="113"/>
    <n v="90"/>
    <n v="178"/>
    <n v="32"/>
    <n v="16352"/>
    <n v="2910656"/>
    <n v="0"/>
    <n v="1847776"/>
    <x v="0"/>
    <x v="1"/>
    <x v="0"/>
  </r>
  <r>
    <x v="38"/>
    <x v="17"/>
    <x v="2"/>
    <x v="2"/>
    <x v="5"/>
    <n v="181"/>
    <n v="59"/>
    <n v="167"/>
    <n v="73"/>
    <n v="61"/>
    <n v="1109"/>
    <n v="80957"/>
    <n v="0"/>
    <n v="65431"/>
    <x v="0"/>
    <x v="1"/>
    <x v="0"/>
  </r>
  <r>
    <x v="38"/>
    <x v="8"/>
    <x v="3"/>
    <x v="1"/>
    <x v="5"/>
    <n v="36"/>
    <n v="112"/>
    <n v="90"/>
    <n v="58"/>
    <n v="44"/>
    <n v="57593"/>
    <n v="3340394"/>
    <n v="0"/>
    <n v="6450416"/>
    <x v="0"/>
    <x v="1"/>
    <x v="0"/>
  </r>
  <r>
    <x v="38"/>
    <x v="3"/>
    <x v="2"/>
    <x v="2"/>
    <x v="3"/>
    <n v="351"/>
    <n v="58"/>
    <n v="254"/>
    <n v="155"/>
    <n v="106"/>
    <n v="767"/>
    <n v="118885"/>
    <n v="0"/>
    <n v="44486"/>
    <x v="0"/>
    <x v="1"/>
    <x v="0"/>
  </r>
  <r>
    <x v="38"/>
    <x v="15"/>
    <x v="2"/>
    <x v="0"/>
    <x v="3"/>
    <n v="168"/>
    <n v="56"/>
    <n v="113"/>
    <n v="111"/>
    <n v="112"/>
    <n v="1117"/>
    <n v="123987"/>
    <n v="0"/>
    <n v="62552"/>
    <x v="1"/>
    <x v="1"/>
    <x v="0"/>
  </r>
  <r>
    <x v="38"/>
    <x v="4"/>
    <x v="1"/>
    <x v="2"/>
    <x v="3"/>
    <n v="12"/>
    <n v="16"/>
    <n v="8"/>
    <n v="20"/>
    <n v="10"/>
    <n v="3596"/>
    <n v="71920"/>
    <n v="0"/>
    <n v="57536"/>
    <x v="0"/>
    <x v="1"/>
    <x v="0"/>
  </r>
  <r>
    <x v="39"/>
    <x v="15"/>
    <x v="2"/>
    <x v="0"/>
    <x v="0"/>
    <n v="408"/>
    <n v="91"/>
    <n v="263"/>
    <n v="236"/>
    <n v="118"/>
    <n v="985"/>
    <n v="232460"/>
    <n v="0"/>
    <n v="89635"/>
    <x v="0"/>
    <x v="1"/>
    <x v="0"/>
  </r>
  <r>
    <x v="39"/>
    <x v="11"/>
    <x v="2"/>
    <x v="2"/>
    <x v="3"/>
    <n v="286"/>
    <n v="123"/>
    <n v="231"/>
    <n v="178"/>
    <n v="59"/>
    <n v="735"/>
    <n v="130830"/>
    <n v="0"/>
    <n v="90405"/>
    <x v="0"/>
    <x v="1"/>
    <x v="0"/>
  </r>
  <r>
    <x v="40"/>
    <x v="17"/>
    <x v="2"/>
    <x v="3"/>
    <x v="5"/>
    <n v="353"/>
    <n v="202"/>
    <n v="243"/>
    <n v="312"/>
    <n v="127"/>
    <n v="812"/>
    <n v="253344"/>
    <n v="0"/>
    <n v="164024"/>
    <x v="0"/>
    <x v="1"/>
    <x v="0"/>
  </r>
  <r>
    <x v="40"/>
    <x v="1"/>
    <x v="1"/>
    <x v="0"/>
    <x v="4"/>
    <n v="28"/>
    <n v="25"/>
    <n v="42"/>
    <n v="11"/>
    <n v="19"/>
    <n v="5172"/>
    <n v="56892"/>
    <n v="0"/>
    <n v="129300"/>
    <x v="1"/>
    <x v="1"/>
    <x v="0"/>
  </r>
  <r>
    <x v="40"/>
    <x v="6"/>
    <x v="3"/>
    <x v="1"/>
    <x v="5"/>
    <n v="70"/>
    <n v="56"/>
    <n v="86"/>
    <n v="40"/>
    <n v="30"/>
    <n v="6233"/>
    <n v="249320"/>
    <n v="0"/>
    <n v="349048"/>
    <x v="0"/>
    <x v="1"/>
    <x v="0"/>
  </r>
  <r>
    <x v="41"/>
    <x v="2"/>
    <x v="0"/>
    <x v="2"/>
    <x v="2"/>
    <n v="103"/>
    <n v="9"/>
    <n v="52"/>
    <n v="60"/>
    <n v="30"/>
    <n v="5604"/>
    <n v="336240"/>
    <n v="0"/>
    <n v="50436"/>
    <x v="0"/>
    <x v="1"/>
    <x v="0"/>
  </r>
  <r>
    <x v="41"/>
    <x v="2"/>
    <x v="0"/>
    <x v="0"/>
    <x v="5"/>
    <n v="65"/>
    <n v="39"/>
    <n v="54"/>
    <n v="50"/>
    <n v="23"/>
    <n v="14505"/>
    <n v="725250"/>
    <n v="0"/>
    <n v="565695"/>
    <x v="0"/>
    <x v="1"/>
    <x v="0"/>
  </r>
  <r>
    <x v="41"/>
    <x v="1"/>
    <x v="1"/>
    <x v="0"/>
    <x v="0"/>
    <n v="28"/>
    <n v="22"/>
    <n v="38"/>
    <n v="12"/>
    <n v="28"/>
    <n v="22841"/>
    <n v="274092"/>
    <n v="0"/>
    <n v="502502"/>
    <x v="1"/>
    <x v="1"/>
    <x v="0"/>
  </r>
  <r>
    <x v="41"/>
    <x v="9"/>
    <x v="0"/>
    <x v="2"/>
    <x v="0"/>
    <n v="26"/>
    <n v="69"/>
    <n v="44"/>
    <n v="51"/>
    <n v="17"/>
    <n v="3588"/>
    <n v="182988"/>
    <n v="0"/>
    <n v="247572"/>
    <x v="0"/>
    <x v="1"/>
    <x v="0"/>
  </r>
  <r>
    <x v="41"/>
    <x v="13"/>
    <x v="3"/>
    <x v="1"/>
    <x v="5"/>
    <n v="112"/>
    <n v="66"/>
    <n v="91"/>
    <n v="87"/>
    <n v="28"/>
    <n v="60720"/>
    <n v="5282640"/>
    <n v="0"/>
    <n v="4007520"/>
    <x v="0"/>
    <x v="1"/>
    <x v="0"/>
  </r>
  <r>
    <x v="41"/>
    <x v="5"/>
    <x v="3"/>
    <x v="3"/>
    <x v="2"/>
    <n v="22"/>
    <n v="10"/>
    <n v="32"/>
    <n v="0"/>
    <n v="40"/>
    <n v="37422"/>
    <n v="0"/>
    <n v="0"/>
    <n v="374220"/>
    <x v="1"/>
    <x v="1"/>
    <x v="0"/>
  </r>
  <r>
    <x v="42"/>
    <x v="19"/>
    <x v="0"/>
    <x v="3"/>
    <x v="3"/>
    <n v="110"/>
    <n v="57"/>
    <n v="22"/>
    <n v="145"/>
    <n v="22"/>
    <n v="8750"/>
    <n v="1268750"/>
    <n v="0"/>
    <n v="498750"/>
    <x v="0"/>
    <x v="1"/>
    <x v="0"/>
  </r>
  <r>
    <x v="42"/>
    <x v="15"/>
    <x v="2"/>
    <x v="2"/>
    <x v="5"/>
    <n v="123"/>
    <n v="271"/>
    <n v="139"/>
    <n v="255"/>
    <n v="115"/>
    <n v="369"/>
    <n v="94095"/>
    <n v="0"/>
    <n v="99999"/>
    <x v="0"/>
    <x v="1"/>
    <x v="0"/>
  </r>
  <r>
    <x v="42"/>
    <x v="19"/>
    <x v="0"/>
    <x v="2"/>
    <x v="1"/>
    <n v="56"/>
    <n v="54"/>
    <n v="64"/>
    <n v="46"/>
    <n v="33"/>
    <n v="9276"/>
    <n v="426696"/>
    <n v="0"/>
    <n v="500904"/>
    <x v="0"/>
    <x v="1"/>
    <x v="0"/>
  </r>
  <r>
    <x v="42"/>
    <x v="16"/>
    <x v="1"/>
    <x v="2"/>
    <x v="2"/>
    <n v="98"/>
    <n v="14"/>
    <n v="30"/>
    <n v="82"/>
    <n v="15"/>
    <n v="19173"/>
    <n v="1572186"/>
    <n v="0"/>
    <n v="268422"/>
    <x v="0"/>
    <x v="1"/>
    <x v="0"/>
  </r>
  <r>
    <x v="42"/>
    <x v="2"/>
    <x v="0"/>
    <x v="3"/>
    <x v="2"/>
    <n v="97"/>
    <n v="76"/>
    <n v="54"/>
    <n v="119"/>
    <n v="24"/>
    <n v="12163"/>
    <n v="1447397"/>
    <n v="0"/>
    <n v="924388"/>
    <x v="0"/>
    <x v="1"/>
    <x v="0"/>
  </r>
  <r>
    <x v="42"/>
    <x v="19"/>
    <x v="0"/>
    <x v="1"/>
    <x v="0"/>
    <n v="55"/>
    <n v="46"/>
    <n v="52"/>
    <n v="49"/>
    <n v="27"/>
    <n v="11151"/>
    <n v="546399"/>
    <n v="0"/>
    <n v="512946"/>
    <x v="0"/>
    <x v="1"/>
    <x v="0"/>
  </r>
  <r>
    <x v="42"/>
    <x v="9"/>
    <x v="0"/>
    <x v="0"/>
    <x v="3"/>
    <n v="49"/>
    <n v="62"/>
    <n v="35"/>
    <n v="76"/>
    <n v="37"/>
    <n v="5469"/>
    <n v="415644"/>
    <n v="0"/>
    <n v="339078"/>
    <x v="0"/>
    <x v="1"/>
    <x v="0"/>
  </r>
  <r>
    <x v="42"/>
    <x v="3"/>
    <x v="2"/>
    <x v="3"/>
    <x v="4"/>
    <n v="483"/>
    <n v="143"/>
    <n v="90"/>
    <n v="536"/>
    <n v="62"/>
    <n v="369"/>
    <n v="197784"/>
    <n v="0"/>
    <n v="52767"/>
    <x v="0"/>
    <x v="1"/>
    <x v="0"/>
  </r>
  <r>
    <x v="43"/>
    <x v="15"/>
    <x v="2"/>
    <x v="3"/>
    <x v="2"/>
    <n v="464"/>
    <n v="215"/>
    <n v="255"/>
    <n v="424"/>
    <n v="128"/>
    <n v="1127"/>
    <n v="477848"/>
    <n v="0"/>
    <n v="242305"/>
    <x v="0"/>
    <x v="1"/>
    <x v="0"/>
  </r>
  <r>
    <x v="43"/>
    <x v="8"/>
    <x v="3"/>
    <x v="1"/>
    <x v="3"/>
    <n v="162"/>
    <n v="92"/>
    <n v="98"/>
    <n v="156"/>
    <n v="51"/>
    <n v="38661"/>
    <n v="6031116"/>
    <n v="0"/>
    <n v="3556812"/>
    <x v="0"/>
    <x v="1"/>
    <x v="0"/>
  </r>
  <r>
    <x v="43"/>
    <x v="6"/>
    <x v="3"/>
    <x v="3"/>
    <x v="2"/>
    <n v="161"/>
    <n v="13"/>
    <n v="22"/>
    <n v="152"/>
    <n v="54"/>
    <n v="62844"/>
    <n v="9552288"/>
    <n v="0"/>
    <n v="816972"/>
    <x v="0"/>
    <x v="1"/>
    <x v="0"/>
  </r>
  <r>
    <x v="43"/>
    <x v="3"/>
    <x v="2"/>
    <x v="2"/>
    <x v="4"/>
    <n v="249"/>
    <n v="181"/>
    <n v="95"/>
    <n v="335"/>
    <n v="67"/>
    <n v="38"/>
    <n v="12730"/>
    <n v="0"/>
    <n v="6878"/>
    <x v="0"/>
    <x v="1"/>
    <x v="0"/>
  </r>
  <r>
    <x v="43"/>
    <x v="15"/>
    <x v="2"/>
    <x v="1"/>
    <x v="5"/>
    <n v="243"/>
    <n v="287"/>
    <n v="92"/>
    <n v="438"/>
    <n v="102"/>
    <n v="77"/>
    <n v="33726"/>
    <n v="0"/>
    <n v="22099"/>
    <x v="0"/>
    <x v="1"/>
    <x v="0"/>
  </r>
  <r>
    <x v="43"/>
    <x v="16"/>
    <x v="1"/>
    <x v="0"/>
    <x v="3"/>
    <n v="29"/>
    <n v="49"/>
    <n v="7"/>
    <n v="71"/>
    <n v="19"/>
    <n v="6341"/>
    <n v="450211"/>
    <n v="0"/>
    <n v="310709"/>
    <x v="0"/>
    <x v="1"/>
    <x v="0"/>
  </r>
  <r>
    <x v="43"/>
    <x v="17"/>
    <x v="2"/>
    <x v="0"/>
    <x v="1"/>
    <n v="446"/>
    <n v="102"/>
    <n v="270"/>
    <n v="278"/>
    <n v="82"/>
    <n v="762"/>
    <n v="211836"/>
    <n v="0"/>
    <n v="77724"/>
    <x v="0"/>
    <x v="1"/>
    <x v="0"/>
  </r>
  <r>
    <x v="44"/>
    <x v="12"/>
    <x v="1"/>
    <x v="2"/>
    <x v="1"/>
    <n v="97"/>
    <n v="57"/>
    <n v="29"/>
    <n v="125"/>
    <n v="20"/>
    <n v="21330"/>
    <n v="2666250"/>
    <n v="0"/>
    <n v="1215810"/>
    <x v="0"/>
    <x v="1"/>
    <x v="0"/>
  </r>
  <r>
    <x v="44"/>
    <x v="19"/>
    <x v="0"/>
    <x v="2"/>
    <x v="4"/>
    <n v="102"/>
    <n v="35"/>
    <n v="51"/>
    <n v="86"/>
    <n v="38"/>
    <n v="2646"/>
    <n v="227556"/>
    <n v="0"/>
    <n v="92610"/>
    <x v="0"/>
    <x v="1"/>
    <x v="0"/>
  </r>
  <r>
    <x v="44"/>
    <x v="5"/>
    <x v="3"/>
    <x v="0"/>
    <x v="1"/>
    <n v="84"/>
    <n v="20"/>
    <n v="74"/>
    <n v="30"/>
    <n v="54"/>
    <n v="56243"/>
    <n v="1687290"/>
    <n v="0"/>
    <n v="1124860"/>
    <x v="1"/>
    <x v="1"/>
    <x v="0"/>
  </r>
  <r>
    <x v="45"/>
    <x v="12"/>
    <x v="1"/>
    <x v="3"/>
    <x v="2"/>
    <n v="27"/>
    <n v="17"/>
    <n v="26"/>
    <n v="18"/>
    <n v="17"/>
    <n v="6595"/>
    <n v="118710"/>
    <n v="0"/>
    <n v="112115"/>
    <x v="0"/>
    <x v="1"/>
    <x v="0"/>
  </r>
  <r>
    <x v="45"/>
    <x v="7"/>
    <x v="2"/>
    <x v="3"/>
    <x v="0"/>
    <n v="285"/>
    <n v="77"/>
    <n v="207"/>
    <n v="155"/>
    <n v="80"/>
    <n v="103"/>
    <n v="15965"/>
    <n v="0"/>
    <n v="7931"/>
    <x v="0"/>
    <x v="1"/>
    <x v="0"/>
  </r>
  <r>
    <x v="46"/>
    <x v="2"/>
    <x v="0"/>
    <x v="1"/>
    <x v="0"/>
    <n v="108"/>
    <n v="48"/>
    <n v="50"/>
    <n v="106"/>
    <n v="35"/>
    <n v="10667"/>
    <n v="1130702"/>
    <n v="0"/>
    <n v="512016"/>
    <x v="0"/>
    <x v="1"/>
    <x v="0"/>
  </r>
  <r>
    <x v="46"/>
    <x v="15"/>
    <x v="2"/>
    <x v="1"/>
    <x v="4"/>
    <n v="396"/>
    <n v="53"/>
    <n v="154"/>
    <n v="295"/>
    <n v="95"/>
    <n v="108"/>
    <n v="31860"/>
    <n v="0"/>
    <n v="5724"/>
    <x v="0"/>
    <x v="1"/>
    <x v="0"/>
  </r>
  <r>
    <x v="46"/>
    <x v="5"/>
    <x v="3"/>
    <x v="0"/>
    <x v="2"/>
    <n v="59"/>
    <n v="16"/>
    <n v="16"/>
    <n v="59"/>
    <n v="44"/>
    <n v="25213"/>
    <n v="1487567"/>
    <n v="0"/>
    <n v="403408"/>
    <x v="0"/>
    <x v="1"/>
    <x v="0"/>
  </r>
  <r>
    <x v="46"/>
    <x v="17"/>
    <x v="2"/>
    <x v="2"/>
    <x v="4"/>
    <n v="255"/>
    <n v="136"/>
    <n v="132"/>
    <n v="259"/>
    <n v="98"/>
    <n v="153"/>
    <n v="39627"/>
    <n v="0"/>
    <n v="20808"/>
    <x v="0"/>
    <x v="1"/>
    <x v="0"/>
  </r>
  <r>
    <x v="47"/>
    <x v="16"/>
    <x v="1"/>
    <x v="1"/>
    <x v="3"/>
    <n v="81"/>
    <n v="53"/>
    <n v="2"/>
    <n v="132"/>
    <n v="27"/>
    <n v="15714"/>
    <n v="2074248"/>
    <n v="0"/>
    <n v="832842"/>
    <x v="0"/>
    <x v="1"/>
    <x v="0"/>
  </r>
  <r>
    <x v="47"/>
    <x v="8"/>
    <x v="3"/>
    <x v="3"/>
    <x v="2"/>
    <n v="35"/>
    <n v="34"/>
    <n v="69"/>
    <n v="0"/>
    <n v="44"/>
    <n v="9788"/>
    <n v="0"/>
    <n v="0"/>
    <n v="332792"/>
    <x v="1"/>
    <x v="1"/>
    <x v="0"/>
  </r>
  <r>
    <x v="47"/>
    <x v="11"/>
    <x v="2"/>
    <x v="1"/>
    <x v="2"/>
    <n v="136"/>
    <n v="48"/>
    <n v="55"/>
    <n v="129"/>
    <n v="51"/>
    <n v="470"/>
    <n v="60630"/>
    <n v="0"/>
    <n v="22560"/>
    <x v="0"/>
    <x v="1"/>
    <x v="0"/>
  </r>
  <r>
    <x v="48"/>
    <x v="8"/>
    <x v="3"/>
    <x v="2"/>
    <x v="0"/>
    <n v="25"/>
    <n v="19"/>
    <n v="27"/>
    <n v="17"/>
    <n v="36"/>
    <n v="50959"/>
    <n v="866303"/>
    <n v="0"/>
    <n v="968221"/>
    <x v="1"/>
    <x v="1"/>
    <x v="0"/>
  </r>
  <r>
    <x v="48"/>
    <x v="2"/>
    <x v="0"/>
    <x v="0"/>
    <x v="3"/>
    <n v="17"/>
    <n v="73"/>
    <n v="62"/>
    <n v="28"/>
    <n v="37"/>
    <n v="2045"/>
    <n v="57260"/>
    <n v="0"/>
    <n v="149285"/>
    <x v="1"/>
    <x v="1"/>
    <x v="0"/>
  </r>
  <r>
    <x v="48"/>
    <x v="8"/>
    <x v="3"/>
    <x v="0"/>
    <x v="4"/>
    <n v="38"/>
    <n v="64"/>
    <n v="44"/>
    <n v="58"/>
    <n v="24"/>
    <n v="7206"/>
    <n v="417948"/>
    <n v="0"/>
    <n v="461184"/>
    <x v="0"/>
    <x v="1"/>
    <x v="0"/>
  </r>
  <r>
    <x v="49"/>
    <x v="2"/>
    <x v="0"/>
    <x v="3"/>
    <x v="5"/>
    <n v="92"/>
    <n v="74"/>
    <n v="29"/>
    <n v="137"/>
    <n v="32"/>
    <n v="7114"/>
    <n v="974618"/>
    <n v="0"/>
    <n v="526436"/>
    <x v="0"/>
    <x v="1"/>
    <x v="0"/>
  </r>
  <r>
    <x v="49"/>
    <x v="3"/>
    <x v="2"/>
    <x v="3"/>
    <x v="1"/>
    <n v="110"/>
    <n v="272"/>
    <n v="278"/>
    <n v="104"/>
    <n v="78"/>
    <n v="1183"/>
    <n v="123032"/>
    <n v="0"/>
    <n v="321776"/>
    <x v="0"/>
    <x v="1"/>
    <x v="0"/>
  </r>
  <r>
    <x v="49"/>
    <x v="10"/>
    <x v="2"/>
    <x v="1"/>
    <x v="2"/>
    <n v="156"/>
    <n v="38"/>
    <n v="194"/>
    <n v="0"/>
    <n v="121"/>
    <n v="719"/>
    <n v="0"/>
    <n v="0"/>
    <n v="27322"/>
    <x v="1"/>
    <x v="1"/>
    <x v="0"/>
  </r>
  <r>
    <x v="50"/>
    <x v="18"/>
    <x v="3"/>
    <x v="3"/>
    <x v="1"/>
    <n v="33"/>
    <n v="68"/>
    <n v="87"/>
    <n v="14"/>
    <n v="53"/>
    <n v="13905"/>
    <n v="194670"/>
    <n v="0"/>
    <n v="945540"/>
    <x v="1"/>
    <x v="1"/>
    <x v="0"/>
  </r>
  <r>
    <x v="50"/>
    <x v="7"/>
    <x v="2"/>
    <x v="2"/>
    <x v="0"/>
    <n v="426"/>
    <n v="282"/>
    <n v="82"/>
    <n v="626"/>
    <n v="97"/>
    <n v="231"/>
    <n v="144606"/>
    <n v="0"/>
    <n v="65142"/>
    <x v="0"/>
    <x v="1"/>
    <x v="0"/>
  </r>
  <r>
    <x v="50"/>
    <x v="13"/>
    <x v="3"/>
    <x v="2"/>
    <x v="4"/>
    <n v="172"/>
    <n v="67"/>
    <n v="67"/>
    <n v="172"/>
    <n v="41"/>
    <n v="61405"/>
    <n v="10561660"/>
    <n v="0"/>
    <n v="4114135"/>
    <x v="0"/>
    <x v="1"/>
    <x v="0"/>
  </r>
  <r>
    <x v="50"/>
    <x v="7"/>
    <x v="2"/>
    <x v="3"/>
    <x v="5"/>
    <n v="452"/>
    <n v="80"/>
    <n v="96"/>
    <n v="436"/>
    <n v="133"/>
    <n v="1111"/>
    <n v="484396"/>
    <n v="0"/>
    <n v="88880"/>
    <x v="0"/>
    <x v="1"/>
    <x v="0"/>
  </r>
  <r>
    <x v="51"/>
    <x v="18"/>
    <x v="3"/>
    <x v="1"/>
    <x v="4"/>
    <n v="133"/>
    <n v="116"/>
    <n v="33"/>
    <n v="216"/>
    <n v="45"/>
    <n v="52916"/>
    <n v="11429856"/>
    <n v="0"/>
    <n v="6138256"/>
    <x v="0"/>
    <x v="1"/>
    <x v="0"/>
  </r>
  <r>
    <x v="51"/>
    <x v="10"/>
    <x v="2"/>
    <x v="1"/>
    <x v="0"/>
    <n v="189"/>
    <n v="48"/>
    <n v="84"/>
    <n v="153"/>
    <n v="146"/>
    <n v="249"/>
    <n v="38097"/>
    <n v="0"/>
    <n v="11952"/>
    <x v="0"/>
    <x v="1"/>
    <x v="0"/>
  </r>
  <r>
    <x v="51"/>
    <x v="17"/>
    <x v="2"/>
    <x v="0"/>
    <x v="2"/>
    <n v="258"/>
    <n v="67"/>
    <n v="109"/>
    <n v="216"/>
    <n v="58"/>
    <n v="1094"/>
    <n v="236304"/>
    <n v="0"/>
    <n v="73298"/>
    <x v="0"/>
    <x v="1"/>
    <x v="0"/>
  </r>
  <r>
    <x v="51"/>
    <x v="1"/>
    <x v="1"/>
    <x v="0"/>
    <x v="1"/>
    <n v="42"/>
    <n v="26"/>
    <n v="6"/>
    <n v="62"/>
    <n v="15"/>
    <n v="4333"/>
    <n v="268646"/>
    <n v="0"/>
    <n v="112658"/>
    <x v="0"/>
    <x v="1"/>
    <x v="0"/>
  </r>
  <r>
    <x v="51"/>
    <x v="11"/>
    <x v="2"/>
    <x v="0"/>
    <x v="2"/>
    <n v="50"/>
    <n v="40"/>
    <n v="90"/>
    <n v="0"/>
    <n v="93"/>
    <n v="975"/>
    <n v="0"/>
    <n v="0"/>
    <n v="39000"/>
    <x v="1"/>
    <x v="1"/>
    <x v="0"/>
  </r>
  <r>
    <x v="51"/>
    <x v="18"/>
    <x v="3"/>
    <x v="1"/>
    <x v="1"/>
    <n v="64"/>
    <n v="46"/>
    <n v="46"/>
    <n v="64"/>
    <n v="36"/>
    <n v="22091"/>
    <n v="1413824"/>
    <n v="0"/>
    <n v="1016186"/>
    <x v="0"/>
    <x v="1"/>
    <x v="0"/>
  </r>
  <r>
    <x v="51"/>
    <x v="14"/>
    <x v="3"/>
    <x v="1"/>
    <x v="1"/>
    <n v="56"/>
    <n v="12"/>
    <n v="12"/>
    <n v="56"/>
    <n v="28"/>
    <n v="13993"/>
    <n v="783608"/>
    <n v="0"/>
    <n v="167916"/>
    <x v="0"/>
    <x v="1"/>
    <x v="0"/>
  </r>
  <r>
    <x v="52"/>
    <x v="4"/>
    <x v="1"/>
    <x v="0"/>
    <x v="0"/>
    <n v="83"/>
    <n v="50"/>
    <n v="14"/>
    <n v="119"/>
    <n v="15"/>
    <n v="21632"/>
    <n v="2574208"/>
    <n v="0"/>
    <n v="1081600"/>
    <x v="0"/>
    <x v="1"/>
    <x v="0"/>
  </r>
  <r>
    <x v="52"/>
    <x v="6"/>
    <x v="3"/>
    <x v="0"/>
    <x v="0"/>
    <n v="110"/>
    <n v="90"/>
    <n v="70"/>
    <n v="130"/>
    <n v="50"/>
    <n v="26768"/>
    <n v="3479840"/>
    <n v="0"/>
    <n v="2409120"/>
    <x v="0"/>
    <x v="1"/>
    <x v="0"/>
  </r>
  <r>
    <x v="52"/>
    <x v="4"/>
    <x v="1"/>
    <x v="2"/>
    <x v="3"/>
    <n v="72"/>
    <n v="15"/>
    <n v="32"/>
    <n v="55"/>
    <n v="16"/>
    <n v="13259"/>
    <n v="729245"/>
    <n v="0"/>
    <n v="198885"/>
    <x v="0"/>
    <x v="1"/>
    <x v="0"/>
  </r>
  <r>
    <x v="52"/>
    <x v="9"/>
    <x v="0"/>
    <x v="2"/>
    <x v="1"/>
    <n v="35"/>
    <n v="70"/>
    <n v="29"/>
    <n v="76"/>
    <n v="18"/>
    <n v="2000"/>
    <n v="152000"/>
    <n v="0"/>
    <n v="140000"/>
    <x v="0"/>
    <x v="1"/>
    <x v="0"/>
  </r>
  <r>
    <x v="52"/>
    <x v="18"/>
    <x v="3"/>
    <x v="0"/>
    <x v="1"/>
    <n v="137"/>
    <n v="118"/>
    <n v="35"/>
    <n v="220"/>
    <n v="27"/>
    <n v="39645"/>
    <n v="8721900"/>
    <n v="0"/>
    <n v="4678110"/>
    <x v="0"/>
    <x v="1"/>
    <x v="0"/>
  </r>
  <r>
    <x v="52"/>
    <x v="14"/>
    <x v="3"/>
    <x v="1"/>
    <x v="0"/>
    <n v="175"/>
    <n v="12"/>
    <n v="84"/>
    <n v="103"/>
    <n v="51"/>
    <n v="9397"/>
    <n v="967891"/>
    <n v="0"/>
    <n v="112764"/>
    <x v="0"/>
    <x v="1"/>
    <x v="0"/>
  </r>
  <r>
    <x v="52"/>
    <x v="10"/>
    <x v="2"/>
    <x v="3"/>
    <x v="3"/>
    <n v="267"/>
    <n v="106"/>
    <n v="213"/>
    <n v="160"/>
    <n v="77"/>
    <n v="575"/>
    <n v="92000"/>
    <n v="0"/>
    <n v="60950"/>
    <x v="0"/>
    <x v="1"/>
    <x v="0"/>
  </r>
  <r>
    <x v="53"/>
    <x v="0"/>
    <x v="0"/>
    <x v="1"/>
    <x v="5"/>
    <n v="74"/>
    <n v="12"/>
    <n v="55"/>
    <n v="31"/>
    <n v="26"/>
    <n v="3751"/>
    <n v="116281"/>
    <n v="0"/>
    <n v="45012"/>
    <x v="0"/>
    <x v="1"/>
    <x v="0"/>
  </r>
  <r>
    <x v="53"/>
    <x v="15"/>
    <x v="2"/>
    <x v="3"/>
    <x v="2"/>
    <n v="217"/>
    <n v="55"/>
    <n v="74"/>
    <n v="198"/>
    <n v="113"/>
    <n v="605"/>
    <n v="119790"/>
    <n v="0"/>
    <n v="33275"/>
    <x v="0"/>
    <x v="1"/>
    <x v="0"/>
  </r>
  <r>
    <x v="53"/>
    <x v="14"/>
    <x v="3"/>
    <x v="0"/>
    <x v="2"/>
    <n v="66"/>
    <n v="96"/>
    <n v="53"/>
    <n v="109"/>
    <n v="54"/>
    <n v="47400"/>
    <n v="5166600"/>
    <n v="0"/>
    <n v="4550400"/>
    <x v="0"/>
    <x v="1"/>
    <x v="0"/>
  </r>
  <r>
    <x v="54"/>
    <x v="13"/>
    <x v="3"/>
    <x v="0"/>
    <x v="2"/>
    <n v="80"/>
    <n v="98"/>
    <n v="12"/>
    <n v="166"/>
    <n v="34"/>
    <n v="33839"/>
    <n v="5617274"/>
    <n v="0"/>
    <n v="3316222"/>
    <x v="0"/>
    <x v="1"/>
    <x v="0"/>
  </r>
  <r>
    <x v="54"/>
    <x v="13"/>
    <x v="3"/>
    <x v="2"/>
    <x v="2"/>
    <n v="29"/>
    <n v="105"/>
    <n v="46"/>
    <n v="88"/>
    <n v="32"/>
    <n v="30792"/>
    <n v="2709696"/>
    <n v="0"/>
    <n v="3233160"/>
    <x v="0"/>
    <x v="1"/>
    <x v="0"/>
  </r>
  <r>
    <x v="55"/>
    <x v="8"/>
    <x v="3"/>
    <x v="1"/>
    <x v="2"/>
    <n v="138"/>
    <n v="85"/>
    <n v="40"/>
    <n v="183"/>
    <n v="57"/>
    <n v="12990"/>
    <n v="2377170"/>
    <n v="0"/>
    <n v="1104150"/>
    <x v="0"/>
    <x v="1"/>
    <x v="0"/>
  </r>
  <r>
    <x v="55"/>
    <x v="17"/>
    <x v="2"/>
    <x v="1"/>
    <x v="2"/>
    <n v="272"/>
    <n v="149"/>
    <n v="188"/>
    <n v="233"/>
    <n v="99"/>
    <n v="819"/>
    <n v="190827"/>
    <n v="0"/>
    <n v="122031"/>
    <x v="0"/>
    <x v="1"/>
    <x v="0"/>
  </r>
  <r>
    <x v="55"/>
    <x v="11"/>
    <x v="2"/>
    <x v="2"/>
    <x v="2"/>
    <n v="132"/>
    <n v="128"/>
    <n v="158"/>
    <n v="102"/>
    <n v="111"/>
    <n v="1199"/>
    <n v="122298"/>
    <n v="0"/>
    <n v="153472"/>
    <x v="1"/>
    <x v="1"/>
    <x v="0"/>
  </r>
  <r>
    <x v="55"/>
    <x v="2"/>
    <x v="0"/>
    <x v="0"/>
    <x v="4"/>
    <n v="114"/>
    <n v="25"/>
    <n v="48"/>
    <n v="91"/>
    <n v="28"/>
    <n v="5963"/>
    <n v="542633"/>
    <n v="0"/>
    <n v="149075"/>
    <x v="0"/>
    <x v="1"/>
    <x v="0"/>
  </r>
  <r>
    <x v="55"/>
    <x v="15"/>
    <x v="2"/>
    <x v="0"/>
    <x v="1"/>
    <n v="128"/>
    <n v="132"/>
    <n v="202"/>
    <n v="58"/>
    <n v="71"/>
    <n v="536"/>
    <n v="31088"/>
    <n v="0"/>
    <n v="70752"/>
    <x v="1"/>
    <x v="1"/>
    <x v="0"/>
  </r>
  <r>
    <x v="55"/>
    <x v="7"/>
    <x v="2"/>
    <x v="0"/>
    <x v="3"/>
    <n v="400"/>
    <n v="161"/>
    <n v="235"/>
    <n v="326"/>
    <n v="140"/>
    <n v="327"/>
    <n v="106602"/>
    <n v="0"/>
    <n v="52647"/>
    <x v="0"/>
    <x v="1"/>
    <x v="0"/>
  </r>
  <r>
    <x v="55"/>
    <x v="3"/>
    <x v="2"/>
    <x v="0"/>
    <x v="0"/>
    <n v="84"/>
    <n v="141"/>
    <n v="45"/>
    <n v="180"/>
    <n v="138"/>
    <n v="458"/>
    <n v="82440"/>
    <n v="0"/>
    <n v="64578"/>
    <x v="0"/>
    <x v="1"/>
    <x v="0"/>
  </r>
  <r>
    <x v="56"/>
    <x v="9"/>
    <x v="0"/>
    <x v="3"/>
    <x v="4"/>
    <n v="107"/>
    <n v="23"/>
    <n v="35"/>
    <n v="95"/>
    <n v="17"/>
    <n v="15272"/>
    <n v="1450840"/>
    <n v="0"/>
    <n v="351256"/>
    <x v="0"/>
    <x v="1"/>
    <x v="0"/>
  </r>
  <r>
    <x v="56"/>
    <x v="4"/>
    <x v="1"/>
    <x v="2"/>
    <x v="1"/>
    <n v="61"/>
    <n v="44"/>
    <n v="24"/>
    <n v="81"/>
    <n v="16"/>
    <n v="23802"/>
    <n v="1927962"/>
    <n v="0"/>
    <n v="1047288"/>
    <x v="0"/>
    <x v="1"/>
    <x v="0"/>
  </r>
  <r>
    <x v="56"/>
    <x v="19"/>
    <x v="0"/>
    <x v="2"/>
    <x v="3"/>
    <n v="112"/>
    <n v="72"/>
    <n v="58"/>
    <n v="126"/>
    <n v="21"/>
    <n v="2401"/>
    <n v="302526"/>
    <n v="0"/>
    <n v="172872"/>
    <x v="0"/>
    <x v="1"/>
    <x v="0"/>
  </r>
  <r>
    <x v="56"/>
    <x v="16"/>
    <x v="1"/>
    <x v="0"/>
    <x v="0"/>
    <n v="47"/>
    <n v="12"/>
    <n v="44"/>
    <n v="15"/>
    <n v="17"/>
    <n v="4155"/>
    <n v="62325"/>
    <n v="0"/>
    <n v="49860"/>
    <x v="1"/>
    <x v="1"/>
    <x v="0"/>
  </r>
  <r>
    <x v="57"/>
    <x v="10"/>
    <x v="2"/>
    <x v="0"/>
    <x v="1"/>
    <n v="377"/>
    <n v="248"/>
    <n v="118"/>
    <n v="507"/>
    <n v="57"/>
    <n v="347"/>
    <n v="175929"/>
    <n v="0"/>
    <n v="86056"/>
    <x v="0"/>
    <x v="1"/>
    <x v="0"/>
  </r>
  <r>
    <x v="57"/>
    <x v="19"/>
    <x v="0"/>
    <x v="0"/>
    <x v="3"/>
    <n v="87"/>
    <n v="8"/>
    <n v="12"/>
    <n v="83"/>
    <n v="23"/>
    <n v="2682"/>
    <n v="222606"/>
    <n v="0"/>
    <n v="21456"/>
    <x v="0"/>
    <x v="1"/>
    <x v="0"/>
  </r>
  <r>
    <x v="57"/>
    <x v="15"/>
    <x v="2"/>
    <x v="0"/>
    <x v="1"/>
    <n v="171"/>
    <n v="30"/>
    <n v="201"/>
    <n v="0"/>
    <n v="145"/>
    <n v="821"/>
    <n v="0"/>
    <n v="0"/>
    <n v="24630"/>
    <x v="1"/>
    <x v="1"/>
    <x v="0"/>
  </r>
  <r>
    <x v="57"/>
    <x v="7"/>
    <x v="2"/>
    <x v="3"/>
    <x v="2"/>
    <n v="333"/>
    <n v="55"/>
    <n v="75"/>
    <n v="313"/>
    <n v="146"/>
    <n v="1087"/>
    <n v="340231"/>
    <n v="0"/>
    <n v="59785"/>
    <x v="0"/>
    <x v="1"/>
    <x v="0"/>
  </r>
  <r>
    <x v="57"/>
    <x v="16"/>
    <x v="1"/>
    <x v="2"/>
    <x v="1"/>
    <n v="50"/>
    <n v="10"/>
    <n v="12"/>
    <n v="48"/>
    <n v="15"/>
    <n v="20180"/>
    <n v="968640"/>
    <n v="0"/>
    <n v="201800"/>
    <x v="0"/>
    <x v="1"/>
    <x v="0"/>
  </r>
  <r>
    <x v="58"/>
    <x v="8"/>
    <x v="3"/>
    <x v="1"/>
    <x v="1"/>
    <n v="150"/>
    <n v="37"/>
    <n v="78"/>
    <n v="109"/>
    <n v="54"/>
    <n v="9746"/>
    <n v="1062314"/>
    <n v="0"/>
    <n v="360602"/>
    <x v="0"/>
    <x v="1"/>
    <x v="0"/>
  </r>
  <r>
    <x v="58"/>
    <x v="9"/>
    <x v="0"/>
    <x v="3"/>
    <x v="5"/>
    <n v="16"/>
    <n v="19"/>
    <n v="35"/>
    <n v="0"/>
    <n v="19"/>
    <n v="4388"/>
    <n v="0"/>
    <n v="0"/>
    <n v="83372"/>
    <x v="1"/>
    <x v="1"/>
    <x v="0"/>
  </r>
  <r>
    <x v="58"/>
    <x v="15"/>
    <x v="2"/>
    <x v="0"/>
    <x v="5"/>
    <n v="268"/>
    <n v="295"/>
    <n v="150"/>
    <n v="413"/>
    <n v="51"/>
    <n v="255"/>
    <n v="105315"/>
    <n v="0"/>
    <n v="75225"/>
    <x v="0"/>
    <x v="1"/>
    <x v="0"/>
  </r>
  <r>
    <x v="58"/>
    <x v="2"/>
    <x v="0"/>
    <x v="1"/>
    <x v="5"/>
    <n v="90"/>
    <n v="48"/>
    <n v="26"/>
    <n v="112"/>
    <n v="18"/>
    <n v="10047"/>
    <n v="1125264"/>
    <n v="0"/>
    <n v="482256"/>
    <x v="0"/>
    <x v="1"/>
    <x v="0"/>
  </r>
  <r>
    <x v="58"/>
    <x v="9"/>
    <x v="0"/>
    <x v="0"/>
    <x v="0"/>
    <n v="47"/>
    <n v="32"/>
    <n v="20"/>
    <n v="59"/>
    <n v="34"/>
    <n v="15452"/>
    <n v="911668"/>
    <n v="0"/>
    <n v="494464"/>
    <x v="0"/>
    <x v="1"/>
    <x v="0"/>
  </r>
  <r>
    <x v="58"/>
    <x v="11"/>
    <x v="2"/>
    <x v="3"/>
    <x v="4"/>
    <n v="58"/>
    <n v="196"/>
    <n v="200"/>
    <n v="54"/>
    <n v="71"/>
    <n v="261"/>
    <n v="14094"/>
    <n v="0"/>
    <n v="51156"/>
    <x v="1"/>
    <x v="1"/>
    <x v="0"/>
  </r>
  <r>
    <x v="58"/>
    <x v="1"/>
    <x v="1"/>
    <x v="0"/>
    <x v="4"/>
    <n v="13"/>
    <n v="44"/>
    <n v="4"/>
    <n v="53"/>
    <n v="11"/>
    <n v="10180"/>
    <n v="539540"/>
    <n v="0"/>
    <n v="447920"/>
    <x v="0"/>
    <x v="1"/>
    <x v="0"/>
  </r>
  <r>
    <x v="59"/>
    <x v="8"/>
    <x v="3"/>
    <x v="2"/>
    <x v="0"/>
    <n v="67"/>
    <n v="108"/>
    <n v="23"/>
    <n v="152"/>
    <n v="58"/>
    <n v="46823"/>
    <n v="7117096"/>
    <n v="0"/>
    <n v="5056884"/>
    <x v="0"/>
    <x v="2"/>
    <x v="0"/>
  </r>
  <r>
    <x v="59"/>
    <x v="16"/>
    <x v="1"/>
    <x v="3"/>
    <x v="0"/>
    <n v="12"/>
    <n v="58"/>
    <n v="15"/>
    <n v="55"/>
    <n v="24"/>
    <n v="15028"/>
    <n v="826540"/>
    <n v="0"/>
    <n v="871624"/>
    <x v="0"/>
    <x v="2"/>
    <x v="0"/>
  </r>
  <r>
    <x v="59"/>
    <x v="14"/>
    <x v="3"/>
    <x v="1"/>
    <x v="0"/>
    <n v="119"/>
    <n v="10"/>
    <n v="47"/>
    <n v="82"/>
    <n v="59"/>
    <n v="46166"/>
    <n v="3785612"/>
    <n v="0"/>
    <n v="461660"/>
    <x v="0"/>
    <x v="2"/>
    <x v="0"/>
  </r>
  <r>
    <x v="60"/>
    <x v="11"/>
    <x v="2"/>
    <x v="0"/>
    <x v="1"/>
    <n v="172"/>
    <n v="84"/>
    <n v="172"/>
    <n v="84"/>
    <n v="108"/>
    <n v="993"/>
    <n v="83412"/>
    <n v="0"/>
    <n v="83412"/>
    <x v="1"/>
    <x v="2"/>
    <x v="0"/>
  </r>
  <r>
    <x v="60"/>
    <x v="19"/>
    <x v="0"/>
    <x v="2"/>
    <x v="5"/>
    <n v="86"/>
    <n v="75"/>
    <n v="8"/>
    <n v="153"/>
    <n v="26"/>
    <n v="6726"/>
    <n v="1029078"/>
    <n v="0"/>
    <n v="504450"/>
    <x v="0"/>
    <x v="2"/>
    <x v="0"/>
  </r>
  <r>
    <x v="60"/>
    <x v="3"/>
    <x v="2"/>
    <x v="3"/>
    <x v="5"/>
    <n v="149"/>
    <n v="233"/>
    <n v="267"/>
    <n v="115"/>
    <n v="54"/>
    <n v="505"/>
    <n v="58075"/>
    <n v="0"/>
    <n v="117665"/>
    <x v="0"/>
    <x v="2"/>
    <x v="0"/>
  </r>
  <r>
    <x v="60"/>
    <x v="8"/>
    <x v="3"/>
    <x v="2"/>
    <x v="0"/>
    <n v="132"/>
    <n v="88"/>
    <n v="38"/>
    <n v="182"/>
    <n v="36"/>
    <n v="53605"/>
    <n v="9756110"/>
    <n v="0"/>
    <n v="4717240"/>
    <x v="0"/>
    <x v="2"/>
    <x v="0"/>
  </r>
  <r>
    <x v="60"/>
    <x v="15"/>
    <x v="2"/>
    <x v="1"/>
    <x v="1"/>
    <n v="334"/>
    <n v="124"/>
    <n v="50"/>
    <n v="408"/>
    <n v="53"/>
    <n v="1190"/>
    <n v="485520"/>
    <n v="0"/>
    <n v="147560"/>
    <x v="0"/>
    <x v="2"/>
    <x v="0"/>
  </r>
  <r>
    <x v="61"/>
    <x v="8"/>
    <x v="3"/>
    <x v="1"/>
    <x v="0"/>
    <n v="36"/>
    <n v="110"/>
    <n v="24"/>
    <n v="122"/>
    <n v="56"/>
    <n v="58146"/>
    <n v="7093812"/>
    <n v="0"/>
    <n v="6396060"/>
    <x v="0"/>
    <x v="2"/>
    <x v="0"/>
  </r>
  <r>
    <x v="61"/>
    <x v="16"/>
    <x v="1"/>
    <x v="2"/>
    <x v="5"/>
    <n v="12"/>
    <n v="50"/>
    <n v="5"/>
    <n v="57"/>
    <n v="28"/>
    <n v="3060"/>
    <n v="174420"/>
    <n v="0"/>
    <n v="153000"/>
    <x v="0"/>
    <x v="2"/>
    <x v="0"/>
  </r>
  <r>
    <x v="61"/>
    <x v="9"/>
    <x v="0"/>
    <x v="0"/>
    <x v="0"/>
    <n v="68"/>
    <n v="78"/>
    <n v="57"/>
    <n v="89"/>
    <n v="22"/>
    <n v="1965"/>
    <n v="174885"/>
    <n v="0"/>
    <n v="153270"/>
    <x v="0"/>
    <x v="2"/>
    <x v="0"/>
  </r>
  <r>
    <x v="61"/>
    <x v="16"/>
    <x v="1"/>
    <x v="1"/>
    <x v="2"/>
    <n v="57"/>
    <n v="34"/>
    <n v="13"/>
    <n v="78"/>
    <n v="20"/>
    <n v="23038"/>
    <n v="1796964"/>
    <n v="0"/>
    <n v="783292"/>
    <x v="0"/>
    <x v="2"/>
    <x v="0"/>
  </r>
  <r>
    <x v="62"/>
    <x v="16"/>
    <x v="1"/>
    <x v="1"/>
    <x v="3"/>
    <n v="52"/>
    <n v="7"/>
    <n v="19"/>
    <n v="40"/>
    <n v="20"/>
    <n v="24595"/>
    <n v="983800"/>
    <n v="0"/>
    <n v="172165"/>
    <x v="0"/>
    <x v="2"/>
    <x v="0"/>
  </r>
  <r>
    <x v="62"/>
    <x v="16"/>
    <x v="1"/>
    <x v="3"/>
    <x v="4"/>
    <n v="50"/>
    <n v="57"/>
    <n v="8"/>
    <n v="99"/>
    <n v="26"/>
    <n v="2271"/>
    <n v="224829"/>
    <n v="0"/>
    <n v="129447"/>
    <x v="0"/>
    <x v="2"/>
    <x v="0"/>
  </r>
  <r>
    <x v="62"/>
    <x v="15"/>
    <x v="2"/>
    <x v="3"/>
    <x v="1"/>
    <n v="72"/>
    <n v="104"/>
    <n v="57"/>
    <n v="119"/>
    <n v="106"/>
    <n v="691"/>
    <n v="82229"/>
    <n v="0"/>
    <n v="71864"/>
    <x v="0"/>
    <x v="2"/>
    <x v="0"/>
  </r>
  <r>
    <x v="63"/>
    <x v="10"/>
    <x v="2"/>
    <x v="0"/>
    <x v="2"/>
    <n v="175"/>
    <n v="247"/>
    <n v="245"/>
    <n v="177"/>
    <n v="87"/>
    <n v="32"/>
    <n v="5664"/>
    <n v="0"/>
    <n v="7904"/>
    <x v="0"/>
    <x v="2"/>
    <x v="0"/>
  </r>
  <r>
    <x v="63"/>
    <x v="13"/>
    <x v="3"/>
    <x v="1"/>
    <x v="3"/>
    <n v="91"/>
    <n v="30"/>
    <n v="22"/>
    <n v="99"/>
    <n v="37"/>
    <n v="27389"/>
    <n v="2711511"/>
    <n v="0"/>
    <n v="821670"/>
    <x v="0"/>
    <x v="2"/>
    <x v="0"/>
  </r>
  <r>
    <x v="64"/>
    <x v="16"/>
    <x v="1"/>
    <x v="0"/>
    <x v="2"/>
    <n v="98"/>
    <n v="11"/>
    <n v="10"/>
    <n v="99"/>
    <n v="10"/>
    <n v="23347"/>
    <n v="2311353"/>
    <n v="0"/>
    <n v="256817"/>
    <x v="0"/>
    <x v="2"/>
    <x v="0"/>
  </r>
  <r>
    <x v="64"/>
    <x v="12"/>
    <x v="1"/>
    <x v="0"/>
    <x v="4"/>
    <n v="11"/>
    <n v="8"/>
    <n v="15"/>
    <n v="4"/>
    <n v="13"/>
    <n v="5627"/>
    <n v="22508"/>
    <n v="0"/>
    <n v="45016"/>
    <x v="1"/>
    <x v="2"/>
    <x v="0"/>
  </r>
  <r>
    <x v="64"/>
    <x v="17"/>
    <x v="2"/>
    <x v="0"/>
    <x v="0"/>
    <n v="367"/>
    <n v="149"/>
    <n v="252"/>
    <n v="264"/>
    <n v="58"/>
    <n v="917"/>
    <n v="242088"/>
    <n v="0"/>
    <n v="136633"/>
    <x v="0"/>
    <x v="2"/>
    <x v="0"/>
  </r>
  <r>
    <x v="64"/>
    <x v="12"/>
    <x v="1"/>
    <x v="3"/>
    <x v="5"/>
    <n v="13"/>
    <n v="33"/>
    <n v="2"/>
    <n v="44"/>
    <n v="27"/>
    <n v="16582"/>
    <n v="729608"/>
    <n v="0"/>
    <n v="547206"/>
    <x v="0"/>
    <x v="2"/>
    <x v="0"/>
  </r>
  <r>
    <x v="64"/>
    <x v="11"/>
    <x v="2"/>
    <x v="3"/>
    <x v="5"/>
    <n v="221"/>
    <n v="179"/>
    <n v="155"/>
    <n v="245"/>
    <n v="130"/>
    <n v="962"/>
    <n v="235690"/>
    <n v="0"/>
    <n v="172198"/>
    <x v="0"/>
    <x v="2"/>
    <x v="0"/>
  </r>
  <r>
    <x v="64"/>
    <x v="9"/>
    <x v="0"/>
    <x v="0"/>
    <x v="2"/>
    <n v="29"/>
    <n v="8"/>
    <n v="37"/>
    <n v="0"/>
    <n v="23"/>
    <n v="16402"/>
    <n v="0"/>
    <n v="0"/>
    <n v="131216"/>
    <x v="1"/>
    <x v="2"/>
    <x v="0"/>
  </r>
  <r>
    <x v="64"/>
    <x v="12"/>
    <x v="1"/>
    <x v="3"/>
    <x v="5"/>
    <n v="78"/>
    <n v="7"/>
    <n v="28"/>
    <n v="57"/>
    <n v="27"/>
    <n v="1614"/>
    <n v="91998"/>
    <n v="0"/>
    <n v="11298"/>
    <x v="0"/>
    <x v="2"/>
    <x v="0"/>
  </r>
  <r>
    <x v="64"/>
    <x v="1"/>
    <x v="1"/>
    <x v="2"/>
    <x v="4"/>
    <n v="30"/>
    <n v="47"/>
    <n v="36"/>
    <n v="41"/>
    <n v="26"/>
    <n v="19432"/>
    <n v="796712"/>
    <n v="0"/>
    <n v="913304"/>
    <x v="0"/>
    <x v="2"/>
    <x v="0"/>
  </r>
  <r>
    <x v="65"/>
    <x v="13"/>
    <x v="3"/>
    <x v="2"/>
    <x v="2"/>
    <n v="46"/>
    <n v="69"/>
    <n v="43"/>
    <n v="72"/>
    <n v="57"/>
    <n v="32075"/>
    <n v="2309400"/>
    <n v="0"/>
    <n v="2213175"/>
    <x v="0"/>
    <x v="2"/>
    <x v="0"/>
  </r>
  <r>
    <x v="65"/>
    <x v="15"/>
    <x v="2"/>
    <x v="2"/>
    <x v="1"/>
    <n v="129"/>
    <n v="284"/>
    <n v="134"/>
    <n v="279"/>
    <n v="50"/>
    <n v="1189"/>
    <n v="331731"/>
    <n v="0"/>
    <n v="337676"/>
    <x v="0"/>
    <x v="2"/>
    <x v="0"/>
  </r>
  <r>
    <x v="65"/>
    <x v="7"/>
    <x v="2"/>
    <x v="3"/>
    <x v="3"/>
    <n v="474"/>
    <n v="141"/>
    <n v="22"/>
    <n v="593"/>
    <n v="85"/>
    <n v="519"/>
    <n v="307767"/>
    <n v="0"/>
    <n v="73179"/>
    <x v="0"/>
    <x v="2"/>
    <x v="0"/>
  </r>
  <r>
    <x v="66"/>
    <x v="15"/>
    <x v="2"/>
    <x v="0"/>
    <x v="3"/>
    <n v="342"/>
    <n v="118"/>
    <n v="109"/>
    <n v="351"/>
    <n v="142"/>
    <n v="208"/>
    <n v="73008"/>
    <n v="0"/>
    <n v="24544"/>
    <x v="0"/>
    <x v="2"/>
    <x v="0"/>
  </r>
  <r>
    <x v="66"/>
    <x v="17"/>
    <x v="2"/>
    <x v="0"/>
    <x v="3"/>
    <n v="489"/>
    <n v="277"/>
    <n v="50"/>
    <n v="716"/>
    <n v="87"/>
    <n v="1078"/>
    <n v="771848"/>
    <n v="0"/>
    <n v="298606"/>
    <x v="0"/>
    <x v="2"/>
    <x v="0"/>
  </r>
  <r>
    <x v="66"/>
    <x v="1"/>
    <x v="1"/>
    <x v="1"/>
    <x v="4"/>
    <n v="91"/>
    <n v="54"/>
    <n v="39"/>
    <n v="106"/>
    <n v="12"/>
    <n v="3782"/>
    <n v="400892"/>
    <n v="0"/>
    <n v="204228"/>
    <x v="0"/>
    <x v="2"/>
    <x v="0"/>
  </r>
  <r>
    <x v="66"/>
    <x v="4"/>
    <x v="1"/>
    <x v="0"/>
    <x v="1"/>
    <n v="18"/>
    <n v="9"/>
    <n v="27"/>
    <n v="0"/>
    <n v="21"/>
    <n v="10085"/>
    <n v="0"/>
    <n v="0"/>
    <n v="90765"/>
    <x v="1"/>
    <x v="2"/>
    <x v="0"/>
  </r>
  <r>
    <x v="66"/>
    <x v="14"/>
    <x v="3"/>
    <x v="1"/>
    <x v="5"/>
    <n v="63"/>
    <n v="67"/>
    <n v="7"/>
    <n v="123"/>
    <n v="25"/>
    <n v="9333"/>
    <n v="1147959"/>
    <n v="0"/>
    <n v="625311"/>
    <x v="0"/>
    <x v="2"/>
    <x v="0"/>
  </r>
  <r>
    <x v="67"/>
    <x v="9"/>
    <x v="0"/>
    <x v="1"/>
    <x v="2"/>
    <n v="114"/>
    <n v="49"/>
    <n v="18"/>
    <n v="145"/>
    <n v="36"/>
    <n v="1885"/>
    <n v="273325"/>
    <n v="0"/>
    <n v="92365"/>
    <x v="0"/>
    <x v="2"/>
    <x v="0"/>
  </r>
  <r>
    <x v="67"/>
    <x v="16"/>
    <x v="1"/>
    <x v="1"/>
    <x v="3"/>
    <n v="17"/>
    <n v="6"/>
    <n v="23"/>
    <n v="0"/>
    <n v="23"/>
    <n v="9304"/>
    <n v="0"/>
    <n v="0"/>
    <n v="55824"/>
    <x v="1"/>
    <x v="2"/>
    <x v="0"/>
  </r>
  <r>
    <x v="67"/>
    <x v="3"/>
    <x v="2"/>
    <x v="1"/>
    <x v="4"/>
    <n v="118"/>
    <n v="194"/>
    <n v="171"/>
    <n v="141"/>
    <n v="135"/>
    <n v="384"/>
    <n v="54144"/>
    <n v="0"/>
    <n v="74496"/>
    <x v="0"/>
    <x v="2"/>
    <x v="0"/>
  </r>
  <r>
    <x v="67"/>
    <x v="4"/>
    <x v="1"/>
    <x v="1"/>
    <x v="2"/>
    <n v="37"/>
    <n v="57"/>
    <n v="5"/>
    <n v="89"/>
    <n v="26"/>
    <n v="14378"/>
    <n v="1279642"/>
    <n v="0"/>
    <n v="819546"/>
    <x v="0"/>
    <x v="2"/>
    <x v="0"/>
  </r>
  <r>
    <x v="67"/>
    <x v="10"/>
    <x v="2"/>
    <x v="2"/>
    <x v="1"/>
    <n v="237"/>
    <n v="160"/>
    <n v="230"/>
    <n v="167"/>
    <n v="50"/>
    <n v="532"/>
    <n v="88844"/>
    <n v="0"/>
    <n v="85120"/>
    <x v="0"/>
    <x v="2"/>
    <x v="0"/>
  </r>
  <r>
    <x v="68"/>
    <x v="13"/>
    <x v="3"/>
    <x v="3"/>
    <x v="0"/>
    <n v="162"/>
    <n v="52"/>
    <n v="78"/>
    <n v="136"/>
    <n v="53"/>
    <n v="2352"/>
    <n v="319872"/>
    <n v="0"/>
    <n v="122304"/>
    <x v="0"/>
    <x v="2"/>
    <x v="0"/>
  </r>
  <r>
    <x v="68"/>
    <x v="0"/>
    <x v="0"/>
    <x v="3"/>
    <x v="0"/>
    <n v="72"/>
    <n v="67"/>
    <n v="31"/>
    <n v="108"/>
    <n v="34"/>
    <n v="7433"/>
    <n v="802764"/>
    <n v="0"/>
    <n v="498011"/>
    <x v="0"/>
    <x v="2"/>
    <x v="0"/>
  </r>
  <r>
    <x v="68"/>
    <x v="16"/>
    <x v="1"/>
    <x v="0"/>
    <x v="3"/>
    <n v="75"/>
    <n v="28"/>
    <n v="32"/>
    <n v="71"/>
    <n v="16"/>
    <n v="10364"/>
    <n v="735844"/>
    <n v="0"/>
    <n v="290192"/>
    <x v="0"/>
    <x v="2"/>
    <x v="0"/>
  </r>
  <r>
    <x v="68"/>
    <x v="7"/>
    <x v="2"/>
    <x v="0"/>
    <x v="1"/>
    <n v="129"/>
    <n v="220"/>
    <n v="110"/>
    <n v="239"/>
    <n v="142"/>
    <n v="933"/>
    <n v="222987"/>
    <n v="0"/>
    <n v="205260"/>
    <x v="0"/>
    <x v="2"/>
    <x v="0"/>
  </r>
  <r>
    <x v="68"/>
    <x v="13"/>
    <x v="3"/>
    <x v="2"/>
    <x v="4"/>
    <n v="152"/>
    <n v="70"/>
    <n v="87"/>
    <n v="135"/>
    <n v="57"/>
    <n v="29202"/>
    <n v="3942270"/>
    <n v="0"/>
    <n v="2044140"/>
    <x v="0"/>
    <x v="2"/>
    <x v="0"/>
  </r>
  <r>
    <x v="68"/>
    <x v="12"/>
    <x v="1"/>
    <x v="3"/>
    <x v="2"/>
    <n v="90"/>
    <n v="34"/>
    <n v="10"/>
    <n v="114"/>
    <n v="28"/>
    <n v="13025"/>
    <n v="1484850"/>
    <n v="0"/>
    <n v="442850"/>
    <x v="0"/>
    <x v="2"/>
    <x v="0"/>
  </r>
  <r>
    <x v="69"/>
    <x v="12"/>
    <x v="1"/>
    <x v="0"/>
    <x v="4"/>
    <n v="97"/>
    <n v="44"/>
    <n v="24"/>
    <n v="117"/>
    <n v="19"/>
    <n v="16641"/>
    <n v="1946997"/>
    <n v="0"/>
    <n v="732204"/>
    <x v="0"/>
    <x v="2"/>
    <x v="0"/>
  </r>
  <r>
    <x v="69"/>
    <x v="2"/>
    <x v="0"/>
    <x v="3"/>
    <x v="3"/>
    <n v="70"/>
    <n v="62"/>
    <n v="6"/>
    <n v="126"/>
    <n v="18"/>
    <n v="10296"/>
    <n v="1297296"/>
    <n v="0"/>
    <n v="638352"/>
    <x v="0"/>
    <x v="2"/>
    <x v="0"/>
  </r>
  <r>
    <x v="69"/>
    <x v="12"/>
    <x v="1"/>
    <x v="0"/>
    <x v="5"/>
    <n v="50"/>
    <n v="36"/>
    <n v="21"/>
    <n v="65"/>
    <n v="11"/>
    <n v="12180"/>
    <n v="791700"/>
    <n v="0"/>
    <n v="438480"/>
    <x v="0"/>
    <x v="2"/>
    <x v="0"/>
  </r>
  <r>
    <x v="70"/>
    <x v="12"/>
    <x v="1"/>
    <x v="0"/>
    <x v="4"/>
    <n v="55"/>
    <n v="51"/>
    <n v="16"/>
    <n v="90"/>
    <n v="11"/>
    <n v="24937"/>
    <n v="2244330"/>
    <n v="0"/>
    <n v="1271787"/>
    <x v="0"/>
    <x v="2"/>
    <x v="0"/>
  </r>
  <r>
    <x v="70"/>
    <x v="4"/>
    <x v="1"/>
    <x v="3"/>
    <x v="4"/>
    <n v="67"/>
    <n v="31"/>
    <n v="22"/>
    <n v="76"/>
    <n v="25"/>
    <n v="22106"/>
    <n v="1680056"/>
    <n v="0"/>
    <n v="685286"/>
    <x v="0"/>
    <x v="2"/>
    <x v="0"/>
  </r>
  <r>
    <x v="70"/>
    <x v="17"/>
    <x v="2"/>
    <x v="2"/>
    <x v="5"/>
    <n v="229"/>
    <n v="153"/>
    <n v="204"/>
    <n v="178"/>
    <n v="96"/>
    <n v="247"/>
    <n v="43966"/>
    <n v="0"/>
    <n v="37791"/>
    <x v="0"/>
    <x v="2"/>
    <x v="0"/>
  </r>
  <r>
    <x v="70"/>
    <x v="7"/>
    <x v="2"/>
    <x v="1"/>
    <x v="5"/>
    <n v="372"/>
    <n v="129"/>
    <n v="70"/>
    <n v="431"/>
    <n v="117"/>
    <n v="634"/>
    <n v="273254"/>
    <n v="0"/>
    <n v="81786"/>
    <x v="0"/>
    <x v="2"/>
    <x v="0"/>
  </r>
  <r>
    <x v="70"/>
    <x v="11"/>
    <x v="2"/>
    <x v="2"/>
    <x v="4"/>
    <n v="201"/>
    <n v="104"/>
    <n v="224"/>
    <n v="81"/>
    <n v="100"/>
    <n v="387"/>
    <n v="31347"/>
    <n v="0"/>
    <n v="40248"/>
    <x v="1"/>
    <x v="2"/>
    <x v="0"/>
  </r>
  <r>
    <x v="70"/>
    <x v="5"/>
    <x v="3"/>
    <x v="2"/>
    <x v="3"/>
    <n v="78"/>
    <n v="76"/>
    <n v="48"/>
    <n v="106"/>
    <n v="30"/>
    <n v="16063"/>
    <n v="1702678"/>
    <n v="0"/>
    <n v="1220788"/>
    <x v="0"/>
    <x v="2"/>
    <x v="0"/>
  </r>
  <r>
    <x v="70"/>
    <x v="13"/>
    <x v="3"/>
    <x v="2"/>
    <x v="0"/>
    <n v="165"/>
    <n v="115"/>
    <n v="11"/>
    <n v="269"/>
    <n v="25"/>
    <n v="30791"/>
    <n v="8282779"/>
    <n v="0"/>
    <n v="3540965"/>
    <x v="0"/>
    <x v="2"/>
    <x v="0"/>
  </r>
  <r>
    <x v="70"/>
    <x v="3"/>
    <x v="2"/>
    <x v="3"/>
    <x v="0"/>
    <n v="493"/>
    <n v="297"/>
    <n v="68"/>
    <n v="722"/>
    <n v="103"/>
    <n v="992"/>
    <n v="716224"/>
    <n v="0"/>
    <n v="294624"/>
    <x v="0"/>
    <x v="2"/>
    <x v="0"/>
  </r>
  <r>
    <x v="71"/>
    <x v="8"/>
    <x v="3"/>
    <x v="2"/>
    <x v="3"/>
    <n v="126"/>
    <n v="105"/>
    <n v="17"/>
    <n v="214"/>
    <n v="55"/>
    <n v="41843"/>
    <n v="8954402"/>
    <n v="0"/>
    <n v="4393515"/>
    <x v="0"/>
    <x v="2"/>
    <x v="0"/>
  </r>
  <r>
    <x v="71"/>
    <x v="10"/>
    <x v="2"/>
    <x v="3"/>
    <x v="3"/>
    <n v="467"/>
    <n v="103"/>
    <n v="224"/>
    <n v="346"/>
    <n v="121"/>
    <n v="516"/>
    <n v="178536"/>
    <n v="0"/>
    <n v="53148"/>
    <x v="0"/>
    <x v="2"/>
    <x v="0"/>
  </r>
  <r>
    <x v="71"/>
    <x v="14"/>
    <x v="3"/>
    <x v="1"/>
    <x v="0"/>
    <n v="47"/>
    <n v="94"/>
    <n v="20"/>
    <n v="121"/>
    <n v="35"/>
    <n v="26139"/>
    <n v="3162819"/>
    <n v="0"/>
    <n v="2457066"/>
    <x v="0"/>
    <x v="2"/>
    <x v="0"/>
  </r>
  <r>
    <x v="72"/>
    <x v="3"/>
    <x v="2"/>
    <x v="1"/>
    <x v="3"/>
    <n v="246"/>
    <n v="272"/>
    <n v="95"/>
    <n v="423"/>
    <n v="52"/>
    <n v="818"/>
    <n v="346014"/>
    <n v="0"/>
    <n v="222496"/>
    <x v="0"/>
    <x v="2"/>
    <x v="0"/>
  </r>
  <r>
    <x v="72"/>
    <x v="17"/>
    <x v="2"/>
    <x v="0"/>
    <x v="4"/>
    <n v="169"/>
    <n v="122"/>
    <n v="95"/>
    <n v="196"/>
    <n v="90"/>
    <n v="355"/>
    <n v="69580"/>
    <n v="0"/>
    <n v="43310"/>
    <x v="0"/>
    <x v="2"/>
    <x v="0"/>
  </r>
  <r>
    <x v="73"/>
    <x v="19"/>
    <x v="0"/>
    <x v="3"/>
    <x v="4"/>
    <n v="75"/>
    <n v="62"/>
    <n v="33"/>
    <n v="104"/>
    <n v="28"/>
    <n v="10951"/>
    <n v="1138904"/>
    <n v="0"/>
    <n v="678962"/>
    <x v="0"/>
    <x v="2"/>
    <x v="0"/>
  </r>
  <r>
    <x v="73"/>
    <x v="6"/>
    <x v="3"/>
    <x v="3"/>
    <x v="4"/>
    <n v="70"/>
    <n v="76"/>
    <n v="80"/>
    <n v="66"/>
    <n v="36"/>
    <n v="61308"/>
    <n v="4046328"/>
    <n v="0"/>
    <n v="4659408"/>
    <x v="0"/>
    <x v="2"/>
    <x v="0"/>
  </r>
  <r>
    <x v="73"/>
    <x v="19"/>
    <x v="0"/>
    <x v="3"/>
    <x v="5"/>
    <n v="75"/>
    <n v="47"/>
    <n v="27"/>
    <n v="95"/>
    <n v="30"/>
    <n v="6095"/>
    <n v="579025"/>
    <n v="0"/>
    <n v="286465"/>
    <x v="0"/>
    <x v="2"/>
    <x v="0"/>
  </r>
  <r>
    <x v="73"/>
    <x v="12"/>
    <x v="1"/>
    <x v="3"/>
    <x v="2"/>
    <n v="64"/>
    <n v="6"/>
    <n v="25"/>
    <n v="45"/>
    <n v="21"/>
    <n v="5559"/>
    <n v="250155"/>
    <n v="0"/>
    <n v="33354"/>
    <x v="0"/>
    <x v="2"/>
    <x v="0"/>
  </r>
  <r>
    <x v="73"/>
    <x v="2"/>
    <x v="0"/>
    <x v="1"/>
    <x v="2"/>
    <n v="72"/>
    <n v="68"/>
    <n v="32"/>
    <n v="108"/>
    <n v="21"/>
    <n v="9048"/>
    <n v="977184"/>
    <n v="0"/>
    <n v="615264"/>
    <x v="0"/>
    <x v="2"/>
    <x v="0"/>
  </r>
  <r>
    <x v="73"/>
    <x v="7"/>
    <x v="2"/>
    <x v="2"/>
    <x v="3"/>
    <n v="236"/>
    <n v="91"/>
    <n v="173"/>
    <n v="154"/>
    <n v="139"/>
    <n v="642"/>
    <n v="98868"/>
    <n v="0"/>
    <n v="58422"/>
    <x v="0"/>
    <x v="2"/>
    <x v="0"/>
  </r>
  <r>
    <x v="73"/>
    <x v="19"/>
    <x v="0"/>
    <x v="3"/>
    <x v="1"/>
    <n v="90"/>
    <n v="45"/>
    <n v="9"/>
    <n v="126"/>
    <n v="26"/>
    <n v="6011"/>
    <n v="757386"/>
    <n v="0"/>
    <n v="270495"/>
    <x v="0"/>
    <x v="2"/>
    <x v="0"/>
  </r>
  <r>
    <x v="74"/>
    <x v="2"/>
    <x v="0"/>
    <x v="2"/>
    <x v="0"/>
    <n v="110"/>
    <n v="53"/>
    <n v="9"/>
    <n v="154"/>
    <n v="25"/>
    <n v="14645"/>
    <n v="2255330"/>
    <n v="0"/>
    <n v="776185"/>
    <x v="0"/>
    <x v="2"/>
    <x v="0"/>
  </r>
  <r>
    <x v="74"/>
    <x v="18"/>
    <x v="3"/>
    <x v="3"/>
    <x v="5"/>
    <n v="107"/>
    <n v="83"/>
    <n v="18"/>
    <n v="172"/>
    <n v="26"/>
    <n v="36333"/>
    <n v="6249276"/>
    <n v="0"/>
    <n v="3015639"/>
    <x v="0"/>
    <x v="2"/>
    <x v="0"/>
  </r>
  <r>
    <x v="74"/>
    <x v="15"/>
    <x v="2"/>
    <x v="0"/>
    <x v="2"/>
    <n v="429"/>
    <n v="258"/>
    <n v="71"/>
    <n v="616"/>
    <n v="67"/>
    <n v="589"/>
    <n v="362824"/>
    <n v="0"/>
    <n v="151962"/>
    <x v="0"/>
    <x v="2"/>
    <x v="0"/>
  </r>
  <r>
    <x v="74"/>
    <x v="15"/>
    <x v="2"/>
    <x v="2"/>
    <x v="0"/>
    <n v="261"/>
    <n v="208"/>
    <n v="138"/>
    <n v="331"/>
    <n v="116"/>
    <n v="302"/>
    <n v="99962"/>
    <n v="0"/>
    <n v="62816"/>
    <x v="0"/>
    <x v="2"/>
    <x v="0"/>
  </r>
  <r>
    <x v="75"/>
    <x v="10"/>
    <x v="2"/>
    <x v="1"/>
    <x v="5"/>
    <n v="237"/>
    <n v="275"/>
    <n v="139"/>
    <n v="373"/>
    <n v="76"/>
    <n v="846"/>
    <n v="315558"/>
    <n v="0"/>
    <n v="232650"/>
    <x v="0"/>
    <x v="2"/>
    <x v="0"/>
  </r>
  <r>
    <x v="75"/>
    <x v="14"/>
    <x v="3"/>
    <x v="1"/>
    <x v="1"/>
    <n v="48"/>
    <n v="91"/>
    <n v="6"/>
    <n v="133"/>
    <n v="21"/>
    <n v="63189"/>
    <n v="8404137"/>
    <n v="0"/>
    <n v="5750199"/>
    <x v="0"/>
    <x v="2"/>
    <x v="0"/>
  </r>
  <r>
    <x v="75"/>
    <x v="6"/>
    <x v="3"/>
    <x v="2"/>
    <x v="2"/>
    <n v="26"/>
    <n v="50"/>
    <n v="6"/>
    <n v="70"/>
    <n v="29"/>
    <n v="17656"/>
    <n v="1235920"/>
    <n v="0"/>
    <n v="882800"/>
    <x v="0"/>
    <x v="2"/>
    <x v="0"/>
  </r>
  <r>
    <x v="75"/>
    <x v="4"/>
    <x v="1"/>
    <x v="1"/>
    <x v="3"/>
    <n v="18"/>
    <n v="8"/>
    <n v="26"/>
    <n v="0"/>
    <n v="11"/>
    <n v="4440"/>
    <n v="0"/>
    <n v="0"/>
    <n v="35520"/>
    <x v="1"/>
    <x v="2"/>
    <x v="0"/>
  </r>
  <r>
    <x v="75"/>
    <x v="8"/>
    <x v="3"/>
    <x v="2"/>
    <x v="1"/>
    <n v="177"/>
    <n v="66"/>
    <n v="90"/>
    <n v="153"/>
    <n v="48"/>
    <n v="60648"/>
    <n v="9279144"/>
    <n v="0"/>
    <n v="4002768"/>
    <x v="0"/>
    <x v="2"/>
    <x v="0"/>
  </r>
  <r>
    <x v="75"/>
    <x v="0"/>
    <x v="0"/>
    <x v="3"/>
    <x v="5"/>
    <n v="102"/>
    <n v="74"/>
    <n v="44"/>
    <n v="132"/>
    <n v="30"/>
    <n v="3270"/>
    <n v="431640"/>
    <n v="0"/>
    <n v="241980"/>
    <x v="0"/>
    <x v="2"/>
    <x v="0"/>
  </r>
  <r>
    <x v="75"/>
    <x v="6"/>
    <x v="3"/>
    <x v="1"/>
    <x v="3"/>
    <n v="78"/>
    <n v="40"/>
    <n v="97"/>
    <n v="21"/>
    <n v="24"/>
    <n v="55326"/>
    <n v="1161846"/>
    <n v="0"/>
    <n v="2213040"/>
    <x v="1"/>
    <x v="2"/>
    <x v="0"/>
  </r>
  <r>
    <x v="76"/>
    <x v="8"/>
    <x v="3"/>
    <x v="3"/>
    <x v="3"/>
    <n v="88"/>
    <n v="53"/>
    <n v="82"/>
    <n v="59"/>
    <n v="41"/>
    <n v="57669"/>
    <n v="3402471"/>
    <n v="0"/>
    <n v="3056457"/>
    <x v="0"/>
    <x v="2"/>
    <x v="0"/>
  </r>
  <r>
    <x v="76"/>
    <x v="8"/>
    <x v="3"/>
    <x v="1"/>
    <x v="3"/>
    <n v="67"/>
    <n v="91"/>
    <n v="85"/>
    <n v="73"/>
    <n v="30"/>
    <n v="35824"/>
    <n v="2615152"/>
    <n v="0"/>
    <n v="3259984"/>
    <x v="0"/>
    <x v="2"/>
    <x v="0"/>
  </r>
  <r>
    <x v="76"/>
    <x v="4"/>
    <x v="1"/>
    <x v="1"/>
    <x v="0"/>
    <n v="89"/>
    <n v="56"/>
    <n v="30"/>
    <n v="115"/>
    <n v="20"/>
    <n v="19169"/>
    <n v="2204435"/>
    <n v="0"/>
    <n v="1073464"/>
    <x v="0"/>
    <x v="2"/>
    <x v="0"/>
  </r>
  <r>
    <x v="76"/>
    <x v="3"/>
    <x v="2"/>
    <x v="0"/>
    <x v="5"/>
    <n v="361"/>
    <n v="141"/>
    <n v="179"/>
    <n v="323"/>
    <n v="118"/>
    <n v="537"/>
    <n v="173451"/>
    <n v="0"/>
    <n v="75717"/>
    <x v="0"/>
    <x v="2"/>
    <x v="0"/>
  </r>
  <r>
    <x v="77"/>
    <x v="1"/>
    <x v="1"/>
    <x v="0"/>
    <x v="0"/>
    <n v="94"/>
    <n v="34"/>
    <n v="22"/>
    <n v="106"/>
    <n v="18"/>
    <n v="22028"/>
    <n v="2334968"/>
    <n v="0"/>
    <n v="748952"/>
    <x v="0"/>
    <x v="2"/>
    <x v="0"/>
  </r>
  <r>
    <x v="77"/>
    <x v="7"/>
    <x v="2"/>
    <x v="2"/>
    <x v="1"/>
    <n v="267"/>
    <n v="102"/>
    <n v="258"/>
    <n v="111"/>
    <n v="135"/>
    <n v="66"/>
    <n v="7326"/>
    <n v="0"/>
    <n v="6732"/>
    <x v="1"/>
    <x v="2"/>
    <x v="0"/>
  </r>
  <r>
    <x v="77"/>
    <x v="19"/>
    <x v="0"/>
    <x v="0"/>
    <x v="2"/>
    <n v="87"/>
    <n v="5"/>
    <n v="53"/>
    <n v="39"/>
    <n v="18"/>
    <n v="17800"/>
    <n v="694200"/>
    <n v="0"/>
    <n v="89000"/>
    <x v="0"/>
    <x v="2"/>
    <x v="0"/>
  </r>
  <r>
    <x v="77"/>
    <x v="3"/>
    <x v="2"/>
    <x v="3"/>
    <x v="4"/>
    <n v="129"/>
    <n v="39"/>
    <n v="133"/>
    <n v="35"/>
    <n v="129"/>
    <n v="1164"/>
    <n v="40740"/>
    <n v="0"/>
    <n v="45396"/>
    <x v="1"/>
    <x v="2"/>
    <x v="0"/>
  </r>
  <r>
    <x v="77"/>
    <x v="7"/>
    <x v="2"/>
    <x v="2"/>
    <x v="0"/>
    <n v="51"/>
    <n v="198"/>
    <n v="249"/>
    <n v="0"/>
    <n v="87"/>
    <n v="42"/>
    <n v="0"/>
    <n v="0"/>
    <n v="8316"/>
    <x v="1"/>
    <x v="2"/>
    <x v="0"/>
  </r>
  <r>
    <x v="77"/>
    <x v="8"/>
    <x v="3"/>
    <x v="3"/>
    <x v="3"/>
    <n v="173"/>
    <n v="71"/>
    <n v="8"/>
    <n v="236"/>
    <n v="44"/>
    <n v="17784"/>
    <n v="4197024"/>
    <n v="0"/>
    <n v="1262664"/>
    <x v="0"/>
    <x v="2"/>
    <x v="0"/>
  </r>
  <r>
    <x v="78"/>
    <x v="13"/>
    <x v="3"/>
    <x v="1"/>
    <x v="2"/>
    <n v="143"/>
    <n v="96"/>
    <n v="48"/>
    <n v="191"/>
    <n v="23"/>
    <n v="59385"/>
    <n v="11342535"/>
    <n v="0"/>
    <n v="5700960"/>
    <x v="0"/>
    <x v="2"/>
    <x v="0"/>
  </r>
  <r>
    <x v="78"/>
    <x v="2"/>
    <x v="0"/>
    <x v="0"/>
    <x v="2"/>
    <n v="32"/>
    <n v="6"/>
    <n v="31"/>
    <n v="7"/>
    <n v="18"/>
    <n v="3272"/>
    <n v="22904"/>
    <n v="0"/>
    <n v="19632"/>
    <x v="1"/>
    <x v="2"/>
    <x v="0"/>
  </r>
  <r>
    <x v="79"/>
    <x v="9"/>
    <x v="0"/>
    <x v="3"/>
    <x v="0"/>
    <n v="45"/>
    <n v="55"/>
    <n v="29"/>
    <n v="71"/>
    <n v="15"/>
    <n v="17655"/>
    <n v="1253505"/>
    <n v="0"/>
    <n v="971025"/>
    <x v="0"/>
    <x v="2"/>
    <x v="0"/>
  </r>
  <r>
    <x v="79"/>
    <x v="10"/>
    <x v="2"/>
    <x v="1"/>
    <x v="4"/>
    <n v="426"/>
    <n v="204"/>
    <n v="154"/>
    <n v="476"/>
    <n v="103"/>
    <n v="460"/>
    <n v="218960"/>
    <n v="0"/>
    <n v="93840"/>
    <x v="0"/>
    <x v="2"/>
    <x v="0"/>
  </r>
  <r>
    <x v="79"/>
    <x v="17"/>
    <x v="2"/>
    <x v="2"/>
    <x v="2"/>
    <n v="348"/>
    <n v="231"/>
    <n v="234"/>
    <n v="345"/>
    <n v="122"/>
    <n v="668"/>
    <n v="230460"/>
    <n v="0"/>
    <n v="154308"/>
    <x v="0"/>
    <x v="2"/>
    <x v="0"/>
  </r>
  <r>
    <x v="79"/>
    <x v="2"/>
    <x v="0"/>
    <x v="1"/>
    <x v="2"/>
    <n v="58"/>
    <n v="23"/>
    <n v="51"/>
    <n v="30"/>
    <n v="21"/>
    <n v="13557"/>
    <n v="406710"/>
    <n v="0"/>
    <n v="311811"/>
    <x v="0"/>
    <x v="2"/>
    <x v="0"/>
  </r>
  <r>
    <x v="80"/>
    <x v="5"/>
    <x v="3"/>
    <x v="3"/>
    <x v="5"/>
    <n v="173"/>
    <n v="31"/>
    <n v="62"/>
    <n v="142"/>
    <n v="47"/>
    <n v="31582"/>
    <n v="4484644"/>
    <n v="0"/>
    <n v="979042"/>
    <x v="0"/>
    <x v="2"/>
    <x v="0"/>
  </r>
  <r>
    <x v="80"/>
    <x v="0"/>
    <x v="0"/>
    <x v="3"/>
    <x v="0"/>
    <n v="79"/>
    <n v="41"/>
    <n v="59"/>
    <n v="61"/>
    <n v="39"/>
    <n v="8603"/>
    <n v="524783"/>
    <n v="0"/>
    <n v="352723"/>
    <x v="0"/>
    <x v="2"/>
    <x v="0"/>
  </r>
  <r>
    <x v="80"/>
    <x v="19"/>
    <x v="0"/>
    <x v="1"/>
    <x v="2"/>
    <n v="101"/>
    <n v="74"/>
    <n v="10"/>
    <n v="165"/>
    <n v="32"/>
    <n v="16596"/>
    <n v="2738340"/>
    <n v="0"/>
    <n v="1228104"/>
    <x v="0"/>
    <x v="2"/>
    <x v="0"/>
  </r>
  <r>
    <x v="80"/>
    <x v="17"/>
    <x v="2"/>
    <x v="2"/>
    <x v="3"/>
    <n v="136"/>
    <n v="293"/>
    <n v="267"/>
    <n v="162"/>
    <n v="106"/>
    <n v="1010"/>
    <n v="163620"/>
    <n v="0"/>
    <n v="295930"/>
    <x v="0"/>
    <x v="2"/>
    <x v="0"/>
  </r>
  <r>
    <x v="80"/>
    <x v="13"/>
    <x v="3"/>
    <x v="3"/>
    <x v="1"/>
    <n v="85"/>
    <n v="60"/>
    <n v="69"/>
    <n v="76"/>
    <n v="29"/>
    <n v="18250"/>
    <n v="1387000"/>
    <n v="0"/>
    <n v="1095000"/>
    <x v="0"/>
    <x v="2"/>
    <x v="0"/>
  </r>
  <r>
    <x v="80"/>
    <x v="12"/>
    <x v="1"/>
    <x v="2"/>
    <x v="2"/>
    <n v="27"/>
    <n v="47"/>
    <n v="22"/>
    <n v="52"/>
    <n v="16"/>
    <n v="19121"/>
    <n v="994292"/>
    <n v="0"/>
    <n v="898687"/>
    <x v="0"/>
    <x v="2"/>
    <x v="0"/>
  </r>
  <r>
    <x v="81"/>
    <x v="8"/>
    <x v="3"/>
    <x v="0"/>
    <x v="0"/>
    <n v="98"/>
    <n v="31"/>
    <n v="31"/>
    <n v="98"/>
    <n v="56"/>
    <n v="47190"/>
    <n v="4624620"/>
    <n v="0"/>
    <n v="1462890"/>
    <x v="0"/>
    <x v="2"/>
    <x v="0"/>
  </r>
  <r>
    <x v="81"/>
    <x v="7"/>
    <x v="2"/>
    <x v="2"/>
    <x v="4"/>
    <n v="383"/>
    <n v="279"/>
    <n v="202"/>
    <n v="460"/>
    <n v="110"/>
    <n v="637"/>
    <n v="293020"/>
    <n v="0"/>
    <n v="177723"/>
    <x v="0"/>
    <x v="2"/>
    <x v="0"/>
  </r>
  <r>
    <x v="81"/>
    <x v="2"/>
    <x v="0"/>
    <x v="0"/>
    <x v="2"/>
    <n v="31"/>
    <n v="77"/>
    <n v="16"/>
    <n v="92"/>
    <n v="18"/>
    <n v="856"/>
    <n v="78752"/>
    <n v="0"/>
    <n v="65912"/>
    <x v="0"/>
    <x v="2"/>
    <x v="0"/>
  </r>
  <r>
    <x v="81"/>
    <x v="19"/>
    <x v="0"/>
    <x v="0"/>
    <x v="4"/>
    <n v="106"/>
    <n v="55"/>
    <n v="49"/>
    <n v="112"/>
    <n v="29"/>
    <n v="6842"/>
    <n v="766304"/>
    <n v="0"/>
    <n v="376310"/>
    <x v="0"/>
    <x v="2"/>
    <x v="0"/>
  </r>
  <r>
    <x v="81"/>
    <x v="13"/>
    <x v="3"/>
    <x v="2"/>
    <x v="5"/>
    <n v="106"/>
    <n v="11"/>
    <n v="80"/>
    <n v="37"/>
    <n v="56"/>
    <n v="46517"/>
    <n v="1721129"/>
    <n v="0"/>
    <n v="511687"/>
    <x v="1"/>
    <x v="2"/>
    <x v="0"/>
  </r>
  <r>
    <x v="81"/>
    <x v="2"/>
    <x v="0"/>
    <x v="0"/>
    <x v="3"/>
    <n v="82"/>
    <n v="69"/>
    <n v="52"/>
    <n v="99"/>
    <n v="27"/>
    <n v="16117"/>
    <n v="1595583"/>
    <n v="0"/>
    <n v="1112073"/>
    <x v="0"/>
    <x v="2"/>
    <x v="0"/>
  </r>
  <r>
    <x v="81"/>
    <x v="8"/>
    <x v="3"/>
    <x v="1"/>
    <x v="4"/>
    <n v="90"/>
    <n v="12"/>
    <n v="14"/>
    <n v="88"/>
    <n v="44"/>
    <n v="23425"/>
    <n v="2061400"/>
    <n v="0"/>
    <n v="281100"/>
    <x v="0"/>
    <x v="2"/>
    <x v="0"/>
  </r>
  <r>
    <x v="81"/>
    <x v="9"/>
    <x v="0"/>
    <x v="1"/>
    <x v="1"/>
    <n v="78"/>
    <n v="20"/>
    <n v="18"/>
    <n v="80"/>
    <n v="37"/>
    <n v="13983"/>
    <n v="1118640"/>
    <n v="0"/>
    <n v="279660"/>
    <x v="0"/>
    <x v="2"/>
    <x v="0"/>
  </r>
  <r>
    <x v="82"/>
    <x v="10"/>
    <x v="2"/>
    <x v="3"/>
    <x v="2"/>
    <n v="344"/>
    <n v="163"/>
    <n v="220"/>
    <n v="287"/>
    <n v="68"/>
    <n v="509"/>
    <n v="146083"/>
    <n v="0"/>
    <n v="82967"/>
    <x v="0"/>
    <x v="2"/>
    <x v="0"/>
  </r>
  <r>
    <x v="82"/>
    <x v="18"/>
    <x v="3"/>
    <x v="1"/>
    <x v="0"/>
    <n v="175"/>
    <n v="104"/>
    <n v="89"/>
    <n v="190"/>
    <n v="53"/>
    <n v="33685"/>
    <n v="6400150"/>
    <n v="0"/>
    <n v="3503240"/>
    <x v="0"/>
    <x v="2"/>
    <x v="0"/>
  </r>
  <r>
    <x v="82"/>
    <x v="0"/>
    <x v="0"/>
    <x v="2"/>
    <x v="1"/>
    <n v="118"/>
    <n v="24"/>
    <n v="40"/>
    <n v="102"/>
    <n v="39"/>
    <n v="6791"/>
    <n v="692682"/>
    <n v="0"/>
    <n v="162984"/>
    <x v="0"/>
    <x v="2"/>
    <x v="0"/>
  </r>
  <r>
    <x v="82"/>
    <x v="0"/>
    <x v="0"/>
    <x v="0"/>
    <x v="0"/>
    <n v="15"/>
    <n v="14"/>
    <n v="29"/>
    <n v="0"/>
    <n v="27"/>
    <n v="12036"/>
    <n v="0"/>
    <n v="0"/>
    <n v="168504"/>
    <x v="1"/>
    <x v="2"/>
    <x v="0"/>
  </r>
  <r>
    <x v="82"/>
    <x v="16"/>
    <x v="1"/>
    <x v="2"/>
    <x v="1"/>
    <n v="53"/>
    <n v="8"/>
    <n v="12"/>
    <n v="49"/>
    <n v="13"/>
    <n v="8689"/>
    <n v="425761"/>
    <n v="0"/>
    <n v="69512"/>
    <x v="0"/>
    <x v="2"/>
    <x v="0"/>
  </r>
  <r>
    <x v="82"/>
    <x v="17"/>
    <x v="2"/>
    <x v="3"/>
    <x v="1"/>
    <n v="80"/>
    <n v="263"/>
    <n v="37"/>
    <n v="306"/>
    <n v="117"/>
    <n v="271"/>
    <n v="82926"/>
    <n v="0"/>
    <n v="71273"/>
    <x v="0"/>
    <x v="2"/>
    <x v="0"/>
  </r>
  <r>
    <x v="83"/>
    <x v="10"/>
    <x v="2"/>
    <x v="2"/>
    <x v="1"/>
    <n v="179"/>
    <n v="260"/>
    <n v="154"/>
    <n v="285"/>
    <n v="138"/>
    <n v="910"/>
    <n v="259350"/>
    <n v="0"/>
    <n v="236600"/>
    <x v="0"/>
    <x v="2"/>
    <x v="0"/>
  </r>
  <r>
    <x v="83"/>
    <x v="15"/>
    <x v="2"/>
    <x v="2"/>
    <x v="0"/>
    <n v="426"/>
    <n v="146"/>
    <n v="213"/>
    <n v="359"/>
    <n v="87"/>
    <n v="1028"/>
    <n v="369052"/>
    <n v="0"/>
    <n v="150088"/>
    <x v="0"/>
    <x v="2"/>
    <x v="0"/>
  </r>
  <r>
    <x v="83"/>
    <x v="10"/>
    <x v="2"/>
    <x v="1"/>
    <x v="2"/>
    <n v="311"/>
    <n v="176"/>
    <n v="266"/>
    <n v="221"/>
    <n v="87"/>
    <n v="589"/>
    <n v="130169"/>
    <n v="0"/>
    <n v="103664"/>
    <x v="0"/>
    <x v="2"/>
    <x v="0"/>
  </r>
  <r>
    <x v="83"/>
    <x v="0"/>
    <x v="0"/>
    <x v="3"/>
    <x v="1"/>
    <n v="119"/>
    <n v="53"/>
    <n v="22"/>
    <n v="150"/>
    <n v="22"/>
    <n v="10616"/>
    <n v="1592400"/>
    <n v="0"/>
    <n v="562648"/>
    <x v="0"/>
    <x v="2"/>
    <x v="0"/>
  </r>
  <r>
    <x v="83"/>
    <x v="2"/>
    <x v="0"/>
    <x v="1"/>
    <x v="5"/>
    <n v="36"/>
    <n v="79"/>
    <n v="29"/>
    <n v="86"/>
    <n v="26"/>
    <n v="12345"/>
    <n v="1061670"/>
    <n v="0"/>
    <n v="975255"/>
    <x v="0"/>
    <x v="2"/>
    <x v="0"/>
  </r>
  <r>
    <x v="83"/>
    <x v="12"/>
    <x v="1"/>
    <x v="0"/>
    <x v="2"/>
    <n v="49"/>
    <n v="59"/>
    <n v="9"/>
    <n v="99"/>
    <n v="23"/>
    <n v="20084"/>
    <n v="1988316"/>
    <n v="0"/>
    <n v="1184956"/>
    <x v="0"/>
    <x v="2"/>
    <x v="0"/>
  </r>
  <r>
    <x v="83"/>
    <x v="7"/>
    <x v="2"/>
    <x v="2"/>
    <x v="5"/>
    <n v="339"/>
    <n v="100"/>
    <n v="184"/>
    <n v="255"/>
    <n v="128"/>
    <n v="861"/>
    <n v="219555"/>
    <n v="0"/>
    <n v="86100"/>
    <x v="0"/>
    <x v="2"/>
    <x v="0"/>
  </r>
  <r>
    <x v="83"/>
    <x v="15"/>
    <x v="2"/>
    <x v="1"/>
    <x v="4"/>
    <n v="107"/>
    <n v="45"/>
    <n v="102"/>
    <n v="50"/>
    <n v="86"/>
    <n v="988"/>
    <n v="49400"/>
    <n v="0"/>
    <n v="44460"/>
    <x v="1"/>
    <x v="2"/>
    <x v="0"/>
  </r>
  <r>
    <x v="83"/>
    <x v="19"/>
    <x v="0"/>
    <x v="1"/>
    <x v="3"/>
    <n v="41"/>
    <n v="57"/>
    <n v="45"/>
    <n v="53"/>
    <n v="21"/>
    <n v="17899"/>
    <n v="948647"/>
    <n v="0"/>
    <n v="1020243"/>
    <x v="0"/>
    <x v="2"/>
    <x v="0"/>
  </r>
  <r>
    <x v="83"/>
    <x v="9"/>
    <x v="0"/>
    <x v="1"/>
    <x v="4"/>
    <n v="76"/>
    <n v="11"/>
    <n v="13"/>
    <n v="74"/>
    <n v="30"/>
    <n v="14095"/>
    <n v="1043030"/>
    <n v="0"/>
    <n v="155045"/>
    <x v="0"/>
    <x v="2"/>
    <x v="0"/>
  </r>
  <r>
    <x v="83"/>
    <x v="11"/>
    <x v="2"/>
    <x v="1"/>
    <x v="0"/>
    <n v="349"/>
    <n v="164"/>
    <n v="68"/>
    <n v="445"/>
    <n v="135"/>
    <n v="928"/>
    <n v="412960"/>
    <n v="0"/>
    <n v="152192"/>
    <x v="0"/>
    <x v="2"/>
    <x v="0"/>
  </r>
  <r>
    <x v="83"/>
    <x v="19"/>
    <x v="0"/>
    <x v="3"/>
    <x v="0"/>
    <n v="111"/>
    <n v="19"/>
    <n v="43"/>
    <n v="87"/>
    <n v="23"/>
    <n v="6589"/>
    <n v="573243"/>
    <n v="0"/>
    <n v="125191"/>
    <x v="0"/>
    <x v="2"/>
    <x v="0"/>
  </r>
  <r>
    <x v="84"/>
    <x v="4"/>
    <x v="1"/>
    <x v="0"/>
    <x v="1"/>
    <n v="64"/>
    <n v="20"/>
    <n v="32"/>
    <n v="52"/>
    <n v="28"/>
    <n v="7298"/>
    <n v="379496"/>
    <n v="0"/>
    <n v="145960"/>
    <x v="0"/>
    <x v="2"/>
    <x v="0"/>
  </r>
  <r>
    <x v="84"/>
    <x v="14"/>
    <x v="3"/>
    <x v="1"/>
    <x v="2"/>
    <n v="160"/>
    <n v="82"/>
    <n v="49"/>
    <n v="193"/>
    <n v="43"/>
    <n v="27964"/>
    <n v="5397052"/>
    <n v="0"/>
    <n v="2293048"/>
    <x v="0"/>
    <x v="2"/>
    <x v="0"/>
  </r>
  <r>
    <x v="85"/>
    <x v="4"/>
    <x v="1"/>
    <x v="0"/>
    <x v="3"/>
    <n v="44"/>
    <n v="25"/>
    <n v="26"/>
    <n v="43"/>
    <n v="10"/>
    <n v="19485"/>
    <n v="837855"/>
    <n v="0"/>
    <n v="487125"/>
    <x v="0"/>
    <x v="2"/>
    <x v="0"/>
  </r>
  <r>
    <x v="85"/>
    <x v="19"/>
    <x v="0"/>
    <x v="3"/>
    <x v="0"/>
    <n v="82"/>
    <n v="79"/>
    <n v="10"/>
    <n v="151"/>
    <n v="16"/>
    <n v="1860"/>
    <n v="280860"/>
    <n v="0"/>
    <n v="146940"/>
    <x v="0"/>
    <x v="2"/>
    <x v="0"/>
  </r>
  <r>
    <x v="85"/>
    <x v="10"/>
    <x v="2"/>
    <x v="1"/>
    <x v="5"/>
    <n v="248"/>
    <n v="39"/>
    <n v="173"/>
    <n v="114"/>
    <n v="113"/>
    <n v="43"/>
    <n v="4902"/>
    <n v="0"/>
    <n v="1677"/>
    <x v="0"/>
    <x v="2"/>
    <x v="0"/>
  </r>
  <r>
    <x v="85"/>
    <x v="15"/>
    <x v="2"/>
    <x v="1"/>
    <x v="3"/>
    <n v="153"/>
    <n v="172"/>
    <n v="214"/>
    <n v="111"/>
    <n v="87"/>
    <n v="660"/>
    <n v="73260"/>
    <n v="0"/>
    <n v="113520"/>
    <x v="0"/>
    <x v="2"/>
    <x v="0"/>
  </r>
  <r>
    <x v="85"/>
    <x v="17"/>
    <x v="2"/>
    <x v="1"/>
    <x v="3"/>
    <n v="125"/>
    <n v="88"/>
    <n v="147"/>
    <n v="66"/>
    <n v="113"/>
    <n v="630"/>
    <n v="41580"/>
    <n v="0"/>
    <n v="55440"/>
    <x v="1"/>
    <x v="2"/>
    <x v="0"/>
  </r>
  <r>
    <x v="85"/>
    <x v="12"/>
    <x v="1"/>
    <x v="0"/>
    <x v="5"/>
    <n v="16"/>
    <n v="18"/>
    <n v="16"/>
    <n v="18"/>
    <n v="16"/>
    <n v="10320"/>
    <n v="185760"/>
    <n v="0"/>
    <n v="185760"/>
    <x v="0"/>
    <x v="2"/>
    <x v="0"/>
  </r>
  <r>
    <x v="85"/>
    <x v="9"/>
    <x v="0"/>
    <x v="2"/>
    <x v="2"/>
    <n v="58"/>
    <n v="13"/>
    <n v="39"/>
    <n v="32"/>
    <n v="24"/>
    <n v="8855"/>
    <n v="283360"/>
    <n v="0"/>
    <n v="115115"/>
    <x v="0"/>
    <x v="2"/>
    <x v="0"/>
  </r>
  <r>
    <x v="85"/>
    <x v="1"/>
    <x v="1"/>
    <x v="0"/>
    <x v="4"/>
    <n v="40"/>
    <n v="47"/>
    <n v="11"/>
    <n v="76"/>
    <n v="21"/>
    <n v="24723"/>
    <n v="1878948"/>
    <n v="0"/>
    <n v="1161981"/>
    <x v="0"/>
    <x v="2"/>
    <x v="0"/>
  </r>
  <r>
    <x v="86"/>
    <x v="14"/>
    <x v="3"/>
    <x v="3"/>
    <x v="1"/>
    <n v="161"/>
    <n v="15"/>
    <n v="93"/>
    <n v="83"/>
    <n v="31"/>
    <n v="21046"/>
    <n v="1746818"/>
    <n v="0"/>
    <n v="315690"/>
    <x v="0"/>
    <x v="2"/>
    <x v="0"/>
  </r>
  <r>
    <x v="86"/>
    <x v="7"/>
    <x v="2"/>
    <x v="3"/>
    <x v="4"/>
    <n v="126"/>
    <n v="233"/>
    <n v="155"/>
    <n v="204"/>
    <n v="50"/>
    <n v="680"/>
    <n v="138720"/>
    <n v="0"/>
    <n v="158440"/>
    <x v="0"/>
    <x v="2"/>
    <x v="0"/>
  </r>
  <r>
    <x v="86"/>
    <x v="17"/>
    <x v="2"/>
    <x v="2"/>
    <x v="2"/>
    <n v="358"/>
    <n v="255"/>
    <n v="154"/>
    <n v="459"/>
    <n v="55"/>
    <n v="364"/>
    <n v="167076"/>
    <n v="0"/>
    <n v="92820"/>
    <x v="0"/>
    <x v="2"/>
    <x v="0"/>
  </r>
  <r>
    <x v="86"/>
    <x v="3"/>
    <x v="2"/>
    <x v="0"/>
    <x v="1"/>
    <n v="458"/>
    <n v="269"/>
    <n v="197"/>
    <n v="530"/>
    <n v="144"/>
    <n v="1100"/>
    <n v="583000"/>
    <n v="0"/>
    <n v="295900"/>
    <x v="0"/>
    <x v="2"/>
    <x v="0"/>
  </r>
  <r>
    <x v="87"/>
    <x v="10"/>
    <x v="2"/>
    <x v="0"/>
    <x v="3"/>
    <n v="153"/>
    <n v="133"/>
    <n v="263"/>
    <n v="23"/>
    <n v="128"/>
    <n v="761"/>
    <n v="17503"/>
    <n v="0"/>
    <n v="101213"/>
    <x v="1"/>
    <x v="2"/>
    <x v="0"/>
  </r>
  <r>
    <x v="87"/>
    <x v="3"/>
    <x v="2"/>
    <x v="1"/>
    <x v="5"/>
    <n v="420"/>
    <n v="197"/>
    <n v="179"/>
    <n v="438"/>
    <n v="99"/>
    <n v="1178"/>
    <n v="515964"/>
    <n v="0"/>
    <n v="232066"/>
    <x v="0"/>
    <x v="2"/>
    <x v="0"/>
  </r>
  <r>
    <x v="88"/>
    <x v="18"/>
    <x v="3"/>
    <x v="1"/>
    <x v="0"/>
    <n v="161"/>
    <n v="84"/>
    <n v="57"/>
    <n v="188"/>
    <n v="33"/>
    <n v="51714"/>
    <n v="9722232"/>
    <n v="0"/>
    <n v="4343976"/>
    <x v="0"/>
    <x v="2"/>
    <x v="0"/>
  </r>
  <r>
    <x v="88"/>
    <x v="5"/>
    <x v="3"/>
    <x v="1"/>
    <x v="5"/>
    <n v="34"/>
    <n v="46"/>
    <n v="8"/>
    <n v="72"/>
    <n v="36"/>
    <n v="20661"/>
    <n v="1487592"/>
    <n v="0"/>
    <n v="950406"/>
    <x v="0"/>
    <x v="2"/>
    <x v="0"/>
  </r>
  <r>
    <x v="88"/>
    <x v="6"/>
    <x v="3"/>
    <x v="1"/>
    <x v="3"/>
    <n v="29"/>
    <n v="61"/>
    <n v="38"/>
    <n v="52"/>
    <n v="22"/>
    <n v="35986"/>
    <n v="1871272"/>
    <n v="0"/>
    <n v="2195146"/>
    <x v="0"/>
    <x v="2"/>
    <x v="0"/>
  </r>
  <r>
    <x v="88"/>
    <x v="2"/>
    <x v="0"/>
    <x v="2"/>
    <x v="3"/>
    <n v="23"/>
    <n v="45"/>
    <n v="50"/>
    <n v="18"/>
    <n v="24"/>
    <n v="10183"/>
    <n v="183294"/>
    <n v="0"/>
    <n v="458235"/>
    <x v="1"/>
    <x v="2"/>
    <x v="0"/>
  </r>
  <r>
    <x v="88"/>
    <x v="18"/>
    <x v="3"/>
    <x v="1"/>
    <x v="0"/>
    <n v="51"/>
    <n v="18"/>
    <n v="32"/>
    <n v="37"/>
    <n v="50"/>
    <n v="48153"/>
    <n v="1781661"/>
    <n v="0"/>
    <n v="866754"/>
    <x v="1"/>
    <x v="2"/>
    <x v="0"/>
  </r>
  <r>
    <x v="89"/>
    <x v="4"/>
    <x v="1"/>
    <x v="2"/>
    <x v="1"/>
    <n v="76"/>
    <n v="11"/>
    <n v="9"/>
    <n v="78"/>
    <n v="21"/>
    <n v="18863"/>
    <n v="1471314"/>
    <n v="0"/>
    <n v="207493"/>
    <x v="0"/>
    <x v="2"/>
    <x v="0"/>
  </r>
  <r>
    <x v="89"/>
    <x v="9"/>
    <x v="0"/>
    <x v="3"/>
    <x v="0"/>
    <n v="83"/>
    <n v="64"/>
    <n v="57"/>
    <n v="90"/>
    <n v="32"/>
    <n v="9915"/>
    <n v="892350"/>
    <n v="0"/>
    <n v="634560"/>
    <x v="0"/>
    <x v="2"/>
    <x v="0"/>
  </r>
  <r>
    <x v="89"/>
    <x v="11"/>
    <x v="2"/>
    <x v="0"/>
    <x v="0"/>
    <n v="153"/>
    <n v="41"/>
    <n v="169"/>
    <n v="25"/>
    <n v="117"/>
    <n v="477"/>
    <n v="11925"/>
    <n v="0"/>
    <n v="19557"/>
    <x v="1"/>
    <x v="2"/>
    <x v="0"/>
  </r>
  <r>
    <x v="89"/>
    <x v="6"/>
    <x v="3"/>
    <x v="2"/>
    <x v="5"/>
    <n v="68"/>
    <n v="71"/>
    <n v="42"/>
    <n v="97"/>
    <n v="41"/>
    <n v="26294"/>
    <n v="2550518"/>
    <n v="0"/>
    <n v="1866874"/>
    <x v="0"/>
    <x v="2"/>
    <x v="0"/>
  </r>
  <r>
    <x v="90"/>
    <x v="10"/>
    <x v="2"/>
    <x v="3"/>
    <x v="4"/>
    <n v="246"/>
    <n v="98"/>
    <n v="229"/>
    <n v="115"/>
    <n v="135"/>
    <n v="398"/>
    <n v="45770"/>
    <n v="0"/>
    <n v="39004"/>
    <x v="1"/>
    <x v="3"/>
    <x v="0"/>
  </r>
  <r>
    <x v="90"/>
    <x v="0"/>
    <x v="0"/>
    <x v="3"/>
    <x v="5"/>
    <n v="99"/>
    <n v="54"/>
    <n v="59"/>
    <n v="94"/>
    <n v="23"/>
    <n v="15679"/>
    <n v="1473826"/>
    <n v="0"/>
    <n v="846666"/>
    <x v="0"/>
    <x v="3"/>
    <x v="0"/>
  </r>
  <r>
    <x v="90"/>
    <x v="7"/>
    <x v="2"/>
    <x v="0"/>
    <x v="2"/>
    <n v="473"/>
    <n v="219"/>
    <n v="82"/>
    <n v="610"/>
    <n v="84"/>
    <n v="704"/>
    <n v="429440"/>
    <n v="0"/>
    <n v="154176"/>
    <x v="0"/>
    <x v="3"/>
    <x v="0"/>
  </r>
  <r>
    <x v="90"/>
    <x v="9"/>
    <x v="0"/>
    <x v="1"/>
    <x v="3"/>
    <n v="59"/>
    <n v="25"/>
    <n v="25"/>
    <n v="59"/>
    <n v="16"/>
    <n v="10650"/>
    <n v="628350"/>
    <n v="0"/>
    <n v="266250"/>
    <x v="0"/>
    <x v="3"/>
    <x v="0"/>
  </r>
  <r>
    <x v="90"/>
    <x v="17"/>
    <x v="2"/>
    <x v="2"/>
    <x v="2"/>
    <n v="434"/>
    <n v="222"/>
    <n v="262"/>
    <n v="394"/>
    <n v="63"/>
    <n v="726"/>
    <n v="286044"/>
    <n v="0"/>
    <n v="161172"/>
    <x v="0"/>
    <x v="3"/>
    <x v="0"/>
  </r>
  <r>
    <x v="90"/>
    <x v="5"/>
    <x v="3"/>
    <x v="1"/>
    <x v="3"/>
    <n v="98"/>
    <n v="100"/>
    <n v="35"/>
    <n v="163"/>
    <n v="27"/>
    <n v="56198"/>
    <n v="9160274"/>
    <n v="0"/>
    <n v="5619800"/>
    <x v="0"/>
    <x v="3"/>
    <x v="0"/>
  </r>
  <r>
    <x v="90"/>
    <x v="5"/>
    <x v="3"/>
    <x v="0"/>
    <x v="1"/>
    <n v="111"/>
    <n v="72"/>
    <n v="33"/>
    <n v="150"/>
    <n v="31"/>
    <n v="56817"/>
    <n v="8522550"/>
    <n v="0"/>
    <n v="4090824"/>
    <x v="0"/>
    <x v="3"/>
    <x v="0"/>
  </r>
  <r>
    <x v="91"/>
    <x v="4"/>
    <x v="1"/>
    <x v="1"/>
    <x v="5"/>
    <n v="97"/>
    <n v="9"/>
    <n v="38"/>
    <n v="68"/>
    <n v="21"/>
    <n v="19671"/>
    <n v="1337628"/>
    <n v="0"/>
    <n v="177039"/>
    <x v="0"/>
    <x v="3"/>
    <x v="0"/>
  </r>
  <r>
    <x v="91"/>
    <x v="15"/>
    <x v="2"/>
    <x v="0"/>
    <x v="4"/>
    <n v="71"/>
    <n v="201"/>
    <n v="101"/>
    <n v="171"/>
    <n v="74"/>
    <n v="1120"/>
    <n v="191520"/>
    <n v="0"/>
    <n v="225120"/>
    <x v="0"/>
    <x v="3"/>
    <x v="0"/>
  </r>
  <r>
    <x v="91"/>
    <x v="14"/>
    <x v="3"/>
    <x v="1"/>
    <x v="0"/>
    <n v="116"/>
    <n v="15"/>
    <n v="45"/>
    <n v="86"/>
    <n v="34"/>
    <n v="7838"/>
    <n v="674068"/>
    <n v="0"/>
    <n v="117570"/>
    <x v="0"/>
    <x v="3"/>
    <x v="0"/>
  </r>
  <r>
    <x v="92"/>
    <x v="7"/>
    <x v="2"/>
    <x v="2"/>
    <x v="3"/>
    <n v="102"/>
    <n v="123"/>
    <n v="122"/>
    <n v="103"/>
    <n v="56"/>
    <n v="248"/>
    <n v="25544"/>
    <n v="0"/>
    <n v="30504"/>
    <x v="0"/>
    <x v="3"/>
    <x v="0"/>
  </r>
  <r>
    <x v="92"/>
    <x v="17"/>
    <x v="2"/>
    <x v="0"/>
    <x v="1"/>
    <n v="445"/>
    <n v="68"/>
    <n v="168"/>
    <n v="345"/>
    <n v="146"/>
    <n v="717"/>
    <n v="247365"/>
    <n v="0"/>
    <n v="48756"/>
    <x v="0"/>
    <x v="3"/>
    <x v="0"/>
  </r>
  <r>
    <x v="92"/>
    <x v="6"/>
    <x v="3"/>
    <x v="2"/>
    <x v="4"/>
    <n v="27"/>
    <n v="53"/>
    <n v="37"/>
    <n v="43"/>
    <n v="30"/>
    <n v="25072"/>
    <n v="1078096"/>
    <n v="0"/>
    <n v="1328816"/>
    <x v="0"/>
    <x v="3"/>
    <x v="0"/>
  </r>
  <r>
    <x v="92"/>
    <x v="3"/>
    <x v="2"/>
    <x v="0"/>
    <x v="3"/>
    <n v="340"/>
    <n v="50"/>
    <n v="71"/>
    <n v="319"/>
    <n v="62"/>
    <n v="256"/>
    <n v="81664"/>
    <n v="0"/>
    <n v="12800"/>
    <x v="0"/>
    <x v="3"/>
    <x v="0"/>
  </r>
  <r>
    <x v="92"/>
    <x v="12"/>
    <x v="1"/>
    <x v="0"/>
    <x v="4"/>
    <n v="85"/>
    <n v="9"/>
    <n v="13"/>
    <n v="81"/>
    <n v="12"/>
    <n v="2488"/>
    <n v="201528"/>
    <n v="0"/>
    <n v="22392"/>
    <x v="0"/>
    <x v="3"/>
    <x v="0"/>
  </r>
  <r>
    <x v="92"/>
    <x v="3"/>
    <x v="2"/>
    <x v="1"/>
    <x v="5"/>
    <n v="317"/>
    <n v="132"/>
    <n v="121"/>
    <n v="328"/>
    <n v="76"/>
    <n v="340"/>
    <n v="111520"/>
    <n v="0"/>
    <n v="44880"/>
    <x v="0"/>
    <x v="3"/>
    <x v="0"/>
  </r>
  <r>
    <x v="92"/>
    <x v="6"/>
    <x v="3"/>
    <x v="1"/>
    <x v="3"/>
    <n v="179"/>
    <n v="59"/>
    <n v="65"/>
    <n v="173"/>
    <n v="38"/>
    <n v="56729"/>
    <n v="9814117"/>
    <n v="0"/>
    <n v="3347011"/>
    <x v="0"/>
    <x v="3"/>
    <x v="0"/>
  </r>
  <r>
    <x v="93"/>
    <x v="8"/>
    <x v="3"/>
    <x v="3"/>
    <x v="1"/>
    <n v="163"/>
    <n v="99"/>
    <n v="94"/>
    <n v="168"/>
    <n v="40"/>
    <n v="36047"/>
    <n v="6055896"/>
    <n v="0"/>
    <n v="3568653"/>
    <x v="0"/>
    <x v="3"/>
    <x v="0"/>
  </r>
  <r>
    <x v="93"/>
    <x v="4"/>
    <x v="1"/>
    <x v="0"/>
    <x v="2"/>
    <n v="80"/>
    <n v="37"/>
    <n v="8"/>
    <n v="109"/>
    <n v="20"/>
    <n v="18773"/>
    <n v="2046257"/>
    <n v="0"/>
    <n v="694601"/>
    <x v="0"/>
    <x v="3"/>
    <x v="0"/>
  </r>
  <r>
    <x v="93"/>
    <x v="19"/>
    <x v="0"/>
    <x v="0"/>
    <x v="4"/>
    <n v="99"/>
    <n v="30"/>
    <n v="53"/>
    <n v="76"/>
    <n v="33"/>
    <n v="4794"/>
    <n v="364344"/>
    <n v="0"/>
    <n v="143820"/>
    <x v="0"/>
    <x v="3"/>
    <x v="0"/>
  </r>
  <r>
    <x v="94"/>
    <x v="17"/>
    <x v="2"/>
    <x v="3"/>
    <x v="0"/>
    <n v="473"/>
    <n v="33"/>
    <n v="174"/>
    <n v="332"/>
    <n v="93"/>
    <n v="1016"/>
    <n v="337312"/>
    <n v="0"/>
    <n v="33528"/>
    <x v="0"/>
    <x v="3"/>
    <x v="0"/>
  </r>
  <r>
    <x v="94"/>
    <x v="11"/>
    <x v="2"/>
    <x v="2"/>
    <x v="1"/>
    <n v="477"/>
    <n v="180"/>
    <n v="11"/>
    <n v="646"/>
    <n v="106"/>
    <n v="1065"/>
    <n v="687990"/>
    <n v="0"/>
    <n v="191700"/>
    <x v="0"/>
    <x v="3"/>
    <x v="0"/>
  </r>
  <r>
    <x v="94"/>
    <x v="19"/>
    <x v="0"/>
    <x v="2"/>
    <x v="5"/>
    <n v="47"/>
    <n v="22"/>
    <n v="63"/>
    <n v="6"/>
    <n v="30"/>
    <n v="6842"/>
    <n v="41052"/>
    <n v="0"/>
    <n v="150524"/>
    <x v="1"/>
    <x v="3"/>
    <x v="0"/>
  </r>
  <r>
    <x v="94"/>
    <x v="14"/>
    <x v="3"/>
    <x v="2"/>
    <x v="4"/>
    <n v="100"/>
    <n v="98"/>
    <n v="65"/>
    <n v="133"/>
    <n v="31"/>
    <n v="17663"/>
    <n v="2349179"/>
    <n v="0"/>
    <n v="1730974"/>
    <x v="0"/>
    <x v="3"/>
    <x v="0"/>
  </r>
  <r>
    <x v="95"/>
    <x v="15"/>
    <x v="2"/>
    <x v="3"/>
    <x v="3"/>
    <n v="304"/>
    <n v="165"/>
    <n v="257"/>
    <n v="212"/>
    <n v="111"/>
    <n v="903"/>
    <n v="191436"/>
    <n v="0"/>
    <n v="148995"/>
    <x v="0"/>
    <x v="3"/>
    <x v="0"/>
  </r>
  <r>
    <x v="95"/>
    <x v="1"/>
    <x v="1"/>
    <x v="1"/>
    <x v="2"/>
    <n v="35"/>
    <n v="6"/>
    <n v="13"/>
    <n v="28"/>
    <n v="16"/>
    <n v="2028"/>
    <n v="56784"/>
    <n v="0"/>
    <n v="12168"/>
    <x v="0"/>
    <x v="3"/>
    <x v="0"/>
  </r>
  <r>
    <x v="95"/>
    <x v="14"/>
    <x v="3"/>
    <x v="1"/>
    <x v="1"/>
    <n v="144"/>
    <n v="19"/>
    <n v="64"/>
    <n v="99"/>
    <n v="59"/>
    <n v="33865"/>
    <n v="3352635"/>
    <n v="0"/>
    <n v="643435"/>
    <x v="0"/>
    <x v="3"/>
    <x v="0"/>
  </r>
  <r>
    <x v="95"/>
    <x v="2"/>
    <x v="0"/>
    <x v="2"/>
    <x v="3"/>
    <n v="107"/>
    <n v="7"/>
    <n v="10"/>
    <n v="104"/>
    <n v="16"/>
    <n v="4214"/>
    <n v="438256"/>
    <n v="0"/>
    <n v="29498"/>
    <x v="0"/>
    <x v="3"/>
    <x v="0"/>
  </r>
  <r>
    <x v="95"/>
    <x v="1"/>
    <x v="1"/>
    <x v="2"/>
    <x v="3"/>
    <n v="97"/>
    <n v="18"/>
    <n v="33"/>
    <n v="82"/>
    <n v="20"/>
    <n v="16649"/>
    <n v="1365218"/>
    <n v="0"/>
    <n v="299682"/>
    <x v="0"/>
    <x v="3"/>
    <x v="0"/>
  </r>
  <r>
    <x v="96"/>
    <x v="9"/>
    <x v="0"/>
    <x v="1"/>
    <x v="2"/>
    <n v="83"/>
    <n v="76"/>
    <n v="17"/>
    <n v="142"/>
    <n v="18"/>
    <n v="4719"/>
    <n v="670098"/>
    <n v="0"/>
    <n v="358644"/>
    <x v="0"/>
    <x v="3"/>
    <x v="0"/>
  </r>
  <r>
    <x v="96"/>
    <x v="16"/>
    <x v="1"/>
    <x v="2"/>
    <x v="3"/>
    <n v="28"/>
    <n v="58"/>
    <n v="43"/>
    <n v="43"/>
    <n v="16"/>
    <n v="16701"/>
    <n v="718143"/>
    <n v="0"/>
    <n v="968658"/>
    <x v="0"/>
    <x v="3"/>
    <x v="0"/>
  </r>
  <r>
    <x v="96"/>
    <x v="9"/>
    <x v="0"/>
    <x v="2"/>
    <x v="2"/>
    <n v="37"/>
    <n v="27"/>
    <n v="28"/>
    <n v="36"/>
    <n v="26"/>
    <n v="4618"/>
    <n v="166248"/>
    <n v="0"/>
    <n v="124686"/>
    <x v="0"/>
    <x v="3"/>
    <x v="0"/>
  </r>
  <r>
    <x v="96"/>
    <x v="5"/>
    <x v="3"/>
    <x v="0"/>
    <x v="1"/>
    <n v="154"/>
    <n v="28"/>
    <n v="48"/>
    <n v="134"/>
    <n v="20"/>
    <n v="59742"/>
    <n v="8005428"/>
    <n v="0"/>
    <n v="1672776"/>
    <x v="0"/>
    <x v="3"/>
    <x v="0"/>
  </r>
  <r>
    <x v="96"/>
    <x v="15"/>
    <x v="2"/>
    <x v="1"/>
    <x v="4"/>
    <n v="300"/>
    <n v="36"/>
    <n v="101"/>
    <n v="235"/>
    <n v="52"/>
    <n v="132"/>
    <n v="31020"/>
    <n v="0"/>
    <n v="4752"/>
    <x v="0"/>
    <x v="3"/>
    <x v="0"/>
  </r>
  <r>
    <x v="96"/>
    <x v="7"/>
    <x v="2"/>
    <x v="3"/>
    <x v="1"/>
    <n v="210"/>
    <n v="241"/>
    <n v="85"/>
    <n v="366"/>
    <n v="64"/>
    <n v="420"/>
    <n v="153720"/>
    <n v="0"/>
    <n v="101220"/>
    <x v="0"/>
    <x v="3"/>
    <x v="0"/>
  </r>
  <r>
    <x v="96"/>
    <x v="13"/>
    <x v="3"/>
    <x v="1"/>
    <x v="3"/>
    <n v="140"/>
    <n v="64"/>
    <n v="70"/>
    <n v="134"/>
    <n v="48"/>
    <n v="14081"/>
    <n v="1886854"/>
    <n v="0"/>
    <n v="901184"/>
    <x v="0"/>
    <x v="3"/>
    <x v="0"/>
  </r>
  <r>
    <x v="97"/>
    <x v="1"/>
    <x v="1"/>
    <x v="3"/>
    <x v="1"/>
    <n v="53"/>
    <n v="52"/>
    <n v="42"/>
    <n v="63"/>
    <n v="22"/>
    <n v="12670"/>
    <n v="798210"/>
    <n v="0"/>
    <n v="658840"/>
    <x v="0"/>
    <x v="3"/>
    <x v="0"/>
  </r>
  <r>
    <x v="97"/>
    <x v="19"/>
    <x v="0"/>
    <x v="2"/>
    <x v="3"/>
    <n v="64"/>
    <n v="75"/>
    <n v="46"/>
    <n v="93"/>
    <n v="34"/>
    <n v="14813"/>
    <n v="1377609"/>
    <n v="0"/>
    <n v="1110975"/>
    <x v="0"/>
    <x v="3"/>
    <x v="0"/>
  </r>
  <r>
    <x v="97"/>
    <x v="6"/>
    <x v="3"/>
    <x v="1"/>
    <x v="0"/>
    <n v="150"/>
    <n v="46"/>
    <n v="47"/>
    <n v="149"/>
    <n v="45"/>
    <n v="3783"/>
    <n v="563667"/>
    <n v="0"/>
    <n v="174018"/>
    <x v="0"/>
    <x v="3"/>
    <x v="0"/>
  </r>
  <r>
    <x v="97"/>
    <x v="14"/>
    <x v="3"/>
    <x v="2"/>
    <x v="5"/>
    <n v="31"/>
    <n v="69"/>
    <n v="56"/>
    <n v="44"/>
    <n v="46"/>
    <n v="24844"/>
    <n v="1093136"/>
    <n v="0"/>
    <n v="1714236"/>
    <x v="1"/>
    <x v="3"/>
    <x v="0"/>
  </r>
  <r>
    <x v="97"/>
    <x v="11"/>
    <x v="2"/>
    <x v="3"/>
    <x v="5"/>
    <n v="165"/>
    <n v="261"/>
    <n v="120"/>
    <n v="306"/>
    <n v="137"/>
    <n v="1055"/>
    <n v="322830"/>
    <n v="0"/>
    <n v="275355"/>
    <x v="0"/>
    <x v="3"/>
    <x v="0"/>
  </r>
  <r>
    <x v="97"/>
    <x v="5"/>
    <x v="3"/>
    <x v="2"/>
    <x v="1"/>
    <n v="53"/>
    <n v="109"/>
    <n v="21"/>
    <n v="141"/>
    <n v="33"/>
    <n v="24507"/>
    <n v="3455487"/>
    <n v="0"/>
    <n v="2671263"/>
    <x v="0"/>
    <x v="3"/>
    <x v="0"/>
  </r>
  <r>
    <x v="98"/>
    <x v="19"/>
    <x v="0"/>
    <x v="1"/>
    <x v="0"/>
    <n v="27"/>
    <n v="47"/>
    <n v="22"/>
    <n v="52"/>
    <n v="30"/>
    <n v="2870"/>
    <n v="149240"/>
    <n v="0"/>
    <n v="134890"/>
    <x v="0"/>
    <x v="3"/>
    <x v="0"/>
  </r>
  <r>
    <x v="98"/>
    <x v="6"/>
    <x v="3"/>
    <x v="1"/>
    <x v="5"/>
    <n v="30"/>
    <n v="94"/>
    <n v="25"/>
    <n v="99"/>
    <n v="26"/>
    <n v="40949"/>
    <n v="4053951"/>
    <n v="0"/>
    <n v="3849206"/>
    <x v="0"/>
    <x v="3"/>
    <x v="0"/>
  </r>
  <r>
    <x v="98"/>
    <x v="5"/>
    <x v="3"/>
    <x v="3"/>
    <x v="4"/>
    <n v="102"/>
    <n v="52"/>
    <n v="33"/>
    <n v="121"/>
    <n v="31"/>
    <n v="53289"/>
    <n v="6447969"/>
    <n v="0"/>
    <n v="2771028"/>
    <x v="0"/>
    <x v="3"/>
    <x v="0"/>
  </r>
  <r>
    <x v="98"/>
    <x v="14"/>
    <x v="3"/>
    <x v="3"/>
    <x v="5"/>
    <n v="101"/>
    <n v="84"/>
    <n v="88"/>
    <n v="97"/>
    <n v="24"/>
    <n v="26591"/>
    <n v="2579327"/>
    <n v="0"/>
    <n v="2233644"/>
    <x v="0"/>
    <x v="3"/>
    <x v="0"/>
  </r>
  <r>
    <x v="99"/>
    <x v="11"/>
    <x v="2"/>
    <x v="1"/>
    <x v="1"/>
    <n v="193"/>
    <n v="111"/>
    <n v="86"/>
    <n v="218"/>
    <n v="140"/>
    <n v="248"/>
    <n v="54064"/>
    <n v="0"/>
    <n v="27528"/>
    <x v="0"/>
    <x v="3"/>
    <x v="0"/>
  </r>
  <r>
    <x v="99"/>
    <x v="17"/>
    <x v="2"/>
    <x v="0"/>
    <x v="4"/>
    <n v="262"/>
    <n v="194"/>
    <n v="135"/>
    <n v="321"/>
    <n v="137"/>
    <n v="993"/>
    <n v="318753"/>
    <n v="0"/>
    <n v="192642"/>
    <x v="0"/>
    <x v="3"/>
    <x v="0"/>
  </r>
  <r>
    <x v="99"/>
    <x v="11"/>
    <x v="2"/>
    <x v="3"/>
    <x v="2"/>
    <n v="409"/>
    <n v="181"/>
    <n v="140"/>
    <n v="450"/>
    <n v="137"/>
    <n v="789"/>
    <n v="355050"/>
    <n v="0"/>
    <n v="142809"/>
    <x v="0"/>
    <x v="3"/>
    <x v="0"/>
  </r>
  <r>
    <x v="100"/>
    <x v="13"/>
    <x v="3"/>
    <x v="2"/>
    <x v="3"/>
    <n v="90"/>
    <n v="80"/>
    <n v="31"/>
    <n v="139"/>
    <n v="52"/>
    <n v="64297"/>
    <n v="8937283"/>
    <n v="0"/>
    <n v="5143760"/>
    <x v="0"/>
    <x v="3"/>
    <x v="0"/>
  </r>
  <r>
    <x v="100"/>
    <x v="9"/>
    <x v="0"/>
    <x v="3"/>
    <x v="2"/>
    <n v="70"/>
    <n v="72"/>
    <n v="49"/>
    <n v="93"/>
    <n v="21"/>
    <n v="15428"/>
    <n v="1434804"/>
    <n v="0"/>
    <n v="1110816"/>
    <x v="0"/>
    <x v="3"/>
    <x v="0"/>
  </r>
  <r>
    <x v="100"/>
    <x v="11"/>
    <x v="2"/>
    <x v="2"/>
    <x v="1"/>
    <n v="225"/>
    <n v="146"/>
    <n v="175"/>
    <n v="196"/>
    <n v="94"/>
    <n v="60"/>
    <n v="11760"/>
    <n v="0"/>
    <n v="8760"/>
    <x v="0"/>
    <x v="3"/>
    <x v="0"/>
  </r>
  <r>
    <x v="100"/>
    <x v="17"/>
    <x v="2"/>
    <x v="3"/>
    <x v="5"/>
    <n v="106"/>
    <n v="244"/>
    <n v="165"/>
    <n v="185"/>
    <n v="111"/>
    <n v="595"/>
    <n v="110075"/>
    <n v="0"/>
    <n v="145180"/>
    <x v="0"/>
    <x v="3"/>
    <x v="0"/>
  </r>
  <r>
    <x v="101"/>
    <x v="10"/>
    <x v="2"/>
    <x v="1"/>
    <x v="1"/>
    <n v="93"/>
    <n v="44"/>
    <n v="137"/>
    <n v="0"/>
    <n v="102"/>
    <n v="70"/>
    <n v="0"/>
    <n v="0"/>
    <n v="3080"/>
    <x v="1"/>
    <x v="3"/>
    <x v="0"/>
  </r>
  <r>
    <x v="101"/>
    <x v="19"/>
    <x v="0"/>
    <x v="2"/>
    <x v="3"/>
    <n v="105"/>
    <n v="49"/>
    <n v="45"/>
    <n v="109"/>
    <n v="27"/>
    <n v="9544"/>
    <n v="1040296"/>
    <n v="0"/>
    <n v="467656"/>
    <x v="0"/>
    <x v="3"/>
    <x v="0"/>
  </r>
  <r>
    <x v="101"/>
    <x v="17"/>
    <x v="2"/>
    <x v="2"/>
    <x v="3"/>
    <n v="69"/>
    <n v="146"/>
    <n v="183"/>
    <n v="32"/>
    <n v="94"/>
    <n v="904"/>
    <n v="28928"/>
    <n v="0"/>
    <n v="131984"/>
    <x v="1"/>
    <x v="3"/>
    <x v="0"/>
  </r>
  <r>
    <x v="101"/>
    <x v="19"/>
    <x v="0"/>
    <x v="1"/>
    <x v="5"/>
    <n v="56"/>
    <n v="36"/>
    <n v="41"/>
    <n v="51"/>
    <n v="28"/>
    <n v="7464"/>
    <n v="380664"/>
    <n v="0"/>
    <n v="268704"/>
    <x v="0"/>
    <x v="3"/>
    <x v="0"/>
  </r>
  <r>
    <x v="101"/>
    <x v="18"/>
    <x v="3"/>
    <x v="2"/>
    <x v="3"/>
    <n v="73"/>
    <n v="23"/>
    <n v="40"/>
    <n v="56"/>
    <n v="37"/>
    <n v="43505"/>
    <n v="2436280"/>
    <n v="0"/>
    <n v="1000615"/>
    <x v="0"/>
    <x v="3"/>
    <x v="0"/>
  </r>
  <r>
    <x v="101"/>
    <x v="13"/>
    <x v="3"/>
    <x v="1"/>
    <x v="0"/>
    <n v="78"/>
    <n v="36"/>
    <n v="73"/>
    <n v="41"/>
    <n v="22"/>
    <n v="10552"/>
    <n v="432632"/>
    <n v="0"/>
    <n v="379872"/>
    <x v="0"/>
    <x v="3"/>
    <x v="0"/>
  </r>
  <r>
    <x v="102"/>
    <x v="7"/>
    <x v="2"/>
    <x v="1"/>
    <x v="4"/>
    <n v="59"/>
    <n v="100"/>
    <n v="99"/>
    <n v="60"/>
    <n v="79"/>
    <n v="245"/>
    <n v="14700"/>
    <n v="0"/>
    <n v="24500"/>
    <x v="1"/>
    <x v="3"/>
    <x v="0"/>
  </r>
  <r>
    <x v="102"/>
    <x v="18"/>
    <x v="3"/>
    <x v="0"/>
    <x v="5"/>
    <n v="179"/>
    <n v="88"/>
    <n v="17"/>
    <n v="250"/>
    <n v="21"/>
    <n v="34587"/>
    <n v="8646750"/>
    <n v="0"/>
    <n v="3043656"/>
    <x v="0"/>
    <x v="3"/>
    <x v="0"/>
  </r>
  <r>
    <x v="102"/>
    <x v="14"/>
    <x v="3"/>
    <x v="3"/>
    <x v="0"/>
    <n v="74"/>
    <n v="10"/>
    <n v="74"/>
    <n v="10"/>
    <n v="53"/>
    <n v="36428"/>
    <n v="364280"/>
    <n v="0"/>
    <n v="364280"/>
    <x v="1"/>
    <x v="3"/>
    <x v="0"/>
  </r>
  <r>
    <x v="102"/>
    <x v="18"/>
    <x v="3"/>
    <x v="0"/>
    <x v="0"/>
    <n v="122"/>
    <n v="99"/>
    <n v="50"/>
    <n v="171"/>
    <n v="34"/>
    <n v="11161"/>
    <n v="1908531"/>
    <n v="0"/>
    <n v="1104939"/>
    <x v="0"/>
    <x v="3"/>
    <x v="0"/>
  </r>
  <r>
    <x v="103"/>
    <x v="13"/>
    <x v="3"/>
    <x v="1"/>
    <x v="5"/>
    <n v="145"/>
    <n v="80"/>
    <n v="37"/>
    <n v="188"/>
    <n v="26"/>
    <n v="56419"/>
    <n v="10606772"/>
    <n v="0"/>
    <n v="4513520"/>
    <x v="0"/>
    <x v="3"/>
    <x v="0"/>
  </r>
  <r>
    <x v="103"/>
    <x v="16"/>
    <x v="1"/>
    <x v="3"/>
    <x v="4"/>
    <n v="91"/>
    <n v="46"/>
    <n v="21"/>
    <n v="116"/>
    <n v="21"/>
    <n v="21409"/>
    <n v="2483444"/>
    <n v="0"/>
    <n v="984814"/>
    <x v="0"/>
    <x v="3"/>
    <x v="0"/>
  </r>
  <r>
    <x v="103"/>
    <x v="8"/>
    <x v="3"/>
    <x v="3"/>
    <x v="1"/>
    <n v="83"/>
    <n v="115"/>
    <n v="93"/>
    <n v="105"/>
    <n v="40"/>
    <n v="3881"/>
    <n v="407505"/>
    <n v="0"/>
    <n v="446315"/>
    <x v="0"/>
    <x v="3"/>
    <x v="0"/>
  </r>
  <r>
    <x v="103"/>
    <x v="11"/>
    <x v="2"/>
    <x v="3"/>
    <x v="5"/>
    <n v="190"/>
    <n v="196"/>
    <n v="37"/>
    <n v="349"/>
    <n v="77"/>
    <n v="581"/>
    <n v="202769"/>
    <n v="0"/>
    <n v="113876"/>
    <x v="0"/>
    <x v="3"/>
    <x v="0"/>
  </r>
  <r>
    <x v="103"/>
    <x v="5"/>
    <x v="3"/>
    <x v="2"/>
    <x v="4"/>
    <n v="120"/>
    <n v="38"/>
    <n v="86"/>
    <n v="72"/>
    <n v="58"/>
    <n v="39209"/>
    <n v="2823048"/>
    <n v="0"/>
    <n v="1489942"/>
    <x v="0"/>
    <x v="3"/>
    <x v="0"/>
  </r>
  <r>
    <x v="103"/>
    <x v="13"/>
    <x v="3"/>
    <x v="2"/>
    <x v="1"/>
    <n v="156"/>
    <n v="52"/>
    <n v="52"/>
    <n v="156"/>
    <n v="48"/>
    <n v="40774"/>
    <n v="6360744"/>
    <n v="0"/>
    <n v="2120248"/>
    <x v="0"/>
    <x v="3"/>
    <x v="0"/>
  </r>
  <r>
    <x v="103"/>
    <x v="2"/>
    <x v="0"/>
    <x v="1"/>
    <x v="1"/>
    <n v="58"/>
    <n v="27"/>
    <n v="59"/>
    <n v="26"/>
    <n v="27"/>
    <n v="1514"/>
    <n v="39364"/>
    <n v="0"/>
    <n v="40878"/>
    <x v="1"/>
    <x v="3"/>
    <x v="0"/>
  </r>
  <r>
    <x v="104"/>
    <x v="0"/>
    <x v="0"/>
    <x v="3"/>
    <x v="5"/>
    <n v="119"/>
    <n v="73"/>
    <n v="17"/>
    <n v="175"/>
    <n v="17"/>
    <n v="6506"/>
    <n v="1138550"/>
    <n v="0"/>
    <n v="474938"/>
    <x v="0"/>
    <x v="3"/>
    <x v="0"/>
  </r>
  <r>
    <x v="104"/>
    <x v="14"/>
    <x v="3"/>
    <x v="3"/>
    <x v="5"/>
    <n v="164"/>
    <n v="65"/>
    <n v="49"/>
    <n v="180"/>
    <n v="29"/>
    <n v="21437"/>
    <n v="3858660"/>
    <n v="0"/>
    <n v="1393405"/>
    <x v="0"/>
    <x v="3"/>
    <x v="0"/>
  </r>
  <r>
    <x v="104"/>
    <x v="19"/>
    <x v="0"/>
    <x v="2"/>
    <x v="4"/>
    <n v="96"/>
    <n v="79"/>
    <n v="50"/>
    <n v="125"/>
    <n v="36"/>
    <n v="15751"/>
    <n v="1968875"/>
    <n v="0"/>
    <n v="1244329"/>
    <x v="0"/>
    <x v="3"/>
    <x v="0"/>
  </r>
  <r>
    <x v="104"/>
    <x v="10"/>
    <x v="2"/>
    <x v="3"/>
    <x v="0"/>
    <n v="230"/>
    <n v="73"/>
    <n v="184"/>
    <n v="119"/>
    <n v="136"/>
    <n v="181"/>
    <n v="21539"/>
    <n v="0"/>
    <n v="13213"/>
    <x v="1"/>
    <x v="3"/>
    <x v="0"/>
  </r>
  <r>
    <x v="104"/>
    <x v="1"/>
    <x v="1"/>
    <x v="1"/>
    <x v="2"/>
    <n v="28"/>
    <n v="33"/>
    <n v="32"/>
    <n v="29"/>
    <n v="15"/>
    <n v="13137"/>
    <n v="380973"/>
    <n v="0"/>
    <n v="433521"/>
    <x v="0"/>
    <x v="3"/>
    <x v="0"/>
  </r>
  <r>
    <x v="104"/>
    <x v="18"/>
    <x v="3"/>
    <x v="1"/>
    <x v="5"/>
    <n v="89"/>
    <n v="71"/>
    <n v="84"/>
    <n v="76"/>
    <n v="42"/>
    <n v="5697"/>
    <n v="432972"/>
    <n v="0"/>
    <n v="404487"/>
    <x v="0"/>
    <x v="3"/>
    <x v="0"/>
  </r>
  <r>
    <x v="104"/>
    <x v="15"/>
    <x v="2"/>
    <x v="3"/>
    <x v="2"/>
    <n v="299"/>
    <n v="123"/>
    <n v="229"/>
    <n v="193"/>
    <n v="118"/>
    <n v="870"/>
    <n v="167910"/>
    <n v="0"/>
    <n v="107010"/>
    <x v="0"/>
    <x v="3"/>
    <x v="0"/>
  </r>
  <r>
    <x v="105"/>
    <x v="19"/>
    <x v="0"/>
    <x v="2"/>
    <x v="1"/>
    <n v="65"/>
    <n v="20"/>
    <n v="26"/>
    <n v="59"/>
    <n v="17"/>
    <n v="11785"/>
    <n v="695315"/>
    <n v="0"/>
    <n v="235700"/>
    <x v="0"/>
    <x v="3"/>
    <x v="0"/>
  </r>
  <r>
    <x v="105"/>
    <x v="3"/>
    <x v="2"/>
    <x v="2"/>
    <x v="0"/>
    <n v="207"/>
    <n v="176"/>
    <n v="154"/>
    <n v="229"/>
    <n v="112"/>
    <n v="139"/>
    <n v="31831"/>
    <n v="0"/>
    <n v="24464"/>
    <x v="0"/>
    <x v="3"/>
    <x v="0"/>
  </r>
  <r>
    <x v="105"/>
    <x v="8"/>
    <x v="3"/>
    <x v="0"/>
    <x v="5"/>
    <n v="51"/>
    <n v="83"/>
    <n v="47"/>
    <n v="87"/>
    <n v="24"/>
    <n v="31344"/>
    <n v="2726928"/>
    <n v="0"/>
    <n v="2601552"/>
    <x v="0"/>
    <x v="3"/>
    <x v="0"/>
  </r>
  <r>
    <x v="106"/>
    <x v="10"/>
    <x v="2"/>
    <x v="2"/>
    <x v="3"/>
    <n v="431"/>
    <n v="273"/>
    <n v="82"/>
    <n v="622"/>
    <n v="133"/>
    <n v="888"/>
    <n v="552336"/>
    <n v="0"/>
    <n v="242424"/>
    <x v="0"/>
    <x v="3"/>
    <x v="0"/>
  </r>
  <r>
    <x v="106"/>
    <x v="1"/>
    <x v="1"/>
    <x v="1"/>
    <x v="2"/>
    <n v="26"/>
    <n v="19"/>
    <n v="34"/>
    <n v="11"/>
    <n v="28"/>
    <n v="22763"/>
    <n v="250393"/>
    <n v="0"/>
    <n v="432497"/>
    <x v="1"/>
    <x v="3"/>
    <x v="0"/>
  </r>
  <r>
    <x v="106"/>
    <x v="3"/>
    <x v="2"/>
    <x v="2"/>
    <x v="5"/>
    <n v="275"/>
    <n v="247"/>
    <n v="250"/>
    <n v="272"/>
    <n v="52"/>
    <n v="525"/>
    <n v="142800"/>
    <n v="0"/>
    <n v="129675"/>
    <x v="0"/>
    <x v="3"/>
    <x v="0"/>
  </r>
  <r>
    <x v="106"/>
    <x v="12"/>
    <x v="1"/>
    <x v="1"/>
    <x v="2"/>
    <n v="60"/>
    <n v="32"/>
    <n v="22"/>
    <n v="70"/>
    <n v="22"/>
    <n v="11248"/>
    <n v="787360"/>
    <n v="0"/>
    <n v="359936"/>
    <x v="0"/>
    <x v="3"/>
    <x v="0"/>
  </r>
  <r>
    <x v="106"/>
    <x v="14"/>
    <x v="3"/>
    <x v="3"/>
    <x v="1"/>
    <n v="55"/>
    <n v="94"/>
    <n v="31"/>
    <n v="118"/>
    <n v="47"/>
    <n v="4040"/>
    <n v="476720"/>
    <n v="0"/>
    <n v="379760"/>
    <x v="0"/>
    <x v="3"/>
    <x v="0"/>
  </r>
  <r>
    <x v="106"/>
    <x v="13"/>
    <x v="3"/>
    <x v="3"/>
    <x v="2"/>
    <n v="158"/>
    <n v="42"/>
    <n v="62"/>
    <n v="138"/>
    <n v="20"/>
    <n v="21837"/>
    <n v="3013506"/>
    <n v="0"/>
    <n v="917154"/>
    <x v="0"/>
    <x v="3"/>
    <x v="0"/>
  </r>
  <r>
    <x v="106"/>
    <x v="4"/>
    <x v="1"/>
    <x v="0"/>
    <x v="3"/>
    <n v="81"/>
    <n v="5"/>
    <n v="37"/>
    <n v="49"/>
    <n v="23"/>
    <n v="21602"/>
    <n v="1058498"/>
    <n v="0"/>
    <n v="108010"/>
    <x v="0"/>
    <x v="3"/>
    <x v="0"/>
  </r>
  <r>
    <x v="106"/>
    <x v="10"/>
    <x v="2"/>
    <x v="1"/>
    <x v="4"/>
    <n v="368"/>
    <n v="77"/>
    <n v="70"/>
    <n v="375"/>
    <n v="75"/>
    <n v="356"/>
    <n v="133500"/>
    <n v="0"/>
    <n v="27412"/>
    <x v="0"/>
    <x v="3"/>
    <x v="0"/>
  </r>
  <r>
    <x v="107"/>
    <x v="11"/>
    <x v="2"/>
    <x v="2"/>
    <x v="5"/>
    <n v="72"/>
    <n v="173"/>
    <n v="153"/>
    <n v="92"/>
    <n v="144"/>
    <n v="75"/>
    <n v="6900"/>
    <n v="0"/>
    <n v="12975"/>
    <x v="1"/>
    <x v="3"/>
    <x v="0"/>
  </r>
  <r>
    <x v="107"/>
    <x v="1"/>
    <x v="1"/>
    <x v="3"/>
    <x v="5"/>
    <n v="42"/>
    <n v="27"/>
    <n v="14"/>
    <n v="55"/>
    <n v="26"/>
    <n v="4113"/>
    <n v="226215"/>
    <n v="0"/>
    <n v="111051"/>
    <x v="0"/>
    <x v="3"/>
    <x v="0"/>
  </r>
  <r>
    <x v="108"/>
    <x v="9"/>
    <x v="0"/>
    <x v="1"/>
    <x v="3"/>
    <n v="53"/>
    <n v="14"/>
    <n v="32"/>
    <n v="35"/>
    <n v="16"/>
    <n v="16645"/>
    <n v="582575"/>
    <n v="0"/>
    <n v="233030"/>
    <x v="0"/>
    <x v="3"/>
    <x v="0"/>
  </r>
  <r>
    <x v="108"/>
    <x v="2"/>
    <x v="0"/>
    <x v="0"/>
    <x v="0"/>
    <n v="41"/>
    <n v="59"/>
    <n v="19"/>
    <n v="81"/>
    <n v="24"/>
    <n v="13768"/>
    <n v="1115208"/>
    <n v="0"/>
    <n v="812312"/>
    <x v="0"/>
    <x v="3"/>
    <x v="0"/>
  </r>
  <r>
    <x v="108"/>
    <x v="10"/>
    <x v="2"/>
    <x v="1"/>
    <x v="5"/>
    <n v="332"/>
    <n v="133"/>
    <n v="265"/>
    <n v="200"/>
    <n v="128"/>
    <n v="225"/>
    <n v="45000"/>
    <n v="0"/>
    <n v="29925"/>
    <x v="0"/>
    <x v="3"/>
    <x v="0"/>
  </r>
  <r>
    <x v="108"/>
    <x v="2"/>
    <x v="0"/>
    <x v="3"/>
    <x v="5"/>
    <n v="86"/>
    <n v="32"/>
    <n v="47"/>
    <n v="71"/>
    <n v="15"/>
    <n v="6425"/>
    <n v="456175"/>
    <n v="0"/>
    <n v="205600"/>
    <x v="0"/>
    <x v="3"/>
    <x v="0"/>
  </r>
  <r>
    <x v="108"/>
    <x v="15"/>
    <x v="2"/>
    <x v="0"/>
    <x v="5"/>
    <n v="426"/>
    <n v="79"/>
    <n v="114"/>
    <n v="391"/>
    <n v="121"/>
    <n v="1070"/>
    <n v="418370"/>
    <n v="0"/>
    <n v="84530"/>
    <x v="0"/>
    <x v="3"/>
    <x v="0"/>
  </r>
  <r>
    <x v="109"/>
    <x v="14"/>
    <x v="3"/>
    <x v="3"/>
    <x v="3"/>
    <n v="168"/>
    <n v="31"/>
    <n v="13"/>
    <n v="186"/>
    <n v="45"/>
    <n v="9690"/>
    <n v="1802340"/>
    <n v="0"/>
    <n v="300390"/>
    <x v="0"/>
    <x v="3"/>
    <x v="0"/>
  </r>
  <r>
    <x v="109"/>
    <x v="14"/>
    <x v="3"/>
    <x v="3"/>
    <x v="3"/>
    <n v="143"/>
    <n v="76"/>
    <n v="75"/>
    <n v="144"/>
    <n v="48"/>
    <n v="33219"/>
    <n v="4783536"/>
    <n v="0"/>
    <n v="2524644"/>
    <x v="0"/>
    <x v="3"/>
    <x v="0"/>
  </r>
  <r>
    <x v="109"/>
    <x v="1"/>
    <x v="1"/>
    <x v="1"/>
    <x v="3"/>
    <n v="73"/>
    <n v="12"/>
    <n v="30"/>
    <n v="55"/>
    <n v="19"/>
    <n v="2361"/>
    <n v="129855"/>
    <n v="0"/>
    <n v="28332"/>
    <x v="0"/>
    <x v="3"/>
    <x v="0"/>
  </r>
  <r>
    <x v="109"/>
    <x v="6"/>
    <x v="3"/>
    <x v="0"/>
    <x v="5"/>
    <n v="133"/>
    <n v="61"/>
    <n v="26"/>
    <n v="168"/>
    <n v="25"/>
    <n v="24355"/>
    <n v="4091640"/>
    <n v="0"/>
    <n v="1485655"/>
    <x v="0"/>
    <x v="3"/>
    <x v="0"/>
  </r>
  <r>
    <x v="110"/>
    <x v="5"/>
    <x v="3"/>
    <x v="0"/>
    <x v="2"/>
    <n v="53"/>
    <n v="96"/>
    <n v="17"/>
    <n v="132"/>
    <n v="51"/>
    <n v="36902"/>
    <n v="4871064"/>
    <n v="0"/>
    <n v="3542592"/>
    <x v="0"/>
    <x v="3"/>
    <x v="0"/>
  </r>
  <r>
    <x v="110"/>
    <x v="7"/>
    <x v="2"/>
    <x v="2"/>
    <x v="4"/>
    <n v="153"/>
    <n v="44"/>
    <n v="197"/>
    <n v="0"/>
    <n v="134"/>
    <n v="558"/>
    <n v="0"/>
    <n v="0"/>
    <n v="24552"/>
    <x v="1"/>
    <x v="3"/>
    <x v="0"/>
  </r>
  <r>
    <x v="110"/>
    <x v="3"/>
    <x v="2"/>
    <x v="0"/>
    <x v="4"/>
    <n v="412"/>
    <n v="267"/>
    <n v="12"/>
    <n v="667"/>
    <n v="74"/>
    <n v="423"/>
    <n v="282141"/>
    <n v="0"/>
    <n v="112941"/>
    <x v="0"/>
    <x v="3"/>
    <x v="0"/>
  </r>
  <r>
    <x v="110"/>
    <x v="19"/>
    <x v="0"/>
    <x v="1"/>
    <x v="3"/>
    <n v="23"/>
    <n v="72"/>
    <n v="48"/>
    <n v="47"/>
    <n v="17"/>
    <n v="2731"/>
    <n v="128357"/>
    <n v="0"/>
    <n v="196632"/>
    <x v="0"/>
    <x v="3"/>
    <x v="0"/>
  </r>
  <r>
    <x v="110"/>
    <x v="9"/>
    <x v="0"/>
    <x v="3"/>
    <x v="0"/>
    <n v="100"/>
    <n v="38"/>
    <n v="49"/>
    <n v="89"/>
    <n v="22"/>
    <n v="8643"/>
    <n v="769227"/>
    <n v="0"/>
    <n v="328434"/>
    <x v="0"/>
    <x v="3"/>
    <x v="0"/>
  </r>
  <r>
    <x v="111"/>
    <x v="7"/>
    <x v="2"/>
    <x v="2"/>
    <x v="4"/>
    <n v="462"/>
    <n v="174"/>
    <n v="165"/>
    <n v="471"/>
    <n v="139"/>
    <n v="709"/>
    <n v="333939"/>
    <n v="0"/>
    <n v="123366"/>
    <x v="0"/>
    <x v="3"/>
    <x v="0"/>
  </r>
  <r>
    <x v="111"/>
    <x v="2"/>
    <x v="0"/>
    <x v="2"/>
    <x v="2"/>
    <n v="65"/>
    <n v="37"/>
    <n v="5"/>
    <n v="97"/>
    <n v="17"/>
    <n v="15223"/>
    <n v="1476631"/>
    <n v="0"/>
    <n v="563251"/>
    <x v="0"/>
    <x v="3"/>
    <x v="0"/>
  </r>
  <r>
    <x v="111"/>
    <x v="8"/>
    <x v="3"/>
    <x v="2"/>
    <x v="1"/>
    <n v="127"/>
    <n v="56"/>
    <n v="91"/>
    <n v="92"/>
    <n v="46"/>
    <n v="2787"/>
    <n v="256404"/>
    <n v="0"/>
    <n v="156072"/>
    <x v="0"/>
    <x v="3"/>
    <x v="0"/>
  </r>
  <r>
    <x v="111"/>
    <x v="9"/>
    <x v="0"/>
    <x v="1"/>
    <x v="2"/>
    <n v="116"/>
    <n v="64"/>
    <n v="23"/>
    <n v="157"/>
    <n v="33"/>
    <n v="2724"/>
    <n v="427668"/>
    <n v="0"/>
    <n v="174336"/>
    <x v="0"/>
    <x v="3"/>
    <x v="0"/>
  </r>
  <r>
    <x v="111"/>
    <x v="18"/>
    <x v="3"/>
    <x v="3"/>
    <x v="4"/>
    <n v="165"/>
    <n v="26"/>
    <n v="42"/>
    <n v="149"/>
    <n v="42"/>
    <n v="54445"/>
    <n v="8112305"/>
    <n v="0"/>
    <n v="1415570"/>
    <x v="0"/>
    <x v="3"/>
    <x v="0"/>
  </r>
  <r>
    <x v="111"/>
    <x v="9"/>
    <x v="0"/>
    <x v="3"/>
    <x v="2"/>
    <n v="34"/>
    <n v="17"/>
    <n v="13"/>
    <n v="38"/>
    <n v="33"/>
    <n v="11816"/>
    <n v="449008"/>
    <n v="0"/>
    <n v="200872"/>
    <x v="0"/>
    <x v="3"/>
    <x v="0"/>
  </r>
  <r>
    <x v="111"/>
    <x v="12"/>
    <x v="1"/>
    <x v="2"/>
    <x v="2"/>
    <n v="25"/>
    <n v="21"/>
    <n v="28"/>
    <n v="18"/>
    <n v="29"/>
    <n v="16226"/>
    <n v="292068"/>
    <n v="0"/>
    <n v="340746"/>
    <x v="1"/>
    <x v="3"/>
    <x v="0"/>
  </r>
  <r>
    <x v="112"/>
    <x v="2"/>
    <x v="0"/>
    <x v="0"/>
    <x v="0"/>
    <n v="26"/>
    <n v="51"/>
    <n v="3"/>
    <n v="74"/>
    <n v="28"/>
    <n v="6933"/>
    <n v="513042"/>
    <n v="0"/>
    <n v="353583"/>
    <x v="0"/>
    <x v="3"/>
    <x v="0"/>
  </r>
  <r>
    <x v="112"/>
    <x v="2"/>
    <x v="0"/>
    <x v="1"/>
    <x v="0"/>
    <n v="26"/>
    <n v="57"/>
    <n v="13"/>
    <n v="70"/>
    <n v="31"/>
    <n v="17223"/>
    <n v="1205610"/>
    <n v="0"/>
    <n v="981711"/>
    <x v="0"/>
    <x v="3"/>
    <x v="0"/>
  </r>
  <r>
    <x v="112"/>
    <x v="10"/>
    <x v="2"/>
    <x v="0"/>
    <x v="0"/>
    <n v="215"/>
    <n v="185"/>
    <n v="17"/>
    <n v="383"/>
    <n v="138"/>
    <n v="733"/>
    <n v="280739"/>
    <n v="0"/>
    <n v="135605"/>
    <x v="0"/>
    <x v="3"/>
    <x v="0"/>
  </r>
  <r>
    <x v="112"/>
    <x v="1"/>
    <x v="1"/>
    <x v="3"/>
    <x v="0"/>
    <n v="68"/>
    <n v="43"/>
    <n v="41"/>
    <n v="70"/>
    <n v="11"/>
    <n v="19217"/>
    <n v="1345190"/>
    <n v="0"/>
    <n v="826331"/>
    <x v="0"/>
    <x v="3"/>
    <x v="0"/>
  </r>
  <r>
    <x v="112"/>
    <x v="1"/>
    <x v="1"/>
    <x v="0"/>
    <x v="2"/>
    <n v="45"/>
    <n v="19"/>
    <n v="20"/>
    <n v="44"/>
    <n v="11"/>
    <n v="2801"/>
    <n v="123244"/>
    <n v="0"/>
    <n v="53219"/>
    <x v="0"/>
    <x v="3"/>
    <x v="0"/>
  </r>
  <r>
    <x v="113"/>
    <x v="12"/>
    <x v="1"/>
    <x v="0"/>
    <x v="3"/>
    <n v="30"/>
    <n v="53"/>
    <n v="29"/>
    <n v="54"/>
    <n v="21"/>
    <n v="5947"/>
    <n v="321138"/>
    <n v="0"/>
    <n v="315191"/>
    <x v="0"/>
    <x v="3"/>
    <x v="0"/>
  </r>
  <r>
    <x v="113"/>
    <x v="11"/>
    <x v="2"/>
    <x v="3"/>
    <x v="0"/>
    <n v="152"/>
    <n v="86"/>
    <n v="138"/>
    <n v="100"/>
    <n v="113"/>
    <n v="334"/>
    <n v="33400"/>
    <n v="0"/>
    <n v="28724"/>
    <x v="1"/>
    <x v="3"/>
    <x v="0"/>
  </r>
  <r>
    <x v="113"/>
    <x v="11"/>
    <x v="2"/>
    <x v="2"/>
    <x v="4"/>
    <n v="194"/>
    <n v="55"/>
    <n v="145"/>
    <n v="104"/>
    <n v="125"/>
    <n v="322"/>
    <n v="33488"/>
    <n v="0"/>
    <n v="17710"/>
    <x v="1"/>
    <x v="3"/>
    <x v="0"/>
  </r>
  <r>
    <x v="113"/>
    <x v="5"/>
    <x v="3"/>
    <x v="0"/>
    <x v="0"/>
    <n v="151"/>
    <n v="47"/>
    <n v="67"/>
    <n v="131"/>
    <n v="20"/>
    <n v="57294"/>
    <n v="7505514"/>
    <n v="0"/>
    <n v="2692818"/>
    <x v="0"/>
    <x v="3"/>
    <x v="0"/>
  </r>
  <r>
    <x v="113"/>
    <x v="8"/>
    <x v="3"/>
    <x v="0"/>
    <x v="1"/>
    <n v="59"/>
    <n v="54"/>
    <n v="66"/>
    <n v="47"/>
    <n v="22"/>
    <n v="3196"/>
    <n v="150212"/>
    <n v="0"/>
    <n v="172584"/>
    <x v="0"/>
    <x v="3"/>
    <x v="0"/>
  </r>
  <r>
    <x v="113"/>
    <x v="18"/>
    <x v="3"/>
    <x v="3"/>
    <x v="3"/>
    <n v="179"/>
    <n v="68"/>
    <n v="96"/>
    <n v="151"/>
    <n v="31"/>
    <n v="9348"/>
    <n v="1411548"/>
    <n v="0"/>
    <n v="635664"/>
    <x v="0"/>
    <x v="3"/>
    <x v="0"/>
  </r>
  <r>
    <x v="114"/>
    <x v="3"/>
    <x v="2"/>
    <x v="3"/>
    <x v="3"/>
    <n v="208"/>
    <n v="287"/>
    <n v="99"/>
    <n v="396"/>
    <n v="91"/>
    <n v="776"/>
    <n v="307296"/>
    <n v="0"/>
    <n v="222712"/>
    <x v="0"/>
    <x v="3"/>
    <x v="0"/>
  </r>
  <r>
    <x v="115"/>
    <x v="2"/>
    <x v="0"/>
    <x v="1"/>
    <x v="5"/>
    <n v="44"/>
    <n v="71"/>
    <n v="53"/>
    <n v="62"/>
    <n v="17"/>
    <n v="7072"/>
    <n v="438464"/>
    <n v="0"/>
    <n v="502112"/>
    <x v="0"/>
    <x v="3"/>
    <x v="0"/>
  </r>
  <r>
    <x v="115"/>
    <x v="1"/>
    <x v="1"/>
    <x v="3"/>
    <x v="1"/>
    <n v="68"/>
    <n v="17"/>
    <n v="22"/>
    <n v="63"/>
    <n v="14"/>
    <n v="3867"/>
    <n v="243621"/>
    <n v="0"/>
    <n v="65739"/>
    <x v="0"/>
    <x v="3"/>
    <x v="0"/>
  </r>
  <r>
    <x v="115"/>
    <x v="4"/>
    <x v="1"/>
    <x v="1"/>
    <x v="2"/>
    <n v="55"/>
    <n v="57"/>
    <n v="35"/>
    <n v="77"/>
    <n v="13"/>
    <n v="3192"/>
    <n v="245784"/>
    <n v="0"/>
    <n v="181944"/>
    <x v="0"/>
    <x v="3"/>
    <x v="0"/>
  </r>
  <r>
    <x v="115"/>
    <x v="5"/>
    <x v="3"/>
    <x v="0"/>
    <x v="5"/>
    <n v="42"/>
    <n v="107"/>
    <n v="76"/>
    <n v="73"/>
    <n v="42"/>
    <n v="4780"/>
    <n v="348940"/>
    <n v="0"/>
    <n v="511460"/>
    <x v="0"/>
    <x v="3"/>
    <x v="0"/>
  </r>
  <r>
    <x v="116"/>
    <x v="5"/>
    <x v="3"/>
    <x v="0"/>
    <x v="1"/>
    <n v="69"/>
    <n v="103"/>
    <n v="44"/>
    <n v="128"/>
    <n v="30"/>
    <n v="20185"/>
    <n v="2583680"/>
    <n v="0"/>
    <n v="2079055"/>
    <x v="0"/>
    <x v="3"/>
    <x v="0"/>
  </r>
  <r>
    <x v="116"/>
    <x v="19"/>
    <x v="0"/>
    <x v="3"/>
    <x v="3"/>
    <n v="112"/>
    <n v="15"/>
    <n v="56"/>
    <n v="71"/>
    <n v="29"/>
    <n v="2408"/>
    <n v="170968"/>
    <n v="0"/>
    <n v="36120"/>
    <x v="0"/>
    <x v="3"/>
    <x v="0"/>
  </r>
  <r>
    <x v="116"/>
    <x v="18"/>
    <x v="3"/>
    <x v="3"/>
    <x v="5"/>
    <n v="49"/>
    <n v="35"/>
    <n v="20"/>
    <n v="64"/>
    <n v="58"/>
    <n v="45548"/>
    <n v="2915072"/>
    <n v="0"/>
    <n v="1594180"/>
    <x v="0"/>
    <x v="3"/>
    <x v="0"/>
  </r>
  <r>
    <x v="116"/>
    <x v="7"/>
    <x v="2"/>
    <x v="2"/>
    <x v="0"/>
    <n v="249"/>
    <n v="51"/>
    <n v="228"/>
    <n v="72"/>
    <n v="66"/>
    <n v="920"/>
    <n v="66240"/>
    <n v="0"/>
    <n v="46920"/>
    <x v="0"/>
    <x v="3"/>
    <x v="0"/>
  </r>
  <r>
    <x v="116"/>
    <x v="1"/>
    <x v="1"/>
    <x v="1"/>
    <x v="4"/>
    <n v="88"/>
    <n v="20"/>
    <n v="34"/>
    <n v="74"/>
    <n v="28"/>
    <n v="24677"/>
    <n v="1826098"/>
    <n v="0"/>
    <n v="493540"/>
    <x v="0"/>
    <x v="3"/>
    <x v="0"/>
  </r>
  <r>
    <x v="116"/>
    <x v="11"/>
    <x v="2"/>
    <x v="3"/>
    <x v="5"/>
    <n v="263"/>
    <n v="46"/>
    <n v="188"/>
    <n v="121"/>
    <n v="63"/>
    <n v="243"/>
    <n v="29403"/>
    <n v="0"/>
    <n v="11178"/>
    <x v="0"/>
    <x v="3"/>
    <x v="0"/>
  </r>
  <r>
    <x v="116"/>
    <x v="12"/>
    <x v="1"/>
    <x v="2"/>
    <x v="1"/>
    <n v="34"/>
    <n v="32"/>
    <n v="37"/>
    <n v="29"/>
    <n v="15"/>
    <n v="10797"/>
    <n v="313113"/>
    <n v="0"/>
    <n v="345504"/>
    <x v="0"/>
    <x v="3"/>
    <x v="0"/>
  </r>
  <r>
    <x v="117"/>
    <x v="3"/>
    <x v="2"/>
    <x v="0"/>
    <x v="1"/>
    <n v="54"/>
    <n v="272"/>
    <n v="30"/>
    <n v="296"/>
    <n v="67"/>
    <n v="659"/>
    <n v="195064"/>
    <n v="0"/>
    <n v="179248"/>
    <x v="0"/>
    <x v="3"/>
    <x v="0"/>
  </r>
  <r>
    <x v="117"/>
    <x v="5"/>
    <x v="3"/>
    <x v="3"/>
    <x v="4"/>
    <n v="132"/>
    <n v="103"/>
    <n v="55"/>
    <n v="180"/>
    <n v="21"/>
    <n v="64861"/>
    <n v="11674980"/>
    <n v="0"/>
    <n v="6680683"/>
    <x v="0"/>
    <x v="3"/>
    <x v="0"/>
  </r>
  <r>
    <x v="117"/>
    <x v="4"/>
    <x v="1"/>
    <x v="1"/>
    <x v="0"/>
    <n v="90"/>
    <n v="15"/>
    <n v="2"/>
    <n v="103"/>
    <n v="13"/>
    <n v="3391"/>
    <n v="349273"/>
    <n v="0"/>
    <n v="50865"/>
    <x v="0"/>
    <x v="3"/>
    <x v="0"/>
  </r>
  <r>
    <x v="118"/>
    <x v="2"/>
    <x v="0"/>
    <x v="2"/>
    <x v="5"/>
    <n v="101"/>
    <n v="67"/>
    <n v="5"/>
    <n v="163"/>
    <n v="29"/>
    <n v="8354"/>
    <n v="1361702"/>
    <n v="0"/>
    <n v="559718"/>
    <x v="0"/>
    <x v="3"/>
    <x v="0"/>
  </r>
  <r>
    <x v="118"/>
    <x v="18"/>
    <x v="3"/>
    <x v="0"/>
    <x v="1"/>
    <n v="170"/>
    <n v="14"/>
    <n v="75"/>
    <n v="109"/>
    <n v="25"/>
    <n v="26584"/>
    <n v="2897656"/>
    <n v="0"/>
    <n v="372176"/>
    <x v="0"/>
    <x v="3"/>
    <x v="0"/>
  </r>
  <r>
    <x v="118"/>
    <x v="2"/>
    <x v="0"/>
    <x v="3"/>
    <x v="0"/>
    <n v="107"/>
    <n v="18"/>
    <n v="11"/>
    <n v="114"/>
    <n v="31"/>
    <n v="13525"/>
    <n v="1541850"/>
    <n v="0"/>
    <n v="243450"/>
    <x v="0"/>
    <x v="3"/>
    <x v="0"/>
  </r>
  <r>
    <x v="118"/>
    <x v="16"/>
    <x v="1"/>
    <x v="3"/>
    <x v="1"/>
    <n v="50"/>
    <n v="19"/>
    <n v="3"/>
    <n v="66"/>
    <n v="20"/>
    <n v="24358"/>
    <n v="1607628"/>
    <n v="0"/>
    <n v="462802"/>
    <x v="0"/>
    <x v="3"/>
    <x v="0"/>
  </r>
  <r>
    <x v="119"/>
    <x v="6"/>
    <x v="3"/>
    <x v="2"/>
    <x v="2"/>
    <n v="144"/>
    <n v="98"/>
    <n v="77"/>
    <n v="165"/>
    <n v="33"/>
    <n v="38243"/>
    <n v="6310095"/>
    <n v="0"/>
    <n v="3747814"/>
    <x v="0"/>
    <x v="3"/>
    <x v="0"/>
  </r>
  <r>
    <x v="119"/>
    <x v="13"/>
    <x v="3"/>
    <x v="0"/>
    <x v="4"/>
    <n v="134"/>
    <n v="22"/>
    <n v="73"/>
    <n v="83"/>
    <n v="32"/>
    <n v="37576"/>
    <n v="3118808"/>
    <n v="0"/>
    <n v="826672"/>
    <x v="0"/>
    <x v="3"/>
    <x v="0"/>
  </r>
  <r>
    <x v="119"/>
    <x v="6"/>
    <x v="3"/>
    <x v="0"/>
    <x v="4"/>
    <n v="114"/>
    <n v="116"/>
    <n v="84"/>
    <n v="146"/>
    <n v="25"/>
    <n v="51259"/>
    <n v="7483814"/>
    <n v="0"/>
    <n v="5946044"/>
    <x v="0"/>
    <x v="3"/>
    <x v="0"/>
  </r>
  <r>
    <x v="120"/>
    <x v="14"/>
    <x v="3"/>
    <x v="1"/>
    <x v="3"/>
    <n v="160"/>
    <n v="74"/>
    <n v="24"/>
    <n v="210"/>
    <n v="27"/>
    <n v="13912"/>
    <n v="2921520"/>
    <n v="0"/>
    <n v="1029488"/>
    <x v="0"/>
    <x v="4"/>
    <x v="0"/>
  </r>
  <r>
    <x v="120"/>
    <x v="17"/>
    <x v="2"/>
    <x v="3"/>
    <x v="5"/>
    <n v="429"/>
    <n v="291"/>
    <n v="225"/>
    <n v="495"/>
    <n v="141"/>
    <n v="580"/>
    <n v="287100"/>
    <n v="0"/>
    <n v="168780"/>
    <x v="0"/>
    <x v="4"/>
    <x v="0"/>
  </r>
  <r>
    <x v="120"/>
    <x v="13"/>
    <x v="3"/>
    <x v="0"/>
    <x v="1"/>
    <n v="57"/>
    <n v="107"/>
    <n v="30"/>
    <n v="134"/>
    <n v="23"/>
    <n v="11936"/>
    <n v="1599424"/>
    <n v="0"/>
    <n v="1277152"/>
    <x v="0"/>
    <x v="4"/>
    <x v="0"/>
  </r>
  <r>
    <x v="121"/>
    <x v="12"/>
    <x v="1"/>
    <x v="3"/>
    <x v="2"/>
    <n v="25"/>
    <n v="48"/>
    <n v="8"/>
    <n v="65"/>
    <n v="22"/>
    <n v="3915"/>
    <n v="254475"/>
    <n v="0"/>
    <n v="187920"/>
    <x v="0"/>
    <x v="4"/>
    <x v="0"/>
  </r>
  <r>
    <x v="122"/>
    <x v="5"/>
    <x v="3"/>
    <x v="3"/>
    <x v="5"/>
    <n v="118"/>
    <n v="44"/>
    <n v="35"/>
    <n v="127"/>
    <n v="58"/>
    <n v="53435"/>
    <n v="6786245"/>
    <n v="0"/>
    <n v="2351140"/>
    <x v="0"/>
    <x v="4"/>
    <x v="0"/>
  </r>
  <r>
    <x v="122"/>
    <x v="2"/>
    <x v="0"/>
    <x v="2"/>
    <x v="1"/>
    <n v="78"/>
    <n v="30"/>
    <n v="9"/>
    <n v="99"/>
    <n v="22"/>
    <n v="15682"/>
    <n v="1552518"/>
    <n v="0"/>
    <n v="470460"/>
    <x v="0"/>
    <x v="4"/>
    <x v="0"/>
  </r>
  <r>
    <x v="122"/>
    <x v="12"/>
    <x v="1"/>
    <x v="2"/>
    <x v="2"/>
    <n v="12"/>
    <n v="23"/>
    <n v="11"/>
    <n v="24"/>
    <n v="24"/>
    <n v="3895"/>
    <n v="93480"/>
    <n v="0"/>
    <n v="89585"/>
    <x v="1"/>
    <x v="4"/>
    <x v="0"/>
  </r>
  <r>
    <x v="123"/>
    <x v="10"/>
    <x v="2"/>
    <x v="2"/>
    <x v="4"/>
    <n v="124"/>
    <n v="166"/>
    <n v="99"/>
    <n v="191"/>
    <n v="110"/>
    <n v="856"/>
    <n v="163496"/>
    <n v="0"/>
    <n v="142096"/>
    <x v="0"/>
    <x v="4"/>
    <x v="0"/>
  </r>
  <r>
    <x v="124"/>
    <x v="9"/>
    <x v="0"/>
    <x v="1"/>
    <x v="1"/>
    <n v="75"/>
    <n v="79"/>
    <n v="45"/>
    <n v="109"/>
    <n v="25"/>
    <n v="2383"/>
    <n v="259747"/>
    <n v="0"/>
    <n v="188257"/>
    <x v="0"/>
    <x v="4"/>
    <x v="0"/>
  </r>
  <r>
    <x v="125"/>
    <x v="12"/>
    <x v="1"/>
    <x v="3"/>
    <x v="4"/>
    <n v="26"/>
    <n v="52"/>
    <n v="14"/>
    <n v="64"/>
    <n v="27"/>
    <n v="17875"/>
    <n v="1144000"/>
    <n v="0"/>
    <n v="929500"/>
    <x v="0"/>
    <x v="4"/>
    <x v="0"/>
  </r>
  <r>
    <x v="125"/>
    <x v="4"/>
    <x v="1"/>
    <x v="2"/>
    <x v="4"/>
    <n v="58"/>
    <n v="28"/>
    <n v="15"/>
    <n v="71"/>
    <n v="14"/>
    <n v="13966"/>
    <n v="991586"/>
    <n v="0"/>
    <n v="391048"/>
    <x v="0"/>
    <x v="4"/>
    <x v="0"/>
  </r>
  <r>
    <x v="125"/>
    <x v="11"/>
    <x v="2"/>
    <x v="1"/>
    <x v="1"/>
    <n v="355"/>
    <n v="219"/>
    <n v="98"/>
    <n v="476"/>
    <n v="145"/>
    <n v="647"/>
    <n v="307972"/>
    <n v="0"/>
    <n v="141693"/>
    <x v="0"/>
    <x v="4"/>
    <x v="0"/>
  </r>
  <r>
    <x v="125"/>
    <x v="16"/>
    <x v="1"/>
    <x v="0"/>
    <x v="1"/>
    <n v="17"/>
    <n v="28"/>
    <n v="21"/>
    <n v="24"/>
    <n v="29"/>
    <n v="6475"/>
    <n v="155400"/>
    <n v="0"/>
    <n v="181300"/>
    <x v="1"/>
    <x v="4"/>
    <x v="0"/>
  </r>
  <r>
    <x v="126"/>
    <x v="16"/>
    <x v="1"/>
    <x v="1"/>
    <x v="0"/>
    <n v="18"/>
    <n v="12"/>
    <n v="16"/>
    <n v="14"/>
    <n v="10"/>
    <n v="7869"/>
    <n v="110166"/>
    <n v="0"/>
    <n v="94428"/>
    <x v="0"/>
    <x v="4"/>
    <x v="0"/>
  </r>
  <r>
    <x v="126"/>
    <x v="7"/>
    <x v="2"/>
    <x v="3"/>
    <x v="4"/>
    <n v="196"/>
    <n v="147"/>
    <n v="161"/>
    <n v="182"/>
    <n v="58"/>
    <n v="382"/>
    <n v="69524"/>
    <n v="0"/>
    <n v="56154"/>
    <x v="0"/>
    <x v="4"/>
    <x v="0"/>
  </r>
  <r>
    <x v="126"/>
    <x v="3"/>
    <x v="2"/>
    <x v="0"/>
    <x v="3"/>
    <n v="398"/>
    <n v="50"/>
    <n v="208"/>
    <n v="240"/>
    <n v="125"/>
    <n v="720"/>
    <n v="172800"/>
    <n v="0"/>
    <n v="36000"/>
    <x v="0"/>
    <x v="4"/>
    <x v="0"/>
  </r>
  <r>
    <x v="126"/>
    <x v="16"/>
    <x v="1"/>
    <x v="2"/>
    <x v="1"/>
    <n v="83"/>
    <n v="13"/>
    <n v="32"/>
    <n v="64"/>
    <n v="28"/>
    <n v="16285"/>
    <n v="1042240"/>
    <n v="0"/>
    <n v="211705"/>
    <x v="0"/>
    <x v="4"/>
    <x v="0"/>
  </r>
  <r>
    <x v="126"/>
    <x v="12"/>
    <x v="1"/>
    <x v="0"/>
    <x v="1"/>
    <n v="74"/>
    <n v="55"/>
    <n v="7"/>
    <n v="122"/>
    <n v="19"/>
    <n v="20461"/>
    <n v="2496242"/>
    <n v="0"/>
    <n v="1125355"/>
    <x v="0"/>
    <x v="4"/>
    <x v="0"/>
  </r>
  <r>
    <x v="126"/>
    <x v="2"/>
    <x v="0"/>
    <x v="3"/>
    <x v="2"/>
    <n v="39"/>
    <n v="32"/>
    <n v="49"/>
    <n v="22"/>
    <n v="23"/>
    <n v="4376"/>
    <n v="96272"/>
    <n v="0"/>
    <n v="140032"/>
    <x v="1"/>
    <x v="4"/>
    <x v="0"/>
  </r>
  <r>
    <x v="127"/>
    <x v="14"/>
    <x v="3"/>
    <x v="1"/>
    <x v="4"/>
    <n v="33"/>
    <n v="23"/>
    <n v="33"/>
    <n v="23"/>
    <n v="56"/>
    <n v="64496"/>
    <n v="1483408"/>
    <n v="0"/>
    <n v="1483408"/>
    <x v="1"/>
    <x v="4"/>
    <x v="0"/>
  </r>
  <r>
    <x v="127"/>
    <x v="17"/>
    <x v="2"/>
    <x v="2"/>
    <x v="5"/>
    <n v="162"/>
    <n v="159"/>
    <n v="141"/>
    <n v="180"/>
    <n v="88"/>
    <n v="616"/>
    <n v="110880"/>
    <n v="0"/>
    <n v="97944"/>
    <x v="0"/>
    <x v="4"/>
    <x v="0"/>
  </r>
  <r>
    <x v="127"/>
    <x v="18"/>
    <x v="3"/>
    <x v="1"/>
    <x v="3"/>
    <n v="37"/>
    <n v="34"/>
    <n v="71"/>
    <n v="0"/>
    <n v="22"/>
    <n v="23893"/>
    <n v="0"/>
    <n v="0"/>
    <n v="812362"/>
    <x v="1"/>
    <x v="4"/>
    <x v="0"/>
  </r>
  <r>
    <x v="127"/>
    <x v="12"/>
    <x v="1"/>
    <x v="1"/>
    <x v="1"/>
    <n v="17"/>
    <n v="46"/>
    <n v="17"/>
    <n v="46"/>
    <n v="21"/>
    <n v="24156"/>
    <n v="1111176"/>
    <n v="0"/>
    <n v="1111176"/>
    <x v="0"/>
    <x v="4"/>
    <x v="0"/>
  </r>
  <r>
    <x v="127"/>
    <x v="7"/>
    <x v="2"/>
    <x v="3"/>
    <x v="3"/>
    <n v="244"/>
    <n v="172"/>
    <n v="120"/>
    <n v="296"/>
    <n v="73"/>
    <n v="109"/>
    <n v="32264"/>
    <n v="0"/>
    <n v="18748"/>
    <x v="0"/>
    <x v="4"/>
    <x v="0"/>
  </r>
  <r>
    <x v="127"/>
    <x v="4"/>
    <x v="1"/>
    <x v="2"/>
    <x v="4"/>
    <n v="67"/>
    <n v="16"/>
    <n v="23"/>
    <n v="60"/>
    <n v="15"/>
    <n v="7635"/>
    <n v="458100"/>
    <n v="0"/>
    <n v="122160"/>
    <x v="0"/>
    <x v="4"/>
    <x v="0"/>
  </r>
  <r>
    <x v="127"/>
    <x v="7"/>
    <x v="2"/>
    <x v="1"/>
    <x v="3"/>
    <n v="249"/>
    <n v="64"/>
    <n v="153"/>
    <n v="160"/>
    <n v="125"/>
    <n v="85"/>
    <n v="13600"/>
    <n v="0"/>
    <n v="5440"/>
    <x v="0"/>
    <x v="4"/>
    <x v="0"/>
  </r>
  <r>
    <x v="127"/>
    <x v="16"/>
    <x v="1"/>
    <x v="2"/>
    <x v="1"/>
    <n v="40"/>
    <n v="59"/>
    <n v="42"/>
    <n v="57"/>
    <n v="11"/>
    <n v="13541"/>
    <n v="771837"/>
    <n v="0"/>
    <n v="798919"/>
    <x v="0"/>
    <x v="4"/>
    <x v="0"/>
  </r>
  <r>
    <x v="127"/>
    <x v="1"/>
    <x v="1"/>
    <x v="0"/>
    <x v="0"/>
    <n v="82"/>
    <n v="5"/>
    <n v="37"/>
    <n v="50"/>
    <n v="17"/>
    <n v="11933"/>
    <n v="596650"/>
    <n v="0"/>
    <n v="59665"/>
    <x v="0"/>
    <x v="4"/>
    <x v="0"/>
  </r>
  <r>
    <x v="128"/>
    <x v="4"/>
    <x v="1"/>
    <x v="2"/>
    <x v="3"/>
    <n v="76"/>
    <n v="41"/>
    <n v="8"/>
    <n v="109"/>
    <n v="13"/>
    <n v="5726"/>
    <n v="624134"/>
    <n v="0"/>
    <n v="234766"/>
    <x v="0"/>
    <x v="4"/>
    <x v="0"/>
  </r>
  <r>
    <x v="128"/>
    <x v="10"/>
    <x v="2"/>
    <x v="0"/>
    <x v="2"/>
    <n v="496"/>
    <n v="131"/>
    <n v="44"/>
    <n v="583"/>
    <n v="120"/>
    <n v="838"/>
    <n v="488554"/>
    <n v="0"/>
    <n v="109778"/>
    <x v="0"/>
    <x v="4"/>
    <x v="0"/>
  </r>
  <r>
    <x v="128"/>
    <x v="5"/>
    <x v="3"/>
    <x v="1"/>
    <x v="2"/>
    <n v="68"/>
    <n v="34"/>
    <n v="14"/>
    <n v="88"/>
    <n v="35"/>
    <n v="30613"/>
    <n v="2693944"/>
    <n v="0"/>
    <n v="1040842"/>
    <x v="0"/>
    <x v="4"/>
    <x v="0"/>
  </r>
  <r>
    <x v="129"/>
    <x v="11"/>
    <x v="2"/>
    <x v="0"/>
    <x v="5"/>
    <n v="447"/>
    <n v="69"/>
    <n v="25"/>
    <n v="491"/>
    <n v="142"/>
    <n v="904"/>
    <n v="443864"/>
    <n v="0"/>
    <n v="62376"/>
    <x v="0"/>
    <x v="4"/>
    <x v="0"/>
  </r>
  <r>
    <x v="129"/>
    <x v="9"/>
    <x v="0"/>
    <x v="2"/>
    <x v="3"/>
    <n v="111"/>
    <n v="79"/>
    <n v="36"/>
    <n v="154"/>
    <n v="17"/>
    <n v="16369"/>
    <n v="2520826"/>
    <n v="0"/>
    <n v="1293151"/>
    <x v="0"/>
    <x v="4"/>
    <x v="0"/>
  </r>
  <r>
    <x v="129"/>
    <x v="2"/>
    <x v="0"/>
    <x v="0"/>
    <x v="3"/>
    <n v="78"/>
    <n v="40"/>
    <n v="7"/>
    <n v="111"/>
    <n v="22"/>
    <n v="9961"/>
    <n v="1105671"/>
    <n v="0"/>
    <n v="398440"/>
    <x v="0"/>
    <x v="4"/>
    <x v="0"/>
  </r>
  <r>
    <x v="129"/>
    <x v="5"/>
    <x v="3"/>
    <x v="1"/>
    <x v="3"/>
    <n v="36"/>
    <n v="74"/>
    <n v="62"/>
    <n v="48"/>
    <n v="49"/>
    <n v="59789"/>
    <n v="2869872"/>
    <n v="0"/>
    <n v="4424386"/>
    <x v="1"/>
    <x v="4"/>
    <x v="0"/>
  </r>
  <r>
    <x v="129"/>
    <x v="13"/>
    <x v="3"/>
    <x v="3"/>
    <x v="5"/>
    <n v="157"/>
    <n v="32"/>
    <n v="19"/>
    <n v="170"/>
    <n v="31"/>
    <n v="23957"/>
    <n v="4072690"/>
    <n v="0"/>
    <n v="766624"/>
    <x v="0"/>
    <x v="4"/>
    <x v="0"/>
  </r>
  <r>
    <x v="130"/>
    <x v="16"/>
    <x v="1"/>
    <x v="0"/>
    <x v="5"/>
    <n v="44"/>
    <n v="37"/>
    <n v="22"/>
    <n v="59"/>
    <n v="29"/>
    <n v="14138"/>
    <n v="834142"/>
    <n v="0"/>
    <n v="523106"/>
    <x v="0"/>
    <x v="4"/>
    <x v="0"/>
  </r>
  <r>
    <x v="131"/>
    <x v="18"/>
    <x v="3"/>
    <x v="1"/>
    <x v="0"/>
    <n v="28"/>
    <n v="39"/>
    <n v="49"/>
    <n v="18"/>
    <n v="24"/>
    <n v="39715"/>
    <n v="714870"/>
    <n v="0"/>
    <n v="1548885"/>
    <x v="1"/>
    <x v="4"/>
    <x v="0"/>
  </r>
  <r>
    <x v="131"/>
    <x v="7"/>
    <x v="2"/>
    <x v="3"/>
    <x v="4"/>
    <n v="88"/>
    <n v="101"/>
    <n v="169"/>
    <n v="20"/>
    <n v="112"/>
    <n v="505"/>
    <n v="10100"/>
    <n v="0"/>
    <n v="51005"/>
    <x v="1"/>
    <x v="4"/>
    <x v="0"/>
  </r>
  <r>
    <x v="131"/>
    <x v="13"/>
    <x v="3"/>
    <x v="0"/>
    <x v="1"/>
    <n v="119"/>
    <n v="63"/>
    <n v="29"/>
    <n v="153"/>
    <n v="28"/>
    <n v="12450"/>
    <n v="1904850"/>
    <n v="0"/>
    <n v="784350"/>
    <x v="0"/>
    <x v="4"/>
    <x v="0"/>
  </r>
  <r>
    <x v="131"/>
    <x v="3"/>
    <x v="2"/>
    <x v="1"/>
    <x v="2"/>
    <n v="62"/>
    <n v="127"/>
    <n v="129"/>
    <n v="60"/>
    <n v="97"/>
    <n v="312"/>
    <n v="18720"/>
    <n v="0"/>
    <n v="39624"/>
    <x v="1"/>
    <x v="4"/>
    <x v="0"/>
  </r>
  <r>
    <x v="131"/>
    <x v="17"/>
    <x v="2"/>
    <x v="0"/>
    <x v="0"/>
    <n v="278"/>
    <n v="63"/>
    <n v="92"/>
    <n v="249"/>
    <n v="53"/>
    <n v="948"/>
    <n v="236052"/>
    <n v="0"/>
    <n v="59724"/>
    <x v="0"/>
    <x v="4"/>
    <x v="0"/>
  </r>
  <r>
    <x v="131"/>
    <x v="19"/>
    <x v="0"/>
    <x v="2"/>
    <x v="2"/>
    <n v="118"/>
    <n v="52"/>
    <n v="34"/>
    <n v="136"/>
    <n v="16"/>
    <n v="10757"/>
    <n v="1462952"/>
    <n v="0"/>
    <n v="559364"/>
    <x v="0"/>
    <x v="4"/>
    <x v="0"/>
  </r>
  <r>
    <x v="131"/>
    <x v="17"/>
    <x v="2"/>
    <x v="0"/>
    <x v="5"/>
    <n v="93"/>
    <n v="152"/>
    <n v="145"/>
    <n v="100"/>
    <n v="104"/>
    <n v="392"/>
    <n v="39200"/>
    <n v="0"/>
    <n v="59584"/>
    <x v="1"/>
    <x v="4"/>
    <x v="0"/>
  </r>
  <r>
    <x v="132"/>
    <x v="18"/>
    <x v="3"/>
    <x v="0"/>
    <x v="1"/>
    <n v="99"/>
    <n v="24"/>
    <n v="32"/>
    <n v="91"/>
    <n v="42"/>
    <n v="11774"/>
    <n v="1071434"/>
    <n v="0"/>
    <n v="282576"/>
    <x v="0"/>
    <x v="4"/>
    <x v="0"/>
  </r>
  <r>
    <x v="132"/>
    <x v="14"/>
    <x v="3"/>
    <x v="3"/>
    <x v="0"/>
    <n v="42"/>
    <n v="18"/>
    <n v="60"/>
    <n v="0"/>
    <n v="48"/>
    <n v="37338"/>
    <n v="0"/>
    <n v="0"/>
    <n v="672084"/>
    <x v="1"/>
    <x v="4"/>
    <x v="0"/>
  </r>
  <r>
    <x v="132"/>
    <x v="10"/>
    <x v="2"/>
    <x v="3"/>
    <x v="0"/>
    <n v="113"/>
    <n v="228"/>
    <n v="265"/>
    <n v="76"/>
    <n v="84"/>
    <n v="320"/>
    <n v="24320"/>
    <n v="0"/>
    <n v="72960"/>
    <x v="1"/>
    <x v="4"/>
    <x v="0"/>
  </r>
  <r>
    <x v="132"/>
    <x v="8"/>
    <x v="3"/>
    <x v="1"/>
    <x v="4"/>
    <n v="87"/>
    <n v="18"/>
    <n v="97"/>
    <n v="8"/>
    <n v="46"/>
    <n v="43445"/>
    <n v="347560"/>
    <n v="0"/>
    <n v="782010"/>
    <x v="1"/>
    <x v="4"/>
    <x v="0"/>
  </r>
  <r>
    <x v="133"/>
    <x v="4"/>
    <x v="1"/>
    <x v="0"/>
    <x v="2"/>
    <n v="66"/>
    <n v="8"/>
    <n v="12"/>
    <n v="62"/>
    <n v="17"/>
    <n v="13128"/>
    <n v="813936"/>
    <n v="0"/>
    <n v="105024"/>
    <x v="0"/>
    <x v="4"/>
    <x v="0"/>
  </r>
  <r>
    <x v="133"/>
    <x v="15"/>
    <x v="2"/>
    <x v="3"/>
    <x v="4"/>
    <n v="446"/>
    <n v="115"/>
    <n v="84"/>
    <n v="477"/>
    <n v="94"/>
    <n v="666"/>
    <n v="317682"/>
    <n v="0"/>
    <n v="76590"/>
    <x v="0"/>
    <x v="4"/>
    <x v="0"/>
  </r>
  <r>
    <x v="133"/>
    <x v="18"/>
    <x v="3"/>
    <x v="2"/>
    <x v="2"/>
    <n v="77"/>
    <n v="53"/>
    <n v="49"/>
    <n v="81"/>
    <n v="40"/>
    <n v="64959"/>
    <n v="5261679"/>
    <n v="0"/>
    <n v="3442827"/>
    <x v="0"/>
    <x v="4"/>
    <x v="0"/>
  </r>
  <r>
    <x v="133"/>
    <x v="6"/>
    <x v="3"/>
    <x v="3"/>
    <x v="2"/>
    <n v="148"/>
    <n v="61"/>
    <n v="28"/>
    <n v="181"/>
    <n v="53"/>
    <n v="62597"/>
    <n v="11330057"/>
    <n v="0"/>
    <n v="3818417"/>
    <x v="0"/>
    <x v="4"/>
    <x v="0"/>
  </r>
  <r>
    <x v="133"/>
    <x v="4"/>
    <x v="1"/>
    <x v="2"/>
    <x v="4"/>
    <n v="76"/>
    <n v="20"/>
    <n v="8"/>
    <n v="88"/>
    <n v="18"/>
    <n v="9193"/>
    <n v="808984"/>
    <n v="0"/>
    <n v="183860"/>
    <x v="0"/>
    <x v="4"/>
    <x v="0"/>
  </r>
  <r>
    <x v="133"/>
    <x v="9"/>
    <x v="0"/>
    <x v="2"/>
    <x v="1"/>
    <n v="64"/>
    <n v="70"/>
    <n v="53"/>
    <n v="81"/>
    <n v="39"/>
    <n v="956"/>
    <n v="77436"/>
    <n v="0"/>
    <n v="66920"/>
    <x v="0"/>
    <x v="4"/>
    <x v="0"/>
  </r>
  <r>
    <x v="134"/>
    <x v="8"/>
    <x v="3"/>
    <x v="1"/>
    <x v="4"/>
    <n v="32"/>
    <n v="13"/>
    <n v="45"/>
    <n v="0"/>
    <n v="22"/>
    <n v="58889"/>
    <n v="0"/>
    <n v="0"/>
    <n v="765557"/>
    <x v="1"/>
    <x v="4"/>
    <x v="0"/>
  </r>
  <r>
    <x v="134"/>
    <x v="15"/>
    <x v="2"/>
    <x v="1"/>
    <x v="1"/>
    <n v="194"/>
    <n v="156"/>
    <n v="235"/>
    <n v="115"/>
    <n v="120"/>
    <n v="958"/>
    <n v="110170"/>
    <n v="0"/>
    <n v="149448"/>
    <x v="1"/>
    <x v="4"/>
    <x v="0"/>
  </r>
  <r>
    <x v="134"/>
    <x v="12"/>
    <x v="1"/>
    <x v="2"/>
    <x v="0"/>
    <n v="48"/>
    <n v="8"/>
    <n v="36"/>
    <n v="20"/>
    <n v="24"/>
    <n v="16654"/>
    <n v="333080"/>
    <n v="0"/>
    <n v="133232"/>
    <x v="1"/>
    <x v="4"/>
    <x v="0"/>
  </r>
  <r>
    <x v="134"/>
    <x v="13"/>
    <x v="3"/>
    <x v="0"/>
    <x v="5"/>
    <n v="165"/>
    <n v="60"/>
    <n v="12"/>
    <n v="213"/>
    <n v="31"/>
    <n v="14422"/>
    <n v="3071886"/>
    <n v="0"/>
    <n v="865320"/>
    <x v="0"/>
    <x v="4"/>
    <x v="0"/>
  </r>
  <r>
    <x v="134"/>
    <x v="15"/>
    <x v="2"/>
    <x v="3"/>
    <x v="4"/>
    <n v="414"/>
    <n v="48"/>
    <n v="92"/>
    <n v="370"/>
    <n v="58"/>
    <n v="759"/>
    <n v="280830"/>
    <n v="0"/>
    <n v="36432"/>
    <x v="0"/>
    <x v="4"/>
    <x v="0"/>
  </r>
  <r>
    <x v="135"/>
    <x v="7"/>
    <x v="2"/>
    <x v="0"/>
    <x v="4"/>
    <n v="353"/>
    <n v="108"/>
    <n v="252"/>
    <n v="209"/>
    <n v="135"/>
    <n v="724"/>
    <n v="151316"/>
    <n v="0"/>
    <n v="78192"/>
    <x v="0"/>
    <x v="4"/>
    <x v="0"/>
  </r>
  <r>
    <x v="135"/>
    <x v="7"/>
    <x v="2"/>
    <x v="0"/>
    <x v="1"/>
    <n v="192"/>
    <n v="216"/>
    <n v="20"/>
    <n v="388"/>
    <n v="104"/>
    <n v="679"/>
    <n v="263452"/>
    <n v="0"/>
    <n v="146664"/>
    <x v="0"/>
    <x v="4"/>
    <x v="0"/>
  </r>
  <r>
    <x v="135"/>
    <x v="12"/>
    <x v="1"/>
    <x v="2"/>
    <x v="2"/>
    <n v="27"/>
    <n v="42"/>
    <n v="19"/>
    <n v="50"/>
    <n v="22"/>
    <n v="21828"/>
    <n v="1091400"/>
    <n v="0"/>
    <n v="916776"/>
    <x v="0"/>
    <x v="4"/>
    <x v="0"/>
  </r>
  <r>
    <x v="135"/>
    <x v="12"/>
    <x v="1"/>
    <x v="1"/>
    <x v="5"/>
    <n v="24"/>
    <n v="31"/>
    <n v="17"/>
    <n v="38"/>
    <n v="19"/>
    <n v="15772"/>
    <n v="599336"/>
    <n v="0"/>
    <n v="488932"/>
    <x v="0"/>
    <x v="4"/>
    <x v="0"/>
  </r>
  <r>
    <x v="135"/>
    <x v="19"/>
    <x v="0"/>
    <x v="2"/>
    <x v="2"/>
    <n v="17"/>
    <n v="29"/>
    <n v="46"/>
    <n v="0"/>
    <n v="22"/>
    <n v="10610"/>
    <n v="0"/>
    <n v="0"/>
    <n v="307690"/>
    <x v="1"/>
    <x v="4"/>
    <x v="0"/>
  </r>
  <r>
    <x v="135"/>
    <x v="19"/>
    <x v="0"/>
    <x v="1"/>
    <x v="0"/>
    <n v="109"/>
    <n v="7"/>
    <n v="5"/>
    <n v="111"/>
    <n v="36"/>
    <n v="8890"/>
    <n v="986790"/>
    <n v="0"/>
    <n v="62230"/>
    <x v="0"/>
    <x v="4"/>
    <x v="0"/>
  </r>
  <r>
    <x v="135"/>
    <x v="3"/>
    <x v="2"/>
    <x v="2"/>
    <x v="3"/>
    <n v="329"/>
    <n v="200"/>
    <n v="168"/>
    <n v="361"/>
    <n v="94"/>
    <n v="220"/>
    <n v="79420"/>
    <n v="0"/>
    <n v="44000"/>
    <x v="0"/>
    <x v="4"/>
    <x v="0"/>
  </r>
  <r>
    <x v="135"/>
    <x v="19"/>
    <x v="0"/>
    <x v="3"/>
    <x v="0"/>
    <n v="35"/>
    <n v="47"/>
    <n v="23"/>
    <n v="59"/>
    <n v="37"/>
    <n v="2778"/>
    <n v="163902"/>
    <n v="0"/>
    <n v="130566"/>
    <x v="0"/>
    <x v="4"/>
    <x v="0"/>
  </r>
  <r>
    <x v="136"/>
    <x v="18"/>
    <x v="3"/>
    <x v="3"/>
    <x v="3"/>
    <n v="174"/>
    <n v="43"/>
    <n v="48"/>
    <n v="169"/>
    <n v="55"/>
    <n v="6371"/>
    <n v="1076699"/>
    <n v="0"/>
    <n v="273953"/>
    <x v="0"/>
    <x v="4"/>
    <x v="0"/>
  </r>
  <r>
    <x v="136"/>
    <x v="0"/>
    <x v="0"/>
    <x v="0"/>
    <x v="2"/>
    <n v="20"/>
    <n v="39"/>
    <n v="41"/>
    <n v="18"/>
    <n v="23"/>
    <n v="1361"/>
    <n v="24498"/>
    <n v="0"/>
    <n v="53079"/>
    <x v="1"/>
    <x v="4"/>
    <x v="0"/>
  </r>
  <r>
    <x v="136"/>
    <x v="19"/>
    <x v="0"/>
    <x v="3"/>
    <x v="3"/>
    <n v="44"/>
    <n v="60"/>
    <n v="19"/>
    <n v="85"/>
    <n v="26"/>
    <n v="1443"/>
    <n v="122655"/>
    <n v="0"/>
    <n v="86580"/>
    <x v="0"/>
    <x v="4"/>
    <x v="0"/>
  </r>
  <r>
    <x v="137"/>
    <x v="13"/>
    <x v="3"/>
    <x v="3"/>
    <x v="0"/>
    <n v="149"/>
    <n v="75"/>
    <n v="64"/>
    <n v="160"/>
    <n v="36"/>
    <n v="25335"/>
    <n v="4053600"/>
    <n v="0"/>
    <n v="1900125"/>
    <x v="0"/>
    <x v="4"/>
    <x v="0"/>
  </r>
  <r>
    <x v="137"/>
    <x v="3"/>
    <x v="2"/>
    <x v="1"/>
    <x v="0"/>
    <n v="471"/>
    <n v="86"/>
    <n v="59"/>
    <n v="498"/>
    <n v="120"/>
    <n v="1029"/>
    <n v="512442"/>
    <n v="0"/>
    <n v="88494"/>
    <x v="0"/>
    <x v="4"/>
    <x v="0"/>
  </r>
  <r>
    <x v="137"/>
    <x v="9"/>
    <x v="0"/>
    <x v="3"/>
    <x v="4"/>
    <n v="66"/>
    <n v="77"/>
    <n v="48"/>
    <n v="95"/>
    <n v="28"/>
    <n v="7666"/>
    <n v="728270"/>
    <n v="0"/>
    <n v="590282"/>
    <x v="0"/>
    <x v="4"/>
    <x v="0"/>
  </r>
  <r>
    <x v="137"/>
    <x v="14"/>
    <x v="3"/>
    <x v="1"/>
    <x v="3"/>
    <n v="117"/>
    <n v="40"/>
    <n v="16"/>
    <n v="141"/>
    <n v="35"/>
    <n v="40978"/>
    <n v="5777898"/>
    <n v="0"/>
    <n v="1639120"/>
    <x v="0"/>
    <x v="4"/>
    <x v="0"/>
  </r>
  <r>
    <x v="138"/>
    <x v="16"/>
    <x v="1"/>
    <x v="0"/>
    <x v="2"/>
    <n v="77"/>
    <n v="14"/>
    <n v="40"/>
    <n v="51"/>
    <n v="15"/>
    <n v="17084"/>
    <n v="871284"/>
    <n v="0"/>
    <n v="239176"/>
    <x v="0"/>
    <x v="4"/>
    <x v="0"/>
  </r>
  <r>
    <x v="138"/>
    <x v="14"/>
    <x v="3"/>
    <x v="0"/>
    <x v="4"/>
    <n v="119"/>
    <n v="86"/>
    <n v="7"/>
    <n v="198"/>
    <n v="25"/>
    <n v="20928"/>
    <n v="4143744"/>
    <n v="0"/>
    <n v="1799808"/>
    <x v="0"/>
    <x v="4"/>
    <x v="0"/>
  </r>
  <r>
    <x v="138"/>
    <x v="17"/>
    <x v="2"/>
    <x v="3"/>
    <x v="4"/>
    <n v="467"/>
    <n v="142"/>
    <n v="152"/>
    <n v="457"/>
    <n v="59"/>
    <n v="528"/>
    <n v="241296"/>
    <n v="0"/>
    <n v="74976"/>
    <x v="0"/>
    <x v="4"/>
    <x v="0"/>
  </r>
  <r>
    <x v="138"/>
    <x v="15"/>
    <x v="2"/>
    <x v="0"/>
    <x v="0"/>
    <n v="408"/>
    <n v="121"/>
    <n v="134"/>
    <n v="395"/>
    <n v="62"/>
    <n v="502"/>
    <n v="198290"/>
    <n v="0"/>
    <n v="60742"/>
    <x v="0"/>
    <x v="4"/>
    <x v="0"/>
  </r>
  <r>
    <x v="139"/>
    <x v="15"/>
    <x v="2"/>
    <x v="2"/>
    <x v="1"/>
    <n v="267"/>
    <n v="73"/>
    <n v="278"/>
    <n v="62"/>
    <n v="147"/>
    <n v="913"/>
    <n v="56606"/>
    <n v="0"/>
    <n v="66649"/>
    <x v="1"/>
    <x v="4"/>
    <x v="0"/>
  </r>
  <r>
    <x v="139"/>
    <x v="7"/>
    <x v="2"/>
    <x v="2"/>
    <x v="2"/>
    <n v="90"/>
    <n v="79"/>
    <n v="169"/>
    <n v="0"/>
    <n v="63"/>
    <n v="459"/>
    <n v="0"/>
    <n v="0"/>
    <n v="36261"/>
    <x v="1"/>
    <x v="4"/>
    <x v="0"/>
  </r>
  <r>
    <x v="139"/>
    <x v="11"/>
    <x v="2"/>
    <x v="2"/>
    <x v="1"/>
    <n v="286"/>
    <n v="101"/>
    <n v="164"/>
    <n v="223"/>
    <n v="91"/>
    <n v="126"/>
    <n v="28098"/>
    <n v="0"/>
    <n v="12726"/>
    <x v="0"/>
    <x v="4"/>
    <x v="0"/>
  </r>
  <r>
    <x v="139"/>
    <x v="9"/>
    <x v="0"/>
    <x v="1"/>
    <x v="0"/>
    <n v="43"/>
    <n v="11"/>
    <n v="16"/>
    <n v="38"/>
    <n v="17"/>
    <n v="5831"/>
    <n v="221578"/>
    <n v="0"/>
    <n v="64141"/>
    <x v="0"/>
    <x v="4"/>
    <x v="0"/>
  </r>
  <r>
    <x v="139"/>
    <x v="18"/>
    <x v="3"/>
    <x v="1"/>
    <x v="3"/>
    <n v="63"/>
    <n v="22"/>
    <n v="28"/>
    <n v="57"/>
    <n v="51"/>
    <n v="41163"/>
    <n v="2346291"/>
    <n v="0"/>
    <n v="905586"/>
    <x v="0"/>
    <x v="4"/>
    <x v="0"/>
  </r>
  <r>
    <x v="140"/>
    <x v="12"/>
    <x v="1"/>
    <x v="1"/>
    <x v="1"/>
    <n v="93"/>
    <n v="58"/>
    <n v="8"/>
    <n v="143"/>
    <n v="23"/>
    <n v="17450"/>
    <n v="2495350"/>
    <n v="0"/>
    <n v="1012100"/>
    <x v="0"/>
    <x v="4"/>
    <x v="0"/>
  </r>
  <r>
    <x v="140"/>
    <x v="9"/>
    <x v="0"/>
    <x v="3"/>
    <x v="3"/>
    <n v="97"/>
    <n v="53"/>
    <n v="8"/>
    <n v="142"/>
    <n v="26"/>
    <n v="16627"/>
    <n v="2361034"/>
    <n v="0"/>
    <n v="881231"/>
    <x v="0"/>
    <x v="4"/>
    <x v="0"/>
  </r>
  <r>
    <x v="140"/>
    <x v="2"/>
    <x v="0"/>
    <x v="2"/>
    <x v="2"/>
    <n v="113"/>
    <n v="53"/>
    <n v="27"/>
    <n v="139"/>
    <n v="26"/>
    <n v="8137"/>
    <n v="1131043"/>
    <n v="0"/>
    <n v="431261"/>
    <x v="0"/>
    <x v="4"/>
    <x v="0"/>
  </r>
  <r>
    <x v="140"/>
    <x v="5"/>
    <x v="3"/>
    <x v="0"/>
    <x v="5"/>
    <n v="177"/>
    <n v="107"/>
    <n v="34"/>
    <n v="250"/>
    <n v="43"/>
    <n v="60114"/>
    <n v="15028500"/>
    <n v="0"/>
    <n v="6432198"/>
    <x v="0"/>
    <x v="4"/>
    <x v="0"/>
  </r>
  <r>
    <x v="140"/>
    <x v="0"/>
    <x v="0"/>
    <x v="3"/>
    <x v="1"/>
    <n v="108"/>
    <n v="55"/>
    <n v="61"/>
    <n v="102"/>
    <n v="33"/>
    <n v="1651"/>
    <n v="168402"/>
    <n v="0"/>
    <n v="90805"/>
    <x v="0"/>
    <x v="4"/>
    <x v="0"/>
  </r>
  <r>
    <x v="140"/>
    <x v="9"/>
    <x v="0"/>
    <x v="2"/>
    <x v="3"/>
    <n v="15"/>
    <n v="38"/>
    <n v="31"/>
    <n v="22"/>
    <n v="29"/>
    <n v="12907"/>
    <n v="283954"/>
    <n v="0"/>
    <n v="490466"/>
    <x v="1"/>
    <x v="4"/>
    <x v="0"/>
  </r>
  <r>
    <x v="140"/>
    <x v="6"/>
    <x v="3"/>
    <x v="1"/>
    <x v="0"/>
    <n v="77"/>
    <n v="23"/>
    <n v="41"/>
    <n v="59"/>
    <n v="34"/>
    <n v="40591"/>
    <n v="2394869"/>
    <n v="0"/>
    <n v="933593"/>
    <x v="0"/>
    <x v="4"/>
    <x v="0"/>
  </r>
  <r>
    <x v="140"/>
    <x v="1"/>
    <x v="1"/>
    <x v="0"/>
    <x v="0"/>
    <n v="36"/>
    <n v="10"/>
    <n v="18"/>
    <n v="28"/>
    <n v="17"/>
    <n v="15231"/>
    <n v="426468"/>
    <n v="0"/>
    <n v="152310"/>
    <x v="0"/>
    <x v="4"/>
    <x v="0"/>
  </r>
  <r>
    <x v="141"/>
    <x v="7"/>
    <x v="2"/>
    <x v="0"/>
    <x v="4"/>
    <n v="185"/>
    <n v="205"/>
    <n v="151"/>
    <n v="239"/>
    <n v="129"/>
    <n v="468"/>
    <n v="111852"/>
    <n v="0"/>
    <n v="95940"/>
    <x v="0"/>
    <x v="4"/>
    <x v="0"/>
  </r>
  <r>
    <x v="141"/>
    <x v="10"/>
    <x v="2"/>
    <x v="0"/>
    <x v="5"/>
    <n v="466"/>
    <n v="222"/>
    <n v="217"/>
    <n v="471"/>
    <n v="121"/>
    <n v="462"/>
    <n v="217602"/>
    <n v="0"/>
    <n v="102564"/>
    <x v="0"/>
    <x v="4"/>
    <x v="0"/>
  </r>
  <r>
    <x v="142"/>
    <x v="4"/>
    <x v="1"/>
    <x v="1"/>
    <x v="1"/>
    <n v="41"/>
    <n v="57"/>
    <n v="4"/>
    <n v="94"/>
    <n v="21"/>
    <n v="22248"/>
    <n v="2091312"/>
    <n v="0"/>
    <n v="1268136"/>
    <x v="0"/>
    <x v="4"/>
    <x v="0"/>
  </r>
  <r>
    <x v="142"/>
    <x v="18"/>
    <x v="3"/>
    <x v="1"/>
    <x v="4"/>
    <n v="129"/>
    <n v="61"/>
    <n v="83"/>
    <n v="107"/>
    <n v="44"/>
    <n v="26701"/>
    <n v="2857007"/>
    <n v="0"/>
    <n v="1628761"/>
    <x v="0"/>
    <x v="4"/>
    <x v="0"/>
  </r>
  <r>
    <x v="142"/>
    <x v="2"/>
    <x v="0"/>
    <x v="3"/>
    <x v="0"/>
    <n v="104"/>
    <n v="46"/>
    <n v="13"/>
    <n v="137"/>
    <n v="25"/>
    <n v="10500"/>
    <n v="1438500"/>
    <n v="0"/>
    <n v="483000"/>
    <x v="0"/>
    <x v="4"/>
    <x v="0"/>
  </r>
  <r>
    <x v="142"/>
    <x v="9"/>
    <x v="0"/>
    <x v="2"/>
    <x v="1"/>
    <n v="20"/>
    <n v="46"/>
    <n v="31"/>
    <n v="35"/>
    <n v="18"/>
    <n v="15370"/>
    <n v="537950"/>
    <n v="0"/>
    <n v="707020"/>
    <x v="0"/>
    <x v="4"/>
    <x v="0"/>
  </r>
  <r>
    <x v="142"/>
    <x v="16"/>
    <x v="1"/>
    <x v="1"/>
    <x v="2"/>
    <n v="71"/>
    <n v="9"/>
    <n v="8"/>
    <n v="72"/>
    <n v="16"/>
    <n v="23627"/>
    <n v="1701144"/>
    <n v="0"/>
    <n v="212643"/>
    <x v="0"/>
    <x v="4"/>
    <x v="0"/>
  </r>
  <r>
    <x v="142"/>
    <x v="6"/>
    <x v="3"/>
    <x v="1"/>
    <x v="5"/>
    <n v="40"/>
    <n v="108"/>
    <n v="61"/>
    <n v="87"/>
    <n v="33"/>
    <n v="29076"/>
    <n v="2529612"/>
    <n v="0"/>
    <n v="3140208"/>
    <x v="0"/>
    <x v="4"/>
    <x v="0"/>
  </r>
  <r>
    <x v="143"/>
    <x v="16"/>
    <x v="1"/>
    <x v="1"/>
    <x v="1"/>
    <n v="37"/>
    <n v="55"/>
    <n v="17"/>
    <n v="75"/>
    <n v="23"/>
    <n v="13844"/>
    <n v="1038300"/>
    <n v="0"/>
    <n v="761420"/>
    <x v="0"/>
    <x v="4"/>
    <x v="0"/>
  </r>
  <r>
    <x v="143"/>
    <x v="10"/>
    <x v="2"/>
    <x v="0"/>
    <x v="1"/>
    <n v="122"/>
    <n v="185"/>
    <n v="86"/>
    <n v="221"/>
    <n v="126"/>
    <n v="700"/>
    <n v="154700"/>
    <n v="0"/>
    <n v="129500"/>
    <x v="0"/>
    <x v="4"/>
    <x v="0"/>
  </r>
  <r>
    <x v="144"/>
    <x v="5"/>
    <x v="3"/>
    <x v="3"/>
    <x v="3"/>
    <n v="127"/>
    <n v="75"/>
    <n v="74"/>
    <n v="128"/>
    <n v="24"/>
    <n v="18152"/>
    <n v="2323456"/>
    <n v="0"/>
    <n v="1361400"/>
    <x v="0"/>
    <x v="4"/>
    <x v="0"/>
  </r>
  <r>
    <x v="144"/>
    <x v="14"/>
    <x v="3"/>
    <x v="0"/>
    <x v="1"/>
    <n v="78"/>
    <n v="106"/>
    <n v="43"/>
    <n v="141"/>
    <n v="56"/>
    <n v="48981"/>
    <n v="6906321"/>
    <n v="0"/>
    <n v="5191986"/>
    <x v="0"/>
    <x v="4"/>
    <x v="0"/>
  </r>
  <r>
    <x v="144"/>
    <x v="7"/>
    <x v="2"/>
    <x v="2"/>
    <x v="2"/>
    <n v="364"/>
    <n v="294"/>
    <n v="232"/>
    <n v="426"/>
    <n v="94"/>
    <n v="425"/>
    <n v="181050"/>
    <n v="0"/>
    <n v="124950"/>
    <x v="0"/>
    <x v="4"/>
    <x v="0"/>
  </r>
  <r>
    <x v="144"/>
    <x v="4"/>
    <x v="1"/>
    <x v="2"/>
    <x v="1"/>
    <n v="38"/>
    <n v="40"/>
    <n v="13"/>
    <n v="65"/>
    <n v="26"/>
    <n v="24762"/>
    <n v="1609530"/>
    <n v="0"/>
    <n v="990480"/>
    <x v="0"/>
    <x v="4"/>
    <x v="0"/>
  </r>
  <r>
    <x v="144"/>
    <x v="17"/>
    <x v="2"/>
    <x v="0"/>
    <x v="2"/>
    <n v="86"/>
    <n v="74"/>
    <n v="160"/>
    <n v="0"/>
    <n v="85"/>
    <n v="81"/>
    <n v="0"/>
    <n v="0"/>
    <n v="5994"/>
    <x v="1"/>
    <x v="4"/>
    <x v="0"/>
  </r>
  <r>
    <x v="145"/>
    <x v="8"/>
    <x v="3"/>
    <x v="3"/>
    <x v="4"/>
    <n v="147"/>
    <n v="94"/>
    <n v="46"/>
    <n v="195"/>
    <n v="57"/>
    <n v="39043"/>
    <n v="7613385"/>
    <n v="0"/>
    <n v="3670042"/>
    <x v="0"/>
    <x v="4"/>
    <x v="0"/>
  </r>
  <r>
    <x v="145"/>
    <x v="19"/>
    <x v="0"/>
    <x v="1"/>
    <x v="4"/>
    <n v="56"/>
    <n v="61"/>
    <n v="21"/>
    <n v="96"/>
    <n v="31"/>
    <n v="14221"/>
    <n v="1365216"/>
    <n v="0"/>
    <n v="867481"/>
    <x v="0"/>
    <x v="4"/>
    <x v="0"/>
  </r>
  <r>
    <x v="145"/>
    <x v="13"/>
    <x v="3"/>
    <x v="3"/>
    <x v="0"/>
    <n v="134"/>
    <n v="35"/>
    <n v="90"/>
    <n v="79"/>
    <n v="52"/>
    <n v="5262"/>
    <n v="415698"/>
    <n v="0"/>
    <n v="184170"/>
    <x v="0"/>
    <x v="4"/>
    <x v="0"/>
  </r>
  <r>
    <x v="145"/>
    <x v="10"/>
    <x v="2"/>
    <x v="0"/>
    <x v="0"/>
    <n v="325"/>
    <n v="175"/>
    <n v="177"/>
    <n v="323"/>
    <n v="75"/>
    <n v="106"/>
    <n v="34238"/>
    <n v="0"/>
    <n v="18550"/>
    <x v="0"/>
    <x v="4"/>
    <x v="0"/>
  </r>
  <r>
    <x v="145"/>
    <x v="0"/>
    <x v="0"/>
    <x v="3"/>
    <x v="2"/>
    <n v="77"/>
    <n v="37"/>
    <n v="6"/>
    <n v="108"/>
    <n v="22"/>
    <n v="9283"/>
    <n v="1002564"/>
    <n v="0"/>
    <n v="343471"/>
    <x v="0"/>
    <x v="4"/>
    <x v="0"/>
  </r>
  <r>
    <x v="145"/>
    <x v="4"/>
    <x v="1"/>
    <x v="3"/>
    <x v="5"/>
    <n v="76"/>
    <n v="27"/>
    <n v="4"/>
    <n v="99"/>
    <n v="21"/>
    <n v="24338"/>
    <n v="2409462"/>
    <n v="0"/>
    <n v="657126"/>
    <x v="0"/>
    <x v="4"/>
    <x v="0"/>
  </r>
  <r>
    <x v="146"/>
    <x v="12"/>
    <x v="1"/>
    <x v="3"/>
    <x v="5"/>
    <n v="75"/>
    <n v="51"/>
    <n v="2"/>
    <n v="124"/>
    <n v="15"/>
    <n v="13061"/>
    <n v="1619564"/>
    <n v="0"/>
    <n v="666111"/>
    <x v="0"/>
    <x v="4"/>
    <x v="0"/>
  </r>
  <r>
    <x v="146"/>
    <x v="14"/>
    <x v="3"/>
    <x v="0"/>
    <x v="3"/>
    <n v="173"/>
    <n v="57"/>
    <n v="56"/>
    <n v="174"/>
    <n v="25"/>
    <n v="30335"/>
    <n v="5278290"/>
    <n v="0"/>
    <n v="1729095"/>
    <x v="0"/>
    <x v="4"/>
    <x v="0"/>
  </r>
  <r>
    <x v="146"/>
    <x v="18"/>
    <x v="3"/>
    <x v="3"/>
    <x v="2"/>
    <n v="131"/>
    <n v="28"/>
    <n v="40"/>
    <n v="119"/>
    <n v="37"/>
    <n v="51260"/>
    <n v="6099940"/>
    <n v="0"/>
    <n v="1435280"/>
    <x v="0"/>
    <x v="4"/>
    <x v="0"/>
  </r>
  <r>
    <x v="146"/>
    <x v="8"/>
    <x v="3"/>
    <x v="1"/>
    <x v="5"/>
    <n v="177"/>
    <n v="39"/>
    <n v="29"/>
    <n v="187"/>
    <n v="29"/>
    <n v="9847"/>
    <n v="1841389"/>
    <n v="0"/>
    <n v="384033"/>
    <x v="0"/>
    <x v="4"/>
    <x v="0"/>
  </r>
  <r>
    <x v="146"/>
    <x v="0"/>
    <x v="0"/>
    <x v="0"/>
    <x v="1"/>
    <n v="77"/>
    <n v="42"/>
    <n v="5"/>
    <n v="114"/>
    <n v="19"/>
    <n v="3190"/>
    <n v="363660"/>
    <n v="0"/>
    <n v="133980"/>
    <x v="0"/>
    <x v="4"/>
    <x v="0"/>
  </r>
  <r>
    <x v="147"/>
    <x v="19"/>
    <x v="0"/>
    <x v="2"/>
    <x v="2"/>
    <n v="75"/>
    <n v="25"/>
    <n v="26"/>
    <n v="74"/>
    <n v="34"/>
    <n v="17873"/>
    <n v="1322602"/>
    <n v="0"/>
    <n v="446825"/>
    <x v="0"/>
    <x v="4"/>
    <x v="0"/>
  </r>
  <r>
    <x v="147"/>
    <x v="2"/>
    <x v="0"/>
    <x v="3"/>
    <x v="1"/>
    <n v="23"/>
    <n v="36"/>
    <n v="6"/>
    <n v="53"/>
    <n v="32"/>
    <n v="3821"/>
    <n v="202513"/>
    <n v="0"/>
    <n v="137556"/>
    <x v="0"/>
    <x v="4"/>
    <x v="0"/>
  </r>
  <r>
    <x v="147"/>
    <x v="19"/>
    <x v="0"/>
    <x v="0"/>
    <x v="2"/>
    <n v="43"/>
    <n v="21"/>
    <n v="12"/>
    <n v="52"/>
    <n v="20"/>
    <n v="10833"/>
    <n v="563316"/>
    <n v="0"/>
    <n v="227493"/>
    <x v="0"/>
    <x v="4"/>
    <x v="0"/>
  </r>
  <r>
    <x v="147"/>
    <x v="12"/>
    <x v="1"/>
    <x v="0"/>
    <x v="3"/>
    <n v="96"/>
    <n v="47"/>
    <n v="28"/>
    <n v="115"/>
    <n v="21"/>
    <n v="18745"/>
    <n v="2155675"/>
    <n v="0"/>
    <n v="881015"/>
    <x v="0"/>
    <x v="4"/>
    <x v="0"/>
  </r>
  <r>
    <x v="147"/>
    <x v="18"/>
    <x v="3"/>
    <x v="0"/>
    <x v="0"/>
    <n v="37"/>
    <n v="47"/>
    <n v="71"/>
    <n v="13"/>
    <n v="51"/>
    <n v="17846"/>
    <n v="231998"/>
    <n v="0"/>
    <n v="838762"/>
    <x v="1"/>
    <x v="4"/>
    <x v="0"/>
  </r>
  <r>
    <x v="148"/>
    <x v="10"/>
    <x v="2"/>
    <x v="3"/>
    <x v="1"/>
    <n v="237"/>
    <n v="170"/>
    <n v="140"/>
    <n v="267"/>
    <n v="141"/>
    <n v="535"/>
    <n v="142845"/>
    <n v="0"/>
    <n v="90950"/>
    <x v="0"/>
    <x v="4"/>
    <x v="0"/>
  </r>
  <r>
    <x v="148"/>
    <x v="7"/>
    <x v="2"/>
    <x v="3"/>
    <x v="5"/>
    <n v="247"/>
    <n v="274"/>
    <n v="117"/>
    <n v="404"/>
    <n v="58"/>
    <n v="472"/>
    <n v="190688"/>
    <n v="0"/>
    <n v="129328"/>
    <x v="0"/>
    <x v="4"/>
    <x v="0"/>
  </r>
  <r>
    <x v="148"/>
    <x v="15"/>
    <x v="2"/>
    <x v="3"/>
    <x v="5"/>
    <n v="355"/>
    <n v="238"/>
    <n v="120"/>
    <n v="473"/>
    <n v="58"/>
    <n v="967"/>
    <n v="457391"/>
    <n v="0"/>
    <n v="230146"/>
    <x v="0"/>
    <x v="4"/>
    <x v="0"/>
  </r>
  <r>
    <x v="148"/>
    <x v="19"/>
    <x v="0"/>
    <x v="2"/>
    <x v="1"/>
    <n v="30"/>
    <n v="24"/>
    <n v="45"/>
    <n v="9"/>
    <n v="29"/>
    <n v="17255"/>
    <n v="155295"/>
    <n v="0"/>
    <n v="414120"/>
    <x v="1"/>
    <x v="4"/>
    <x v="0"/>
  </r>
  <r>
    <x v="149"/>
    <x v="14"/>
    <x v="3"/>
    <x v="0"/>
    <x v="0"/>
    <n v="25"/>
    <n v="41"/>
    <n v="21"/>
    <n v="45"/>
    <n v="36"/>
    <n v="3653"/>
    <n v="164385"/>
    <n v="0"/>
    <n v="149773"/>
    <x v="0"/>
    <x v="4"/>
    <x v="0"/>
  </r>
  <r>
    <x v="149"/>
    <x v="16"/>
    <x v="1"/>
    <x v="3"/>
    <x v="4"/>
    <n v="96"/>
    <n v="53"/>
    <n v="5"/>
    <n v="144"/>
    <n v="24"/>
    <n v="5304"/>
    <n v="763776"/>
    <n v="0"/>
    <n v="281112"/>
    <x v="0"/>
    <x v="4"/>
    <x v="0"/>
  </r>
  <r>
    <x v="149"/>
    <x v="4"/>
    <x v="1"/>
    <x v="3"/>
    <x v="2"/>
    <n v="32"/>
    <n v="56"/>
    <n v="24"/>
    <n v="64"/>
    <n v="29"/>
    <n v="15966"/>
    <n v="1021824"/>
    <n v="0"/>
    <n v="894096"/>
    <x v="0"/>
    <x v="4"/>
    <x v="0"/>
  </r>
  <r>
    <x v="150"/>
    <x v="5"/>
    <x v="3"/>
    <x v="2"/>
    <x v="0"/>
    <n v="23"/>
    <n v="12"/>
    <n v="35"/>
    <n v="0"/>
    <n v="20"/>
    <n v="35363"/>
    <n v="0"/>
    <n v="0"/>
    <n v="424356"/>
    <x v="1"/>
    <x v="4"/>
    <x v="0"/>
  </r>
  <r>
    <x v="150"/>
    <x v="2"/>
    <x v="0"/>
    <x v="2"/>
    <x v="0"/>
    <n v="58"/>
    <n v="48"/>
    <n v="54"/>
    <n v="52"/>
    <n v="17"/>
    <n v="14167"/>
    <n v="736684"/>
    <n v="0"/>
    <n v="680016"/>
    <x v="0"/>
    <x v="4"/>
    <x v="0"/>
  </r>
  <r>
    <x v="150"/>
    <x v="4"/>
    <x v="1"/>
    <x v="3"/>
    <x v="5"/>
    <n v="39"/>
    <n v="18"/>
    <n v="38"/>
    <n v="19"/>
    <n v="21"/>
    <n v="23108"/>
    <n v="439052"/>
    <n v="0"/>
    <n v="415944"/>
    <x v="1"/>
    <x v="4"/>
    <x v="0"/>
  </r>
  <r>
    <x v="150"/>
    <x v="18"/>
    <x v="3"/>
    <x v="3"/>
    <x v="5"/>
    <n v="49"/>
    <n v="98"/>
    <n v="49"/>
    <n v="98"/>
    <n v="58"/>
    <n v="9071"/>
    <n v="888958"/>
    <n v="0"/>
    <n v="888958"/>
    <x v="0"/>
    <x v="4"/>
    <x v="0"/>
  </r>
  <r>
    <x v="150"/>
    <x v="1"/>
    <x v="1"/>
    <x v="3"/>
    <x v="1"/>
    <n v="61"/>
    <n v="51"/>
    <n v="34"/>
    <n v="78"/>
    <n v="23"/>
    <n v="24020"/>
    <n v="1873560"/>
    <n v="0"/>
    <n v="1225020"/>
    <x v="0"/>
    <x v="4"/>
    <x v="0"/>
  </r>
  <r>
    <x v="150"/>
    <x v="2"/>
    <x v="0"/>
    <x v="1"/>
    <x v="5"/>
    <n v="27"/>
    <n v="73"/>
    <n v="6"/>
    <n v="94"/>
    <n v="35"/>
    <n v="13088"/>
    <n v="1230272"/>
    <n v="0"/>
    <n v="955424"/>
    <x v="0"/>
    <x v="4"/>
    <x v="0"/>
  </r>
  <r>
    <x v="151"/>
    <x v="9"/>
    <x v="0"/>
    <x v="0"/>
    <x v="3"/>
    <n v="112"/>
    <n v="50"/>
    <n v="24"/>
    <n v="138"/>
    <n v="30"/>
    <n v="12614"/>
    <n v="1740732"/>
    <n v="0"/>
    <n v="630700"/>
    <x v="0"/>
    <x v="5"/>
    <x v="0"/>
  </r>
  <r>
    <x v="151"/>
    <x v="9"/>
    <x v="0"/>
    <x v="3"/>
    <x v="2"/>
    <n v="88"/>
    <n v="21"/>
    <n v="20"/>
    <n v="89"/>
    <n v="30"/>
    <n v="14565"/>
    <n v="1296285"/>
    <n v="0"/>
    <n v="305865"/>
    <x v="0"/>
    <x v="5"/>
    <x v="0"/>
  </r>
  <r>
    <x v="151"/>
    <x v="10"/>
    <x v="2"/>
    <x v="1"/>
    <x v="1"/>
    <n v="207"/>
    <n v="170"/>
    <n v="260"/>
    <n v="117"/>
    <n v="65"/>
    <n v="643"/>
    <n v="75231"/>
    <n v="0"/>
    <n v="109310"/>
    <x v="0"/>
    <x v="5"/>
    <x v="0"/>
  </r>
  <r>
    <x v="151"/>
    <x v="1"/>
    <x v="1"/>
    <x v="2"/>
    <x v="3"/>
    <n v="14"/>
    <n v="7"/>
    <n v="21"/>
    <n v="0"/>
    <n v="26"/>
    <n v="12203"/>
    <n v="0"/>
    <n v="0"/>
    <n v="85421"/>
    <x v="1"/>
    <x v="5"/>
    <x v="0"/>
  </r>
  <r>
    <x v="152"/>
    <x v="7"/>
    <x v="2"/>
    <x v="3"/>
    <x v="1"/>
    <n v="326"/>
    <n v="86"/>
    <n v="195"/>
    <n v="217"/>
    <n v="142"/>
    <n v="417"/>
    <n v="90489"/>
    <n v="0"/>
    <n v="35862"/>
    <x v="0"/>
    <x v="5"/>
    <x v="0"/>
  </r>
  <r>
    <x v="152"/>
    <x v="6"/>
    <x v="3"/>
    <x v="1"/>
    <x v="5"/>
    <n v="36"/>
    <n v="48"/>
    <n v="81"/>
    <n v="3"/>
    <n v="30"/>
    <n v="45179"/>
    <n v="135537"/>
    <n v="0"/>
    <n v="2168592"/>
    <x v="1"/>
    <x v="5"/>
    <x v="0"/>
  </r>
  <r>
    <x v="152"/>
    <x v="13"/>
    <x v="3"/>
    <x v="0"/>
    <x v="2"/>
    <n v="141"/>
    <n v="85"/>
    <n v="91"/>
    <n v="135"/>
    <n v="41"/>
    <n v="49556"/>
    <n v="6690060"/>
    <n v="0"/>
    <n v="4212260"/>
    <x v="0"/>
    <x v="5"/>
    <x v="0"/>
  </r>
  <r>
    <x v="153"/>
    <x v="16"/>
    <x v="1"/>
    <x v="0"/>
    <x v="1"/>
    <n v="13"/>
    <n v="21"/>
    <n v="17"/>
    <n v="17"/>
    <n v="12"/>
    <n v="9834"/>
    <n v="167178"/>
    <n v="0"/>
    <n v="206514"/>
    <x v="0"/>
    <x v="5"/>
    <x v="0"/>
  </r>
  <r>
    <x v="153"/>
    <x v="10"/>
    <x v="2"/>
    <x v="0"/>
    <x v="1"/>
    <n v="323"/>
    <n v="125"/>
    <n v="223"/>
    <n v="225"/>
    <n v="130"/>
    <n v="313"/>
    <n v="70425"/>
    <n v="0"/>
    <n v="39125"/>
    <x v="0"/>
    <x v="5"/>
    <x v="0"/>
  </r>
  <r>
    <x v="153"/>
    <x v="14"/>
    <x v="3"/>
    <x v="2"/>
    <x v="5"/>
    <n v="159"/>
    <n v="93"/>
    <n v="53"/>
    <n v="199"/>
    <n v="54"/>
    <n v="18861"/>
    <n v="3753339"/>
    <n v="0"/>
    <n v="1754073"/>
    <x v="0"/>
    <x v="5"/>
    <x v="0"/>
  </r>
  <r>
    <x v="154"/>
    <x v="0"/>
    <x v="0"/>
    <x v="2"/>
    <x v="0"/>
    <n v="29"/>
    <n v="73"/>
    <n v="18"/>
    <n v="84"/>
    <n v="24"/>
    <n v="15690"/>
    <n v="1317960"/>
    <n v="0"/>
    <n v="1145370"/>
    <x v="0"/>
    <x v="5"/>
    <x v="0"/>
  </r>
  <r>
    <x v="154"/>
    <x v="11"/>
    <x v="2"/>
    <x v="0"/>
    <x v="0"/>
    <n v="479"/>
    <n v="263"/>
    <n v="60"/>
    <n v="682"/>
    <n v="108"/>
    <n v="281"/>
    <n v="191642"/>
    <n v="0"/>
    <n v="73903"/>
    <x v="0"/>
    <x v="5"/>
    <x v="0"/>
  </r>
  <r>
    <x v="154"/>
    <x v="18"/>
    <x v="3"/>
    <x v="1"/>
    <x v="2"/>
    <n v="46"/>
    <n v="117"/>
    <n v="16"/>
    <n v="147"/>
    <n v="49"/>
    <n v="11106"/>
    <n v="1632582"/>
    <n v="0"/>
    <n v="1299402"/>
    <x v="0"/>
    <x v="5"/>
    <x v="0"/>
  </r>
  <r>
    <x v="154"/>
    <x v="5"/>
    <x v="3"/>
    <x v="3"/>
    <x v="0"/>
    <n v="96"/>
    <n v="87"/>
    <n v="58"/>
    <n v="125"/>
    <n v="49"/>
    <n v="59599"/>
    <n v="7449875"/>
    <n v="0"/>
    <n v="5185113"/>
    <x v="0"/>
    <x v="5"/>
    <x v="0"/>
  </r>
  <r>
    <x v="154"/>
    <x v="11"/>
    <x v="2"/>
    <x v="0"/>
    <x v="2"/>
    <n v="324"/>
    <n v="183"/>
    <n v="62"/>
    <n v="445"/>
    <n v="86"/>
    <n v="198"/>
    <n v="88110"/>
    <n v="0"/>
    <n v="36234"/>
    <x v="0"/>
    <x v="5"/>
    <x v="0"/>
  </r>
  <r>
    <x v="154"/>
    <x v="4"/>
    <x v="1"/>
    <x v="1"/>
    <x v="5"/>
    <n v="41"/>
    <n v="14"/>
    <n v="41"/>
    <n v="14"/>
    <n v="10"/>
    <n v="7788"/>
    <n v="109032"/>
    <n v="0"/>
    <n v="109032"/>
    <x v="0"/>
    <x v="5"/>
    <x v="0"/>
  </r>
  <r>
    <x v="154"/>
    <x v="16"/>
    <x v="1"/>
    <x v="1"/>
    <x v="5"/>
    <n v="22"/>
    <n v="45"/>
    <n v="3"/>
    <n v="64"/>
    <n v="10"/>
    <n v="19504"/>
    <n v="1248256"/>
    <n v="0"/>
    <n v="877680"/>
    <x v="0"/>
    <x v="5"/>
    <x v="0"/>
  </r>
  <r>
    <x v="155"/>
    <x v="3"/>
    <x v="2"/>
    <x v="3"/>
    <x v="0"/>
    <n v="425"/>
    <n v="231"/>
    <n v="126"/>
    <n v="530"/>
    <n v="124"/>
    <n v="383"/>
    <n v="202990"/>
    <n v="0"/>
    <n v="88473"/>
    <x v="0"/>
    <x v="5"/>
    <x v="0"/>
  </r>
  <r>
    <x v="155"/>
    <x v="13"/>
    <x v="3"/>
    <x v="0"/>
    <x v="4"/>
    <n v="69"/>
    <n v="104"/>
    <n v="59"/>
    <n v="114"/>
    <n v="29"/>
    <n v="57576"/>
    <n v="6563664"/>
    <n v="0"/>
    <n v="5987904"/>
    <x v="0"/>
    <x v="5"/>
    <x v="0"/>
  </r>
  <r>
    <x v="155"/>
    <x v="10"/>
    <x v="2"/>
    <x v="0"/>
    <x v="1"/>
    <n v="162"/>
    <n v="76"/>
    <n v="238"/>
    <n v="0"/>
    <n v="147"/>
    <n v="353"/>
    <n v="0"/>
    <n v="0"/>
    <n v="26828"/>
    <x v="1"/>
    <x v="5"/>
    <x v="0"/>
  </r>
  <r>
    <x v="155"/>
    <x v="9"/>
    <x v="0"/>
    <x v="2"/>
    <x v="4"/>
    <n v="98"/>
    <n v="43"/>
    <n v="5"/>
    <n v="136"/>
    <n v="29"/>
    <n v="14716"/>
    <n v="2001376"/>
    <n v="0"/>
    <n v="632788"/>
    <x v="0"/>
    <x v="5"/>
    <x v="0"/>
  </r>
  <r>
    <x v="155"/>
    <x v="1"/>
    <x v="1"/>
    <x v="2"/>
    <x v="5"/>
    <n v="33"/>
    <n v="23"/>
    <n v="34"/>
    <n v="22"/>
    <n v="12"/>
    <n v="12947"/>
    <n v="284834"/>
    <n v="0"/>
    <n v="297781"/>
    <x v="0"/>
    <x v="5"/>
    <x v="0"/>
  </r>
  <r>
    <x v="155"/>
    <x v="0"/>
    <x v="0"/>
    <x v="1"/>
    <x v="4"/>
    <n v="28"/>
    <n v="48"/>
    <n v="32"/>
    <n v="44"/>
    <n v="28"/>
    <n v="5772"/>
    <n v="253968"/>
    <n v="0"/>
    <n v="277056"/>
    <x v="0"/>
    <x v="5"/>
    <x v="0"/>
  </r>
  <r>
    <x v="155"/>
    <x v="19"/>
    <x v="0"/>
    <x v="1"/>
    <x v="5"/>
    <n v="96"/>
    <n v="33"/>
    <n v="19"/>
    <n v="110"/>
    <n v="26"/>
    <n v="10495"/>
    <n v="1154450"/>
    <n v="0"/>
    <n v="346335"/>
    <x v="0"/>
    <x v="5"/>
    <x v="0"/>
  </r>
  <r>
    <x v="156"/>
    <x v="12"/>
    <x v="1"/>
    <x v="3"/>
    <x v="0"/>
    <n v="47"/>
    <n v="37"/>
    <n v="38"/>
    <n v="46"/>
    <n v="10"/>
    <n v="18834"/>
    <n v="866364"/>
    <n v="0"/>
    <n v="696858"/>
    <x v="0"/>
    <x v="5"/>
    <x v="0"/>
  </r>
  <r>
    <x v="156"/>
    <x v="6"/>
    <x v="3"/>
    <x v="1"/>
    <x v="2"/>
    <n v="106"/>
    <n v="27"/>
    <n v="39"/>
    <n v="94"/>
    <n v="32"/>
    <n v="1310"/>
    <n v="123140"/>
    <n v="0"/>
    <n v="35370"/>
    <x v="0"/>
    <x v="5"/>
    <x v="0"/>
  </r>
  <r>
    <x v="157"/>
    <x v="5"/>
    <x v="3"/>
    <x v="2"/>
    <x v="5"/>
    <n v="91"/>
    <n v="114"/>
    <n v="81"/>
    <n v="124"/>
    <n v="25"/>
    <n v="48638"/>
    <n v="6031112"/>
    <n v="0"/>
    <n v="5544732"/>
    <x v="0"/>
    <x v="5"/>
    <x v="0"/>
  </r>
  <r>
    <x v="157"/>
    <x v="13"/>
    <x v="3"/>
    <x v="2"/>
    <x v="1"/>
    <n v="129"/>
    <n v="93"/>
    <n v="94"/>
    <n v="128"/>
    <n v="26"/>
    <n v="61550"/>
    <n v="7878400"/>
    <n v="0"/>
    <n v="5724150"/>
    <x v="0"/>
    <x v="5"/>
    <x v="0"/>
  </r>
  <r>
    <x v="157"/>
    <x v="18"/>
    <x v="3"/>
    <x v="0"/>
    <x v="1"/>
    <n v="76"/>
    <n v="58"/>
    <n v="52"/>
    <n v="82"/>
    <n v="20"/>
    <n v="61543"/>
    <n v="5046526"/>
    <n v="0"/>
    <n v="3569494"/>
    <x v="0"/>
    <x v="5"/>
    <x v="0"/>
  </r>
  <r>
    <x v="157"/>
    <x v="4"/>
    <x v="1"/>
    <x v="2"/>
    <x v="1"/>
    <n v="83"/>
    <n v="57"/>
    <n v="33"/>
    <n v="107"/>
    <n v="12"/>
    <n v="14277"/>
    <n v="1527639"/>
    <n v="0"/>
    <n v="813789"/>
    <x v="0"/>
    <x v="5"/>
    <x v="0"/>
  </r>
  <r>
    <x v="157"/>
    <x v="11"/>
    <x v="2"/>
    <x v="0"/>
    <x v="5"/>
    <n v="153"/>
    <n v="63"/>
    <n v="111"/>
    <n v="105"/>
    <n v="135"/>
    <n v="658"/>
    <n v="69090"/>
    <n v="0"/>
    <n v="41454"/>
    <x v="1"/>
    <x v="5"/>
    <x v="0"/>
  </r>
  <r>
    <x v="158"/>
    <x v="10"/>
    <x v="2"/>
    <x v="0"/>
    <x v="0"/>
    <n v="491"/>
    <n v="53"/>
    <n v="13"/>
    <n v="531"/>
    <n v="69"/>
    <n v="751"/>
    <n v="398781"/>
    <n v="0"/>
    <n v="39803"/>
    <x v="0"/>
    <x v="5"/>
    <x v="0"/>
  </r>
  <r>
    <x v="158"/>
    <x v="14"/>
    <x v="3"/>
    <x v="1"/>
    <x v="4"/>
    <n v="33"/>
    <n v="106"/>
    <n v="77"/>
    <n v="62"/>
    <n v="46"/>
    <n v="4120"/>
    <n v="255440"/>
    <n v="0"/>
    <n v="436720"/>
    <x v="0"/>
    <x v="5"/>
    <x v="0"/>
  </r>
  <r>
    <x v="159"/>
    <x v="8"/>
    <x v="3"/>
    <x v="2"/>
    <x v="2"/>
    <n v="83"/>
    <n v="81"/>
    <n v="24"/>
    <n v="140"/>
    <n v="27"/>
    <n v="43073"/>
    <n v="6030220"/>
    <n v="0"/>
    <n v="3488913"/>
    <x v="0"/>
    <x v="5"/>
    <x v="0"/>
  </r>
  <r>
    <x v="159"/>
    <x v="0"/>
    <x v="0"/>
    <x v="3"/>
    <x v="2"/>
    <n v="79"/>
    <n v="42"/>
    <n v="15"/>
    <n v="106"/>
    <n v="24"/>
    <n v="4038"/>
    <n v="428028"/>
    <n v="0"/>
    <n v="169596"/>
    <x v="0"/>
    <x v="5"/>
    <x v="0"/>
  </r>
  <r>
    <x v="159"/>
    <x v="13"/>
    <x v="3"/>
    <x v="0"/>
    <x v="0"/>
    <n v="103"/>
    <n v="33"/>
    <n v="16"/>
    <n v="120"/>
    <n v="54"/>
    <n v="7633"/>
    <n v="915960"/>
    <n v="0"/>
    <n v="251889"/>
    <x v="0"/>
    <x v="5"/>
    <x v="0"/>
  </r>
  <r>
    <x v="159"/>
    <x v="9"/>
    <x v="0"/>
    <x v="0"/>
    <x v="5"/>
    <n v="71"/>
    <n v="57"/>
    <n v="35"/>
    <n v="93"/>
    <n v="32"/>
    <n v="15343"/>
    <n v="1426899"/>
    <n v="0"/>
    <n v="874551"/>
    <x v="0"/>
    <x v="5"/>
    <x v="0"/>
  </r>
  <r>
    <x v="159"/>
    <x v="1"/>
    <x v="1"/>
    <x v="0"/>
    <x v="1"/>
    <n v="79"/>
    <n v="53"/>
    <n v="41"/>
    <n v="91"/>
    <n v="16"/>
    <n v="16994"/>
    <n v="1546454"/>
    <n v="0"/>
    <n v="900682"/>
    <x v="0"/>
    <x v="5"/>
    <x v="0"/>
  </r>
  <r>
    <x v="159"/>
    <x v="14"/>
    <x v="3"/>
    <x v="0"/>
    <x v="5"/>
    <n v="143"/>
    <n v="51"/>
    <n v="51"/>
    <n v="143"/>
    <n v="30"/>
    <n v="57278"/>
    <n v="8190754"/>
    <n v="0"/>
    <n v="2921178"/>
    <x v="0"/>
    <x v="5"/>
    <x v="0"/>
  </r>
  <r>
    <x v="160"/>
    <x v="14"/>
    <x v="3"/>
    <x v="0"/>
    <x v="2"/>
    <n v="48"/>
    <n v="88"/>
    <n v="27"/>
    <n v="109"/>
    <n v="22"/>
    <n v="17289"/>
    <n v="1884501"/>
    <n v="0"/>
    <n v="1521432"/>
    <x v="0"/>
    <x v="5"/>
    <x v="0"/>
  </r>
  <r>
    <x v="160"/>
    <x v="15"/>
    <x v="2"/>
    <x v="3"/>
    <x v="2"/>
    <n v="284"/>
    <n v="219"/>
    <n v="126"/>
    <n v="377"/>
    <n v="51"/>
    <n v="290"/>
    <n v="109330"/>
    <n v="0"/>
    <n v="63510"/>
    <x v="0"/>
    <x v="5"/>
    <x v="0"/>
  </r>
  <r>
    <x v="160"/>
    <x v="12"/>
    <x v="1"/>
    <x v="2"/>
    <x v="5"/>
    <n v="42"/>
    <n v="12"/>
    <n v="21"/>
    <n v="33"/>
    <n v="22"/>
    <n v="18411"/>
    <n v="607563"/>
    <n v="0"/>
    <n v="220932"/>
    <x v="0"/>
    <x v="5"/>
    <x v="0"/>
  </r>
  <r>
    <x v="161"/>
    <x v="3"/>
    <x v="2"/>
    <x v="0"/>
    <x v="5"/>
    <n v="360"/>
    <n v="81"/>
    <n v="45"/>
    <n v="396"/>
    <n v="68"/>
    <n v="71"/>
    <n v="28116"/>
    <n v="0"/>
    <n v="5751"/>
    <x v="0"/>
    <x v="5"/>
    <x v="0"/>
  </r>
  <r>
    <x v="161"/>
    <x v="15"/>
    <x v="2"/>
    <x v="2"/>
    <x v="5"/>
    <n v="330"/>
    <n v="282"/>
    <n v="141"/>
    <n v="471"/>
    <n v="65"/>
    <n v="493"/>
    <n v="232203"/>
    <n v="0"/>
    <n v="139026"/>
    <x v="0"/>
    <x v="5"/>
    <x v="0"/>
  </r>
  <r>
    <x v="161"/>
    <x v="4"/>
    <x v="1"/>
    <x v="2"/>
    <x v="0"/>
    <n v="76"/>
    <n v="12"/>
    <n v="32"/>
    <n v="56"/>
    <n v="22"/>
    <n v="9254"/>
    <n v="518224"/>
    <n v="0"/>
    <n v="111048"/>
    <x v="0"/>
    <x v="5"/>
    <x v="0"/>
  </r>
  <r>
    <x v="162"/>
    <x v="9"/>
    <x v="0"/>
    <x v="2"/>
    <x v="4"/>
    <n v="94"/>
    <n v="65"/>
    <n v="43"/>
    <n v="116"/>
    <n v="15"/>
    <n v="6399"/>
    <n v="742284"/>
    <n v="0"/>
    <n v="415935"/>
    <x v="0"/>
    <x v="5"/>
    <x v="0"/>
  </r>
  <r>
    <x v="162"/>
    <x v="11"/>
    <x v="2"/>
    <x v="1"/>
    <x v="1"/>
    <n v="483"/>
    <n v="69"/>
    <n v="263"/>
    <n v="289"/>
    <n v="134"/>
    <n v="927"/>
    <n v="267903"/>
    <n v="0"/>
    <n v="63963"/>
    <x v="0"/>
    <x v="5"/>
    <x v="0"/>
  </r>
  <r>
    <x v="162"/>
    <x v="4"/>
    <x v="1"/>
    <x v="0"/>
    <x v="2"/>
    <n v="63"/>
    <n v="27"/>
    <n v="18"/>
    <n v="72"/>
    <n v="16"/>
    <n v="3273"/>
    <n v="235656"/>
    <n v="0"/>
    <n v="88371"/>
    <x v="0"/>
    <x v="5"/>
    <x v="0"/>
  </r>
  <r>
    <x v="162"/>
    <x v="13"/>
    <x v="3"/>
    <x v="1"/>
    <x v="1"/>
    <n v="34"/>
    <n v="105"/>
    <n v="10"/>
    <n v="129"/>
    <n v="40"/>
    <n v="46365"/>
    <n v="5981085"/>
    <n v="0"/>
    <n v="4868325"/>
    <x v="0"/>
    <x v="5"/>
    <x v="0"/>
  </r>
  <r>
    <x v="162"/>
    <x v="15"/>
    <x v="2"/>
    <x v="3"/>
    <x v="2"/>
    <n v="332"/>
    <n v="246"/>
    <n v="250"/>
    <n v="328"/>
    <n v="94"/>
    <n v="876"/>
    <n v="287328"/>
    <n v="0"/>
    <n v="215496"/>
    <x v="0"/>
    <x v="5"/>
    <x v="0"/>
  </r>
  <r>
    <x v="162"/>
    <x v="10"/>
    <x v="2"/>
    <x v="2"/>
    <x v="2"/>
    <n v="369"/>
    <n v="41"/>
    <n v="217"/>
    <n v="193"/>
    <n v="95"/>
    <n v="1103"/>
    <n v="212879"/>
    <n v="0"/>
    <n v="45223"/>
    <x v="0"/>
    <x v="5"/>
    <x v="0"/>
  </r>
  <r>
    <x v="162"/>
    <x v="0"/>
    <x v="0"/>
    <x v="2"/>
    <x v="2"/>
    <n v="95"/>
    <n v="28"/>
    <n v="32"/>
    <n v="91"/>
    <n v="34"/>
    <n v="11609"/>
    <n v="1056419"/>
    <n v="0"/>
    <n v="325052"/>
    <x v="0"/>
    <x v="5"/>
    <x v="0"/>
  </r>
  <r>
    <x v="162"/>
    <x v="14"/>
    <x v="3"/>
    <x v="3"/>
    <x v="2"/>
    <n v="100"/>
    <n v="69"/>
    <n v="80"/>
    <n v="89"/>
    <n v="55"/>
    <n v="40798"/>
    <n v="3631022"/>
    <n v="0"/>
    <n v="2815062"/>
    <x v="0"/>
    <x v="5"/>
    <x v="0"/>
  </r>
  <r>
    <x v="162"/>
    <x v="7"/>
    <x v="2"/>
    <x v="3"/>
    <x v="4"/>
    <n v="130"/>
    <n v="199"/>
    <n v="205"/>
    <n v="124"/>
    <n v="96"/>
    <n v="222"/>
    <n v="27528"/>
    <n v="0"/>
    <n v="44178"/>
    <x v="0"/>
    <x v="5"/>
    <x v="0"/>
  </r>
  <r>
    <x v="162"/>
    <x v="15"/>
    <x v="2"/>
    <x v="3"/>
    <x v="2"/>
    <n v="146"/>
    <n v="84"/>
    <n v="136"/>
    <n v="94"/>
    <n v="142"/>
    <n v="724"/>
    <n v="68056"/>
    <n v="0"/>
    <n v="60816"/>
    <x v="1"/>
    <x v="5"/>
    <x v="0"/>
  </r>
  <r>
    <x v="162"/>
    <x v="15"/>
    <x v="2"/>
    <x v="0"/>
    <x v="4"/>
    <n v="109"/>
    <n v="60"/>
    <n v="85"/>
    <n v="84"/>
    <n v="51"/>
    <n v="336"/>
    <n v="28224"/>
    <n v="0"/>
    <n v="20160"/>
    <x v="0"/>
    <x v="5"/>
    <x v="0"/>
  </r>
  <r>
    <x v="162"/>
    <x v="12"/>
    <x v="1"/>
    <x v="3"/>
    <x v="2"/>
    <n v="61"/>
    <n v="18"/>
    <n v="37"/>
    <n v="42"/>
    <n v="17"/>
    <n v="11379"/>
    <n v="477918"/>
    <n v="0"/>
    <n v="204822"/>
    <x v="0"/>
    <x v="5"/>
    <x v="0"/>
  </r>
  <r>
    <x v="162"/>
    <x v="5"/>
    <x v="3"/>
    <x v="3"/>
    <x v="2"/>
    <n v="67"/>
    <n v="82"/>
    <n v="76"/>
    <n v="73"/>
    <n v="36"/>
    <n v="17299"/>
    <n v="1262827"/>
    <n v="0"/>
    <n v="1418518"/>
    <x v="0"/>
    <x v="5"/>
    <x v="0"/>
  </r>
  <r>
    <x v="162"/>
    <x v="10"/>
    <x v="2"/>
    <x v="2"/>
    <x v="0"/>
    <n v="185"/>
    <n v="86"/>
    <n v="186"/>
    <n v="85"/>
    <n v="137"/>
    <n v="134"/>
    <n v="11390"/>
    <n v="0"/>
    <n v="11524"/>
    <x v="1"/>
    <x v="5"/>
    <x v="0"/>
  </r>
  <r>
    <x v="162"/>
    <x v="17"/>
    <x v="2"/>
    <x v="2"/>
    <x v="2"/>
    <n v="415"/>
    <n v="43"/>
    <n v="248"/>
    <n v="210"/>
    <n v="110"/>
    <n v="91"/>
    <n v="19110"/>
    <n v="0"/>
    <n v="3913"/>
    <x v="0"/>
    <x v="5"/>
    <x v="0"/>
  </r>
  <r>
    <x v="162"/>
    <x v="17"/>
    <x v="2"/>
    <x v="0"/>
    <x v="1"/>
    <n v="421"/>
    <n v="202"/>
    <n v="44"/>
    <n v="579"/>
    <n v="58"/>
    <n v="400"/>
    <n v="231600"/>
    <n v="0"/>
    <n v="80800"/>
    <x v="0"/>
    <x v="5"/>
    <x v="0"/>
  </r>
  <r>
    <x v="163"/>
    <x v="12"/>
    <x v="1"/>
    <x v="0"/>
    <x v="0"/>
    <n v="77"/>
    <n v="27"/>
    <n v="22"/>
    <n v="82"/>
    <n v="15"/>
    <n v="20762"/>
    <n v="1702484"/>
    <n v="0"/>
    <n v="560574"/>
    <x v="0"/>
    <x v="5"/>
    <x v="0"/>
  </r>
  <r>
    <x v="164"/>
    <x v="16"/>
    <x v="1"/>
    <x v="3"/>
    <x v="0"/>
    <n v="13"/>
    <n v="6"/>
    <n v="19"/>
    <n v="0"/>
    <n v="21"/>
    <n v="22613"/>
    <n v="0"/>
    <n v="0"/>
    <n v="135678"/>
    <x v="1"/>
    <x v="5"/>
    <x v="0"/>
  </r>
  <r>
    <x v="164"/>
    <x v="18"/>
    <x v="3"/>
    <x v="0"/>
    <x v="0"/>
    <n v="88"/>
    <n v="62"/>
    <n v="56"/>
    <n v="94"/>
    <n v="38"/>
    <n v="13431"/>
    <n v="1262514"/>
    <n v="0"/>
    <n v="832722"/>
    <x v="0"/>
    <x v="5"/>
    <x v="0"/>
  </r>
  <r>
    <x v="164"/>
    <x v="5"/>
    <x v="3"/>
    <x v="1"/>
    <x v="2"/>
    <n v="66"/>
    <n v="99"/>
    <n v="75"/>
    <n v="90"/>
    <n v="58"/>
    <n v="52237"/>
    <n v="4701330"/>
    <n v="0"/>
    <n v="5171463"/>
    <x v="0"/>
    <x v="5"/>
    <x v="0"/>
  </r>
  <r>
    <x v="164"/>
    <x v="12"/>
    <x v="1"/>
    <x v="0"/>
    <x v="4"/>
    <n v="30"/>
    <n v="5"/>
    <n v="5"/>
    <n v="30"/>
    <n v="10"/>
    <n v="12731"/>
    <n v="381930"/>
    <n v="0"/>
    <n v="63655"/>
    <x v="0"/>
    <x v="5"/>
    <x v="0"/>
  </r>
  <r>
    <x v="164"/>
    <x v="11"/>
    <x v="2"/>
    <x v="2"/>
    <x v="4"/>
    <n v="292"/>
    <n v="119"/>
    <n v="188"/>
    <n v="223"/>
    <n v="107"/>
    <n v="1006"/>
    <n v="224338"/>
    <n v="0"/>
    <n v="119714"/>
    <x v="0"/>
    <x v="5"/>
    <x v="0"/>
  </r>
  <r>
    <x v="164"/>
    <x v="18"/>
    <x v="3"/>
    <x v="1"/>
    <x v="2"/>
    <n v="131"/>
    <n v="98"/>
    <n v="40"/>
    <n v="189"/>
    <n v="43"/>
    <n v="13936"/>
    <n v="2633904"/>
    <n v="0"/>
    <n v="1365728"/>
    <x v="0"/>
    <x v="5"/>
    <x v="0"/>
  </r>
  <r>
    <x v="164"/>
    <x v="17"/>
    <x v="2"/>
    <x v="1"/>
    <x v="0"/>
    <n v="231"/>
    <n v="252"/>
    <n v="16"/>
    <n v="467"/>
    <n v="56"/>
    <n v="349"/>
    <n v="162983"/>
    <n v="0"/>
    <n v="87948"/>
    <x v="0"/>
    <x v="5"/>
    <x v="0"/>
  </r>
  <r>
    <x v="165"/>
    <x v="2"/>
    <x v="0"/>
    <x v="1"/>
    <x v="3"/>
    <n v="73"/>
    <n v="46"/>
    <n v="54"/>
    <n v="65"/>
    <n v="38"/>
    <n v="7355"/>
    <n v="478075"/>
    <n v="0"/>
    <n v="338330"/>
    <x v="0"/>
    <x v="5"/>
    <x v="0"/>
  </r>
  <r>
    <x v="166"/>
    <x v="9"/>
    <x v="0"/>
    <x v="2"/>
    <x v="1"/>
    <n v="88"/>
    <n v="11"/>
    <n v="62"/>
    <n v="37"/>
    <n v="29"/>
    <n v="10272"/>
    <n v="380064"/>
    <n v="0"/>
    <n v="112992"/>
    <x v="0"/>
    <x v="5"/>
    <x v="0"/>
  </r>
  <r>
    <x v="166"/>
    <x v="13"/>
    <x v="3"/>
    <x v="2"/>
    <x v="1"/>
    <n v="115"/>
    <n v="99"/>
    <n v="21"/>
    <n v="193"/>
    <n v="46"/>
    <n v="19599"/>
    <n v="3782607"/>
    <n v="0"/>
    <n v="1940301"/>
    <x v="0"/>
    <x v="5"/>
    <x v="0"/>
  </r>
  <r>
    <x v="166"/>
    <x v="5"/>
    <x v="3"/>
    <x v="3"/>
    <x v="5"/>
    <n v="92"/>
    <n v="28"/>
    <n v="20"/>
    <n v="100"/>
    <n v="44"/>
    <n v="57941"/>
    <n v="5794100"/>
    <n v="0"/>
    <n v="1622348"/>
    <x v="0"/>
    <x v="5"/>
    <x v="0"/>
  </r>
  <r>
    <x v="166"/>
    <x v="9"/>
    <x v="0"/>
    <x v="2"/>
    <x v="2"/>
    <n v="74"/>
    <n v="45"/>
    <n v="35"/>
    <n v="84"/>
    <n v="33"/>
    <n v="13216"/>
    <n v="1110144"/>
    <n v="0"/>
    <n v="594720"/>
    <x v="0"/>
    <x v="5"/>
    <x v="0"/>
  </r>
  <r>
    <x v="167"/>
    <x v="16"/>
    <x v="1"/>
    <x v="0"/>
    <x v="0"/>
    <n v="43"/>
    <n v="40"/>
    <n v="28"/>
    <n v="55"/>
    <n v="20"/>
    <n v="8430"/>
    <n v="463650"/>
    <n v="0"/>
    <n v="337200"/>
    <x v="0"/>
    <x v="5"/>
    <x v="0"/>
  </r>
  <r>
    <x v="167"/>
    <x v="14"/>
    <x v="3"/>
    <x v="0"/>
    <x v="3"/>
    <n v="22"/>
    <n v="108"/>
    <n v="28"/>
    <n v="102"/>
    <n v="37"/>
    <n v="6450"/>
    <n v="657900"/>
    <n v="0"/>
    <n v="696600"/>
    <x v="0"/>
    <x v="5"/>
    <x v="0"/>
  </r>
  <r>
    <x v="167"/>
    <x v="13"/>
    <x v="3"/>
    <x v="3"/>
    <x v="3"/>
    <n v="99"/>
    <n v="47"/>
    <n v="81"/>
    <n v="65"/>
    <n v="42"/>
    <n v="16797"/>
    <n v="1091805"/>
    <n v="0"/>
    <n v="789459"/>
    <x v="0"/>
    <x v="5"/>
    <x v="0"/>
  </r>
  <r>
    <x v="167"/>
    <x v="5"/>
    <x v="3"/>
    <x v="1"/>
    <x v="3"/>
    <n v="102"/>
    <n v="74"/>
    <n v="73"/>
    <n v="103"/>
    <n v="35"/>
    <n v="39994"/>
    <n v="4119382"/>
    <n v="0"/>
    <n v="2959556"/>
    <x v="0"/>
    <x v="5"/>
    <x v="0"/>
  </r>
  <r>
    <x v="167"/>
    <x v="3"/>
    <x v="2"/>
    <x v="0"/>
    <x v="5"/>
    <n v="417"/>
    <n v="53"/>
    <n v="77"/>
    <n v="393"/>
    <n v="102"/>
    <n v="969"/>
    <n v="380817"/>
    <n v="0"/>
    <n v="51357"/>
    <x v="0"/>
    <x v="5"/>
    <x v="0"/>
  </r>
  <r>
    <x v="167"/>
    <x v="6"/>
    <x v="3"/>
    <x v="1"/>
    <x v="1"/>
    <n v="73"/>
    <n v="44"/>
    <n v="99"/>
    <n v="18"/>
    <n v="44"/>
    <n v="3927"/>
    <n v="70686"/>
    <n v="0"/>
    <n v="172788"/>
    <x v="1"/>
    <x v="5"/>
    <x v="0"/>
  </r>
  <r>
    <x v="167"/>
    <x v="19"/>
    <x v="0"/>
    <x v="1"/>
    <x v="0"/>
    <n v="59"/>
    <n v="72"/>
    <n v="11"/>
    <n v="120"/>
    <n v="36"/>
    <n v="804"/>
    <n v="96480"/>
    <n v="0"/>
    <n v="57888"/>
    <x v="0"/>
    <x v="5"/>
    <x v="0"/>
  </r>
  <r>
    <x v="168"/>
    <x v="6"/>
    <x v="3"/>
    <x v="1"/>
    <x v="2"/>
    <n v="98"/>
    <n v="69"/>
    <n v="81"/>
    <n v="86"/>
    <n v="36"/>
    <n v="56905"/>
    <n v="4893830"/>
    <n v="0"/>
    <n v="3926445"/>
    <x v="0"/>
    <x v="5"/>
    <x v="0"/>
  </r>
  <r>
    <x v="168"/>
    <x v="4"/>
    <x v="1"/>
    <x v="3"/>
    <x v="4"/>
    <n v="83"/>
    <n v="14"/>
    <n v="8"/>
    <n v="89"/>
    <n v="27"/>
    <n v="23499"/>
    <n v="2091411"/>
    <n v="0"/>
    <n v="328986"/>
    <x v="0"/>
    <x v="5"/>
    <x v="0"/>
  </r>
  <r>
    <x v="168"/>
    <x v="19"/>
    <x v="0"/>
    <x v="3"/>
    <x v="0"/>
    <n v="83"/>
    <n v="17"/>
    <n v="25"/>
    <n v="75"/>
    <n v="19"/>
    <n v="3449"/>
    <n v="258675"/>
    <n v="0"/>
    <n v="58633"/>
    <x v="0"/>
    <x v="5"/>
    <x v="0"/>
  </r>
  <r>
    <x v="168"/>
    <x v="11"/>
    <x v="2"/>
    <x v="2"/>
    <x v="0"/>
    <n v="230"/>
    <n v="207"/>
    <n v="152"/>
    <n v="285"/>
    <n v="56"/>
    <n v="779"/>
    <n v="222015"/>
    <n v="0"/>
    <n v="161253"/>
    <x v="0"/>
    <x v="5"/>
    <x v="0"/>
  </r>
  <r>
    <x v="169"/>
    <x v="8"/>
    <x v="3"/>
    <x v="0"/>
    <x v="3"/>
    <n v="81"/>
    <n v="67"/>
    <n v="61"/>
    <n v="87"/>
    <n v="20"/>
    <n v="59407"/>
    <n v="5168409"/>
    <n v="0"/>
    <n v="3980269"/>
    <x v="0"/>
    <x v="5"/>
    <x v="0"/>
  </r>
  <r>
    <x v="169"/>
    <x v="19"/>
    <x v="0"/>
    <x v="2"/>
    <x v="3"/>
    <n v="53"/>
    <n v="73"/>
    <n v="46"/>
    <n v="80"/>
    <n v="35"/>
    <n v="6900"/>
    <n v="552000"/>
    <n v="0"/>
    <n v="503700"/>
    <x v="0"/>
    <x v="5"/>
    <x v="0"/>
  </r>
  <r>
    <x v="169"/>
    <x v="8"/>
    <x v="3"/>
    <x v="2"/>
    <x v="1"/>
    <n v="109"/>
    <n v="85"/>
    <n v="45"/>
    <n v="149"/>
    <n v="33"/>
    <n v="56014"/>
    <n v="8346086"/>
    <n v="0"/>
    <n v="4761190"/>
    <x v="0"/>
    <x v="5"/>
    <x v="0"/>
  </r>
  <r>
    <x v="169"/>
    <x v="7"/>
    <x v="2"/>
    <x v="0"/>
    <x v="2"/>
    <n v="227"/>
    <n v="218"/>
    <n v="269"/>
    <n v="176"/>
    <n v="137"/>
    <n v="603"/>
    <n v="106128"/>
    <n v="0"/>
    <n v="131454"/>
    <x v="0"/>
    <x v="5"/>
    <x v="0"/>
  </r>
  <r>
    <x v="170"/>
    <x v="0"/>
    <x v="0"/>
    <x v="2"/>
    <x v="1"/>
    <n v="39"/>
    <n v="7"/>
    <n v="17"/>
    <n v="29"/>
    <n v="25"/>
    <n v="4400"/>
    <n v="127600"/>
    <n v="0"/>
    <n v="30800"/>
    <x v="0"/>
    <x v="5"/>
    <x v="0"/>
  </r>
  <r>
    <x v="170"/>
    <x v="9"/>
    <x v="0"/>
    <x v="3"/>
    <x v="4"/>
    <n v="45"/>
    <n v="32"/>
    <n v="10"/>
    <n v="67"/>
    <n v="35"/>
    <n v="11864"/>
    <n v="794888"/>
    <n v="0"/>
    <n v="379648"/>
    <x v="0"/>
    <x v="5"/>
    <x v="0"/>
  </r>
  <r>
    <x v="170"/>
    <x v="16"/>
    <x v="1"/>
    <x v="3"/>
    <x v="3"/>
    <n v="48"/>
    <n v="14"/>
    <n v="11"/>
    <n v="51"/>
    <n v="10"/>
    <n v="21871"/>
    <n v="1115421"/>
    <n v="0"/>
    <n v="306194"/>
    <x v="0"/>
    <x v="5"/>
    <x v="0"/>
  </r>
  <r>
    <x v="171"/>
    <x v="2"/>
    <x v="0"/>
    <x v="3"/>
    <x v="2"/>
    <n v="68"/>
    <n v="22"/>
    <n v="5"/>
    <n v="85"/>
    <n v="26"/>
    <n v="16781"/>
    <n v="1426385"/>
    <n v="0"/>
    <n v="369182"/>
    <x v="0"/>
    <x v="5"/>
    <x v="0"/>
  </r>
  <r>
    <x v="171"/>
    <x v="9"/>
    <x v="0"/>
    <x v="2"/>
    <x v="1"/>
    <n v="117"/>
    <n v="79"/>
    <n v="16"/>
    <n v="180"/>
    <n v="20"/>
    <n v="13861"/>
    <n v="2494980"/>
    <n v="0"/>
    <n v="1095019"/>
    <x v="0"/>
    <x v="5"/>
    <x v="0"/>
  </r>
  <r>
    <x v="172"/>
    <x v="5"/>
    <x v="3"/>
    <x v="2"/>
    <x v="1"/>
    <n v="64"/>
    <n v="97"/>
    <n v="19"/>
    <n v="142"/>
    <n v="36"/>
    <n v="49790"/>
    <n v="7070180"/>
    <n v="0"/>
    <n v="4829630"/>
    <x v="0"/>
    <x v="5"/>
    <x v="0"/>
  </r>
  <r>
    <x v="172"/>
    <x v="6"/>
    <x v="3"/>
    <x v="1"/>
    <x v="2"/>
    <n v="29"/>
    <n v="109"/>
    <n v="13"/>
    <n v="125"/>
    <n v="46"/>
    <n v="59605"/>
    <n v="7450625"/>
    <n v="0"/>
    <n v="6496945"/>
    <x v="0"/>
    <x v="5"/>
    <x v="0"/>
  </r>
  <r>
    <x v="172"/>
    <x v="1"/>
    <x v="1"/>
    <x v="2"/>
    <x v="3"/>
    <n v="54"/>
    <n v="30"/>
    <n v="7"/>
    <n v="77"/>
    <n v="15"/>
    <n v="20766"/>
    <n v="1598982"/>
    <n v="0"/>
    <n v="622980"/>
    <x v="0"/>
    <x v="5"/>
    <x v="0"/>
  </r>
  <r>
    <x v="172"/>
    <x v="4"/>
    <x v="1"/>
    <x v="1"/>
    <x v="1"/>
    <n v="12"/>
    <n v="26"/>
    <n v="28"/>
    <n v="10"/>
    <n v="12"/>
    <n v="17042"/>
    <n v="170420"/>
    <n v="0"/>
    <n v="443092"/>
    <x v="1"/>
    <x v="5"/>
    <x v="0"/>
  </r>
  <r>
    <x v="173"/>
    <x v="5"/>
    <x v="3"/>
    <x v="3"/>
    <x v="5"/>
    <n v="48"/>
    <n v="44"/>
    <n v="19"/>
    <n v="73"/>
    <n v="50"/>
    <n v="42587"/>
    <n v="3108851"/>
    <n v="0"/>
    <n v="1873828"/>
    <x v="0"/>
    <x v="5"/>
    <x v="0"/>
  </r>
  <r>
    <x v="173"/>
    <x v="18"/>
    <x v="3"/>
    <x v="2"/>
    <x v="3"/>
    <n v="93"/>
    <n v="112"/>
    <n v="37"/>
    <n v="168"/>
    <n v="26"/>
    <n v="985"/>
    <n v="165480"/>
    <n v="0"/>
    <n v="110320"/>
    <x v="0"/>
    <x v="5"/>
    <x v="0"/>
  </r>
  <r>
    <x v="173"/>
    <x v="7"/>
    <x v="2"/>
    <x v="1"/>
    <x v="5"/>
    <n v="461"/>
    <n v="126"/>
    <n v="180"/>
    <n v="407"/>
    <n v="104"/>
    <n v="1197"/>
    <n v="487179"/>
    <n v="0"/>
    <n v="150822"/>
    <x v="0"/>
    <x v="5"/>
    <x v="0"/>
  </r>
  <r>
    <x v="174"/>
    <x v="8"/>
    <x v="3"/>
    <x v="3"/>
    <x v="4"/>
    <n v="53"/>
    <n v="74"/>
    <n v="59"/>
    <n v="68"/>
    <n v="45"/>
    <n v="38806"/>
    <n v="2638808"/>
    <n v="0"/>
    <n v="2871644"/>
    <x v="0"/>
    <x v="5"/>
    <x v="0"/>
  </r>
  <r>
    <x v="174"/>
    <x v="11"/>
    <x v="2"/>
    <x v="2"/>
    <x v="1"/>
    <n v="69"/>
    <n v="138"/>
    <n v="202"/>
    <n v="5"/>
    <n v="117"/>
    <n v="263"/>
    <n v="1315"/>
    <n v="0"/>
    <n v="36294"/>
    <x v="1"/>
    <x v="5"/>
    <x v="0"/>
  </r>
  <r>
    <x v="174"/>
    <x v="12"/>
    <x v="1"/>
    <x v="3"/>
    <x v="3"/>
    <n v="89"/>
    <n v="55"/>
    <n v="7"/>
    <n v="137"/>
    <n v="10"/>
    <n v="5906"/>
    <n v="809122"/>
    <n v="0"/>
    <n v="324830"/>
    <x v="0"/>
    <x v="5"/>
    <x v="0"/>
  </r>
  <r>
    <x v="174"/>
    <x v="0"/>
    <x v="0"/>
    <x v="0"/>
    <x v="1"/>
    <n v="108"/>
    <n v="58"/>
    <n v="57"/>
    <n v="109"/>
    <n v="33"/>
    <n v="11802"/>
    <n v="1286418"/>
    <n v="0"/>
    <n v="684516"/>
    <x v="0"/>
    <x v="5"/>
    <x v="0"/>
  </r>
  <r>
    <x v="175"/>
    <x v="10"/>
    <x v="2"/>
    <x v="2"/>
    <x v="3"/>
    <n v="139"/>
    <n v="66"/>
    <n v="185"/>
    <n v="20"/>
    <n v="77"/>
    <n v="992"/>
    <n v="19840"/>
    <n v="0"/>
    <n v="65472"/>
    <x v="1"/>
    <x v="5"/>
    <x v="0"/>
  </r>
  <r>
    <x v="175"/>
    <x v="7"/>
    <x v="2"/>
    <x v="2"/>
    <x v="4"/>
    <n v="215"/>
    <n v="174"/>
    <n v="63"/>
    <n v="326"/>
    <n v="84"/>
    <n v="709"/>
    <n v="231134"/>
    <n v="0"/>
    <n v="123366"/>
    <x v="0"/>
    <x v="5"/>
    <x v="0"/>
  </r>
  <r>
    <x v="175"/>
    <x v="6"/>
    <x v="3"/>
    <x v="1"/>
    <x v="0"/>
    <n v="126"/>
    <n v="49"/>
    <n v="10"/>
    <n v="165"/>
    <n v="30"/>
    <n v="38451"/>
    <n v="6344415"/>
    <n v="0"/>
    <n v="1884099"/>
    <x v="0"/>
    <x v="5"/>
    <x v="0"/>
  </r>
  <r>
    <x v="175"/>
    <x v="15"/>
    <x v="2"/>
    <x v="2"/>
    <x v="0"/>
    <n v="101"/>
    <n v="67"/>
    <n v="14"/>
    <n v="154"/>
    <n v="119"/>
    <n v="651"/>
    <n v="100254"/>
    <n v="0"/>
    <n v="43617"/>
    <x v="0"/>
    <x v="5"/>
    <x v="0"/>
  </r>
  <r>
    <x v="175"/>
    <x v="17"/>
    <x v="2"/>
    <x v="2"/>
    <x v="5"/>
    <n v="478"/>
    <n v="250"/>
    <n v="45"/>
    <n v="683"/>
    <n v="67"/>
    <n v="533"/>
    <n v="364039"/>
    <n v="0"/>
    <n v="133250"/>
    <x v="0"/>
    <x v="5"/>
    <x v="0"/>
  </r>
  <r>
    <x v="175"/>
    <x v="1"/>
    <x v="1"/>
    <x v="3"/>
    <x v="1"/>
    <n v="34"/>
    <n v="28"/>
    <n v="21"/>
    <n v="41"/>
    <n v="14"/>
    <n v="21331"/>
    <n v="874571"/>
    <n v="0"/>
    <n v="597268"/>
    <x v="0"/>
    <x v="5"/>
    <x v="0"/>
  </r>
  <r>
    <x v="175"/>
    <x v="8"/>
    <x v="3"/>
    <x v="1"/>
    <x v="0"/>
    <n v="83"/>
    <n v="39"/>
    <n v="77"/>
    <n v="45"/>
    <n v="36"/>
    <n v="23180"/>
    <n v="1043100"/>
    <n v="0"/>
    <n v="904020"/>
    <x v="0"/>
    <x v="5"/>
    <x v="0"/>
  </r>
  <r>
    <x v="176"/>
    <x v="16"/>
    <x v="1"/>
    <x v="0"/>
    <x v="1"/>
    <n v="11"/>
    <n v="57"/>
    <n v="8"/>
    <n v="60"/>
    <n v="13"/>
    <n v="22746"/>
    <n v="1364760"/>
    <n v="0"/>
    <n v="1296522"/>
    <x v="0"/>
    <x v="5"/>
    <x v="0"/>
  </r>
  <r>
    <x v="176"/>
    <x v="17"/>
    <x v="2"/>
    <x v="2"/>
    <x v="3"/>
    <n v="101"/>
    <n v="108"/>
    <n v="73"/>
    <n v="136"/>
    <n v="135"/>
    <n v="1051"/>
    <n v="142936"/>
    <n v="0"/>
    <n v="113508"/>
    <x v="0"/>
    <x v="5"/>
    <x v="0"/>
  </r>
  <r>
    <x v="176"/>
    <x v="5"/>
    <x v="3"/>
    <x v="2"/>
    <x v="5"/>
    <n v="125"/>
    <n v="67"/>
    <n v="43"/>
    <n v="149"/>
    <n v="52"/>
    <n v="11887"/>
    <n v="1771163"/>
    <n v="0"/>
    <n v="796429"/>
    <x v="0"/>
    <x v="5"/>
    <x v="0"/>
  </r>
  <r>
    <x v="176"/>
    <x v="3"/>
    <x v="2"/>
    <x v="3"/>
    <x v="3"/>
    <n v="149"/>
    <n v="262"/>
    <n v="85"/>
    <n v="326"/>
    <n v="120"/>
    <n v="284"/>
    <n v="92584"/>
    <n v="0"/>
    <n v="74408"/>
    <x v="0"/>
    <x v="5"/>
    <x v="0"/>
  </r>
  <r>
    <x v="176"/>
    <x v="8"/>
    <x v="3"/>
    <x v="3"/>
    <x v="1"/>
    <n v="80"/>
    <n v="86"/>
    <n v="36"/>
    <n v="130"/>
    <n v="41"/>
    <n v="12446"/>
    <n v="1617980"/>
    <n v="0"/>
    <n v="1070356"/>
    <x v="0"/>
    <x v="5"/>
    <x v="0"/>
  </r>
  <r>
    <x v="176"/>
    <x v="17"/>
    <x v="2"/>
    <x v="3"/>
    <x v="2"/>
    <n v="112"/>
    <n v="78"/>
    <n v="190"/>
    <n v="0"/>
    <n v="125"/>
    <n v="974"/>
    <n v="0"/>
    <n v="0"/>
    <n v="75972"/>
    <x v="1"/>
    <x v="5"/>
    <x v="0"/>
  </r>
  <r>
    <x v="176"/>
    <x v="0"/>
    <x v="0"/>
    <x v="1"/>
    <x v="1"/>
    <n v="81"/>
    <n v="30"/>
    <n v="15"/>
    <n v="96"/>
    <n v="20"/>
    <n v="17959"/>
    <n v="1724064"/>
    <n v="0"/>
    <n v="538770"/>
    <x v="0"/>
    <x v="5"/>
    <x v="0"/>
  </r>
  <r>
    <x v="176"/>
    <x v="11"/>
    <x v="2"/>
    <x v="0"/>
    <x v="4"/>
    <n v="66"/>
    <n v="127"/>
    <n v="193"/>
    <n v="0"/>
    <n v="114"/>
    <n v="629"/>
    <n v="0"/>
    <n v="0"/>
    <n v="79883"/>
    <x v="1"/>
    <x v="5"/>
    <x v="0"/>
  </r>
  <r>
    <x v="177"/>
    <x v="12"/>
    <x v="1"/>
    <x v="3"/>
    <x v="3"/>
    <n v="32"/>
    <n v="48"/>
    <n v="39"/>
    <n v="41"/>
    <n v="22"/>
    <n v="13615"/>
    <n v="558215"/>
    <n v="0"/>
    <n v="653520"/>
    <x v="0"/>
    <x v="5"/>
    <x v="0"/>
  </r>
  <r>
    <x v="177"/>
    <x v="5"/>
    <x v="3"/>
    <x v="0"/>
    <x v="4"/>
    <n v="54"/>
    <n v="17"/>
    <n v="28"/>
    <n v="43"/>
    <n v="55"/>
    <n v="13042"/>
    <n v="560806"/>
    <n v="0"/>
    <n v="221714"/>
    <x v="1"/>
    <x v="5"/>
    <x v="0"/>
  </r>
  <r>
    <x v="177"/>
    <x v="14"/>
    <x v="3"/>
    <x v="0"/>
    <x v="5"/>
    <n v="43"/>
    <n v="97"/>
    <n v="21"/>
    <n v="119"/>
    <n v="29"/>
    <n v="7239"/>
    <n v="861441"/>
    <n v="0"/>
    <n v="702183"/>
    <x v="0"/>
    <x v="5"/>
    <x v="0"/>
  </r>
  <r>
    <x v="177"/>
    <x v="11"/>
    <x v="2"/>
    <x v="1"/>
    <x v="0"/>
    <n v="379"/>
    <n v="183"/>
    <n v="210"/>
    <n v="352"/>
    <n v="80"/>
    <n v="897"/>
    <n v="315744"/>
    <n v="0"/>
    <n v="164151"/>
    <x v="0"/>
    <x v="5"/>
    <x v="0"/>
  </r>
  <r>
    <x v="177"/>
    <x v="17"/>
    <x v="2"/>
    <x v="0"/>
    <x v="4"/>
    <n v="65"/>
    <n v="115"/>
    <n v="180"/>
    <n v="0"/>
    <n v="91"/>
    <n v="236"/>
    <n v="0"/>
    <n v="0"/>
    <n v="27140"/>
    <x v="1"/>
    <x v="5"/>
    <x v="0"/>
  </r>
  <r>
    <x v="177"/>
    <x v="14"/>
    <x v="3"/>
    <x v="1"/>
    <x v="5"/>
    <n v="120"/>
    <n v="15"/>
    <n v="89"/>
    <n v="46"/>
    <n v="55"/>
    <n v="37970"/>
    <n v="1746620"/>
    <n v="0"/>
    <n v="569550"/>
    <x v="1"/>
    <x v="5"/>
    <x v="0"/>
  </r>
  <r>
    <x v="177"/>
    <x v="6"/>
    <x v="3"/>
    <x v="0"/>
    <x v="4"/>
    <n v="60"/>
    <n v="54"/>
    <n v="13"/>
    <n v="101"/>
    <n v="41"/>
    <n v="7133"/>
    <n v="720433"/>
    <n v="0"/>
    <n v="385182"/>
    <x v="0"/>
    <x v="5"/>
    <x v="0"/>
  </r>
  <r>
    <x v="177"/>
    <x v="0"/>
    <x v="0"/>
    <x v="1"/>
    <x v="2"/>
    <n v="54"/>
    <n v="7"/>
    <n v="19"/>
    <n v="42"/>
    <n v="32"/>
    <n v="14200"/>
    <n v="596400"/>
    <n v="0"/>
    <n v="99400"/>
    <x v="0"/>
    <x v="5"/>
    <x v="0"/>
  </r>
  <r>
    <x v="178"/>
    <x v="13"/>
    <x v="3"/>
    <x v="1"/>
    <x v="4"/>
    <n v="167"/>
    <n v="90"/>
    <n v="84"/>
    <n v="173"/>
    <n v="24"/>
    <n v="48472"/>
    <n v="8385656"/>
    <n v="0"/>
    <n v="4362480"/>
    <x v="0"/>
    <x v="5"/>
    <x v="0"/>
  </r>
  <r>
    <x v="178"/>
    <x v="1"/>
    <x v="1"/>
    <x v="1"/>
    <x v="3"/>
    <n v="82"/>
    <n v="27"/>
    <n v="32"/>
    <n v="77"/>
    <n v="29"/>
    <n v="10363"/>
    <n v="797951"/>
    <n v="0"/>
    <n v="279801"/>
    <x v="0"/>
    <x v="5"/>
    <x v="0"/>
  </r>
  <r>
    <x v="178"/>
    <x v="14"/>
    <x v="3"/>
    <x v="1"/>
    <x v="1"/>
    <n v="151"/>
    <n v="64"/>
    <n v="75"/>
    <n v="140"/>
    <n v="47"/>
    <n v="44155"/>
    <n v="6181700"/>
    <n v="0"/>
    <n v="2825920"/>
    <x v="0"/>
    <x v="5"/>
    <x v="0"/>
  </r>
  <r>
    <x v="178"/>
    <x v="14"/>
    <x v="3"/>
    <x v="0"/>
    <x v="1"/>
    <n v="148"/>
    <n v="100"/>
    <n v="25"/>
    <n v="223"/>
    <n v="35"/>
    <n v="47828"/>
    <n v="10665644"/>
    <n v="0"/>
    <n v="4782800"/>
    <x v="0"/>
    <x v="5"/>
    <x v="0"/>
  </r>
  <r>
    <x v="179"/>
    <x v="19"/>
    <x v="0"/>
    <x v="3"/>
    <x v="2"/>
    <n v="26"/>
    <n v="51"/>
    <n v="14"/>
    <n v="63"/>
    <n v="26"/>
    <n v="13535"/>
    <n v="852705"/>
    <n v="0"/>
    <n v="690285"/>
    <x v="0"/>
    <x v="5"/>
    <x v="0"/>
  </r>
  <r>
    <x v="179"/>
    <x v="4"/>
    <x v="1"/>
    <x v="3"/>
    <x v="0"/>
    <n v="55"/>
    <n v="9"/>
    <n v="30"/>
    <n v="34"/>
    <n v="25"/>
    <n v="11190"/>
    <n v="380460"/>
    <n v="0"/>
    <n v="100710"/>
    <x v="0"/>
    <x v="5"/>
    <x v="0"/>
  </r>
  <r>
    <x v="179"/>
    <x v="12"/>
    <x v="1"/>
    <x v="3"/>
    <x v="0"/>
    <n v="13"/>
    <n v="51"/>
    <n v="22"/>
    <n v="42"/>
    <n v="18"/>
    <n v="4544"/>
    <n v="190848"/>
    <n v="0"/>
    <n v="231744"/>
    <x v="0"/>
    <x v="5"/>
    <x v="0"/>
  </r>
  <r>
    <x v="179"/>
    <x v="9"/>
    <x v="0"/>
    <x v="0"/>
    <x v="4"/>
    <n v="50"/>
    <n v="12"/>
    <n v="42"/>
    <n v="20"/>
    <n v="30"/>
    <n v="14161"/>
    <n v="283220"/>
    <n v="0"/>
    <n v="169932"/>
    <x v="1"/>
    <x v="5"/>
    <x v="0"/>
  </r>
  <r>
    <x v="179"/>
    <x v="17"/>
    <x v="2"/>
    <x v="0"/>
    <x v="3"/>
    <n v="65"/>
    <n v="244"/>
    <n v="86"/>
    <n v="223"/>
    <n v="102"/>
    <n v="624"/>
    <n v="139152"/>
    <n v="0"/>
    <n v="152256"/>
    <x v="0"/>
    <x v="5"/>
    <x v="0"/>
  </r>
  <r>
    <x v="179"/>
    <x v="16"/>
    <x v="1"/>
    <x v="3"/>
    <x v="4"/>
    <n v="72"/>
    <n v="14"/>
    <n v="18"/>
    <n v="68"/>
    <n v="26"/>
    <n v="13260"/>
    <n v="901680"/>
    <n v="0"/>
    <n v="185640"/>
    <x v="0"/>
    <x v="5"/>
    <x v="0"/>
  </r>
  <r>
    <x v="179"/>
    <x v="17"/>
    <x v="2"/>
    <x v="0"/>
    <x v="0"/>
    <n v="231"/>
    <n v="288"/>
    <n v="252"/>
    <n v="267"/>
    <n v="118"/>
    <n v="1139"/>
    <n v="304113"/>
    <n v="0"/>
    <n v="328032"/>
    <x v="0"/>
    <x v="5"/>
    <x v="0"/>
  </r>
  <r>
    <x v="180"/>
    <x v="3"/>
    <x v="2"/>
    <x v="3"/>
    <x v="3"/>
    <n v="264"/>
    <n v="117"/>
    <n v="265"/>
    <n v="116"/>
    <n v="84"/>
    <n v="1116"/>
    <n v="129456"/>
    <n v="0"/>
    <n v="130572"/>
    <x v="0"/>
    <x v="5"/>
    <x v="0"/>
  </r>
  <r>
    <x v="180"/>
    <x v="16"/>
    <x v="1"/>
    <x v="3"/>
    <x v="2"/>
    <n v="70"/>
    <n v="50"/>
    <n v="22"/>
    <n v="98"/>
    <n v="25"/>
    <n v="15269"/>
    <n v="1496362"/>
    <n v="0"/>
    <n v="763450"/>
    <x v="0"/>
    <x v="5"/>
    <x v="0"/>
  </r>
  <r>
    <x v="180"/>
    <x v="18"/>
    <x v="3"/>
    <x v="3"/>
    <x v="0"/>
    <n v="125"/>
    <n v="80"/>
    <n v="6"/>
    <n v="199"/>
    <n v="43"/>
    <n v="31113"/>
    <n v="6191487"/>
    <n v="0"/>
    <n v="2489040"/>
    <x v="0"/>
    <x v="5"/>
    <x v="0"/>
  </r>
  <r>
    <x v="180"/>
    <x v="1"/>
    <x v="1"/>
    <x v="2"/>
    <x v="4"/>
    <n v="99"/>
    <n v="35"/>
    <n v="13"/>
    <n v="121"/>
    <n v="26"/>
    <n v="22482"/>
    <n v="2720322"/>
    <n v="0"/>
    <n v="786870"/>
    <x v="0"/>
    <x v="5"/>
    <x v="0"/>
  </r>
  <r>
    <x v="181"/>
    <x v="15"/>
    <x v="2"/>
    <x v="3"/>
    <x v="5"/>
    <n v="499"/>
    <n v="173"/>
    <n v="191"/>
    <n v="481"/>
    <n v="133"/>
    <n v="49"/>
    <n v="23569"/>
    <n v="0"/>
    <n v="8477"/>
    <x v="0"/>
    <x v="6"/>
    <x v="0"/>
  </r>
  <r>
    <x v="181"/>
    <x v="16"/>
    <x v="1"/>
    <x v="2"/>
    <x v="3"/>
    <n v="91"/>
    <n v="41"/>
    <n v="19"/>
    <n v="113"/>
    <n v="24"/>
    <n v="13791"/>
    <n v="1558383"/>
    <n v="0"/>
    <n v="565431"/>
    <x v="0"/>
    <x v="6"/>
    <x v="0"/>
  </r>
  <r>
    <x v="181"/>
    <x v="1"/>
    <x v="1"/>
    <x v="1"/>
    <x v="0"/>
    <n v="18"/>
    <n v="7"/>
    <n v="22"/>
    <n v="3"/>
    <n v="25"/>
    <n v="2362"/>
    <n v="7086"/>
    <n v="0"/>
    <n v="16534"/>
    <x v="1"/>
    <x v="6"/>
    <x v="0"/>
  </r>
  <r>
    <x v="181"/>
    <x v="18"/>
    <x v="3"/>
    <x v="2"/>
    <x v="4"/>
    <n v="122"/>
    <n v="69"/>
    <n v="50"/>
    <n v="141"/>
    <n v="41"/>
    <n v="23076"/>
    <n v="3253716"/>
    <n v="0"/>
    <n v="1592244"/>
    <x v="0"/>
    <x v="6"/>
    <x v="0"/>
  </r>
  <r>
    <x v="181"/>
    <x v="15"/>
    <x v="2"/>
    <x v="3"/>
    <x v="4"/>
    <n v="346"/>
    <n v="110"/>
    <n v="47"/>
    <n v="409"/>
    <n v="132"/>
    <n v="439"/>
    <n v="179551"/>
    <n v="0"/>
    <n v="48290"/>
    <x v="0"/>
    <x v="6"/>
    <x v="0"/>
  </r>
  <r>
    <x v="182"/>
    <x v="12"/>
    <x v="1"/>
    <x v="2"/>
    <x v="4"/>
    <n v="68"/>
    <n v="9"/>
    <n v="31"/>
    <n v="46"/>
    <n v="24"/>
    <n v="10458"/>
    <n v="481068"/>
    <n v="0"/>
    <n v="94122"/>
    <x v="0"/>
    <x v="6"/>
    <x v="0"/>
  </r>
  <r>
    <x v="182"/>
    <x v="19"/>
    <x v="0"/>
    <x v="3"/>
    <x v="1"/>
    <n v="94"/>
    <n v="79"/>
    <n v="56"/>
    <n v="117"/>
    <n v="18"/>
    <n v="13347"/>
    <n v="1561599"/>
    <n v="0"/>
    <n v="1054413"/>
    <x v="0"/>
    <x v="6"/>
    <x v="0"/>
  </r>
  <r>
    <x v="183"/>
    <x v="12"/>
    <x v="1"/>
    <x v="0"/>
    <x v="5"/>
    <n v="73"/>
    <n v="24"/>
    <n v="39"/>
    <n v="58"/>
    <n v="21"/>
    <n v="20006"/>
    <n v="1160348"/>
    <n v="0"/>
    <n v="480144"/>
    <x v="0"/>
    <x v="6"/>
    <x v="0"/>
  </r>
  <r>
    <x v="183"/>
    <x v="17"/>
    <x v="2"/>
    <x v="3"/>
    <x v="0"/>
    <n v="148"/>
    <n v="266"/>
    <n v="131"/>
    <n v="283"/>
    <n v="116"/>
    <n v="169"/>
    <n v="47827"/>
    <n v="0"/>
    <n v="44954"/>
    <x v="0"/>
    <x v="6"/>
    <x v="0"/>
  </r>
  <r>
    <x v="183"/>
    <x v="14"/>
    <x v="3"/>
    <x v="3"/>
    <x v="0"/>
    <n v="39"/>
    <n v="114"/>
    <n v="58"/>
    <n v="95"/>
    <n v="45"/>
    <n v="46112"/>
    <n v="4380640"/>
    <n v="0"/>
    <n v="5256768"/>
    <x v="0"/>
    <x v="6"/>
    <x v="0"/>
  </r>
  <r>
    <x v="183"/>
    <x v="17"/>
    <x v="2"/>
    <x v="0"/>
    <x v="4"/>
    <n v="408"/>
    <n v="251"/>
    <n v="188"/>
    <n v="471"/>
    <n v="145"/>
    <n v="1155"/>
    <n v="544005"/>
    <n v="0"/>
    <n v="289905"/>
    <x v="0"/>
    <x v="6"/>
    <x v="0"/>
  </r>
  <r>
    <x v="183"/>
    <x v="2"/>
    <x v="0"/>
    <x v="1"/>
    <x v="2"/>
    <n v="69"/>
    <n v="74"/>
    <n v="53"/>
    <n v="90"/>
    <n v="37"/>
    <n v="6316"/>
    <n v="568440"/>
    <n v="0"/>
    <n v="467384"/>
    <x v="0"/>
    <x v="6"/>
    <x v="0"/>
  </r>
  <r>
    <x v="183"/>
    <x v="7"/>
    <x v="2"/>
    <x v="2"/>
    <x v="4"/>
    <n v="413"/>
    <n v="217"/>
    <n v="122"/>
    <n v="508"/>
    <n v="135"/>
    <n v="1113"/>
    <n v="565404"/>
    <n v="0"/>
    <n v="241521"/>
    <x v="0"/>
    <x v="6"/>
    <x v="0"/>
  </r>
  <r>
    <x v="183"/>
    <x v="15"/>
    <x v="2"/>
    <x v="3"/>
    <x v="5"/>
    <n v="72"/>
    <n v="158"/>
    <n v="195"/>
    <n v="35"/>
    <n v="108"/>
    <n v="498"/>
    <n v="17430"/>
    <n v="0"/>
    <n v="78684"/>
    <x v="1"/>
    <x v="6"/>
    <x v="0"/>
  </r>
  <r>
    <x v="183"/>
    <x v="0"/>
    <x v="0"/>
    <x v="0"/>
    <x v="4"/>
    <n v="77"/>
    <n v="78"/>
    <n v="49"/>
    <n v="106"/>
    <n v="18"/>
    <n v="5381"/>
    <n v="570386"/>
    <n v="0"/>
    <n v="419718"/>
    <x v="0"/>
    <x v="6"/>
    <x v="0"/>
  </r>
  <r>
    <x v="184"/>
    <x v="1"/>
    <x v="1"/>
    <x v="0"/>
    <x v="3"/>
    <n v="80"/>
    <n v="41"/>
    <n v="24"/>
    <n v="97"/>
    <n v="19"/>
    <n v="2854"/>
    <n v="276838"/>
    <n v="0"/>
    <n v="117014"/>
    <x v="0"/>
    <x v="6"/>
    <x v="0"/>
  </r>
  <r>
    <x v="184"/>
    <x v="15"/>
    <x v="2"/>
    <x v="0"/>
    <x v="5"/>
    <n v="81"/>
    <n v="279"/>
    <n v="66"/>
    <n v="294"/>
    <n v="65"/>
    <n v="329"/>
    <n v="96726"/>
    <n v="0"/>
    <n v="91791"/>
    <x v="0"/>
    <x v="6"/>
    <x v="0"/>
  </r>
  <r>
    <x v="184"/>
    <x v="9"/>
    <x v="0"/>
    <x v="2"/>
    <x v="5"/>
    <n v="21"/>
    <n v="43"/>
    <n v="16"/>
    <n v="48"/>
    <n v="38"/>
    <n v="10357"/>
    <n v="497136"/>
    <n v="0"/>
    <n v="445351"/>
    <x v="0"/>
    <x v="6"/>
    <x v="0"/>
  </r>
  <r>
    <x v="184"/>
    <x v="14"/>
    <x v="3"/>
    <x v="1"/>
    <x v="4"/>
    <n v="25"/>
    <n v="87"/>
    <n v="36"/>
    <n v="76"/>
    <n v="29"/>
    <n v="12674"/>
    <n v="963224"/>
    <n v="0"/>
    <n v="1102638"/>
    <x v="0"/>
    <x v="6"/>
    <x v="0"/>
  </r>
  <r>
    <x v="185"/>
    <x v="15"/>
    <x v="2"/>
    <x v="2"/>
    <x v="4"/>
    <n v="414"/>
    <n v="69"/>
    <n v="233"/>
    <n v="250"/>
    <n v="61"/>
    <n v="1195"/>
    <n v="298750"/>
    <n v="0"/>
    <n v="82455"/>
    <x v="0"/>
    <x v="6"/>
    <x v="0"/>
  </r>
  <r>
    <x v="185"/>
    <x v="16"/>
    <x v="1"/>
    <x v="1"/>
    <x v="3"/>
    <n v="88"/>
    <n v="28"/>
    <n v="17"/>
    <n v="99"/>
    <n v="20"/>
    <n v="10047"/>
    <n v="994653"/>
    <n v="0"/>
    <n v="281316"/>
    <x v="0"/>
    <x v="6"/>
    <x v="0"/>
  </r>
  <r>
    <x v="185"/>
    <x v="5"/>
    <x v="3"/>
    <x v="3"/>
    <x v="5"/>
    <n v="31"/>
    <n v="10"/>
    <n v="41"/>
    <n v="0"/>
    <n v="35"/>
    <n v="33464"/>
    <n v="0"/>
    <n v="0"/>
    <n v="334640"/>
    <x v="1"/>
    <x v="6"/>
    <x v="0"/>
  </r>
  <r>
    <x v="185"/>
    <x v="8"/>
    <x v="3"/>
    <x v="2"/>
    <x v="1"/>
    <n v="155"/>
    <n v="51"/>
    <n v="80"/>
    <n v="126"/>
    <n v="32"/>
    <n v="46409"/>
    <n v="5847534"/>
    <n v="0"/>
    <n v="2366859"/>
    <x v="0"/>
    <x v="6"/>
    <x v="0"/>
  </r>
  <r>
    <x v="185"/>
    <x v="18"/>
    <x v="3"/>
    <x v="0"/>
    <x v="0"/>
    <n v="97"/>
    <n v="106"/>
    <n v="6"/>
    <n v="197"/>
    <n v="58"/>
    <n v="62433"/>
    <n v="12299301"/>
    <n v="0"/>
    <n v="6617898"/>
    <x v="0"/>
    <x v="6"/>
    <x v="0"/>
  </r>
  <r>
    <x v="186"/>
    <x v="19"/>
    <x v="0"/>
    <x v="1"/>
    <x v="2"/>
    <n v="102"/>
    <n v="79"/>
    <n v="43"/>
    <n v="138"/>
    <n v="35"/>
    <n v="17763"/>
    <n v="2451294"/>
    <n v="0"/>
    <n v="1403277"/>
    <x v="0"/>
    <x v="6"/>
    <x v="0"/>
  </r>
  <r>
    <x v="186"/>
    <x v="6"/>
    <x v="3"/>
    <x v="3"/>
    <x v="3"/>
    <n v="50"/>
    <n v="13"/>
    <n v="41"/>
    <n v="22"/>
    <n v="58"/>
    <n v="14640"/>
    <n v="322080"/>
    <n v="0"/>
    <n v="190320"/>
    <x v="1"/>
    <x v="6"/>
    <x v="0"/>
  </r>
  <r>
    <x v="186"/>
    <x v="6"/>
    <x v="3"/>
    <x v="1"/>
    <x v="5"/>
    <n v="161"/>
    <n v="85"/>
    <n v="51"/>
    <n v="195"/>
    <n v="49"/>
    <n v="40265"/>
    <n v="7851675"/>
    <n v="0"/>
    <n v="3422525"/>
    <x v="0"/>
    <x v="6"/>
    <x v="0"/>
  </r>
  <r>
    <x v="186"/>
    <x v="10"/>
    <x v="2"/>
    <x v="2"/>
    <x v="0"/>
    <n v="257"/>
    <n v="249"/>
    <n v="199"/>
    <n v="307"/>
    <n v="139"/>
    <n v="448"/>
    <n v="137536"/>
    <n v="0"/>
    <n v="111552"/>
    <x v="0"/>
    <x v="6"/>
    <x v="0"/>
  </r>
  <r>
    <x v="186"/>
    <x v="17"/>
    <x v="2"/>
    <x v="3"/>
    <x v="0"/>
    <n v="394"/>
    <n v="253"/>
    <n v="238"/>
    <n v="409"/>
    <n v="126"/>
    <n v="998"/>
    <n v="408182"/>
    <n v="0"/>
    <n v="252494"/>
    <x v="0"/>
    <x v="6"/>
    <x v="0"/>
  </r>
  <r>
    <x v="186"/>
    <x v="9"/>
    <x v="0"/>
    <x v="2"/>
    <x v="0"/>
    <n v="26"/>
    <n v="27"/>
    <n v="23"/>
    <n v="30"/>
    <n v="23"/>
    <n v="10549"/>
    <n v="316470"/>
    <n v="0"/>
    <n v="284823"/>
    <x v="0"/>
    <x v="6"/>
    <x v="0"/>
  </r>
  <r>
    <x v="186"/>
    <x v="12"/>
    <x v="1"/>
    <x v="2"/>
    <x v="2"/>
    <n v="47"/>
    <n v="9"/>
    <n v="24"/>
    <n v="32"/>
    <n v="24"/>
    <n v="8381"/>
    <n v="268192"/>
    <n v="0"/>
    <n v="75429"/>
    <x v="0"/>
    <x v="6"/>
    <x v="0"/>
  </r>
  <r>
    <x v="187"/>
    <x v="14"/>
    <x v="3"/>
    <x v="2"/>
    <x v="4"/>
    <n v="127"/>
    <n v="107"/>
    <n v="36"/>
    <n v="198"/>
    <n v="22"/>
    <n v="18658"/>
    <n v="3694284"/>
    <n v="0"/>
    <n v="1996406"/>
    <x v="0"/>
    <x v="6"/>
    <x v="0"/>
  </r>
  <r>
    <x v="187"/>
    <x v="7"/>
    <x v="2"/>
    <x v="0"/>
    <x v="2"/>
    <n v="289"/>
    <n v="48"/>
    <n v="270"/>
    <n v="67"/>
    <n v="75"/>
    <n v="1004"/>
    <n v="67268"/>
    <n v="0"/>
    <n v="48192"/>
    <x v="1"/>
    <x v="6"/>
    <x v="0"/>
  </r>
  <r>
    <x v="187"/>
    <x v="6"/>
    <x v="3"/>
    <x v="1"/>
    <x v="3"/>
    <n v="53"/>
    <n v="54"/>
    <n v="65"/>
    <n v="42"/>
    <n v="57"/>
    <n v="19314"/>
    <n v="811188"/>
    <n v="0"/>
    <n v="1042956"/>
    <x v="1"/>
    <x v="6"/>
    <x v="0"/>
  </r>
  <r>
    <x v="188"/>
    <x v="13"/>
    <x v="3"/>
    <x v="1"/>
    <x v="4"/>
    <n v="178"/>
    <n v="19"/>
    <n v="80"/>
    <n v="117"/>
    <n v="40"/>
    <n v="48579"/>
    <n v="5683743"/>
    <n v="0"/>
    <n v="923001"/>
    <x v="0"/>
    <x v="6"/>
    <x v="0"/>
  </r>
  <r>
    <x v="188"/>
    <x v="11"/>
    <x v="2"/>
    <x v="1"/>
    <x v="3"/>
    <n v="451"/>
    <n v="184"/>
    <n v="64"/>
    <n v="571"/>
    <n v="131"/>
    <n v="713"/>
    <n v="407123"/>
    <n v="0"/>
    <n v="131192"/>
    <x v="0"/>
    <x v="6"/>
    <x v="0"/>
  </r>
  <r>
    <x v="188"/>
    <x v="16"/>
    <x v="1"/>
    <x v="0"/>
    <x v="3"/>
    <n v="89"/>
    <n v="20"/>
    <n v="3"/>
    <n v="106"/>
    <n v="20"/>
    <n v="1571"/>
    <n v="166526"/>
    <n v="0"/>
    <n v="31420"/>
    <x v="0"/>
    <x v="6"/>
    <x v="0"/>
  </r>
  <r>
    <x v="188"/>
    <x v="3"/>
    <x v="2"/>
    <x v="1"/>
    <x v="0"/>
    <n v="381"/>
    <n v="238"/>
    <n v="74"/>
    <n v="545"/>
    <n v="130"/>
    <n v="593"/>
    <n v="323185"/>
    <n v="0"/>
    <n v="141134"/>
    <x v="0"/>
    <x v="6"/>
    <x v="0"/>
  </r>
  <r>
    <x v="188"/>
    <x v="6"/>
    <x v="3"/>
    <x v="0"/>
    <x v="2"/>
    <n v="178"/>
    <n v="92"/>
    <n v="99"/>
    <n v="171"/>
    <n v="51"/>
    <n v="63444"/>
    <n v="10848924"/>
    <n v="0"/>
    <n v="5836848"/>
    <x v="0"/>
    <x v="6"/>
    <x v="0"/>
  </r>
  <r>
    <x v="188"/>
    <x v="4"/>
    <x v="1"/>
    <x v="0"/>
    <x v="5"/>
    <n v="17"/>
    <n v="7"/>
    <n v="10"/>
    <n v="14"/>
    <n v="20"/>
    <n v="14777"/>
    <n v="206878"/>
    <n v="0"/>
    <n v="103439"/>
    <x v="1"/>
    <x v="6"/>
    <x v="0"/>
  </r>
  <r>
    <x v="188"/>
    <x v="3"/>
    <x v="2"/>
    <x v="1"/>
    <x v="4"/>
    <n v="130"/>
    <n v="137"/>
    <n v="76"/>
    <n v="191"/>
    <n v="139"/>
    <n v="705"/>
    <n v="134655"/>
    <n v="0"/>
    <n v="96585"/>
    <x v="0"/>
    <x v="6"/>
    <x v="0"/>
  </r>
  <r>
    <x v="189"/>
    <x v="9"/>
    <x v="0"/>
    <x v="3"/>
    <x v="3"/>
    <n v="26"/>
    <n v="34"/>
    <n v="23"/>
    <n v="37"/>
    <n v="29"/>
    <n v="14371"/>
    <n v="531727"/>
    <n v="0"/>
    <n v="488614"/>
    <x v="0"/>
    <x v="6"/>
    <x v="0"/>
  </r>
  <r>
    <x v="189"/>
    <x v="14"/>
    <x v="3"/>
    <x v="0"/>
    <x v="4"/>
    <n v="155"/>
    <n v="52"/>
    <n v="24"/>
    <n v="183"/>
    <n v="52"/>
    <n v="38555"/>
    <n v="7055565"/>
    <n v="0"/>
    <n v="2004860"/>
    <x v="0"/>
    <x v="6"/>
    <x v="0"/>
  </r>
  <r>
    <x v="189"/>
    <x v="8"/>
    <x v="3"/>
    <x v="2"/>
    <x v="0"/>
    <n v="122"/>
    <n v="101"/>
    <n v="82"/>
    <n v="141"/>
    <n v="57"/>
    <n v="11092"/>
    <n v="1563972"/>
    <n v="0"/>
    <n v="1120292"/>
    <x v="0"/>
    <x v="6"/>
    <x v="0"/>
  </r>
  <r>
    <x v="190"/>
    <x v="14"/>
    <x v="3"/>
    <x v="0"/>
    <x v="1"/>
    <n v="70"/>
    <n v="45"/>
    <n v="85"/>
    <n v="30"/>
    <n v="43"/>
    <n v="11528"/>
    <n v="345840"/>
    <n v="0"/>
    <n v="518760"/>
    <x v="1"/>
    <x v="6"/>
    <x v="0"/>
  </r>
  <r>
    <x v="190"/>
    <x v="13"/>
    <x v="3"/>
    <x v="1"/>
    <x v="5"/>
    <n v="156"/>
    <n v="69"/>
    <n v="67"/>
    <n v="158"/>
    <n v="22"/>
    <n v="50023"/>
    <n v="7903634"/>
    <n v="0"/>
    <n v="3451587"/>
    <x v="0"/>
    <x v="6"/>
    <x v="0"/>
  </r>
  <r>
    <x v="190"/>
    <x v="16"/>
    <x v="1"/>
    <x v="2"/>
    <x v="5"/>
    <n v="86"/>
    <n v="40"/>
    <n v="25"/>
    <n v="101"/>
    <n v="18"/>
    <n v="23899"/>
    <n v="2413799"/>
    <n v="0"/>
    <n v="955960"/>
    <x v="0"/>
    <x v="6"/>
    <x v="0"/>
  </r>
  <r>
    <x v="190"/>
    <x v="12"/>
    <x v="1"/>
    <x v="0"/>
    <x v="3"/>
    <n v="31"/>
    <n v="50"/>
    <n v="8"/>
    <n v="73"/>
    <n v="22"/>
    <n v="17404"/>
    <n v="1270492"/>
    <n v="0"/>
    <n v="870200"/>
    <x v="0"/>
    <x v="6"/>
    <x v="0"/>
  </r>
  <r>
    <x v="190"/>
    <x v="12"/>
    <x v="1"/>
    <x v="0"/>
    <x v="2"/>
    <n v="81"/>
    <n v="58"/>
    <n v="5"/>
    <n v="134"/>
    <n v="12"/>
    <n v="12798"/>
    <n v="1714932"/>
    <n v="0"/>
    <n v="742284"/>
    <x v="0"/>
    <x v="6"/>
    <x v="0"/>
  </r>
  <r>
    <x v="190"/>
    <x v="8"/>
    <x v="3"/>
    <x v="2"/>
    <x v="4"/>
    <n v="142"/>
    <n v="65"/>
    <n v="63"/>
    <n v="144"/>
    <n v="44"/>
    <n v="54878"/>
    <n v="7902432"/>
    <n v="0"/>
    <n v="3567070"/>
    <x v="0"/>
    <x v="6"/>
    <x v="0"/>
  </r>
  <r>
    <x v="191"/>
    <x v="13"/>
    <x v="3"/>
    <x v="3"/>
    <x v="0"/>
    <n v="60"/>
    <n v="105"/>
    <n v="72"/>
    <n v="93"/>
    <n v="27"/>
    <n v="6692"/>
    <n v="622356"/>
    <n v="0"/>
    <n v="702660"/>
    <x v="0"/>
    <x v="6"/>
    <x v="0"/>
  </r>
  <r>
    <x v="191"/>
    <x v="9"/>
    <x v="0"/>
    <x v="0"/>
    <x v="0"/>
    <n v="81"/>
    <n v="44"/>
    <n v="52"/>
    <n v="73"/>
    <n v="39"/>
    <n v="11077"/>
    <n v="808621"/>
    <n v="0"/>
    <n v="487388"/>
    <x v="0"/>
    <x v="6"/>
    <x v="0"/>
  </r>
  <r>
    <x v="191"/>
    <x v="5"/>
    <x v="3"/>
    <x v="0"/>
    <x v="3"/>
    <n v="87"/>
    <n v="14"/>
    <n v="94"/>
    <n v="7"/>
    <n v="29"/>
    <n v="61560"/>
    <n v="430920"/>
    <n v="0"/>
    <n v="861840"/>
    <x v="1"/>
    <x v="6"/>
    <x v="0"/>
  </r>
  <r>
    <x v="191"/>
    <x v="17"/>
    <x v="2"/>
    <x v="2"/>
    <x v="4"/>
    <n v="57"/>
    <n v="208"/>
    <n v="48"/>
    <n v="217"/>
    <n v="83"/>
    <n v="709"/>
    <n v="153853"/>
    <n v="0"/>
    <n v="147472"/>
    <x v="0"/>
    <x v="6"/>
    <x v="0"/>
  </r>
  <r>
    <x v="191"/>
    <x v="4"/>
    <x v="1"/>
    <x v="0"/>
    <x v="3"/>
    <n v="41"/>
    <n v="55"/>
    <n v="3"/>
    <n v="93"/>
    <n v="11"/>
    <n v="21619"/>
    <n v="2010567"/>
    <n v="0"/>
    <n v="1189045"/>
    <x v="0"/>
    <x v="6"/>
    <x v="0"/>
  </r>
  <r>
    <x v="192"/>
    <x v="17"/>
    <x v="2"/>
    <x v="2"/>
    <x v="5"/>
    <n v="321"/>
    <n v="194"/>
    <n v="189"/>
    <n v="326"/>
    <n v="59"/>
    <n v="648"/>
    <n v="211248"/>
    <n v="0"/>
    <n v="125712"/>
    <x v="0"/>
    <x v="6"/>
    <x v="0"/>
  </r>
  <r>
    <x v="192"/>
    <x v="15"/>
    <x v="2"/>
    <x v="3"/>
    <x v="4"/>
    <n v="218"/>
    <n v="147"/>
    <n v="15"/>
    <n v="350"/>
    <n v="148"/>
    <n v="862"/>
    <n v="301700"/>
    <n v="0"/>
    <n v="126714"/>
    <x v="0"/>
    <x v="6"/>
    <x v="0"/>
  </r>
  <r>
    <x v="192"/>
    <x v="19"/>
    <x v="0"/>
    <x v="0"/>
    <x v="0"/>
    <n v="29"/>
    <n v="26"/>
    <n v="24"/>
    <n v="31"/>
    <n v="28"/>
    <n v="13080"/>
    <n v="405480"/>
    <n v="0"/>
    <n v="340080"/>
    <x v="0"/>
    <x v="6"/>
    <x v="0"/>
  </r>
  <r>
    <x v="192"/>
    <x v="2"/>
    <x v="0"/>
    <x v="2"/>
    <x v="3"/>
    <n v="72"/>
    <n v="57"/>
    <n v="49"/>
    <n v="80"/>
    <n v="16"/>
    <n v="6668"/>
    <n v="533440"/>
    <n v="0"/>
    <n v="380076"/>
    <x v="0"/>
    <x v="6"/>
    <x v="0"/>
  </r>
  <r>
    <x v="193"/>
    <x v="16"/>
    <x v="1"/>
    <x v="2"/>
    <x v="4"/>
    <n v="18"/>
    <n v="7"/>
    <n v="17"/>
    <n v="8"/>
    <n v="21"/>
    <n v="13112"/>
    <n v="104896"/>
    <n v="0"/>
    <n v="91784"/>
    <x v="1"/>
    <x v="6"/>
    <x v="0"/>
  </r>
  <r>
    <x v="193"/>
    <x v="19"/>
    <x v="0"/>
    <x v="3"/>
    <x v="5"/>
    <n v="106"/>
    <n v="42"/>
    <n v="53"/>
    <n v="95"/>
    <n v="21"/>
    <n v="13042"/>
    <n v="1238990"/>
    <n v="0"/>
    <n v="547764"/>
    <x v="0"/>
    <x v="6"/>
    <x v="0"/>
  </r>
  <r>
    <x v="193"/>
    <x v="13"/>
    <x v="3"/>
    <x v="1"/>
    <x v="4"/>
    <n v="168"/>
    <n v="44"/>
    <n v="33"/>
    <n v="179"/>
    <n v="48"/>
    <n v="26150"/>
    <n v="4680850"/>
    <n v="0"/>
    <n v="1150600"/>
    <x v="0"/>
    <x v="6"/>
    <x v="0"/>
  </r>
  <r>
    <x v="193"/>
    <x v="9"/>
    <x v="0"/>
    <x v="3"/>
    <x v="5"/>
    <n v="19"/>
    <n v="33"/>
    <n v="39"/>
    <n v="13"/>
    <n v="27"/>
    <n v="14507"/>
    <n v="188591"/>
    <n v="0"/>
    <n v="478731"/>
    <x v="1"/>
    <x v="6"/>
    <x v="0"/>
  </r>
  <r>
    <x v="193"/>
    <x v="2"/>
    <x v="0"/>
    <x v="0"/>
    <x v="3"/>
    <n v="72"/>
    <n v="40"/>
    <n v="35"/>
    <n v="77"/>
    <n v="27"/>
    <n v="1642"/>
    <n v="126434"/>
    <n v="0"/>
    <n v="65680"/>
    <x v="0"/>
    <x v="6"/>
    <x v="0"/>
  </r>
  <r>
    <x v="194"/>
    <x v="3"/>
    <x v="2"/>
    <x v="1"/>
    <x v="2"/>
    <n v="300"/>
    <n v="77"/>
    <n v="244"/>
    <n v="133"/>
    <n v="113"/>
    <n v="1164"/>
    <n v="154812"/>
    <n v="0"/>
    <n v="89628"/>
    <x v="0"/>
    <x v="6"/>
    <x v="0"/>
  </r>
  <r>
    <x v="194"/>
    <x v="18"/>
    <x v="3"/>
    <x v="3"/>
    <x v="1"/>
    <n v="84"/>
    <n v="74"/>
    <n v="25"/>
    <n v="133"/>
    <n v="49"/>
    <n v="39692"/>
    <n v="5279036"/>
    <n v="0"/>
    <n v="2937208"/>
    <x v="0"/>
    <x v="6"/>
    <x v="0"/>
  </r>
  <r>
    <x v="195"/>
    <x v="12"/>
    <x v="1"/>
    <x v="1"/>
    <x v="1"/>
    <n v="54"/>
    <n v="36"/>
    <n v="5"/>
    <n v="85"/>
    <n v="10"/>
    <n v="4304"/>
    <n v="365840"/>
    <n v="0"/>
    <n v="154944"/>
    <x v="0"/>
    <x v="6"/>
    <x v="0"/>
  </r>
  <r>
    <x v="195"/>
    <x v="10"/>
    <x v="2"/>
    <x v="1"/>
    <x v="2"/>
    <n v="175"/>
    <n v="204"/>
    <n v="271"/>
    <n v="108"/>
    <n v="77"/>
    <n v="906"/>
    <n v="97848"/>
    <n v="0"/>
    <n v="184824"/>
    <x v="0"/>
    <x v="6"/>
    <x v="0"/>
  </r>
  <r>
    <x v="195"/>
    <x v="16"/>
    <x v="1"/>
    <x v="2"/>
    <x v="5"/>
    <n v="17"/>
    <n v="36"/>
    <n v="15"/>
    <n v="38"/>
    <n v="27"/>
    <n v="3624"/>
    <n v="137712"/>
    <n v="0"/>
    <n v="130464"/>
    <x v="0"/>
    <x v="6"/>
    <x v="0"/>
  </r>
  <r>
    <x v="195"/>
    <x v="4"/>
    <x v="1"/>
    <x v="2"/>
    <x v="5"/>
    <n v="26"/>
    <n v="21"/>
    <n v="29"/>
    <n v="18"/>
    <n v="17"/>
    <n v="15161"/>
    <n v="272898"/>
    <n v="0"/>
    <n v="318381"/>
    <x v="0"/>
    <x v="6"/>
    <x v="0"/>
  </r>
  <r>
    <x v="195"/>
    <x v="15"/>
    <x v="2"/>
    <x v="2"/>
    <x v="1"/>
    <n v="376"/>
    <n v="281"/>
    <n v="128"/>
    <n v="529"/>
    <n v="94"/>
    <n v="729"/>
    <n v="385641"/>
    <n v="0"/>
    <n v="204849"/>
    <x v="0"/>
    <x v="6"/>
    <x v="0"/>
  </r>
  <r>
    <x v="195"/>
    <x v="16"/>
    <x v="1"/>
    <x v="2"/>
    <x v="3"/>
    <n v="79"/>
    <n v="55"/>
    <n v="34"/>
    <n v="100"/>
    <n v="25"/>
    <n v="23355"/>
    <n v="2335500"/>
    <n v="0"/>
    <n v="1284525"/>
    <x v="0"/>
    <x v="6"/>
    <x v="0"/>
  </r>
  <r>
    <x v="195"/>
    <x v="5"/>
    <x v="3"/>
    <x v="0"/>
    <x v="1"/>
    <n v="159"/>
    <n v="69"/>
    <n v="31"/>
    <n v="197"/>
    <n v="42"/>
    <n v="27735"/>
    <n v="5463795"/>
    <n v="0"/>
    <n v="1913715"/>
    <x v="0"/>
    <x v="6"/>
    <x v="0"/>
  </r>
  <r>
    <x v="195"/>
    <x v="8"/>
    <x v="3"/>
    <x v="0"/>
    <x v="4"/>
    <n v="167"/>
    <n v="105"/>
    <n v="72"/>
    <n v="200"/>
    <n v="36"/>
    <n v="62970"/>
    <n v="12594000"/>
    <n v="0"/>
    <n v="6611850"/>
    <x v="0"/>
    <x v="6"/>
    <x v="0"/>
  </r>
  <r>
    <x v="196"/>
    <x v="4"/>
    <x v="1"/>
    <x v="2"/>
    <x v="5"/>
    <n v="48"/>
    <n v="38"/>
    <n v="44"/>
    <n v="42"/>
    <n v="22"/>
    <n v="9049"/>
    <n v="380058"/>
    <n v="0"/>
    <n v="343862"/>
    <x v="0"/>
    <x v="6"/>
    <x v="0"/>
  </r>
  <r>
    <x v="196"/>
    <x v="13"/>
    <x v="3"/>
    <x v="3"/>
    <x v="1"/>
    <n v="37"/>
    <n v="87"/>
    <n v="17"/>
    <n v="107"/>
    <n v="27"/>
    <n v="58726"/>
    <n v="6283682"/>
    <n v="0"/>
    <n v="5109162"/>
    <x v="0"/>
    <x v="6"/>
    <x v="0"/>
  </r>
  <r>
    <x v="197"/>
    <x v="5"/>
    <x v="3"/>
    <x v="0"/>
    <x v="1"/>
    <n v="66"/>
    <n v="109"/>
    <n v="79"/>
    <n v="96"/>
    <n v="43"/>
    <n v="34852"/>
    <n v="3345792"/>
    <n v="0"/>
    <n v="3798868"/>
    <x v="0"/>
    <x v="6"/>
    <x v="0"/>
  </r>
  <r>
    <x v="197"/>
    <x v="18"/>
    <x v="3"/>
    <x v="3"/>
    <x v="3"/>
    <n v="78"/>
    <n v="78"/>
    <n v="37"/>
    <n v="119"/>
    <n v="33"/>
    <n v="10000"/>
    <n v="1190000"/>
    <n v="0"/>
    <n v="780000"/>
    <x v="0"/>
    <x v="6"/>
    <x v="0"/>
  </r>
  <r>
    <x v="197"/>
    <x v="13"/>
    <x v="3"/>
    <x v="1"/>
    <x v="3"/>
    <n v="20"/>
    <n v="32"/>
    <n v="43"/>
    <n v="9"/>
    <n v="36"/>
    <n v="34076"/>
    <n v="306684"/>
    <n v="0"/>
    <n v="1090432"/>
    <x v="1"/>
    <x v="6"/>
    <x v="0"/>
  </r>
  <r>
    <x v="197"/>
    <x v="17"/>
    <x v="2"/>
    <x v="3"/>
    <x v="2"/>
    <n v="265"/>
    <n v="213"/>
    <n v="36"/>
    <n v="442"/>
    <n v="67"/>
    <n v="337"/>
    <n v="148954"/>
    <n v="0"/>
    <n v="71781"/>
    <x v="0"/>
    <x v="6"/>
    <x v="0"/>
  </r>
  <r>
    <x v="197"/>
    <x v="3"/>
    <x v="2"/>
    <x v="0"/>
    <x v="1"/>
    <n v="309"/>
    <n v="177"/>
    <n v="249"/>
    <n v="237"/>
    <n v="140"/>
    <n v="1090"/>
    <n v="258330"/>
    <n v="0"/>
    <n v="192930"/>
    <x v="0"/>
    <x v="6"/>
    <x v="0"/>
  </r>
  <r>
    <x v="198"/>
    <x v="15"/>
    <x v="2"/>
    <x v="2"/>
    <x v="5"/>
    <n v="301"/>
    <n v="79"/>
    <n v="151"/>
    <n v="229"/>
    <n v="79"/>
    <n v="689"/>
    <n v="157781"/>
    <n v="0"/>
    <n v="54431"/>
    <x v="0"/>
    <x v="6"/>
    <x v="0"/>
  </r>
  <r>
    <x v="198"/>
    <x v="1"/>
    <x v="1"/>
    <x v="3"/>
    <x v="2"/>
    <n v="28"/>
    <n v="44"/>
    <n v="43"/>
    <n v="29"/>
    <n v="10"/>
    <n v="23404"/>
    <n v="678716"/>
    <n v="0"/>
    <n v="1029776"/>
    <x v="0"/>
    <x v="6"/>
    <x v="0"/>
  </r>
  <r>
    <x v="198"/>
    <x v="5"/>
    <x v="3"/>
    <x v="0"/>
    <x v="3"/>
    <n v="149"/>
    <n v="58"/>
    <n v="92"/>
    <n v="115"/>
    <n v="50"/>
    <n v="4615"/>
    <n v="530725"/>
    <n v="0"/>
    <n v="267670"/>
    <x v="0"/>
    <x v="6"/>
    <x v="0"/>
  </r>
  <r>
    <x v="198"/>
    <x v="2"/>
    <x v="0"/>
    <x v="1"/>
    <x v="0"/>
    <n v="34"/>
    <n v="39"/>
    <n v="46"/>
    <n v="27"/>
    <n v="22"/>
    <n v="4179"/>
    <n v="112833"/>
    <n v="0"/>
    <n v="162981"/>
    <x v="0"/>
    <x v="6"/>
    <x v="0"/>
  </r>
  <r>
    <x v="199"/>
    <x v="11"/>
    <x v="2"/>
    <x v="0"/>
    <x v="3"/>
    <n v="123"/>
    <n v="285"/>
    <n v="80"/>
    <n v="328"/>
    <n v="77"/>
    <n v="609"/>
    <n v="199752"/>
    <n v="0"/>
    <n v="173565"/>
    <x v="0"/>
    <x v="6"/>
    <x v="0"/>
  </r>
  <r>
    <x v="199"/>
    <x v="13"/>
    <x v="3"/>
    <x v="2"/>
    <x v="4"/>
    <n v="98"/>
    <n v="118"/>
    <n v="97"/>
    <n v="119"/>
    <n v="47"/>
    <n v="9438"/>
    <n v="1123122"/>
    <n v="0"/>
    <n v="1113684"/>
    <x v="0"/>
    <x v="6"/>
    <x v="0"/>
  </r>
  <r>
    <x v="199"/>
    <x v="11"/>
    <x v="2"/>
    <x v="3"/>
    <x v="5"/>
    <n v="482"/>
    <n v="108"/>
    <n v="182"/>
    <n v="408"/>
    <n v="118"/>
    <n v="486"/>
    <n v="198288"/>
    <n v="0"/>
    <n v="52488"/>
    <x v="0"/>
    <x v="6"/>
    <x v="0"/>
  </r>
  <r>
    <x v="200"/>
    <x v="16"/>
    <x v="1"/>
    <x v="1"/>
    <x v="5"/>
    <n v="19"/>
    <n v="36"/>
    <n v="35"/>
    <n v="20"/>
    <n v="29"/>
    <n v="23691"/>
    <n v="473820"/>
    <n v="0"/>
    <n v="852876"/>
    <x v="1"/>
    <x v="6"/>
    <x v="0"/>
  </r>
  <r>
    <x v="200"/>
    <x v="14"/>
    <x v="3"/>
    <x v="1"/>
    <x v="5"/>
    <n v="132"/>
    <n v="38"/>
    <n v="81"/>
    <n v="89"/>
    <n v="36"/>
    <n v="21338"/>
    <n v="1899082"/>
    <n v="0"/>
    <n v="810844"/>
    <x v="0"/>
    <x v="6"/>
    <x v="0"/>
  </r>
  <r>
    <x v="200"/>
    <x v="12"/>
    <x v="1"/>
    <x v="1"/>
    <x v="4"/>
    <n v="61"/>
    <n v="35"/>
    <n v="27"/>
    <n v="69"/>
    <n v="14"/>
    <n v="7935"/>
    <n v="547515"/>
    <n v="0"/>
    <n v="277725"/>
    <x v="0"/>
    <x v="6"/>
    <x v="0"/>
  </r>
  <r>
    <x v="200"/>
    <x v="1"/>
    <x v="1"/>
    <x v="1"/>
    <x v="2"/>
    <n v="98"/>
    <n v="20"/>
    <n v="11"/>
    <n v="107"/>
    <n v="21"/>
    <n v="17658"/>
    <n v="1889406"/>
    <n v="0"/>
    <n v="353160"/>
    <x v="0"/>
    <x v="6"/>
    <x v="0"/>
  </r>
  <r>
    <x v="200"/>
    <x v="10"/>
    <x v="2"/>
    <x v="3"/>
    <x v="3"/>
    <n v="156"/>
    <n v="279"/>
    <n v="98"/>
    <n v="337"/>
    <n v="134"/>
    <n v="144"/>
    <n v="48528"/>
    <n v="0"/>
    <n v="40176"/>
    <x v="0"/>
    <x v="6"/>
    <x v="0"/>
  </r>
  <r>
    <x v="200"/>
    <x v="5"/>
    <x v="3"/>
    <x v="0"/>
    <x v="3"/>
    <n v="154"/>
    <n v="25"/>
    <n v="27"/>
    <n v="152"/>
    <n v="42"/>
    <n v="53465"/>
    <n v="8126680"/>
    <n v="0"/>
    <n v="1336625"/>
    <x v="0"/>
    <x v="6"/>
    <x v="0"/>
  </r>
  <r>
    <x v="200"/>
    <x v="10"/>
    <x v="2"/>
    <x v="3"/>
    <x v="4"/>
    <n v="197"/>
    <n v="153"/>
    <n v="10"/>
    <n v="340"/>
    <n v="136"/>
    <n v="987"/>
    <n v="335580"/>
    <n v="0"/>
    <n v="151011"/>
    <x v="0"/>
    <x v="6"/>
    <x v="0"/>
  </r>
  <r>
    <x v="201"/>
    <x v="18"/>
    <x v="3"/>
    <x v="0"/>
    <x v="0"/>
    <n v="165"/>
    <n v="101"/>
    <n v="39"/>
    <n v="227"/>
    <n v="50"/>
    <n v="55498"/>
    <n v="12598046"/>
    <n v="0"/>
    <n v="5605298"/>
    <x v="0"/>
    <x v="6"/>
    <x v="0"/>
  </r>
  <r>
    <x v="201"/>
    <x v="11"/>
    <x v="2"/>
    <x v="1"/>
    <x v="2"/>
    <n v="211"/>
    <n v="141"/>
    <n v="41"/>
    <n v="311"/>
    <n v="137"/>
    <n v="1141"/>
    <n v="354851"/>
    <n v="0"/>
    <n v="160881"/>
    <x v="0"/>
    <x v="6"/>
    <x v="0"/>
  </r>
  <r>
    <x v="201"/>
    <x v="1"/>
    <x v="1"/>
    <x v="0"/>
    <x v="3"/>
    <n v="41"/>
    <n v="38"/>
    <n v="10"/>
    <n v="69"/>
    <n v="20"/>
    <n v="10668"/>
    <n v="736092"/>
    <n v="0"/>
    <n v="405384"/>
    <x v="0"/>
    <x v="6"/>
    <x v="0"/>
  </r>
  <r>
    <x v="201"/>
    <x v="2"/>
    <x v="0"/>
    <x v="0"/>
    <x v="0"/>
    <n v="102"/>
    <n v="15"/>
    <n v="29"/>
    <n v="88"/>
    <n v="31"/>
    <n v="6219"/>
    <n v="547272"/>
    <n v="0"/>
    <n v="93285"/>
    <x v="0"/>
    <x v="6"/>
    <x v="0"/>
  </r>
  <r>
    <x v="201"/>
    <x v="2"/>
    <x v="0"/>
    <x v="3"/>
    <x v="0"/>
    <n v="104"/>
    <n v="57"/>
    <n v="58"/>
    <n v="103"/>
    <n v="27"/>
    <n v="6999"/>
    <n v="720897"/>
    <n v="0"/>
    <n v="398943"/>
    <x v="0"/>
    <x v="6"/>
    <x v="0"/>
  </r>
  <r>
    <x v="201"/>
    <x v="7"/>
    <x v="2"/>
    <x v="1"/>
    <x v="2"/>
    <n v="263"/>
    <n v="123"/>
    <n v="84"/>
    <n v="302"/>
    <n v="74"/>
    <n v="688"/>
    <n v="207776"/>
    <n v="0"/>
    <n v="84624"/>
    <x v="0"/>
    <x v="6"/>
    <x v="0"/>
  </r>
  <r>
    <x v="201"/>
    <x v="10"/>
    <x v="2"/>
    <x v="3"/>
    <x v="4"/>
    <n v="169"/>
    <n v="166"/>
    <n v="34"/>
    <n v="301"/>
    <n v="139"/>
    <n v="253"/>
    <n v="76153"/>
    <n v="0"/>
    <n v="41998"/>
    <x v="0"/>
    <x v="6"/>
    <x v="0"/>
  </r>
  <r>
    <x v="201"/>
    <x v="0"/>
    <x v="0"/>
    <x v="1"/>
    <x v="4"/>
    <n v="54"/>
    <n v="18"/>
    <n v="19"/>
    <n v="53"/>
    <n v="30"/>
    <n v="16110"/>
    <n v="853830"/>
    <n v="0"/>
    <n v="289980"/>
    <x v="0"/>
    <x v="6"/>
    <x v="0"/>
  </r>
  <r>
    <x v="201"/>
    <x v="1"/>
    <x v="1"/>
    <x v="3"/>
    <x v="2"/>
    <n v="47"/>
    <n v="50"/>
    <n v="5"/>
    <n v="92"/>
    <n v="22"/>
    <n v="2580"/>
    <n v="237360"/>
    <n v="0"/>
    <n v="129000"/>
    <x v="0"/>
    <x v="6"/>
    <x v="0"/>
  </r>
  <r>
    <x v="201"/>
    <x v="8"/>
    <x v="3"/>
    <x v="3"/>
    <x v="5"/>
    <n v="76"/>
    <n v="67"/>
    <n v="96"/>
    <n v="47"/>
    <n v="29"/>
    <n v="57923"/>
    <n v="2722381"/>
    <n v="0"/>
    <n v="3880841"/>
    <x v="0"/>
    <x v="6"/>
    <x v="0"/>
  </r>
  <r>
    <x v="202"/>
    <x v="19"/>
    <x v="0"/>
    <x v="0"/>
    <x v="4"/>
    <n v="47"/>
    <n v="36"/>
    <n v="23"/>
    <n v="60"/>
    <n v="34"/>
    <n v="4962"/>
    <n v="297720"/>
    <n v="0"/>
    <n v="178632"/>
    <x v="0"/>
    <x v="6"/>
    <x v="0"/>
  </r>
  <r>
    <x v="202"/>
    <x v="16"/>
    <x v="1"/>
    <x v="1"/>
    <x v="3"/>
    <n v="78"/>
    <n v="21"/>
    <n v="8"/>
    <n v="91"/>
    <n v="24"/>
    <n v="2486"/>
    <n v="226226"/>
    <n v="0"/>
    <n v="52206"/>
    <x v="0"/>
    <x v="6"/>
    <x v="0"/>
  </r>
  <r>
    <x v="202"/>
    <x v="14"/>
    <x v="3"/>
    <x v="2"/>
    <x v="4"/>
    <n v="92"/>
    <n v="47"/>
    <n v="68"/>
    <n v="71"/>
    <n v="25"/>
    <n v="63758"/>
    <n v="4526818"/>
    <n v="0"/>
    <n v="2996626"/>
    <x v="0"/>
    <x v="6"/>
    <x v="0"/>
  </r>
  <r>
    <x v="202"/>
    <x v="2"/>
    <x v="0"/>
    <x v="0"/>
    <x v="1"/>
    <n v="91"/>
    <n v="24"/>
    <n v="27"/>
    <n v="88"/>
    <n v="27"/>
    <n v="12645"/>
    <n v="1112760"/>
    <n v="0"/>
    <n v="303480"/>
    <x v="0"/>
    <x v="6"/>
    <x v="0"/>
  </r>
  <r>
    <x v="202"/>
    <x v="17"/>
    <x v="2"/>
    <x v="2"/>
    <x v="2"/>
    <n v="301"/>
    <n v="258"/>
    <n v="173"/>
    <n v="386"/>
    <n v="98"/>
    <n v="66"/>
    <n v="25476"/>
    <n v="0"/>
    <n v="17028"/>
    <x v="0"/>
    <x v="6"/>
    <x v="0"/>
  </r>
  <r>
    <x v="203"/>
    <x v="1"/>
    <x v="1"/>
    <x v="0"/>
    <x v="0"/>
    <n v="77"/>
    <n v="28"/>
    <n v="30"/>
    <n v="75"/>
    <n v="13"/>
    <n v="19876"/>
    <n v="1490700"/>
    <n v="0"/>
    <n v="556528"/>
    <x v="0"/>
    <x v="6"/>
    <x v="0"/>
  </r>
  <r>
    <x v="203"/>
    <x v="8"/>
    <x v="3"/>
    <x v="3"/>
    <x v="0"/>
    <n v="128"/>
    <n v="29"/>
    <n v="77"/>
    <n v="80"/>
    <n v="23"/>
    <n v="14790"/>
    <n v="1183200"/>
    <n v="0"/>
    <n v="428910"/>
    <x v="0"/>
    <x v="6"/>
    <x v="0"/>
  </r>
  <r>
    <x v="203"/>
    <x v="17"/>
    <x v="2"/>
    <x v="2"/>
    <x v="2"/>
    <n v="148"/>
    <n v="205"/>
    <n v="271"/>
    <n v="82"/>
    <n v="110"/>
    <n v="162"/>
    <n v="13284"/>
    <n v="0"/>
    <n v="33210"/>
    <x v="1"/>
    <x v="6"/>
    <x v="0"/>
  </r>
  <r>
    <x v="203"/>
    <x v="6"/>
    <x v="3"/>
    <x v="1"/>
    <x v="4"/>
    <n v="81"/>
    <n v="10"/>
    <n v="21"/>
    <n v="70"/>
    <n v="28"/>
    <n v="4143"/>
    <n v="290010"/>
    <n v="0"/>
    <n v="41430"/>
    <x v="0"/>
    <x v="6"/>
    <x v="0"/>
  </r>
  <r>
    <x v="203"/>
    <x v="5"/>
    <x v="3"/>
    <x v="0"/>
    <x v="1"/>
    <n v="59"/>
    <n v="28"/>
    <n v="71"/>
    <n v="16"/>
    <n v="38"/>
    <n v="44401"/>
    <n v="710416"/>
    <n v="0"/>
    <n v="1243228"/>
    <x v="1"/>
    <x v="6"/>
    <x v="0"/>
  </r>
  <r>
    <x v="203"/>
    <x v="18"/>
    <x v="3"/>
    <x v="2"/>
    <x v="1"/>
    <n v="131"/>
    <n v="119"/>
    <n v="31"/>
    <n v="219"/>
    <n v="27"/>
    <n v="7695"/>
    <n v="1685205"/>
    <n v="0"/>
    <n v="915705"/>
    <x v="0"/>
    <x v="6"/>
    <x v="0"/>
  </r>
  <r>
    <x v="203"/>
    <x v="13"/>
    <x v="3"/>
    <x v="0"/>
    <x v="1"/>
    <n v="164"/>
    <n v="98"/>
    <n v="96"/>
    <n v="166"/>
    <n v="34"/>
    <n v="4444"/>
    <n v="737704"/>
    <n v="0"/>
    <n v="435512"/>
    <x v="0"/>
    <x v="6"/>
    <x v="0"/>
  </r>
  <r>
    <x v="203"/>
    <x v="11"/>
    <x v="2"/>
    <x v="0"/>
    <x v="2"/>
    <n v="214"/>
    <n v="149"/>
    <n v="53"/>
    <n v="310"/>
    <n v="128"/>
    <n v="175"/>
    <n v="54250"/>
    <n v="0"/>
    <n v="26075"/>
    <x v="0"/>
    <x v="6"/>
    <x v="0"/>
  </r>
  <r>
    <x v="203"/>
    <x v="10"/>
    <x v="2"/>
    <x v="1"/>
    <x v="2"/>
    <n v="57"/>
    <n v="72"/>
    <n v="119"/>
    <n v="10"/>
    <n v="149"/>
    <n v="768"/>
    <n v="7680"/>
    <n v="0"/>
    <n v="55296"/>
    <x v="1"/>
    <x v="6"/>
    <x v="0"/>
  </r>
  <r>
    <x v="204"/>
    <x v="2"/>
    <x v="0"/>
    <x v="0"/>
    <x v="1"/>
    <n v="102"/>
    <n v="41"/>
    <n v="9"/>
    <n v="134"/>
    <n v="37"/>
    <n v="17603"/>
    <n v="2358802"/>
    <n v="0"/>
    <n v="721723"/>
    <x v="0"/>
    <x v="6"/>
    <x v="0"/>
  </r>
  <r>
    <x v="204"/>
    <x v="19"/>
    <x v="0"/>
    <x v="3"/>
    <x v="2"/>
    <n v="119"/>
    <n v="5"/>
    <n v="59"/>
    <n v="65"/>
    <n v="30"/>
    <n v="11084"/>
    <n v="720460"/>
    <n v="0"/>
    <n v="55420"/>
    <x v="0"/>
    <x v="6"/>
    <x v="0"/>
  </r>
  <r>
    <x v="204"/>
    <x v="14"/>
    <x v="3"/>
    <x v="0"/>
    <x v="5"/>
    <n v="145"/>
    <n v="116"/>
    <n v="47"/>
    <n v="214"/>
    <n v="30"/>
    <n v="12815"/>
    <n v="2742410"/>
    <n v="0"/>
    <n v="1486540"/>
    <x v="0"/>
    <x v="6"/>
    <x v="0"/>
  </r>
  <r>
    <x v="204"/>
    <x v="2"/>
    <x v="0"/>
    <x v="1"/>
    <x v="0"/>
    <n v="87"/>
    <n v="8"/>
    <n v="14"/>
    <n v="81"/>
    <n v="30"/>
    <n v="17160"/>
    <n v="1389960"/>
    <n v="0"/>
    <n v="137280"/>
    <x v="0"/>
    <x v="6"/>
    <x v="0"/>
  </r>
  <r>
    <x v="204"/>
    <x v="14"/>
    <x v="3"/>
    <x v="2"/>
    <x v="4"/>
    <n v="129"/>
    <n v="112"/>
    <n v="81"/>
    <n v="160"/>
    <n v="31"/>
    <n v="26318"/>
    <n v="4210880"/>
    <n v="0"/>
    <n v="2947616"/>
    <x v="0"/>
    <x v="6"/>
    <x v="0"/>
  </r>
  <r>
    <x v="204"/>
    <x v="11"/>
    <x v="2"/>
    <x v="2"/>
    <x v="1"/>
    <n v="309"/>
    <n v="243"/>
    <n v="265"/>
    <n v="287"/>
    <n v="110"/>
    <n v="154"/>
    <n v="44198"/>
    <n v="0"/>
    <n v="37422"/>
    <x v="0"/>
    <x v="6"/>
    <x v="0"/>
  </r>
  <r>
    <x v="204"/>
    <x v="6"/>
    <x v="3"/>
    <x v="0"/>
    <x v="2"/>
    <n v="148"/>
    <n v="49"/>
    <n v="41"/>
    <n v="156"/>
    <n v="36"/>
    <n v="61246"/>
    <n v="9554376"/>
    <n v="0"/>
    <n v="3001054"/>
    <x v="0"/>
    <x v="6"/>
    <x v="0"/>
  </r>
  <r>
    <x v="204"/>
    <x v="18"/>
    <x v="3"/>
    <x v="1"/>
    <x v="1"/>
    <n v="168"/>
    <n v="67"/>
    <n v="89"/>
    <n v="146"/>
    <n v="29"/>
    <n v="22500"/>
    <n v="3285000"/>
    <n v="0"/>
    <n v="1507500"/>
    <x v="0"/>
    <x v="6"/>
    <x v="0"/>
  </r>
  <r>
    <x v="205"/>
    <x v="12"/>
    <x v="1"/>
    <x v="0"/>
    <x v="2"/>
    <n v="99"/>
    <n v="55"/>
    <n v="6"/>
    <n v="148"/>
    <n v="27"/>
    <n v="21970"/>
    <n v="3251560"/>
    <n v="0"/>
    <n v="1208350"/>
    <x v="0"/>
    <x v="6"/>
    <x v="0"/>
  </r>
  <r>
    <x v="205"/>
    <x v="17"/>
    <x v="2"/>
    <x v="3"/>
    <x v="3"/>
    <n v="234"/>
    <n v="76"/>
    <n v="237"/>
    <n v="73"/>
    <n v="71"/>
    <n v="523"/>
    <n v="38179"/>
    <n v="0"/>
    <n v="39748"/>
    <x v="0"/>
    <x v="6"/>
    <x v="0"/>
  </r>
  <r>
    <x v="205"/>
    <x v="6"/>
    <x v="3"/>
    <x v="3"/>
    <x v="3"/>
    <n v="83"/>
    <n v="49"/>
    <n v="63"/>
    <n v="69"/>
    <n v="23"/>
    <n v="27997"/>
    <n v="1931793"/>
    <n v="0"/>
    <n v="1371853"/>
    <x v="0"/>
    <x v="6"/>
    <x v="0"/>
  </r>
  <r>
    <x v="206"/>
    <x v="17"/>
    <x v="2"/>
    <x v="3"/>
    <x v="3"/>
    <n v="488"/>
    <n v="296"/>
    <n v="163"/>
    <n v="621"/>
    <n v="76"/>
    <n v="1085"/>
    <n v="673785"/>
    <n v="0"/>
    <n v="321160"/>
    <x v="0"/>
    <x v="6"/>
    <x v="0"/>
  </r>
  <r>
    <x v="206"/>
    <x v="9"/>
    <x v="0"/>
    <x v="0"/>
    <x v="0"/>
    <n v="72"/>
    <n v="7"/>
    <n v="18"/>
    <n v="61"/>
    <n v="18"/>
    <n v="11476"/>
    <n v="700036"/>
    <n v="0"/>
    <n v="80332"/>
    <x v="0"/>
    <x v="6"/>
    <x v="0"/>
  </r>
  <r>
    <x v="206"/>
    <x v="11"/>
    <x v="2"/>
    <x v="2"/>
    <x v="0"/>
    <n v="178"/>
    <n v="32"/>
    <n v="210"/>
    <n v="0"/>
    <n v="50"/>
    <n v="140"/>
    <n v="0"/>
    <n v="0"/>
    <n v="4480"/>
    <x v="1"/>
    <x v="6"/>
    <x v="0"/>
  </r>
  <r>
    <x v="207"/>
    <x v="16"/>
    <x v="1"/>
    <x v="3"/>
    <x v="3"/>
    <n v="12"/>
    <n v="24"/>
    <n v="25"/>
    <n v="11"/>
    <n v="10"/>
    <n v="24081"/>
    <n v="264891"/>
    <n v="0"/>
    <n v="577944"/>
    <x v="0"/>
    <x v="6"/>
    <x v="0"/>
  </r>
  <r>
    <x v="207"/>
    <x v="0"/>
    <x v="0"/>
    <x v="2"/>
    <x v="0"/>
    <n v="88"/>
    <n v="38"/>
    <n v="45"/>
    <n v="81"/>
    <n v="33"/>
    <n v="12057"/>
    <n v="976617"/>
    <n v="0"/>
    <n v="458166"/>
    <x v="0"/>
    <x v="6"/>
    <x v="0"/>
  </r>
  <r>
    <x v="207"/>
    <x v="3"/>
    <x v="2"/>
    <x v="2"/>
    <x v="1"/>
    <n v="309"/>
    <n v="292"/>
    <n v="47"/>
    <n v="554"/>
    <n v="145"/>
    <n v="222"/>
    <n v="122988"/>
    <n v="0"/>
    <n v="64824"/>
    <x v="0"/>
    <x v="6"/>
    <x v="0"/>
  </r>
  <r>
    <x v="207"/>
    <x v="10"/>
    <x v="2"/>
    <x v="0"/>
    <x v="2"/>
    <n v="109"/>
    <n v="269"/>
    <n v="105"/>
    <n v="273"/>
    <n v="62"/>
    <n v="179"/>
    <n v="48867"/>
    <n v="0"/>
    <n v="48151"/>
    <x v="0"/>
    <x v="6"/>
    <x v="0"/>
  </r>
  <r>
    <x v="208"/>
    <x v="0"/>
    <x v="0"/>
    <x v="2"/>
    <x v="1"/>
    <n v="39"/>
    <n v="63"/>
    <n v="10"/>
    <n v="92"/>
    <n v="23"/>
    <n v="13376"/>
    <n v="1230592"/>
    <n v="0"/>
    <n v="842688"/>
    <x v="0"/>
    <x v="6"/>
    <x v="0"/>
  </r>
  <r>
    <x v="208"/>
    <x v="14"/>
    <x v="3"/>
    <x v="2"/>
    <x v="0"/>
    <n v="152"/>
    <n v="58"/>
    <n v="95"/>
    <n v="115"/>
    <n v="56"/>
    <n v="52388"/>
    <n v="6024620"/>
    <n v="0"/>
    <n v="3038504"/>
    <x v="0"/>
    <x v="6"/>
    <x v="0"/>
  </r>
  <r>
    <x v="208"/>
    <x v="0"/>
    <x v="0"/>
    <x v="2"/>
    <x v="3"/>
    <n v="28"/>
    <n v="13"/>
    <n v="41"/>
    <n v="0"/>
    <n v="27"/>
    <n v="4733"/>
    <n v="0"/>
    <n v="0"/>
    <n v="61529"/>
    <x v="1"/>
    <x v="6"/>
    <x v="0"/>
  </r>
  <r>
    <x v="208"/>
    <x v="5"/>
    <x v="3"/>
    <x v="0"/>
    <x v="4"/>
    <n v="116"/>
    <n v="83"/>
    <n v="67"/>
    <n v="132"/>
    <n v="31"/>
    <n v="21262"/>
    <n v="2806584"/>
    <n v="0"/>
    <n v="1764746"/>
    <x v="0"/>
    <x v="6"/>
    <x v="0"/>
  </r>
  <r>
    <x v="208"/>
    <x v="17"/>
    <x v="2"/>
    <x v="2"/>
    <x v="0"/>
    <n v="214"/>
    <n v="36"/>
    <n v="87"/>
    <n v="163"/>
    <n v="116"/>
    <n v="633"/>
    <n v="103179"/>
    <n v="0"/>
    <n v="22788"/>
    <x v="0"/>
    <x v="6"/>
    <x v="0"/>
  </r>
  <r>
    <x v="209"/>
    <x v="13"/>
    <x v="3"/>
    <x v="2"/>
    <x v="5"/>
    <n v="111"/>
    <n v="60"/>
    <n v="77"/>
    <n v="94"/>
    <n v="25"/>
    <n v="2815"/>
    <n v="264610"/>
    <n v="0"/>
    <n v="168900"/>
    <x v="0"/>
    <x v="6"/>
    <x v="0"/>
  </r>
  <r>
    <x v="209"/>
    <x v="14"/>
    <x v="3"/>
    <x v="0"/>
    <x v="1"/>
    <n v="169"/>
    <n v="40"/>
    <n v="77"/>
    <n v="132"/>
    <n v="22"/>
    <n v="21581"/>
    <n v="2848692"/>
    <n v="0"/>
    <n v="863240"/>
    <x v="0"/>
    <x v="6"/>
    <x v="0"/>
  </r>
  <r>
    <x v="209"/>
    <x v="2"/>
    <x v="0"/>
    <x v="2"/>
    <x v="3"/>
    <n v="57"/>
    <n v="77"/>
    <n v="21"/>
    <n v="113"/>
    <n v="24"/>
    <n v="8207"/>
    <n v="927391"/>
    <n v="0"/>
    <n v="631939"/>
    <x v="0"/>
    <x v="6"/>
    <x v="0"/>
  </r>
  <r>
    <x v="209"/>
    <x v="7"/>
    <x v="2"/>
    <x v="1"/>
    <x v="3"/>
    <n v="425"/>
    <n v="183"/>
    <n v="19"/>
    <n v="589"/>
    <n v="146"/>
    <n v="434"/>
    <n v="255626"/>
    <n v="0"/>
    <n v="79422"/>
    <x v="0"/>
    <x v="6"/>
    <x v="0"/>
  </r>
  <r>
    <x v="209"/>
    <x v="3"/>
    <x v="2"/>
    <x v="0"/>
    <x v="1"/>
    <n v="432"/>
    <n v="193"/>
    <n v="14"/>
    <n v="611"/>
    <n v="73"/>
    <n v="53"/>
    <n v="32383"/>
    <n v="0"/>
    <n v="10229"/>
    <x v="0"/>
    <x v="6"/>
    <x v="0"/>
  </r>
  <r>
    <x v="209"/>
    <x v="4"/>
    <x v="1"/>
    <x v="3"/>
    <x v="2"/>
    <n v="56"/>
    <n v="42"/>
    <n v="40"/>
    <n v="58"/>
    <n v="15"/>
    <n v="7372"/>
    <n v="427576"/>
    <n v="0"/>
    <n v="309624"/>
    <x v="0"/>
    <x v="6"/>
    <x v="0"/>
  </r>
  <r>
    <x v="209"/>
    <x v="0"/>
    <x v="0"/>
    <x v="2"/>
    <x v="2"/>
    <n v="76"/>
    <n v="76"/>
    <n v="26"/>
    <n v="126"/>
    <n v="38"/>
    <n v="15752"/>
    <n v="1984752"/>
    <n v="0"/>
    <n v="1197152"/>
    <x v="0"/>
    <x v="6"/>
    <x v="0"/>
  </r>
  <r>
    <x v="209"/>
    <x v="6"/>
    <x v="3"/>
    <x v="2"/>
    <x v="3"/>
    <n v="67"/>
    <n v="49"/>
    <n v="67"/>
    <n v="49"/>
    <n v="27"/>
    <n v="56555"/>
    <n v="2771195"/>
    <n v="0"/>
    <n v="2771195"/>
    <x v="0"/>
    <x v="6"/>
    <x v="0"/>
  </r>
  <r>
    <x v="209"/>
    <x v="12"/>
    <x v="1"/>
    <x v="2"/>
    <x v="2"/>
    <n v="25"/>
    <n v="25"/>
    <n v="6"/>
    <n v="44"/>
    <n v="24"/>
    <n v="20088"/>
    <n v="883872"/>
    <n v="0"/>
    <n v="502200"/>
    <x v="0"/>
    <x v="6"/>
    <x v="0"/>
  </r>
  <r>
    <x v="210"/>
    <x v="6"/>
    <x v="3"/>
    <x v="2"/>
    <x v="3"/>
    <n v="128"/>
    <n v="85"/>
    <n v="24"/>
    <n v="189"/>
    <n v="40"/>
    <n v="36960"/>
    <n v="6985440"/>
    <n v="0"/>
    <n v="3141600"/>
    <x v="0"/>
    <x v="6"/>
    <x v="0"/>
  </r>
  <r>
    <x v="210"/>
    <x v="15"/>
    <x v="2"/>
    <x v="1"/>
    <x v="0"/>
    <n v="496"/>
    <n v="103"/>
    <n v="176"/>
    <n v="423"/>
    <n v="69"/>
    <n v="479"/>
    <n v="202617"/>
    <n v="0"/>
    <n v="49337"/>
    <x v="0"/>
    <x v="6"/>
    <x v="0"/>
  </r>
  <r>
    <x v="210"/>
    <x v="0"/>
    <x v="0"/>
    <x v="3"/>
    <x v="4"/>
    <n v="36"/>
    <n v="28"/>
    <n v="47"/>
    <n v="17"/>
    <n v="20"/>
    <n v="1241"/>
    <n v="21097"/>
    <n v="0"/>
    <n v="34748"/>
    <x v="1"/>
    <x v="6"/>
    <x v="0"/>
  </r>
  <r>
    <x v="210"/>
    <x v="15"/>
    <x v="2"/>
    <x v="1"/>
    <x v="4"/>
    <n v="493"/>
    <n v="278"/>
    <n v="236"/>
    <n v="535"/>
    <n v="67"/>
    <n v="67"/>
    <n v="35845"/>
    <n v="0"/>
    <n v="18626"/>
    <x v="0"/>
    <x v="6"/>
    <x v="0"/>
  </r>
  <r>
    <x v="211"/>
    <x v="7"/>
    <x v="2"/>
    <x v="1"/>
    <x v="4"/>
    <n v="467"/>
    <n v="142"/>
    <n v="53"/>
    <n v="556"/>
    <n v="79"/>
    <n v="147"/>
    <n v="81732"/>
    <n v="0"/>
    <n v="20874"/>
    <x v="0"/>
    <x v="6"/>
    <x v="0"/>
  </r>
  <r>
    <x v="212"/>
    <x v="10"/>
    <x v="2"/>
    <x v="2"/>
    <x v="2"/>
    <n v="111"/>
    <n v="78"/>
    <n v="136"/>
    <n v="53"/>
    <n v="74"/>
    <n v="242"/>
    <n v="12826"/>
    <n v="0"/>
    <n v="18876"/>
    <x v="1"/>
    <x v="7"/>
    <x v="0"/>
  </r>
  <r>
    <x v="212"/>
    <x v="13"/>
    <x v="3"/>
    <x v="0"/>
    <x v="1"/>
    <n v="178"/>
    <n v="57"/>
    <n v="65"/>
    <n v="170"/>
    <n v="57"/>
    <n v="53135"/>
    <n v="9032950"/>
    <n v="0"/>
    <n v="3028695"/>
    <x v="0"/>
    <x v="7"/>
    <x v="0"/>
  </r>
  <r>
    <x v="212"/>
    <x v="19"/>
    <x v="0"/>
    <x v="2"/>
    <x v="2"/>
    <n v="80"/>
    <n v="47"/>
    <n v="20"/>
    <n v="107"/>
    <n v="31"/>
    <n v="16196"/>
    <n v="1732972"/>
    <n v="0"/>
    <n v="761212"/>
    <x v="0"/>
    <x v="7"/>
    <x v="0"/>
  </r>
  <r>
    <x v="212"/>
    <x v="6"/>
    <x v="3"/>
    <x v="1"/>
    <x v="4"/>
    <n v="24"/>
    <n v="112"/>
    <n v="77"/>
    <n v="59"/>
    <n v="37"/>
    <n v="6804"/>
    <n v="401436"/>
    <n v="0"/>
    <n v="762048"/>
    <x v="0"/>
    <x v="7"/>
    <x v="0"/>
  </r>
  <r>
    <x v="213"/>
    <x v="7"/>
    <x v="2"/>
    <x v="2"/>
    <x v="4"/>
    <n v="389"/>
    <n v="118"/>
    <n v="261"/>
    <n v="246"/>
    <n v="142"/>
    <n v="388"/>
    <n v="95448"/>
    <n v="0"/>
    <n v="45784"/>
    <x v="0"/>
    <x v="7"/>
    <x v="0"/>
  </r>
  <r>
    <x v="213"/>
    <x v="4"/>
    <x v="1"/>
    <x v="2"/>
    <x v="5"/>
    <n v="77"/>
    <n v="59"/>
    <n v="35"/>
    <n v="101"/>
    <n v="27"/>
    <n v="14114"/>
    <n v="1425514"/>
    <n v="0"/>
    <n v="832726"/>
    <x v="0"/>
    <x v="7"/>
    <x v="0"/>
  </r>
  <r>
    <x v="213"/>
    <x v="14"/>
    <x v="3"/>
    <x v="1"/>
    <x v="4"/>
    <n v="89"/>
    <n v="115"/>
    <n v="77"/>
    <n v="127"/>
    <n v="58"/>
    <n v="53039"/>
    <n v="6735953"/>
    <n v="0"/>
    <n v="6099485"/>
    <x v="0"/>
    <x v="7"/>
    <x v="0"/>
  </r>
  <r>
    <x v="213"/>
    <x v="13"/>
    <x v="3"/>
    <x v="3"/>
    <x v="5"/>
    <n v="33"/>
    <n v="73"/>
    <n v="43"/>
    <n v="63"/>
    <n v="21"/>
    <n v="60885"/>
    <n v="3835755"/>
    <n v="0"/>
    <n v="4444605"/>
    <x v="0"/>
    <x v="7"/>
    <x v="0"/>
  </r>
  <r>
    <x v="213"/>
    <x v="8"/>
    <x v="3"/>
    <x v="3"/>
    <x v="3"/>
    <n v="101"/>
    <n v="108"/>
    <n v="10"/>
    <n v="199"/>
    <n v="24"/>
    <n v="40802"/>
    <n v="8119598"/>
    <n v="0"/>
    <n v="4406616"/>
    <x v="0"/>
    <x v="7"/>
    <x v="0"/>
  </r>
  <r>
    <x v="213"/>
    <x v="14"/>
    <x v="3"/>
    <x v="0"/>
    <x v="0"/>
    <n v="123"/>
    <n v="63"/>
    <n v="23"/>
    <n v="163"/>
    <n v="22"/>
    <n v="52024"/>
    <n v="8479912"/>
    <n v="0"/>
    <n v="3277512"/>
    <x v="0"/>
    <x v="7"/>
    <x v="0"/>
  </r>
  <r>
    <x v="213"/>
    <x v="1"/>
    <x v="1"/>
    <x v="3"/>
    <x v="3"/>
    <n v="33"/>
    <n v="5"/>
    <n v="19"/>
    <n v="19"/>
    <n v="21"/>
    <n v="2055"/>
    <n v="39045"/>
    <n v="0"/>
    <n v="10275"/>
    <x v="1"/>
    <x v="7"/>
    <x v="0"/>
  </r>
  <r>
    <x v="214"/>
    <x v="3"/>
    <x v="2"/>
    <x v="1"/>
    <x v="0"/>
    <n v="162"/>
    <n v="126"/>
    <n v="127"/>
    <n v="161"/>
    <n v="130"/>
    <n v="567"/>
    <n v="91287"/>
    <n v="0"/>
    <n v="71442"/>
    <x v="0"/>
    <x v="7"/>
    <x v="0"/>
  </r>
  <r>
    <x v="214"/>
    <x v="13"/>
    <x v="3"/>
    <x v="3"/>
    <x v="0"/>
    <n v="73"/>
    <n v="113"/>
    <n v="29"/>
    <n v="157"/>
    <n v="57"/>
    <n v="53294"/>
    <n v="8367158"/>
    <n v="0"/>
    <n v="6022222"/>
    <x v="0"/>
    <x v="7"/>
    <x v="0"/>
  </r>
  <r>
    <x v="214"/>
    <x v="15"/>
    <x v="2"/>
    <x v="0"/>
    <x v="0"/>
    <n v="429"/>
    <n v="287"/>
    <n v="249"/>
    <n v="467"/>
    <n v="135"/>
    <n v="846"/>
    <n v="395082"/>
    <n v="0"/>
    <n v="242802"/>
    <x v="0"/>
    <x v="7"/>
    <x v="0"/>
  </r>
  <r>
    <x v="214"/>
    <x v="14"/>
    <x v="3"/>
    <x v="1"/>
    <x v="5"/>
    <n v="153"/>
    <n v="38"/>
    <n v="29"/>
    <n v="162"/>
    <n v="36"/>
    <n v="2262"/>
    <n v="366444"/>
    <n v="0"/>
    <n v="85956"/>
    <x v="0"/>
    <x v="7"/>
    <x v="0"/>
  </r>
  <r>
    <x v="214"/>
    <x v="17"/>
    <x v="2"/>
    <x v="0"/>
    <x v="3"/>
    <n v="444"/>
    <n v="141"/>
    <n v="201"/>
    <n v="384"/>
    <n v="96"/>
    <n v="933"/>
    <n v="358272"/>
    <n v="0"/>
    <n v="131553"/>
    <x v="0"/>
    <x v="7"/>
    <x v="0"/>
  </r>
  <r>
    <x v="214"/>
    <x v="9"/>
    <x v="0"/>
    <x v="1"/>
    <x v="2"/>
    <n v="100"/>
    <n v="44"/>
    <n v="21"/>
    <n v="123"/>
    <n v="17"/>
    <n v="3836"/>
    <n v="471828"/>
    <n v="0"/>
    <n v="168784"/>
    <x v="0"/>
    <x v="7"/>
    <x v="0"/>
  </r>
  <r>
    <x v="214"/>
    <x v="4"/>
    <x v="1"/>
    <x v="0"/>
    <x v="5"/>
    <n v="13"/>
    <n v="56"/>
    <n v="4"/>
    <n v="65"/>
    <n v="11"/>
    <n v="24080"/>
    <n v="1565200"/>
    <n v="0"/>
    <n v="1348480"/>
    <x v="0"/>
    <x v="7"/>
    <x v="0"/>
  </r>
  <r>
    <x v="215"/>
    <x v="5"/>
    <x v="3"/>
    <x v="3"/>
    <x v="5"/>
    <n v="76"/>
    <n v="26"/>
    <n v="43"/>
    <n v="59"/>
    <n v="23"/>
    <n v="26489"/>
    <n v="1562851"/>
    <n v="0"/>
    <n v="688714"/>
    <x v="0"/>
    <x v="7"/>
    <x v="0"/>
  </r>
  <r>
    <x v="215"/>
    <x v="11"/>
    <x v="2"/>
    <x v="2"/>
    <x v="5"/>
    <n v="262"/>
    <n v="229"/>
    <n v="40"/>
    <n v="451"/>
    <n v="56"/>
    <n v="1004"/>
    <n v="452804"/>
    <n v="0"/>
    <n v="229916"/>
    <x v="0"/>
    <x v="7"/>
    <x v="0"/>
  </r>
  <r>
    <x v="215"/>
    <x v="19"/>
    <x v="0"/>
    <x v="2"/>
    <x v="0"/>
    <n v="91"/>
    <n v="70"/>
    <n v="56"/>
    <n v="105"/>
    <n v="26"/>
    <n v="17506"/>
    <n v="1838130"/>
    <n v="0"/>
    <n v="1225420"/>
    <x v="0"/>
    <x v="7"/>
    <x v="0"/>
  </r>
  <r>
    <x v="215"/>
    <x v="10"/>
    <x v="2"/>
    <x v="1"/>
    <x v="2"/>
    <n v="485"/>
    <n v="213"/>
    <n v="24"/>
    <n v="674"/>
    <n v="117"/>
    <n v="66"/>
    <n v="44484"/>
    <n v="0"/>
    <n v="14058"/>
    <x v="0"/>
    <x v="7"/>
    <x v="0"/>
  </r>
  <r>
    <x v="216"/>
    <x v="2"/>
    <x v="0"/>
    <x v="0"/>
    <x v="2"/>
    <n v="86"/>
    <n v="73"/>
    <n v="8"/>
    <n v="151"/>
    <n v="34"/>
    <n v="7890"/>
    <n v="1191390"/>
    <n v="0"/>
    <n v="575970"/>
    <x v="0"/>
    <x v="7"/>
    <x v="0"/>
  </r>
  <r>
    <x v="216"/>
    <x v="14"/>
    <x v="3"/>
    <x v="2"/>
    <x v="0"/>
    <n v="162"/>
    <n v="13"/>
    <n v="60"/>
    <n v="115"/>
    <n v="23"/>
    <n v="27743"/>
    <n v="3190445"/>
    <n v="0"/>
    <n v="360659"/>
    <x v="0"/>
    <x v="7"/>
    <x v="0"/>
  </r>
  <r>
    <x v="216"/>
    <x v="8"/>
    <x v="3"/>
    <x v="1"/>
    <x v="4"/>
    <n v="75"/>
    <n v="119"/>
    <n v="63"/>
    <n v="131"/>
    <n v="59"/>
    <n v="45335"/>
    <n v="5938885"/>
    <n v="0"/>
    <n v="5394865"/>
    <x v="0"/>
    <x v="7"/>
    <x v="0"/>
  </r>
  <r>
    <x v="217"/>
    <x v="3"/>
    <x v="2"/>
    <x v="1"/>
    <x v="3"/>
    <n v="432"/>
    <n v="84"/>
    <n v="64"/>
    <n v="452"/>
    <n v="57"/>
    <n v="1172"/>
    <n v="529744"/>
    <n v="0"/>
    <n v="98448"/>
    <x v="0"/>
    <x v="7"/>
    <x v="0"/>
  </r>
  <r>
    <x v="217"/>
    <x v="15"/>
    <x v="2"/>
    <x v="3"/>
    <x v="5"/>
    <n v="275"/>
    <n v="299"/>
    <n v="24"/>
    <n v="550"/>
    <n v="83"/>
    <n v="423"/>
    <n v="232650"/>
    <n v="0"/>
    <n v="126477"/>
    <x v="0"/>
    <x v="7"/>
    <x v="0"/>
  </r>
  <r>
    <x v="217"/>
    <x v="16"/>
    <x v="1"/>
    <x v="1"/>
    <x v="0"/>
    <n v="94"/>
    <n v="22"/>
    <n v="14"/>
    <n v="102"/>
    <n v="18"/>
    <n v="15531"/>
    <n v="1584162"/>
    <n v="0"/>
    <n v="341682"/>
    <x v="0"/>
    <x v="7"/>
    <x v="0"/>
  </r>
  <r>
    <x v="217"/>
    <x v="10"/>
    <x v="2"/>
    <x v="2"/>
    <x v="4"/>
    <n v="157"/>
    <n v="67"/>
    <n v="19"/>
    <n v="205"/>
    <n v="97"/>
    <n v="45"/>
    <n v="9225"/>
    <n v="0"/>
    <n v="3015"/>
    <x v="0"/>
    <x v="7"/>
    <x v="0"/>
  </r>
  <r>
    <x v="217"/>
    <x v="16"/>
    <x v="1"/>
    <x v="1"/>
    <x v="3"/>
    <n v="57"/>
    <n v="47"/>
    <n v="28"/>
    <n v="76"/>
    <n v="25"/>
    <n v="19036"/>
    <n v="1446736"/>
    <n v="0"/>
    <n v="894692"/>
    <x v="0"/>
    <x v="7"/>
    <x v="0"/>
  </r>
  <r>
    <x v="217"/>
    <x v="19"/>
    <x v="0"/>
    <x v="1"/>
    <x v="3"/>
    <n v="118"/>
    <n v="59"/>
    <n v="3"/>
    <n v="174"/>
    <n v="35"/>
    <n v="6677"/>
    <n v="1161798"/>
    <n v="0"/>
    <n v="393943"/>
    <x v="0"/>
    <x v="7"/>
    <x v="0"/>
  </r>
  <r>
    <x v="218"/>
    <x v="17"/>
    <x v="2"/>
    <x v="0"/>
    <x v="2"/>
    <n v="473"/>
    <n v="180"/>
    <n v="132"/>
    <n v="521"/>
    <n v="143"/>
    <n v="1187"/>
    <n v="618427"/>
    <n v="0"/>
    <n v="213660"/>
    <x v="0"/>
    <x v="7"/>
    <x v="0"/>
  </r>
  <r>
    <x v="218"/>
    <x v="7"/>
    <x v="2"/>
    <x v="2"/>
    <x v="5"/>
    <n v="192"/>
    <n v="288"/>
    <n v="56"/>
    <n v="424"/>
    <n v="111"/>
    <n v="24"/>
    <n v="10176"/>
    <n v="0"/>
    <n v="6912"/>
    <x v="0"/>
    <x v="7"/>
    <x v="0"/>
  </r>
  <r>
    <x v="219"/>
    <x v="8"/>
    <x v="3"/>
    <x v="0"/>
    <x v="5"/>
    <n v="82"/>
    <n v="82"/>
    <n v="37"/>
    <n v="127"/>
    <n v="44"/>
    <n v="8648"/>
    <n v="1098296"/>
    <n v="0"/>
    <n v="709136"/>
    <x v="0"/>
    <x v="7"/>
    <x v="0"/>
  </r>
  <r>
    <x v="219"/>
    <x v="0"/>
    <x v="0"/>
    <x v="2"/>
    <x v="5"/>
    <n v="68"/>
    <n v="5"/>
    <n v="21"/>
    <n v="52"/>
    <n v="16"/>
    <n v="14649"/>
    <n v="761748"/>
    <n v="0"/>
    <n v="73245"/>
    <x v="0"/>
    <x v="7"/>
    <x v="0"/>
  </r>
  <r>
    <x v="219"/>
    <x v="12"/>
    <x v="1"/>
    <x v="1"/>
    <x v="1"/>
    <n v="15"/>
    <n v="33"/>
    <n v="18"/>
    <n v="30"/>
    <n v="12"/>
    <n v="12466"/>
    <n v="373980"/>
    <n v="0"/>
    <n v="411378"/>
    <x v="0"/>
    <x v="7"/>
    <x v="0"/>
  </r>
  <r>
    <x v="219"/>
    <x v="7"/>
    <x v="2"/>
    <x v="0"/>
    <x v="3"/>
    <n v="493"/>
    <n v="60"/>
    <n v="20"/>
    <n v="533"/>
    <n v="76"/>
    <n v="1173"/>
    <n v="625209"/>
    <n v="0"/>
    <n v="70380"/>
    <x v="0"/>
    <x v="7"/>
    <x v="0"/>
  </r>
  <r>
    <x v="219"/>
    <x v="3"/>
    <x v="2"/>
    <x v="0"/>
    <x v="1"/>
    <n v="306"/>
    <n v="297"/>
    <n v="238"/>
    <n v="365"/>
    <n v="99"/>
    <n v="459"/>
    <n v="167535"/>
    <n v="0"/>
    <n v="136323"/>
    <x v="0"/>
    <x v="7"/>
    <x v="0"/>
  </r>
  <r>
    <x v="219"/>
    <x v="13"/>
    <x v="3"/>
    <x v="0"/>
    <x v="1"/>
    <n v="102"/>
    <n v="116"/>
    <n v="73"/>
    <n v="145"/>
    <n v="39"/>
    <n v="56704"/>
    <n v="8222080"/>
    <n v="0"/>
    <n v="6577664"/>
    <x v="0"/>
    <x v="7"/>
    <x v="0"/>
  </r>
  <r>
    <x v="219"/>
    <x v="3"/>
    <x v="2"/>
    <x v="2"/>
    <x v="2"/>
    <n v="377"/>
    <n v="244"/>
    <n v="230"/>
    <n v="391"/>
    <n v="56"/>
    <n v="573"/>
    <n v="224043"/>
    <n v="0"/>
    <n v="139812"/>
    <x v="0"/>
    <x v="7"/>
    <x v="0"/>
  </r>
  <r>
    <x v="219"/>
    <x v="12"/>
    <x v="1"/>
    <x v="2"/>
    <x v="2"/>
    <n v="45"/>
    <n v="36"/>
    <n v="43"/>
    <n v="38"/>
    <n v="23"/>
    <n v="17168"/>
    <n v="652384"/>
    <n v="0"/>
    <n v="618048"/>
    <x v="0"/>
    <x v="7"/>
    <x v="0"/>
  </r>
  <r>
    <x v="219"/>
    <x v="3"/>
    <x v="2"/>
    <x v="1"/>
    <x v="5"/>
    <n v="420"/>
    <n v="278"/>
    <n v="25"/>
    <n v="673"/>
    <n v="57"/>
    <n v="94"/>
    <n v="63262"/>
    <n v="0"/>
    <n v="26132"/>
    <x v="0"/>
    <x v="7"/>
    <x v="0"/>
  </r>
  <r>
    <x v="220"/>
    <x v="12"/>
    <x v="1"/>
    <x v="1"/>
    <x v="3"/>
    <n v="92"/>
    <n v="40"/>
    <n v="33"/>
    <n v="99"/>
    <n v="21"/>
    <n v="17314"/>
    <n v="1714086"/>
    <n v="0"/>
    <n v="692560"/>
    <x v="0"/>
    <x v="7"/>
    <x v="0"/>
  </r>
  <r>
    <x v="220"/>
    <x v="9"/>
    <x v="0"/>
    <x v="1"/>
    <x v="2"/>
    <n v="22"/>
    <n v="45"/>
    <n v="50"/>
    <n v="17"/>
    <n v="28"/>
    <n v="17698"/>
    <n v="300866"/>
    <n v="0"/>
    <n v="796410"/>
    <x v="1"/>
    <x v="7"/>
    <x v="0"/>
  </r>
  <r>
    <x v="220"/>
    <x v="7"/>
    <x v="2"/>
    <x v="3"/>
    <x v="0"/>
    <n v="477"/>
    <n v="269"/>
    <n v="152"/>
    <n v="594"/>
    <n v="98"/>
    <n v="382"/>
    <n v="226908"/>
    <n v="0"/>
    <n v="102758"/>
    <x v="0"/>
    <x v="7"/>
    <x v="0"/>
  </r>
  <r>
    <x v="220"/>
    <x v="9"/>
    <x v="0"/>
    <x v="3"/>
    <x v="5"/>
    <n v="103"/>
    <n v="67"/>
    <n v="23"/>
    <n v="147"/>
    <n v="17"/>
    <n v="1193"/>
    <n v="175371"/>
    <n v="0"/>
    <n v="79931"/>
    <x v="0"/>
    <x v="7"/>
    <x v="0"/>
  </r>
  <r>
    <x v="220"/>
    <x v="17"/>
    <x v="2"/>
    <x v="3"/>
    <x v="0"/>
    <n v="457"/>
    <n v="220"/>
    <n v="179"/>
    <n v="498"/>
    <n v="94"/>
    <n v="394"/>
    <n v="196212"/>
    <n v="0"/>
    <n v="86680"/>
    <x v="0"/>
    <x v="7"/>
    <x v="0"/>
  </r>
  <r>
    <x v="220"/>
    <x v="4"/>
    <x v="1"/>
    <x v="1"/>
    <x v="4"/>
    <n v="71"/>
    <n v="31"/>
    <n v="26"/>
    <n v="76"/>
    <n v="11"/>
    <n v="13183"/>
    <n v="1001908"/>
    <n v="0"/>
    <n v="408673"/>
    <x v="0"/>
    <x v="7"/>
    <x v="0"/>
  </r>
  <r>
    <x v="220"/>
    <x v="14"/>
    <x v="3"/>
    <x v="3"/>
    <x v="3"/>
    <n v="142"/>
    <n v="103"/>
    <n v="6"/>
    <n v="239"/>
    <n v="21"/>
    <n v="54760"/>
    <n v="13087640"/>
    <n v="0"/>
    <n v="5640280"/>
    <x v="0"/>
    <x v="7"/>
    <x v="0"/>
  </r>
  <r>
    <x v="220"/>
    <x v="2"/>
    <x v="0"/>
    <x v="0"/>
    <x v="0"/>
    <n v="28"/>
    <n v="7"/>
    <n v="26"/>
    <n v="9"/>
    <n v="30"/>
    <n v="16800"/>
    <n v="151200"/>
    <n v="0"/>
    <n v="117600"/>
    <x v="1"/>
    <x v="7"/>
    <x v="0"/>
  </r>
  <r>
    <x v="221"/>
    <x v="9"/>
    <x v="0"/>
    <x v="1"/>
    <x v="1"/>
    <n v="93"/>
    <n v="76"/>
    <n v="60"/>
    <n v="109"/>
    <n v="32"/>
    <n v="6942"/>
    <n v="756678"/>
    <n v="0"/>
    <n v="527592"/>
    <x v="0"/>
    <x v="7"/>
    <x v="0"/>
  </r>
  <r>
    <x v="221"/>
    <x v="13"/>
    <x v="3"/>
    <x v="3"/>
    <x v="3"/>
    <n v="133"/>
    <n v="29"/>
    <n v="43"/>
    <n v="119"/>
    <n v="54"/>
    <n v="11702"/>
    <n v="1392538"/>
    <n v="0"/>
    <n v="339358"/>
    <x v="0"/>
    <x v="7"/>
    <x v="0"/>
  </r>
  <r>
    <x v="221"/>
    <x v="7"/>
    <x v="2"/>
    <x v="0"/>
    <x v="2"/>
    <n v="392"/>
    <n v="44"/>
    <n v="130"/>
    <n v="306"/>
    <n v="115"/>
    <n v="97"/>
    <n v="29682"/>
    <n v="0"/>
    <n v="4268"/>
    <x v="0"/>
    <x v="7"/>
    <x v="0"/>
  </r>
  <r>
    <x v="221"/>
    <x v="1"/>
    <x v="1"/>
    <x v="2"/>
    <x v="0"/>
    <n v="47"/>
    <n v="7"/>
    <n v="29"/>
    <n v="25"/>
    <n v="22"/>
    <n v="4755"/>
    <n v="118875"/>
    <n v="0"/>
    <n v="33285"/>
    <x v="0"/>
    <x v="7"/>
    <x v="0"/>
  </r>
  <r>
    <x v="221"/>
    <x v="14"/>
    <x v="3"/>
    <x v="0"/>
    <x v="3"/>
    <n v="80"/>
    <n v="10"/>
    <n v="90"/>
    <n v="0"/>
    <n v="51"/>
    <n v="48588"/>
    <n v="0"/>
    <n v="0"/>
    <n v="485880"/>
    <x v="1"/>
    <x v="7"/>
    <x v="0"/>
  </r>
  <r>
    <x v="222"/>
    <x v="4"/>
    <x v="1"/>
    <x v="2"/>
    <x v="4"/>
    <n v="14"/>
    <n v="39"/>
    <n v="24"/>
    <n v="29"/>
    <n v="20"/>
    <n v="10424"/>
    <n v="302296"/>
    <n v="0"/>
    <n v="406536"/>
    <x v="0"/>
    <x v="7"/>
    <x v="0"/>
  </r>
  <r>
    <x v="222"/>
    <x v="16"/>
    <x v="1"/>
    <x v="1"/>
    <x v="5"/>
    <n v="77"/>
    <n v="28"/>
    <n v="44"/>
    <n v="61"/>
    <n v="17"/>
    <n v="7148"/>
    <n v="436028"/>
    <n v="0"/>
    <n v="200144"/>
    <x v="0"/>
    <x v="7"/>
    <x v="0"/>
  </r>
  <r>
    <x v="222"/>
    <x v="11"/>
    <x v="2"/>
    <x v="1"/>
    <x v="2"/>
    <n v="330"/>
    <n v="250"/>
    <n v="225"/>
    <n v="355"/>
    <n v="90"/>
    <n v="424"/>
    <n v="150520"/>
    <n v="0"/>
    <n v="106000"/>
    <x v="0"/>
    <x v="7"/>
    <x v="0"/>
  </r>
  <r>
    <x v="222"/>
    <x v="9"/>
    <x v="0"/>
    <x v="1"/>
    <x v="0"/>
    <n v="118"/>
    <n v="37"/>
    <n v="22"/>
    <n v="133"/>
    <n v="26"/>
    <n v="14693"/>
    <n v="1954169"/>
    <n v="0"/>
    <n v="543641"/>
    <x v="0"/>
    <x v="7"/>
    <x v="0"/>
  </r>
  <r>
    <x v="223"/>
    <x v="15"/>
    <x v="2"/>
    <x v="3"/>
    <x v="5"/>
    <n v="62"/>
    <n v="75"/>
    <n v="137"/>
    <n v="0"/>
    <n v="66"/>
    <n v="1156"/>
    <n v="0"/>
    <n v="0"/>
    <n v="86700"/>
    <x v="1"/>
    <x v="7"/>
    <x v="0"/>
  </r>
  <r>
    <x v="224"/>
    <x v="14"/>
    <x v="3"/>
    <x v="3"/>
    <x v="2"/>
    <n v="86"/>
    <n v="50"/>
    <n v="33"/>
    <n v="103"/>
    <n v="35"/>
    <n v="58820"/>
    <n v="6058460"/>
    <n v="0"/>
    <n v="2941000"/>
    <x v="0"/>
    <x v="7"/>
    <x v="0"/>
  </r>
  <r>
    <x v="224"/>
    <x v="13"/>
    <x v="3"/>
    <x v="2"/>
    <x v="2"/>
    <n v="87"/>
    <n v="79"/>
    <n v="91"/>
    <n v="75"/>
    <n v="38"/>
    <n v="40716"/>
    <n v="3053700"/>
    <n v="0"/>
    <n v="3216564"/>
    <x v="0"/>
    <x v="7"/>
    <x v="0"/>
  </r>
  <r>
    <x v="224"/>
    <x v="13"/>
    <x v="3"/>
    <x v="1"/>
    <x v="2"/>
    <n v="163"/>
    <n v="44"/>
    <n v="66"/>
    <n v="141"/>
    <n v="36"/>
    <n v="46730"/>
    <n v="6588930"/>
    <n v="0"/>
    <n v="2056120"/>
    <x v="0"/>
    <x v="7"/>
    <x v="0"/>
  </r>
  <r>
    <x v="225"/>
    <x v="15"/>
    <x v="2"/>
    <x v="1"/>
    <x v="1"/>
    <n v="180"/>
    <n v="105"/>
    <n v="165"/>
    <n v="120"/>
    <n v="82"/>
    <n v="209"/>
    <n v="25080"/>
    <n v="0"/>
    <n v="21945"/>
    <x v="0"/>
    <x v="7"/>
    <x v="0"/>
  </r>
  <r>
    <x v="225"/>
    <x v="13"/>
    <x v="3"/>
    <x v="0"/>
    <x v="2"/>
    <n v="70"/>
    <n v="67"/>
    <n v="38"/>
    <n v="99"/>
    <n v="57"/>
    <n v="5698"/>
    <n v="564102"/>
    <n v="0"/>
    <n v="381766"/>
    <x v="0"/>
    <x v="7"/>
    <x v="0"/>
  </r>
  <r>
    <x v="225"/>
    <x v="1"/>
    <x v="1"/>
    <x v="3"/>
    <x v="3"/>
    <n v="30"/>
    <n v="34"/>
    <n v="34"/>
    <n v="30"/>
    <n v="10"/>
    <n v="8522"/>
    <n v="255660"/>
    <n v="0"/>
    <n v="289748"/>
    <x v="0"/>
    <x v="7"/>
    <x v="0"/>
  </r>
  <r>
    <x v="225"/>
    <x v="1"/>
    <x v="1"/>
    <x v="1"/>
    <x v="0"/>
    <n v="83"/>
    <n v="55"/>
    <n v="42"/>
    <n v="96"/>
    <n v="17"/>
    <n v="18675"/>
    <n v="1792800"/>
    <n v="0"/>
    <n v="1027125"/>
    <x v="0"/>
    <x v="7"/>
    <x v="0"/>
  </r>
  <r>
    <x v="226"/>
    <x v="4"/>
    <x v="1"/>
    <x v="0"/>
    <x v="4"/>
    <n v="70"/>
    <n v="24"/>
    <n v="4"/>
    <n v="90"/>
    <n v="17"/>
    <n v="17379"/>
    <n v="1564110"/>
    <n v="0"/>
    <n v="417096"/>
    <x v="0"/>
    <x v="7"/>
    <x v="0"/>
  </r>
  <r>
    <x v="226"/>
    <x v="2"/>
    <x v="0"/>
    <x v="2"/>
    <x v="4"/>
    <n v="40"/>
    <n v="41"/>
    <n v="40"/>
    <n v="41"/>
    <n v="36"/>
    <n v="6288"/>
    <n v="257808"/>
    <n v="0"/>
    <n v="257808"/>
    <x v="0"/>
    <x v="7"/>
    <x v="0"/>
  </r>
  <r>
    <x v="226"/>
    <x v="5"/>
    <x v="3"/>
    <x v="2"/>
    <x v="5"/>
    <n v="100"/>
    <n v="65"/>
    <n v="28"/>
    <n v="137"/>
    <n v="32"/>
    <n v="26721"/>
    <n v="3660777"/>
    <n v="0"/>
    <n v="1736865"/>
    <x v="0"/>
    <x v="7"/>
    <x v="0"/>
  </r>
  <r>
    <x v="226"/>
    <x v="15"/>
    <x v="2"/>
    <x v="1"/>
    <x v="3"/>
    <n v="485"/>
    <n v="36"/>
    <n v="38"/>
    <n v="483"/>
    <n v="82"/>
    <n v="926"/>
    <n v="447258"/>
    <n v="0"/>
    <n v="33336"/>
    <x v="0"/>
    <x v="7"/>
    <x v="0"/>
  </r>
  <r>
    <x v="226"/>
    <x v="1"/>
    <x v="1"/>
    <x v="0"/>
    <x v="1"/>
    <n v="20"/>
    <n v="28"/>
    <n v="22"/>
    <n v="26"/>
    <n v="28"/>
    <n v="13891"/>
    <n v="361166"/>
    <n v="0"/>
    <n v="388948"/>
    <x v="1"/>
    <x v="7"/>
    <x v="0"/>
  </r>
  <r>
    <x v="226"/>
    <x v="16"/>
    <x v="1"/>
    <x v="0"/>
    <x v="0"/>
    <n v="93"/>
    <n v="21"/>
    <n v="13"/>
    <n v="101"/>
    <n v="27"/>
    <n v="9428"/>
    <n v="952228"/>
    <n v="0"/>
    <n v="197988"/>
    <x v="0"/>
    <x v="7"/>
    <x v="0"/>
  </r>
  <r>
    <x v="226"/>
    <x v="6"/>
    <x v="3"/>
    <x v="3"/>
    <x v="5"/>
    <n v="124"/>
    <n v="80"/>
    <n v="17"/>
    <n v="187"/>
    <n v="56"/>
    <n v="3057"/>
    <n v="571659"/>
    <n v="0"/>
    <n v="244560"/>
    <x v="0"/>
    <x v="7"/>
    <x v="0"/>
  </r>
  <r>
    <x v="226"/>
    <x v="10"/>
    <x v="2"/>
    <x v="3"/>
    <x v="3"/>
    <n v="493"/>
    <n v="245"/>
    <n v="78"/>
    <n v="660"/>
    <n v="88"/>
    <n v="103"/>
    <n v="67980"/>
    <n v="0"/>
    <n v="25235"/>
    <x v="0"/>
    <x v="7"/>
    <x v="0"/>
  </r>
  <r>
    <x v="227"/>
    <x v="3"/>
    <x v="2"/>
    <x v="2"/>
    <x v="0"/>
    <n v="233"/>
    <n v="136"/>
    <n v="93"/>
    <n v="276"/>
    <n v="106"/>
    <n v="269"/>
    <n v="74244"/>
    <n v="0"/>
    <n v="36584"/>
    <x v="0"/>
    <x v="7"/>
    <x v="0"/>
  </r>
  <r>
    <x v="227"/>
    <x v="14"/>
    <x v="3"/>
    <x v="3"/>
    <x v="4"/>
    <n v="113"/>
    <n v="62"/>
    <n v="42"/>
    <n v="133"/>
    <n v="58"/>
    <n v="48636"/>
    <n v="6468588"/>
    <n v="0"/>
    <n v="3015432"/>
    <x v="0"/>
    <x v="7"/>
    <x v="0"/>
  </r>
  <r>
    <x v="227"/>
    <x v="13"/>
    <x v="3"/>
    <x v="0"/>
    <x v="1"/>
    <n v="53"/>
    <n v="46"/>
    <n v="46"/>
    <n v="53"/>
    <n v="45"/>
    <n v="12256"/>
    <n v="649568"/>
    <n v="0"/>
    <n v="563776"/>
    <x v="0"/>
    <x v="7"/>
    <x v="0"/>
  </r>
  <r>
    <x v="227"/>
    <x v="8"/>
    <x v="3"/>
    <x v="0"/>
    <x v="5"/>
    <n v="64"/>
    <n v="25"/>
    <n v="35"/>
    <n v="54"/>
    <n v="20"/>
    <n v="29633"/>
    <n v="1600182"/>
    <n v="0"/>
    <n v="740825"/>
    <x v="0"/>
    <x v="7"/>
    <x v="0"/>
  </r>
  <r>
    <x v="227"/>
    <x v="18"/>
    <x v="3"/>
    <x v="1"/>
    <x v="2"/>
    <n v="178"/>
    <n v="40"/>
    <n v="70"/>
    <n v="148"/>
    <n v="31"/>
    <n v="34482"/>
    <n v="5103336"/>
    <n v="0"/>
    <n v="1379280"/>
    <x v="0"/>
    <x v="7"/>
    <x v="0"/>
  </r>
  <r>
    <x v="227"/>
    <x v="11"/>
    <x v="2"/>
    <x v="2"/>
    <x v="0"/>
    <n v="460"/>
    <n v="208"/>
    <n v="71"/>
    <n v="597"/>
    <n v="54"/>
    <n v="898"/>
    <n v="536106"/>
    <n v="0"/>
    <n v="186784"/>
    <x v="0"/>
    <x v="7"/>
    <x v="0"/>
  </r>
  <r>
    <x v="228"/>
    <x v="1"/>
    <x v="1"/>
    <x v="2"/>
    <x v="1"/>
    <n v="66"/>
    <n v="6"/>
    <n v="33"/>
    <n v="39"/>
    <n v="18"/>
    <n v="18772"/>
    <n v="732108"/>
    <n v="0"/>
    <n v="112632"/>
    <x v="0"/>
    <x v="7"/>
    <x v="0"/>
  </r>
  <r>
    <x v="228"/>
    <x v="10"/>
    <x v="2"/>
    <x v="3"/>
    <x v="2"/>
    <n v="205"/>
    <n v="218"/>
    <n v="11"/>
    <n v="412"/>
    <n v="131"/>
    <n v="777"/>
    <n v="320124"/>
    <n v="0"/>
    <n v="169386"/>
    <x v="0"/>
    <x v="7"/>
    <x v="0"/>
  </r>
  <r>
    <x v="228"/>
    <x v="15"/>
    <x v="2"/>
    <x v="3"/>
    <x v="3"/>
    <n v="97"/>
    <n v="297"/>
    <n v="224"/>
    <n v="170"/>
    <n v="110"/>
    <n v="821"/>
    <n v="139570"/>
    <n v="0"/>
    <n v="243837"/>
    <x v="0"/>
    <x v="7"/>
    <x v="0"/>
  </r>
  <r>
    <x v="228"/>
    <x v="19"/>
    <x v="0"/>
    <x v="1"/>
    <x v="3"/>
    <n v="72"/>
    <n v="29"/>
    <n v="47"/>
    <n v="54"/>
    <n v="30"/>
    <n v="16161"/>
    <n v="872694"/>
    <n v="0"/>
    <n v="468669"/>
    <x v="0"/>
    <x v="7"/>
    <x v="0"/>
  </r>
  <r>
    <x v="228"/>
    <x v="1"/>
    <x v="1"/>
    <x v="3"/>
    <x v="1"/>
    <n v="23"/>
    <n v="34"/>
    <n v="36"/>
    <n v="21"/>
    <n v="14"/>
    <n v="22704"/>
    <n v="476784"/>
    <n v="0"/>
    <n v="771936"/>
    <x v="0"/>
    <x v="7"/>
    <x v="0"/>
  </r>
  <r>
    <x v="228"/>
    <x v="14"/>
    <x v="3"/>
    <x v="3"/>
    <x v="3"/>
    <n v="141"/>
    <n v="30"/>
    <n v="88"/>
    <n v="83"/>
    <n v="58"/>
    <n v="15840"/>
    <n v="1314720"/>
    <n v="0"/>
    <n v="475200"/>
    <x v="0"/>
    <x v="7"/>
    <x v="0"/>
  </r>
  <r>
    <x v="229"/>
    <x v="11"/>
    <x v="2"/>
    <x v="3"/>
    <x v="0"/>
    <n v="329"/>
    <n v="154"/>
    <n v="201"/>
    <n v="282"/>
    <n v="129"/>
    <n v="393"/>
    <n v="110826"/>
    <n v="0"/>
    <n v="60522"/>
    <x v="0"/>
    <x v="7"/>
    <x v="0"/>
  </r>
  <r>
    <x v="229"/>
    <x v="12"/>
    <x v="1"/>
    <x v="1"/>
    <x v="2"/>
    <n v="27"/>
    <n v="6"/>
    <n v="9"/>
    <n v="24"/>
    <n v="10"/>
    <n v="3878"/>
    <n v="93072"/>
    <n v="0"/>
    <n v="23268"/>
    <x v="0"/>
    <x v="7"/>
    <x v="0"/>
  </r>
  <r>
    <x v="229"/>
    <x v="13"/>
    <x v="3"/>
    <x v="3"/>
    <x v="1"/>
    <n v="60"/>
    <n v="18"/>
    <n v="12"/>
    <n v="66"/>
    <n v="59"/>
    <n v="61387"/>
    <n v="4051542"/>
    <n v="0"/>
    <n v="1104966"/>
    <x v="0"/>
    <x v="7"/>
    <x v="0"/>
  </r>
  <r>
    <x v="229"/>
    <x v="2"/>
    <x v="0"/>
    <x v="3"/>
    <x v="5"/>
    <n v="68"/>
    <n v="66"/>
    <n v="7"/>
    <n v="127"/>
    <n v="30"/>
    <n v="9101"/>
    <n v="1155827"/>
    <n v="0"/>
    <n v="600666"/>
    <x v="0"/>
    <x v="7"/>
    <x v="0"/>
  </r>
  <r>
    <x v="229"/>
    <x v="9"/>
    <x v="0"/>
    <x v="1"/>
    <x v="5"/>
    <n v="97"/>
    <n v="54"/>
    <n v="32"/>
    <n v="119"/>
    <n v="21"/>
    <n v="9352"/>
    <n v="1112888"/>
    <n v="0"/>
    <n v="505008"/>
    <x v="0"/>
    <x v="7"/>
    <x v="0"/>
  </r>
  <r>
    <x v="230"/>
    <x v="13"/>
    <x v="3"/>
    <x v="3"/>
    <x v="0"/>
    <n v="135"/>
    <n v="18"/>
    <n v="67"/>
    <n v="86"/>
    <n v="27"/>
    <n v="57992"/>
    <n v="4987312"/>
    <n v="0"/>
    <n v="1043856"/>
    <x v="0"/>
    <x v="7"/>
    <x v="0"/>
  </r>
  <r>
    <x v="230"/>
    <x v="2"/>
    <x v="0"/>
    <x v="3"/>
    <x v="0"/>
    <n v="90"/>
    <n v="70"/>
    <n v="58"/>
    <n v="102"/>
    <n v="19"/>
    <n v="2962"/>
    <n v="302124"/>
    <n v="0"/>
    <n v="207340"/>
    <x v="0"/>
    <x v="7"/>
    <x v="0"/>
  </r>
  <r>
    <x v="230"/>
    <x v="2"/>
    <x v="0"/>
    <x v="2"/>
    <x v="5"/>
    <n v="116"/>
    <n v="63"/>
    <n v="51"/>
    <n v="128"/>
    <n v="22"/>
    <n v="5722"/>
    <n v="732416"/>
    <n v="0"/>
    <n v="360486"/>
    <x v="0"/>
    <x v="7"/>
    <x v="0"/>
  </r>
  <r>
    <x v="231"/>
    <x v="8"/>
    <x v="3"/>
    <x v="0"/>
    <x v="4"/>
    <n v="33"/>
    <n v="53"/>
    <n v="67"/>
    <n v="19"/>
    <n v="45"/>
    <n v="2045"/>
    <n v="38855"/>
    <n v="0"/>
    <n v="108385"/>
    <x v="1"/>
    <x v="7"/>
    <x v="0"/>
  </r>
  <r>
    <x v="231"/>
    <x v="17"/>
    <x v="2"/>
    <x v="3"/>
    <x v="4"/>
    <n v="228"/>
    <n v="101"/>
    <n v="219"/>
    <n v="110"/>
    <n v="91"/>
    <n v="614"/>
    <n v="67540"/>
    <n v="0"/>
    <n v="62014"/>
    <x v="0"/>
    <x v="7"/>
    <x v="0"/>
  </r>
  <r>
    <x v="231"/>
    <x v="8"/>
    <x v="3"/>
    <x v="3"/>
    <x v="5"/>
    <n v="122"/>
    <n v="28"/>
    <n v="50"/>
    <n v="100"/>
    <n v="51"/>
    <n v="58030"/>
    <n v="5803000"/>
    <n v="0"/>
    <n v="1624840"/>
    <x v="0"/>
    <x v="7"/>
    <x v="0"/>
  </r>
  <r>
    <x v="231"/>
    <x v="14"/>
    <x v="3"/>
    <x v="3"/>
    <x v="3"/>
    <n v="45"/>
    <n v="38"/>
    <n v="71"/>
    <n v="12"/>
    <n v="33"/>
    <n v="54553"/>
    <n v="654636"/>
    <n v="0"/>
    <n v="2073014"/>
    <x v="1"/>
    <x v="7"/>
    <x v="0"/>
  </r>
  <r>
    <x v="231"/>
    <x v="4"/>
    <x v="1"/>
    <x v="1"/>
    <x v="1"/>
    <n v="45"/>
    <n v="52"/>
    <n v="25"/>
    <n v="72"/>
    <n v="29"/>
    <n v="12872"/>
    <n v="926784"/>
    <n v="0"/>
    <n v="669344"/>
    <x v="0"/>
    <x v="7"/>
    <x v="0"/>
  </r>
  <r>
    <x v="231"/>
    <x v="14"/>
    <x v="3"/>
    <x v="3"/>
    <x v="3"/>
    <n v="167"/>
    <n v="106"/>
    <n v="44"/>
    <n v="229"/>
    <n v="54"/>
    <n v="22183"/>
    <n v="5079907"/>
    <n v="0"/>
    <n v="2351398"/>
    <x v="0"/>
    <x v="7"/>
    <x v="0"/>
  </r>
  <r>
    <x v="231"/>
    <x v="14"/>
    <x v="3"/>
    <x v="2"/>
    <x v="3"/>
    <n v="26"/>
    <n v="45"/>
    <n v="42"/>
    <n v="29"/>
    <n v="34"/>
    <n v="59119"/>
    <n v="1714451"/>
    <n v="0"/>
    <n v="2660355"/>
    <x v="1"/>
    <x v="7"/>
    <x v="0"/>
  </r>
  <r>
    <x v="232"/>
    <x v="1"/>
    <x v="1"/>
    <x v="2"/>
    <x v="1"/>
    <n v="19"/>
    <n v="57"/>
    <n v="10"/>
    <n v="66"/>
    <n v="29"/>
    <n v="1578"/>
    <n v="104148"/>
    <n v="0"/>
    <n v="89946"/>
    <x v="0"/>
    <x v="7"/>
    <x v="0"/>
  </r>
  <r>
    <x v="232"/>
    <x v="9"/>
    <x v="0"/>
    <x v="0"/>
    <x v="3"/>
    <n v="87"/>
    <n v="27"/>
    <n v="12"/>
    <n v="102"/>
    <n v="29"/>
    <n v="17208"/>
    <n v="1755216"/>
    <n v="0"/>
    <n v="464616"/>
    <x v="0"/>
    <x v="7"/>
    <x v="0"/>
  </r>
  <r>
    <x v="232"/>
    <x v="12"/>
    <x v="1"/>
    <x v="0"/>
    <x v="1"/>
    <n v="39"/>
    <n v="57"/>
    <n v="14"/>
    <n v="82"/>
    <n v="28"/>
    <n v="3056"/>
    <n v="250592"/>
    <n v="0"/>
    <n v="174192"/>
    <x v="0"/>
    <x v="7"/>
    <x v="0"/>
  </r>
  <r>
    <x v="232"/>
    <x v="19"/>
    <x v="0"/>
    <x v="2"/>
    <x v="5"/>
    <n v="110"/>
    <n v="67"/>
    <n v="30"/>
    <n v="147"/>
    <n v="29"/>
    <n v="1271"/>
    <n v="186837"/>
    <n v="0"/>
    <n v="85157"/>
    <x v="0"/>
    <x v="7"/>
    <x v="0"/>
  </r>
  <r>
    <x v="232"/>
    <x v="4"/>
    <x v="1"/>
    <x v="0"/>
    <x v="1"/>
    <n v="76"/>
    <n v="15"/>
    <n v="13"/>
    <n v="78"/>
    <n v="13"/>
    <n v="14822"/>
    <n v="1156116"/>
    <n v="0"/>
    <n v="222330"/>
    <x v="0"/>
    <x v="7"/>
    <x v="0"/>
  </r>
  <r>
    <x v="232"/>
    <x v="17"/>
    <x v="2"/>
    <x v="3"/>
    <x v="5"/>
    <n v="381"/>
    <n v="59"/>
    <n v="170"/>
    <n v="270"/>
    <n v="113"/>
    <n v="297"/>
    <n v="80190"/>
    <n v="0"/>
    <n v="17523"/>
    <x v="0"/>
    <x v="7"/>
    <x v="0"/>
  </r>
  <r>
    <x v="232"/>
    <x v="18"/>
    <x v="3"/>
    <x v="3"/>
    <x v="4"/>
    <n v="80"/>
    <n v="94"/>
    <n v="59"/>
    <n v="115"/>
    <n v="26"/>
    <n v="14350"/>
    <n v="1650250"/>
    <n v="0"/>
    <n v="1348900"/>
    <x v="0"/>
    <x v="7"/>
    <x v="0"/>
  </r>
  <r>
    <x v="232"/>
    <x v="14"/>
    <x v="3"/>
    <x v="2"/>
    <x v="1"/>
    <n v="58"/>
    <n v="80"/>
    <n v="34"/>
    <n v="104"/>
    <n v="20"/>
    <n v="8372"/>
    <n v="870688"/>
    <n v="0"/>
    <n v="669760"/>
    <x v="0"/>
    <x v="7"/>
    <x v="0"/>
  </r>
  <r>
    <x v="232"/>
    <x v="17"/>
    <x v="2"/>
    <x v="0"/>
    <x v="0"/>
    <n v="203"/>
    <n v="209"/>
    <n v="40"/>
    <n v="372"/>
    <n v="116"/>
    <n v="390"/>
    <n v="145080"/>
    <n v="0"/>
    <n v="81510"/>
    <x v="0"/>
    <x v="7"/>
    <x v="0"/>
  </r>
  <r>
    <x v="232"/>
    <x v="1"/>
    <x v="1"/>
    <x v="0"/>
    <x v="1"/>
    <n v="28"/>
    <n v="6"/>
    <n v="12"/>
    <n v="22"/>
    <n v="26"/>
    <n v="9918"/>
    <n v="218196"/>
    <n v="0"/>
    <n v="59508"/>
    <x v="1"/>
    <x v="7"/>
    <x v="0"/>
  </r>
  <r>
    <x v="232"/>
    <x v="6"/>
    <x v="3"/>
    <x v="0"/>
    <x v="0"/>
    <n v="29"/>
    <n v="95"/>
    <n v="61"/>
    <n v="63"/>
    <n v="41"/>
    <n v="62720"/>
    <n v="3951360"/>
    <n v="0"/>
    <n v="5958400"/>
    <x v="0"/>
    <x v="7"/>
    <x v="0"/>
  </r>
  <r>
    <x v="232"/>
    <x v="5"/>
    <x v="3"/>
    <x v="3"/>
    <x v="3"/>
    <n v="63"/>
    <n v="100"/>
    <n v="37"/>
    <n v="126"/>
    <n v="41"/>
    <n v="43611"/>
    <n v="5494986"/>
    <n v="0"/>
    <n v="4361100"/>
    <x v="0"/>
    <x v="7"/>
    <x v="0"/>
  </r>
  <r>
    <x v="233"/>
    <x v="12"/>
    <x v="1"/>
    <x v="3"/>
    <x v="4"/>
    <n v="66"/>
    <n v="49"/>
    <n v="10"/>
    <n v="105"/>
    <n v="16"/>
    <n v="15610"/>
    <n v="1639050"/>
    <n v="0"/>
    <n v="764890"/>
    <x v="0"/>
    <x v="7"/>
    <x v="0"/>
  </r>
  <r>
    <x v="233"/>
    <x v="2"/>
    <x v="0"/>
    <x v="1"/>
    <x v="0"/>
    <n v="38"/>
    <n v="30"/>
    <n v="63"/>
    <n v="5"/>
    <n v="24"/>
    <n v="5801"/>
    <n v="29005"/>
    <n v="0"/>
    <n v="174030"/>
    <x v="1"/>
    <x v="7"/>
    <x v="0"/>
  </r>
  <r>
    <x v="233"/>
    <x v="11"/>
    <x v="2"/>
    <x v="0"/>
    <x v="5"/>
    <n v="417"/>
    <n v="212"/>
    <n v="241"/>
    <n v="388"/>
    <n v="144"/>
    <n v="510"/>
    <n v="197880"/>
    <n v="0"/>
    <n v="108120"/>
    <x v="0"/>
    <x v="7"/>
    <x v="0"/>
  </r>
  <r>
    <x v="233"/>
    <x v="4"/>
    <x v="1"/>
    <x v="2"/>
    <x v="4"/>
    <n v="58"/>
    <n v="5"/>
    <n v="15"/>
    <n v="48"/>
    <n v="11"/>
    <n v="3327"/>
    <n v="159696"/>
    <n v="0"/>
    <n v="16635"/>
    <x v="0"/>
    <x v="7"/>
    <x v="0"/>
  </r>
  <r>
    <x v="233"/>
    <x v="7"/>
    <x v="2"/>
    <x v="0"/>
    <x v="1"/>
    <n v="424"/>
    <n v="64"/>
    <n v="206"/>
    <n v="282"/>
    <n v="60"/>
    <n v="44"/>
    <n v="12408"/>
    <n v="0"/>
    <n v="2816"/>
    <x v="0"/>
    <x v="7"/>
    <x v="0"/>
  </r>
  <r>
    <x v="233"/>
    <x v="19"/>
    <x v="0"/>
    <x v="1"/>
    <x v="2"/>
    <n v="95"/>
    <n v="61"/>
    <n v="10"/>
    <n v="146"/>
    <n v="35"/>
    <n v="1930"/>
    <n v="281780"/>
    <n v="0"/>
    <n v="117730"/>
    <x v="0"/>
    <x v="7"/>
    <x v="0"/>
  </r>
  <r>
    <x v="234"/>
    <x v="18"/>
    <x v="3"/>
    <x v="3"/>
    <x v="2"/>
    <n v="126"/>
    <n v="72"/>
    <n v="22"/>
    <n v="176"/>
    <n v="53"/>
    <n v="55984"/>
    <n v="9853184"/>
    <n v="0"/>
    <n v="4030848"/>
    <x v="0"/>
    <x v="7"/>
    <x v="0"/>
  </r>
  <r>
    <x v="234"/>
    <x v="11"/>
    <x v="2"/>
    <x v="1"/>
    <x v="4"/>
    <n v="394"/>
    <n v="51"/>
    <n v="278"/>
    <n v="167"/>
    <n v="78"/>
    <n v="789"/>
    <n v="131763"/>
    <n v="0"/>
    <n v="40239"/>
    <x v="0"/>
    <x v="7"/>
    <x v="0"/>
  </r>
  <r>
    <x v="234"/>
    <x v="4"/>
    <x v="1"/>
    <x v="2"/>
    <x v="0"/>
    <n v="31"/>
    <n v="7"/>
    <n v="16"/>
    <n v="22"/>
    <n v="24"/>
    <n v="3134"/>
    <n v="68948"/>
    <n v="0"/>
    <n v="21938"/>
    <x v="1"/>
    <x v="7"/>
    <x v="0"/>
  </r>
  <r>
    <x v="234"/>
    <x v="15"/>
    <x v="2"/>
    <x v="1"/>
    <x v="1"/>
    <n v="395"/>
    <n v="228"/>
    <n v="42"/>
    <n v="581"/>
    <n v="138"/>
    <n v="427"/>
    <n v="248087"/>
    <n v="0"/>
    <n v="97356"/>
    <x v="0"/>
    <x v="7"/>
    <x v="0"/>
  </r>
  <r>
    <x v="234"/>
    <x v="15"/>
    <x v="2"/>
    <x v="1"/>
    <x v="4"/>
    <n v="90"/>
    <n v="210"/>
    <n v="166"/>
    <n v="134"/>
    <n v="138"/>
    <n v="590"/>
    <n v="79060"/>
    <n v="0"/>
    <n v="123900"/>
    <x v="1"/>
    <x v="7"/>
    <x v="0"/>
  </r>
  <r>
    <x v="234"/>
    <x v="4"/>
    <x v="1"/>
    <x v="3"/>
    <x v="2"/>
    <n v="22"/>
    <n v="41"/>
    <n v="34"/>
    <n v="29"/>
    <n v="21"/>
    <n v="21491"/>
    <n v="623239"/>
    <n v="0"/>
    <n v="881131"/>
    <x v="0"/>
    <x v="7"/>
    <x v="0"/>
  </r>
  <r>
    <x v="235"/>
    <x v="16"/>
    <x v="1"/>
    <x v="0"/>
    <x v="2"/>
    <n v="43"/>
    <n v="46"/>
    <n v="21"/>
    <n v="68"/>
    <n v="13"/>
    <n v="21308"/>
    <n v="1448944"/>
    <n v="0"/>
    <n v="980168"/>
    <x v="0"/>
    <x v="7"/>
    <x v="0"/>
  </r>
  <r>
    <x v="235"/>
    <x v="7"/>
    <x v="2"/>
    <x v="1"/>
    <x v="1"/>
    <n v="177"/>
    <n v="229"/>
    <n v="40"/>
    <n v="366"/>
    <n v="70"/>
    <n v="511"/>
    <n v="187026"/>
    <n v="0"/>
    <n v="117019"/>
    <x v="0"/>
    <x v="7"/>
    <x v="0"/>
  </r>
  <r>
    <x v="235"/>
    <x v="16"/>
    <x v="1"/>
    <x v="2"/>
    <x v="5"/>
    <n v="24"/>
    <n v="16"/>
    <n v="30"/>
    <n v="10"/>
    <n v="16"/>
    <n v="8755"/>
    <n v="87550"/>
    <n v="0"/>
    <n v="140080"/>
    <x v="1"/>
    <x v="7"/>
    <x v="0"/>
  </r>
  <r>
    <x v="235"/>
    <x v="18"/>
    <x v="3"/>
    <x v="2"/>
    <x v="5"/>
    <n v="120"/>
    <n v="69"/>
    <n v="10"/>
    <n v="179"/>
    <n v="59"/>
    <n v="51211"/>
    <n v="9166769"/>
    <n v="0"/>
    <n v="3533559"/>
    <x v="0"/>
    <x v="7"/>
    <x v="0"/>
  </r>
  <r>
    <x v="235"/>
    <x v="7"/>
    <x v="2"/>
    <x v="3"/>
    <x v="1"/>
    <n v="389"/>
    <n v="257"/>
    <n v="18"/>
    <n v="628"/>
    <n v="109"/>
    <n v="1036"/>
    <n v="650608"/>
    <n v="0"/>
    <n v="266252"/>
    <x v="0"/>
    <x v="7"/>
    <x v="0"/>
  </r>
  <r>
    <x v="236"/>
    <x v="14"/>
    <x v="3"/>
    <x v="0"/>
    <x v="0"/>
    <n v="151"/>
    <n v="83"/>
    <n v="69"/>
    <n v="165"/>
    <n v="59"/>
    <n v="49396"/>
    <n v="8150340"/>
    <n v="0"/>
    <n v="4099868"/>
    <x v="0"/>
    <x v="7"/>
    <x v="0"/>
  </r>
  <r>
    <x v="236"/>
    <x v="8"/>
    <x v="3"/>
    <x v="1"/>
    <x v="3"/>
    <n v="121"/>
    <n v="102"/>
    <n v="73"/>
    <n v="150"/>
    <n v="21"/>
    <n v="17768"/>
    <n v="2665200"/>
    <n v="0"/>
    <n v="1812336"/>
    <x v="0"/>
    <x v="7"/>
    <x v="0"/>
  </r>
  <r>
    <x v="236"/>
    <x v="16"/>
    <x v="1"/>
    <x v="0"/>
    <x v="5"/>
    <n v="14"/>
    <n v="33"/>
    <n v="23"/>
    <n v="24"/>
    <n v="12"/>
    <n v="19084"/>
    <n v="458016"/>
    <n v="0"/>
    <n v="629772"/>
    <x v="0"/>
    <x v="7"/>
    <x v="0"/>
  </r>
  <r>
    <x v="236"/>
    <x v="12"/>
    <x v="1"/>
    <x v="1"/>
    <x v="5"/>
    <n v="21"/>
    <n v="19"/>
    <n v="33"/>
    <n v="7"/>
    <n v="28"/>
    <n v="9339"/>
    <n v="65373"/>
    <n v="0"/>
    <n v="177441"/>
    <x v="1"/>
    <x v="7"/>
    <x v="0"/>
  </r>
  <r>
    <x v="237"/>
    <x v="7"/>
    <x v="2"/>
    <x v="1"/>
    <x v="1"/>
    <n v="59"/>
    <n v="181"/>
    <n v="70"/>
    <n v="170"/>
    <n v="66"/>
    <n v="668"/>
    <n v="113560"/>
    <n v="0"/>
    <n v="120908"/>
    <x v="0"/>
    <x v="7"/>
    <x v="0"/>
  </r>
  <r>
    <x v="237"/>
    <x v="7"/>
    <x v="2"/>
    <x v="2"/>
    <x v="4"/>
    <n v="71"/>
    <n v="209"/>
    <n v="56"/>
    <n v="224"/>
    <n v="145"/>
    <n v="810"/>
    <n v="181440"/>
    <n v="0"/>
    <n v="169290"/>
    <x v="0"/>
    <x v="7"/>
    <x v="0"/>
  </r>
  <r>
    <x v="237"/>
    <x v="12"/>
    <x v="1"/>
    <x v="3"/>
    <x v="3"/>
    <n v="82"/>
    <n v="9"/>
    <n v="5"/>
    <n v="86"/>
    <n v="10"/>
    <n v="19783"/>
    <n v="1701338"/>
    <n v="0"/>
    <n v="178047"/>
    <x v="0"/>
    <x v="7"/>
    <x v="0"/>
  </r>
  <r>
    <x v="238"/>
    <x v="4"/>
    <x v="1"/>
    <x v="2"/>
    <x v="5"/>
    <n v="57"/>
    <n v="34"/>
    <n v="8"/>
    <n v="83"/>
    <n v="21"/>
    <n v="1940"/>
    <n v="161020"/>
    <n v="0"/>
    <n v="65960"/>
    <x v="0"/>
    <x v="7"/>
    <x v="0"/>
  </r>
  <r>
    <x v="238"/>
    <x v="1"/>
    <x v="1"/>
    <x v="2"/>
    <x v="1"/>
    <n v="76"/>
    <n v="55"/>
    <n v="34"/>
    <n v="97"/>
    <n v="24"/>
    <n v="21559"/>
    <n v="2091223"/>
    <n v="0"/>
    <n v="1185745"/>
    <x v="0"/>
    <x v="7"/>
    <x v="0"/>
  </r>
  <r>
    <x v="238"/>
    <x v="9"/>
    <x v="0"/>
    <x v="2"/>
    <x v="0"/>
    <n v="75"/>
    <n v="20"/>
    <n v="17"/>
    <n v="78"/>
    <n v="35"/>
    <n v="2951"/>
    <n v="230178"/>
    <n v="0"/>
    <n v="59020"/>
    <x v="0"/>
    <x v="7"/>
    <x v="0"/>
  </r>
  <r>
    <x v="238"/>
    <x v="7"/>
    <x v="2"/>
    <x v="2"/>
    <x v="3"/>
    <n v="187"/>
    <n v="283"/>
    <n v="14"/>
    <n v="456"/>
    <n v="97"/>
    <n v="903"/>
    <n v="411768"/>
    <n v="0"/>
    <n v="255549"/>
    <x v="0"/>
    <x v="7"/>
    <x v="0"/>
  </r>
  <r>
    <x v="238"/>
    <x v="17"/>
    <x v="2"/>
    <x v="1"/>
    <x v="0"/>
    <n v="426"/>
    <n v="295"/>
    <n v="74"/>
    <n v="647"/>
    <n v="94"/>
    <n v="22"/>
    <n v="14234"/>
    <n v="0"/>
    <n v="6490"/>
    <x v="0"/>
    <x v="7"/>
    <x v="0"/>
  </r>
  <r>
    <x v="238"/>
    <x v="8"/>
    <x v="3"/>
    <x v="2"/>
    <x v="3"/>
    <n v="97"/>
    <n v="30"/>
    <n v="28"/>
    <n v="99"/>
    <n v="37"/>
    <n v="29488"/>
    <n v="2919312"/>
    <n v="0"/>
    <n v="884640"/>
    <x v="0"/>
    <x v="7"/>
    <x v="0"/>
  </r>
  <r>
    <x v="238"/>
    <x v="17"/>
    <x v="2"/>
    <x v="0"/>
    <x v="4"/>
    <n v="289"/>
    <n v="141"/>
    <n v="97"/>
    <n v="333"/>
    <n v="97"/>
    <n v="495"/>
    <n v="164835"/>
    <n v="0"/>
    <n v="69795"/>
    <x v="0"/>
    <x v="7"/>
    <x v="0"/>
  </r>
  <r>
    <x v="238"/>
    <x v="8"/>
    <x v="3"/>
    <x v="2"/>
    <x v="4"/>
    <n v="156"/>
    <n v="92"/>
    <n v="46"/>
    <n v="202"/>
    <n v="55"/>
    <n v="42271"/>
    <n v="8538742"/>
    <n v="0"/>
    <n v="3888932"/>
    <x v="0"/>
    <x v="7"/>
    <x v="0"/>
  </r>
  <r>
    <x v="238"/>
    <x v="17"/>
    <x v="2"/>
    <x v="3"/>
    <x v="2"/>
    <n v="264"/>
    <n v="253"/>
    <n v="97"/>
    <n v="420"/>
    <n v="56"/>
    <n v="294"/>
    <n v="123480"/>
    <n v="0"/>
    <n v="74382"/>
    <x v="0"/>
    <x v="7"/>
    <x v="0"/>
  </r>
  <r>
    <x v="238"/>
    <x v="17"/>
    <x v="2"/>
    <x v="3"/>
    <x v="2"/>
    <n v="117"/>
    <n v="61"/>
    <n v="132"/>
    <n v="46"/>
    <n v="64"/>
    <n v="129"/>
    <n v="5934"/>
    <n v="0"/>
    <n v="7869"/>
    <x v="1"/>
    <x v="7"/>
    <x v="0"/>
  </r>
  <r>
    <x v="238"/>
    <x v="2"/>
    <x v="0"/>
    <x v="2"/>
    <x v="0"/>
    <n v="63"/>
    <n v="46"/>
    <n v="40"/>
    <n v="69"/>
    <n v="38"/>
    <n v="2526"/>
    <n v="174294"/>
    <n v="0"/>
    <n v="116196"/>
    <x v="0"/>
    <x v="7"/>
    <x v="0"/>
  </r>
  <r>
    <x v="238"/>
    <x v="12"/>
    <x v="1"/>
    <x v="3"/>
    <x v="4"/>
    <n v="14"/>
    <n v="57"/>
    <n v="25"/>
    <n v="46"/>
    <n v="18"/>
    <n v="24634"/>
    <n v="1133164"/>
    <n v="0"/>
    <n v="1404138"/>
    <x v="0"/>
    <x v="7"/>
    <x v="0"/>
  </r>
  <r>
    <x v="238"/>
    <x v="0"/>
    <x v="0"/>
    <x v="1"/>
    <x v="5"/>
    <n v="61"/>
    <n v="41"/>
    <n v="36"/>
    <n v="66"/>
    <n v="19"/>
    <n v="9944"/>
    <n v="656304"/>
    <n v="0"/>
    <n v="407704"/>
    <x v="0"/>
    <x v="7"/>
    <x v="0"/>
  </r>
  <r>
    <x v="239"/>
    <x v="18"/>
    <x v="3"/>
    <x v="2"/>
    <x v="0"/>
    <n v="77"/>
    <n v="88"/>
    <n v="59"/>
    <n v="106"/>
    <n v="45"/>
    <n v="32880"/>
    <n v="3485280"/>
    <n v="0"/>
    <n v="2893440"/>
    <x v="0"/>
    <x v="7"/>
    <x v="0"/>
  </r>
  <r>
    <x v="239"/>
    <x v="0"/>
    <x v="0"/>
    <x v="3"/>
    <x v="3"/>
    <n v="73"/>
    <n v="19"/>
    <n v="31"/>
    <n v="61"/>
    <n v="32"/>
    <n v="14760"/>
    <n v="900360"/>
    <n v="0"/>
    <n v="280440"/>
    <x v="0"/>
    <x v="7"/>
    <x v="0"/>
  </r>
  <r>
    <x v="239"/>
    <x v="13"/>
    <x v="3"/>
    <x v="0"/>
    <x v="4"/>
    <n v="26"/>
    <n v="113"/>
    <n v="10"/>
    <n v="129"/>
    <n v="58"/>
    <n v="49879"/>
    <n v="6434391"/>
    <n v="0"/>
    <n v="5636327"/>
    <x v="0"/>
    <x v="7"/>
    <x v="0"/>
  </r>
  <r>
    <x v="239"/>
    <x v="15"/>
    <x v="2"/>
    <x v="3"/>
    <x v="0"/>
    <n v="265"/>
    <n v="206"/>
    <n v="62"/>
    <n v="409"/>
    <n v="115"/>
    <n v="580"/>
    <n v="237220"/>
    <n v="0"/>
    <n v="119480"/>
    <x v="0"/>
    <x v="7"/>
    <x v="0"/>
  </r>
  <r>
    <x v="239"/>
    <x v="9"/>
    <x v="0"/>
    <x v="2"/>
    <x v="1"/>
    <n v="92"/>
    <n v="29"/>
    <n v="36"/>
    <n v="85"/>
    <n v="20"/>
    <n v="9747"/>
    <n v="828495"/>
    <n v="0"/>
    <n v="282663"/>
    <x v="0"/>
    <x v="7"/>
    <x v="0"/>
  </r>
  <r>
    <x v="239"/>
    <x v="17"/>
    <x v="2"/>
    <x v="1"/>
    <x v="0"/>
    <n v="484"/>
    <n v="241"/>
    <n v="107"/>
    <n v="618"/>
    <n v="139"/>
    <n v="545"/>
    <n v="336810"/>
    <n v="0"/>
    <n v="131345"/>
    <x v="0"/>
    <x v="7"/>
    <x v="0"/>
  </r>
  <r>
    <x v="239"/>
    <x v="12"/>
    <x v="1"/>
    <x v="2"/>
    <x v="4"/>
    <n v="99"/>
    <n v="44"/>
    <n v="10"/>
    <n v="133"/>
    <n v="22"/>
    <n v="14141"/>
    <n v="1880753"/>
    <n v="0"/>
    <n v="622204"/>
    <x v="0"/>
    <x v="7"/>
    <x v="0"/>
  </r>
  <r>
    <x v="239"/>
    <x v="14"/>
    <x v="3"/>
    <x v="1"/>
    <x v="2"/>
    <n v="83"/>
    <n v="71"/>
    <n v="23"/>
    <n v="131"/>
    <n v="35"/>
    <n v="36331"/>
    <n v="4759361"/>
    <n v="0"/>
    <n v="2579501"/>
    <x v="0"/>
    <x v="7"/>
    <x v="0"/>
  </r>
  <r>
    <x v="240"/>
    <x v="14"/>
    <x v="3"/>
    <x v="1"/>
    <x v="1"/>
    <n v="132"/>
    <n v="33"/>
    <n v="51"/>
    <n v="114"/>
    <n v="38"/>
    <n v="62182"/>
    <n v="7088748"/>
    <n v="0"/>
    <n v="2052006"/>
    <x v="0"/>
    <x v="7"/>
    <x v="0"/>
  </r>
  <r>
    <x v="240"/>
    <x v="0"/>
    <x v="0"/>
    <x v="1"/>
    <x v="1"/>
    <n v="102"/>
    <n v="62"/>
    <n v="62"/>
    <n v="102"/>
    <n v="18"/>
    <n v="7277"/>
    <n v="742254"/>
    <n v="0"/>
    <n v="451174"/>
    <x v="0"/>
    <x v="7"/>
    <x v="0"/>
  </r>
  <r>
    <x v="240"/>
    <x v="17"/>
    <x v="2"/>
    <x v="1"/>
    <x v="5"/>
    <n v="279"/>
    <n v="47"/>
    <n v="156"/>
    <n v="170"/>
    <n v="100"/>
    <n v="263"/>
    <n v="44710"/>
    <n v="0"/>
    <n v="12361"/>
    <x v="0"/>
    <x v="7"/>
    <x v="0"/>
  </r>
  <r>
    <x v="241"/>
    <x v="2"/>
    <x v="0"/>
    <x v="0"/>
    <x v="5"/>
    <n v="111"/>
    <n v="6"/>
    <n v="35"/>
    <n v="82"/>
    <n v="27"/>
    <n v="14756"/>
    <n v="1209992"/>
    <n v="0"/>
    <n v="88536"/>
    <x v="0"/>
    <x v="7"/>
    <x v="0"/>
  </r>
  <r>
    <x v="241"/>
    <x v="11"/>
    <x v="2"/>
    <x v="2"/>
    <x v="0"/>
    <n v="200"/>
    <n v="92"/>
    <n v="163"/>
    <n v="129"/>
    <n v="109"/>
    <n v="528"/>
    <n v="68112"/>
    <n v="0"/>
    <n v="48576"/>
    <x v="0"/>
    <x v="7"/>
    <x v="0"/>
  </r>
  <r>
    <x v="241"/>
    <x v="15"/>
    <x v="2"/>
    <x v="2"/>
    <x v="0"/>
    <n v="265"/>
    <n v="280"/>
    <n v="135"/>
    <n v="410"/>
    <n v="99"/>
    <n v="236"/>
    <n v="96760"/>
    <n v="0"/>
    <n v="66080"/>
    <x v="0"/>
    <x v="7"/>
    <x v="0"/>
  </r>
  <r>
    <x v="241"/>
    <x v="10"/>
    <x v="2"/>
    <x v="3"/>
    <x v="1"/>
    <n v="331"/>
    <n v="270"/>
    <n v="14"/>
    <n v="587"/>
    <n v="124"/>
    <n v="380"/>
    <n v="223060"/>
    <n v="0"/>
    <n v="102600"/>
    <x v="0"/>
    <x v="7"/>
    <x v="0"/>
  </r>
  <r>
    <x v="241"/>
    <x v="18"/>
    <x v="3"/>
    <x v="3"/>
    <x v="4"/>
    <n v="150"/>
    <n v="102"/>
    <n v="95"/>
    <n v="157"/>
    <n v="50"/>
    <n v="37284"/>
    <n v="5853588"/>
    <n v="0"/>
    <n v="3802968"/>
    <x v="0"/>
    <x v="7"/>
    <x v="0"/>
  </r>
  <r>
    <x v="241"/>
    <x v="17"/>
    <x v="2"/>
    <x v="3"/>
    <x v="0"/>
    <n v="239"/>
    <n v="258"/>
    <n v="75"/>
    <n v="422"/>
    <n v="53"/>
    <n v="991"/>
    <n v="418202"/>
    <n v="0"/>
    <n v="255678"/>
    <x v="0"/>
    <x v="7"/>
    <x v="0"/>
  </r>
  <r>
    <x v="242"/>
    <x v="13"/>
    <x v="3"/>
    <x v="2"/>
    <x v="0"/>
    <n v="25"/>
    <n v="83"/>
    <n v="99"/>
    <n v="9"/>
    <n v="21"/>
    <n v="22200"/>
    <n v="199800"/>
    <n v="0"/>
    <n v="1842600"/>
    <x v="1"/>
    <x v="7"/>
    <x v="0"/>
  </r>
  <r>
    <x v="242"/>
    <x v="3"/>
    <x v="2"/>
    <x v="3"/>
    <x v="4"/>
    <n v="200"/>
    <n v="276"/>
    <n v="228"/>
    <n v="248"/>
    <n v="95"/>
    <n v="28"/>
    <n v="6944"/>
    <n v="0"/>
    <n v="7728"/>
    <x v="0"/>
    <x v="7"/>
    <x v="0"/>
  </r>
  <r>
    <x v="242"/>
    <x v="13"/>
    <x v="3"/>
    <x v="1"/>
    <x v="5"/>
    <n v="161"/>
    <n v="29"/>
    <n v="93"/>
    <n v="97"/>
    <n v="27"/>
    <n v="19209"/>
    <n v="1863273"/>
    <n v="0"/>
    <n v="557061"/>
    <x v="0"/>
    <x v="7"/>
    <x v="0"/>
  </r>
  <r>
    <x v="242"/>
    <x v="17"/>
    <x v="2"/>
    <x v="1"/>
    <x v="3"/>
    <n v="487"/>
    <n v="236"/>
    <n v="258"/>
    <n v="465"/>
    <n v="128"/>
    <n v="724"/>
    <n v="336660"/>
    <n v="0"/>
    <n v="170864"/>
    <x v="0"/>
    <x v="7"/>
    <x v="0"/>
  </r>
  <r>
    <x v="242"/>
    <x v="6"/>
    <x v="3"/>
    <x v="2"/>
    <x v="5"/>
    <n v="177"/>
    <n v="53"/>
    <n v="59"/>
    <n v="171"/>
    <n v="37"/>
    <n v="51302"/>
    <n v="8772642"/>
    <n v="0"/>
    <n v="2719006"/>
    <x v="0"/>
    <x v="7"/>
    <x v="0"/>
  </r>
  <r>
    <x v="243"/>
    <x v="3"/>
    <x v="2"/>
    <x v="1"/>
    <x v="4"/>
    <n v="390"/>
    <n v="220"/>
    <n v="106"/>
    <n v="504"/>
    <n v="83"/>
    <n v="468"/>
    <n v="235872"/>
    <n v="0"/>
    <n v="102960"/>
    <x v="0"/>
    <x v="8"/>
    <x v="0"/>
  </r>
  <r>
    <x v="243"/>
    <x v="18"/>
    <x v="3"/>
    <x v="0"/>
    <x v="2"/>
    <n v="113"/>
    <n v="30"/>
    <n v="59"/>
    <n v="84"/>
    <n v="41"/>
    <n v="43481"/>
    <n v="3652404"/>
    <n v="0"/>
    <n v="1304430"/>
    <x v="0"/>
    <x v="8"/>
    <x v="0"/>
  </r>
  <r>
    <x v="244"/>
    <x v="7"/>
    <x v="2"/>
    <x v="0"/>
    <x v="4"/>
    <n v="268"/>
    <n v="131"/>
    <n v="213"/>
    <n v="186"/>
    <n v="147"/>
    <n v="585"/>
    <n v="108810"/>
    <n v="0"/>
    <n v="76635"/>
    <x v="0"/>
    <x v="8"/>
    <x v="0"/>
  </r>
  <r>
    <x v="244"/>
    <x v="3"/>
    <x v="2"/>
    <x v="1"/>
    <x v="1"/>
    <n v="369"/>
    <n v="157"/>
    <n v="26"/>
    <n v="500"/>
    <n v="62"/>
    <n v="90"/>
    <n v="45000"/>
    <n v="0"/>
    <n v="14130"/>
    <x v="0"/>
    <x v="8"/>
    <x v="0"/>
  </r>
  <r>
    <x v="244"/>
    <x v="15"/>
    <x v="2"/>
    <x v="1"/>
    <x v="1"/>
    <n v="385"/>
    <n v="220"/>
    <n v="191"/>
    <n v="414"/>
    <n v="126"/>
    <n v="353"/>
    <n v="146142"/>
    <n v="0"/>
    <n v="77660"/>
    <x v="0"/>
    <x v="8"/>
    <x v="0"/>
  </r>
  <r>
    <x v="244"/>
    <x v="3"/>
    <x v="2"/>
    <x v="2"/>
    <x v="0"/>
    <n v="115"/>
    <n v="295"/>
    <n v="214"/>
    <n v="196"/>
    <n v="133"/>
    <n v="161"/>
    <n v="31556"/>
    <n v="0"/>
    <n v="47495"/>
    <x v="0"/>
    <x v="8"/>
    <x v="0"/>
  </r>
  <r>
    <x v="244"/>
    <x v="3"/>
    <x v="2"/>
    <x v="1"/>
    <x v="2"/>
    <n v="409"/>
    <n v="202"/>
    <n v="221"/>
    <n v="390"/>
    <n v="94"/>
    <n v="615"/>
    <n v="239850"/>
    <n v="0"/>
    <n v="124230"/>
    <x v="0"/>
    <x v="8"/>
    <x v="0"/>
  </r>
  <r>
    <x v="244"/>
    <x v="13"/>
    <x v="3"/>
    <x v="0"/>
    <x v="3"/>
    <n v="99"/>
    <n v="75"/>
    <n v="38"/>
    <n v="136"/>
    <n v="27"/>
    <n v="6166"/>
    <n v="838576"/>
    <n v="0"/>
    <n v="462450"/>
    <x v="0"/>
    <x v="8"/>
    <x v="0"/>
  </r>
  <r>
    <x v="245"/>
    <x v="12"/>
    <x v="1"/>
    <x v="0"/>
    <x v="3"/>
    <n v="44"/>
    <n v="52"/>
    <n v="12"/>
    <n v="84"/>
    <n v="11"/>
    <n v="6789"/>
    <n v="570276"/>
    <n v="0"/>
    <n v="353028"/>
    <x v="0"/>
    <x v="8"/>
    <x v="0"/>
  </r>
  <r>
    <x v="245"/>
    <x v="13"/>
    <x v="3"/>
    <x v="0"/>
    <x v="3"/>
    <n v="77"/>
    <n v="99"/>
    <n v="76"/>
    <n v="100"/>
    <n v="40"/>
    <n v="17567"/>
    <n v="1756700"/>
    <n v="0"/>
    <n v="1739133"/>
    <x v="0"/>
    <x v="8"/>
    <x v="0"/>
  </r>
  <r>
    <x v="245"/>
    <x v="13"/>
    <x v="3"/>
    <x v="3"/>
    <x v="4"/>
    <n v="108"/>
    <n v="109"/>
    <n v="58"/>
    <n v="159"/>
    <n v="47"/>
    <n v="51536"/>
    <n v="8194224"/>
    <n v="0"/>
    <n v="5617424"/>
    <x v="0"/>
    <x v="8"/>
    <x v="0"/>
  </r>
  <r>
    <x v="245"/>
    <x v="16"/>
    <x v="1"/>
    <x v="1"/>
    <x v="2"/>
    <n v="99"/>
    <n v="12"/>
    <n v="25"/>
    <n v="86"/>
    <n v="28"/>
    <n v="15203"/>
    <n v="1307458"/>
    <n v="0"/>
    <n v="182436"/>
    <x v="0"/>
    <x v="8"/>
    <x v="0"/>
  </r>
  <r>
    <x v="245"/>
    <x v="5"/>
    <x v="3"/>
    <x v="2"/>
    <x v="0"/>
    <n v="92"/>
    <n v="31"/>
    <n v="5"/>
    <n v="118"/>
    <n v="28"/>
    <n v="12132"/>
    <n v="1431576"/>
    <n v="0"/>
    <n v="376092"/>
    <x v="0"/>
    <x v="8"/>
    <x v="0"/>
  </r>
  <r>
    <x v="245"/>
    <x v="12"/>
    <x v="1"/>
    <x v="1"/>
    <x v="3"/>
    <n v="31"/>
    <n v="33"/>
    <n v="34"/>
    <n v="30"/>
    <n v="22"/>
    <n v="6747"/>
    <n v="202410"/>
    <n v="0"/>
    <n v="222651"/>
    <x v="0"/>
    <x v="8"/>
    <x v="0"/>
  </r>
  <r>
    <x v="245"/>
    <x v="4"/>
    <x v="1"/>
    <x v="0"/>
    <x v="4"/>
    <n v="25"/>
    <n v="51"/>
    <n v="20"/>
    <n v="56"/>
    <n v="27"/>
    <n v="13198"/>
    <n v="739088"/>
    <n v="0"/>
    <n v="673098"/>
    <x v="0"/>
    <x v="8"/>
    <x v="0"/>
  </r>
  <r>
    <x v="245"/>
    <x v="9"/>
    <x v="0"/>
    <x v="2"/>
    <x v="4"/>
    <n v="73"/>
    <n v="7"/>
    <n v="36"/>
    <n v="44"/>
    <n v="16"/>
    <n v="1300"/>
    <n v="57200"/>
    <n v="0"/>
    <n v="9100"/>
    <x v="0"/>
    <x v="8"/>
    <x v="0"/>
  </r>
  <r>
    <x v="245"/>
    <x v="13"/>
    <x v="3"/>
    <x v="3"/>
    <x v="0"/>
    <n v="152"/>
    <n v="19"/>
    <n v="56"/>
    <n v="115"/>
    <n v="51"/>
    <n v="62140"/>
    <n v="7146100"/>
    <n v="0"/>
    <n v="1180660"/>
    <x v="0"/>
    <x v="8"/>
    <x v="0"/>
  </r>
  <r>
    <x v="246"/>
    <x v="7"/>
    <x v="2"/>
    <x v="2"/>
    <x v="1"/>
    <n v="260"/>
    <n v="68"/>
    <n v="261"/>
    <n v="67"/>
    <n v="84"/>
    <n v="945"/>
    <n v="63315"/>
    <n v="0"/>
    <n v="64260"/>
    <x v="1"/>
    <x v="8"/>
    <x v="0"/>
  </r>
  <r>
    <x v="247"/>
    <x v="17"/>
    <x v="2"/>
    <x v="3"/>
    <x v="0"/>
    <n v="261"/>
    <n v="182"/>
    <n v="167"/>
    <n v="276"/>
    <n v="66"/>
    <n v="240"/>
    <n v="66240"/>
    <n v="0"/>
    <n v="43680"/>
    <x v="0"/>
    <x v="8"/>
    <x v="0"/>
  </r>
  <r>
    <x v="247"/>
    <x v="10"/>
    <x v="2"/>
    <x v="2"/>
    <x v="1"/>
    <n v="176"/>
    <n v="59"/>
    <n v="33"/>
    <n v="202"/>
    <n v="149"/>
    <n v="150"/>
    <n v="30300"/>
    <n v="0"/>
    <n v="8850"/>
    <x v="0"/>
    <x v="8"/>
    <x v="0"/>
  </r>
  <r>
    <x v="247"/>
    <x v="15"/>
    <x v="2"/>
    <x v="3"/>
    <x v="4"/>
    <n v="58"/>
    <n v="63"/>
    <n v="121"/>
    <n v="0"/>
    <n v="64"/>
    <n v="604"/>
    <n v="0"/>
    <n v="0"/>
    <n v="38052"/>
    <x v="1"/>
    <x v="8"/>
    <x v="0"/>
  </r>
  <r>
    <x v="247"/>
    <x v="4"/>
    <x v="1"/>
    <x v="1"/>
    <x v="3"/>
    <n v="62"/>
    <n v="43"/>
    <n v="12"/>
    <n v="93"/>
    <n v="25"/>
    <n v="11817"/>
    <n v="1098981"/>
    <n v="0"/>
    <n v="508131"/>
    <x v="0"/>
    <x v="8"/>
    <x v="0"/>
  </r>
  <r>
    <x v="248"/>
    <x v="17"/>
    <x v="2"/>
    <x v="3"/>
    <x v="5"/>
    <n v="271"/>
    <n v="167"/>
    <n v="150"/>
    <n v="288"/>
    <n v="105"/>
    <n v="901"/>
    <n v="259488"/>
    <n v="0"/>
    <n v="150467"/>
    <x v="0"/>
    <x v="8"/>
    <x v="0"/>
  </r>
  <r>
    <x v="248"/>
    <x v="12"/>
    <x v="1"/>
    <x v="0"/>
    <x v="0"/>
    <n v="21"/>
    <n v="25"/>
    <n v="12"/>
    <n v="34"/>
    <n v="21"/>
    <n v="3406"/>
    <n v="115804"/>
    <n v="0"/>
    <n v="85150"/>
    <x v="0"/>
    <x v="8"/>
    <x v="0"/>
  </r>
  <r>
    <x v="248"/>
    <x v="7"/>
    <x v="2"/>
    <x v="2"/>
    <x v="1"/>
    <n v="300"/>
    <n v="200"/>
    <n v="192"/>
    <n v="308"/>
    <n v="115"/>
    <n v="1045"/>
    <n v="321860"/>
    <n v="0"/>
    <n v="209000"/>
    <x v="0"/>
    <x v="8"/>
    <x v="0"/>
  </r>
  <r>
    <x v="248"/>
    <x v="3"/>
    <x v="2"/>
    <x v="2"/>
    <x v="0"/>
    <n v="57"/>
    <n v="182"/>
    <n v="183"/>
    <n v="56"/>
    <n v="96"/>
    <n v="1024"/>
    <n v="57344"/>
    <n v="0"/>
    <n v="186368"/>
    <x v="1"/>
    <x v="8"/>
    <x v="0"/>
  </r>
  <r>
    <x v="249"/>
    <x v="15"/>
    <x v="2"/>
    <x v="1"/>
    <x v="1"/>
    <n v="184"/>
    <n v="119"/>
    <n v="88"/>
    <n v="215"/>
    <n v="91"/>
    <n v="708"/>
    <n v="152220"/>
    <n v="0"/>
    <n v="84252"/>
    <x v="0"/>
    <x v="8"/>
    <x v="0"/>
  </r>
  <r>
    <x v="249"/>
    <x v="5"/>
    <x v="3"/>
    <x v="0"/>
    <x v="2"/>
    <n v="67"/>
    <n v="51"/>
    <n v="51"/>
    <n v="67"/>
    <n v="21"/>
    <n v="28794"/>
    <n v="1929198"/>
    <n v="0"/>
    <n v="1468494"/>
    <x v="0"/>
    <x v="8"/>
    <x v="0"/>
  </r>
  <r>
    <x v="249"/>
    <x v="18"/>
    <x v="3"/>
    <x v="0"/>
    <x v="0"/>
    <n v="87"/>
    <n v="38"/>
    <n v="66"/>
    <n v="59"/>
    <n v="39"/>
    <n v="31323"/>
    <n v="1848057"/>
    <n v="0"/>
    <n v="1190274"/>
    <x v="0"/>
    <x v="8"/>
    <x v="0"/>
  </r>
  <r>
    <x v="249"/>
    <x v="19"/>
    <x v="0"/>
    <x v="0"/>
    <x v="4"/>
    <n v="105"/>
    <n v="27"/>
    <n v="61"/>
    <n v="71"/>
    <n v="28"/>
    <n v="15923"/>
    <n v="1130533"/>
    <n v="0"/>
    <n v="429921"/>
    <x v="0"/>
    <x v="8"/>
    <x v="0"/>
  </r>
  <r>
    <x v="249"/>
    <x v="13"/>
    <x v="3"/>
    <x v="2"/>
    <x v="4"/>
    <n v="57"/>
    <n v="107"/>
    <n v="12"/>
    <n v="152"/>
    <n v="40"/>
    <n v="27907"/>
    <n v="4241864"/>
    <n v="0"/>
    <n v="2986049"/>
    <x v="0"/>
    <x v="8"/>
    <x v="0"/>
  </r>
  <r>
    <x v="250"/>
    <x v="1"/>
    <x v="1"/>
    <x v="1"/>
    <x v="5"/>
    <n v="46"/>
    <n v="19"/>
    <n v="29"/>
    <n v="36"/>
    <n v="11"/>
    <n v="9197"/>
    <n v="331092"/>
    <n v="0"/>
    <n v="174743"/>
    <x v="0"/>
    <x v="8"/>
    <x v="0"/>
  </r>
  <r>
    <x v="250"/>
    <x v="17"/>
    <x v="2"/>
    <x v="0"/>
    <x v="2"/>
    <n v="61"/>
    <n v="241"/>
    <n v="121"/>
    <n v="181"/>
    <n v="61"/>
    <n v="742"/>
    <n v="134302"/>
    <n v="0"/>
    <n v="178822"/>
    <x v="0"/>
    <x v="8"/>
    <x v="0"/>
  </r>
  <r>
    <x v="251"/>
    <x v="0"/>
    <x v="0"/>
    <x v="1"/>
    <x v="1"/>
    <n v="71"/>
    <n v="62"/>
    <n v="29"/>
    <n v="104"/>
    <n v="30"/>
    <n v="926"/>
    <n v="96304"/>
    <n v="0"/>
    <n v="57412"/>
    <x v="0"/>
    <x v="8"/>
    <x v="0"/>
  </r>
  <r>
    <x v="251"/>
    <x v="1"/>
    <x v="1"/>
    <x v="3"/>
    <x v="4"/>
    <n v="79"/>
    <n v="58"/>
    <n v="36"/>
    <n v="101"/>
    <n v="10"/>
    <n v="10821"/>
    <n v="1092921"/>
    <n v="0"/>
    <n v="627618"/>
    <x v="0"/>
    <x v="8"/>
    <x v="0"/>
  </r>
  <r>
    <x v="251"/>
    <x v="7"/>
    <x v="2"/>
    <x v="1"/>
    <x v="5"/>
    <n v="62"/>
    <n v="105"/>
    <n v="60"/>
    <n v="107"/>
    <n v="70"/>
    <n v="806"/>
    <n v="86242"/>
    <n v="0"/>
    <n v="84630"/>
    <x v="0"/>
    <x v="8"/>
    <x v="0"/>
  </r>
  <r>
    <x v="251"/>
    <x v="5"/>
    <x v="3"/>
    <x v="2"/>
    <x v="4"/>
    <n v="79"/>
    <n v="86"/>
    <n v="12"/>
    <n v="153"/>
    <n v="36"/>
    <n v="63142"/>
    <n v="9660726"/>
    <n v="0"/>
    <n v="5430212"/>
    <x v="0"/>
    <x v="8"/>
    <x v="0"/>
  </r>
  <r>
    <x v="251"/>
    <x v="16"/>
    <x v="1"/>
    <x v="1"/>
    <x v="3"/>
    <n v="47"/>
    <n v="47"/>
    <n v="22"/>
    <n v="72"/>
    <n v="23"/>
    <n v="10678"/>
    <n v="768816"/>
    <n v="0"/>
    <n v="501866"/>
    <x v="0"/>
    <x v="8"/>
    <x v="0"/>
  </r>
  <r>
    <x v="251"/>
    <x v="5"/>
    <x v="3"/>
    <x v="0"/>
    <x v="1"/>
    <n v="66"/>
    <n v="65"/>
    <n v="90"/>
    <n v="41"/>
    <n v="45"/>
    <n v="9517"/>
    <n v="390197"/>
    <n v="0"/>
    <n v="618605"/>
    <x v="1"/>
    <x v="8"/>
    <x v="0"/>
  </r>
  <r>
    <x v="251"/>
    <x v="18"/>
    <x v="3"/>
    <x v="3"/>
    <x v="0"/>
    <n v="145"/>
    <n v="58"/>
    <n v="41"/>
    <n v="162"/>
    <n v="54"/>
    <n v="15545"/>
    <n v="2518290"/>
    <n v="0"/>
    <n v="901610"/>
    <x v="0"/>
    <x v="8"/>
    <x v="0"/>
  </r>
  <r>
    <x v="251"/>
    <x v="9"/>
    <x v="0"/>
    <x v="2"/>
    <x v="5"/>
    <n v="66"/>
    <n v="69"/>
    <n v="41"/>
    <n v="94"/>
    <n v="17"/>
    <n v="10380"/>
    <n v="975720"/>
    <n v="0"/>
    <n v="716220"/>
    <x v="0"/>
    <x v="8"/>
    <x v="0"/>
  </r>
  <r>
    <x v="251"/>
    <x v="1"/>
    <x v="1"/>
    <x v="0"/>
    <x v="2"/>
    <n v="23"/>
    <n v="50"/>
    <n v="16"/>
    <n v="57"/>
    <n v="24"/>
    <n v="9118"/>
    <n v="519726"/>
    <n v="0"/>
    <n v="455900"/>
    <x v="0"/>
    <x v="8"/>
    <x v="0"/>
  </r>
  <r>
    <x v="252"/>
    <x v="12"/>
    <x v="1"/>
    <x v="1"/>
    <x v="1"/>
    <n v="32"/>
    <n v="14"/>
    <n v="6"/>
    <n v="40"/>
    <n v="29"/>
    <n v="4349"/>
    <n v="173960"/>
    <n v="0"/>
    <n v="60886"/>
    <x v="0"/>
    <x v="8"/>
    <x v="0"/>
  </r>
  <r>
    <x v="252"/>
    <x v="6"/>
    <x v="3"/>
    <x v="1"/>
    <x v="5"/>
    <n v="84"/>
    <n v="61"/>
    <n v="94"/>
    <n v="51"/>
    <n v="31"/>
    <n v="49689"/>
    <n v="2534139"/>
    <n v="0"/>
    <n v="3031029"/>
    <x v="0"/>
    <x v="8"/>
    <x v="0"/>
  </r>
  <r>
    <x v="252"/>
    <x v="8"/>
    <x v="3"/>
    <x v="1"/>
    <x v="3"/>
    <n v="93"/>
    <n v="113"/>
    <n v="42"/>
    <n v="164"/>
    <n v="27"/>
    <n v="44965"/>
    <n v="7374260"/>
    <n v="0"/>
    <n v="5081045"/>
    <x v="0"/>
    <x v="8"/>
    <x v="0"/>
  </r>
  <r>
    <x v="253"/>
    <x v="1"/>
    <x v="1"/>
    <x v="1"/>
    <x v="3"/>
    <n v="24"/>
    <n v="52"/>
    <n v="37"/>
    <n v="39"/>
    <n v="15"/>
    <n v="19760"/>
    <n v="770640"/>
    <n v="0"/>
    <n v="1027520"/>
    <x v="0"/>
    <x v="8"/>
    <x v="0"/>
  </r>
  <r>
    <x v="253"/>
    <x v="5"/>
    <x v="3"/>
    <x v="2"/>
    <x v="5"/>
    <n v="20"/>
    <n v="67"/>
    <n v="87"/>
    <n v="0"/>
    <n v="45"/>
    <n v="36214"/>
    <n v="0"/>
    <n v="0"/>
    <n v="2426338"/>
    <x v="1"/>
    <x v="8"/>
    <x v="0"/>
  </r>
  <r>
    <x v="253"/>
    <x v="3"/>
    <x v="2"/>
    <x v="2"/>
    <x v="5"/>
    <n v="69"/>
    <n v="87"/>
    <n v="121"/>
    <n v="35"/>
    <n v="106"/>
    <n v="1004"/>
    <n v="35140"/>
    <n v="0"/>
    <n v="87348"/>
    <x v="1"/>
    <x v="8"/>
    <x v="0"/>
  </r>
  <r>
    <x v="253"/>
    <x v="4"/>
    <x v="1"/>
    <x v="1"/>
    <x v="2"/>
    <n v="89"/>
    <n v="45"/>
    <n v="31"/>
    <n v="103"/>
    <n v="11"/>
    <n v="8543"/>
    <n v="879929"/>
    <n v="0"/>
    <n v="384435"/>
    <x v="0"/>
    <x v="8"/>
    <x v="0"/>
  </r>
  <r>
    <x v="253"/>
    <x v="3"/>
    <x v="2"/>
    <x v="2"/>
    <x v="4"/>
    <n v="285"/>
    <n v="55"/>
    <n v="81"/>
    <n v="259"/>
    <n v="65"/>
    <n v="290"/>
    <n v="75110"/>
    <n v="0"/>
    <n v="15950"/>
    <x v="0"/>
    <x v="8"/>
    <x v="0"/>
  </r>
  <r>
    <x v="253"/>
    <x v="3"/>
    <x v="2"/>
    <x v="0"/>
    <x v="4"/>
    <n v="466"/>
    <n v="98"/>
    <n v="239"/>
    <n v="325"/>
    <n v="97"/>
    <n v="86"/>
    <n v="27950"/>
    <n v="0"/>
    <n v="8428"/>
    <x v="0"/>
    <x v="8"/>
    <x v="0"/>
  </r>
  <r>
    <x v="253"/>
    <x v="6"/>
    <x v="3"/>
    <x v="3"/>
    <x v="4"/>
    <n v="42"/>
    <n v="116"/>
    <n v="7"/>
    <n v="151"/>
    <n v="36"/>
    <n v="16829"/>
    <n v="2541179"/>
    <n v="0"/>
    <n v="1952164"/>
    <x v="0"/>
    <x v="8"/>
    <x v="0"/>
  </r>
  <r>
    <x v="253"/>
    <x v="15"/>
    <x v="2"/>
    <x v="0"/>
    <x v="0"/>
    <n v="343"/>
    <n v="199"/>
    <n v="183"/>
    <n v="359"/>
    <n v="138"/>
    <n v="489"/>
    <n v="175551"/>
    <n v="0"/>
    <n v="97311"/>
    <x v="0"/>
    <x v="8"/>
    <x v="0"/>
  </r>
  <r>
    <x v="253"/>
    <x v="4"/>
    <x v="1"/>
    <x v="3"/>
    <x v="5"/>
    <n v="80"/>
    <n v="53"/>
    <n v="31"/>
    <n v="102"/>
    <n v="26"/>
    <n v="8167"/>
    <n v="833034"/>
    <n v="0"/>
    <n v="432851"/>
    <x v="0"/>
    <x v="8"/>
    <x v="0"/>
  </r>
  <r>
    <x v="254"/>
    <x v="2"/>
    <x v="0"/>
    <x v="0"/>
    <x v="2"/>
    <n v="108"/>
    <n v="13"/>
    <n v="36"/>
    <n v="85"/>
    <n v="17"/>
    <n v="7783"/>
    <n v="661555"/>
    <n v="0"/>
    <n v="101179"/>
    <x v="0"/>
    <x v="8"/>
    <x v="0"/>
  </r>
  <r>
    <x v="254"/>
    <x v="6"/>
    <x v="3"/>
    <x v="2"/>
    <x v="1"/>
    <n v="166"/>
    <n v="49"/>
    <n v="6"/>
    <n v="209"/>
    <n v="20"/>
    <n v="58098"/>
    <n v="12142482"/>
    <n v="0"/>
    <n v="2846802"/>
    <x v="0"/>
    <x v="8"/>
    <x v="0"/>
  </r>
  <r>
    <x v="254"/>
    <x v="8"/>
    <x v="3"/>
    <x v="3"/>
    <x v="0"/>
    <n v="49"/>
    <n v="34"/>
    <n v="32"/>
    <n v="51"/>
    <n v="44"/>
    <n v="35585"/>
    <n v="1814835"/>
    <n v="0"/>
    <n v="1209890"/>
    <x v="0"/>
    <x v="8"/>
    <x v="0"/>
  </r>
  <r>
    <x v="254"/>
    <x v="8"/>
    <x v="3"/>
    <x v="2"/>
    <x v="2"/>
    <n v="81"/>
    <n v="62"/>
    <n v="52"/>
    <n v="91"/>
    <n v="46"/>
    <n v="5123"/>
    <n v="466193"/>
    <n v="0"/>
    <n v="317626"/>
    <x v="0"/>
    <x v="8"/>
    <x v="0"/>
  </r>
  <r>
    <x v="254"/>
    <x v="14"/>
    <x v="3"/>
    <x v="2"/>
    <x v="3"/>
    <n v="66"/>
    <n v="34"/>
    <n v="70"/>
    <n v="30"/>
    <n v="49"/>
    <n v="809"/>
    <n v="24270"/>
    <n v="0"/>
    <n v="27506"/>
    <x v="1"/>
    <x v="8"/>
    <x v="0"/>
  </r>
  <r>
    <x v="255"/>
    <x v="3"/>
    <x v="2"/>
    <x v="3"/>
    <x v="3"/>
    <n v="284"/>
    <n v="69"/>
    <n v="206"/>
    <n v="147"/>
    <n v="57"/>
    <n v="804"/>
    <n v="118188"/>
    <n v="0"/>
    <n v="55476"/>
    <x v="0"/>
    <x v="8"/>
    <x v="0"/>
  </r>
  <r>
    <x v="255"/>
    <x v="0"/>
    <x v="0"/>
    <x v="0"/>
    <x v="4"/>
    <n v="54"/>
    <n v="25"/>
    <n v="24"/>
    <n v="55"/>
    <n v="32"/>
    <n v="10954"/>
    <n v="602470"/>
    <n v="0"/>
    <n v="273850"/>
    <x v="0"/>
    <x v="8"/>
    <x v="0"/>
  </r>
  <r>
    <x v="255"/>
    <x v="18"/>
    <x v="3"/>
    <x v="3"/>
    <x v="2"/>
    <n v="76"/>
    <n v="18"/>
    <n v="9"/>
    <n v="85"/>
    <n v="28"/>
    <n v="52846"/>
    <n v="4491910"/>
    <n v="0"/>
    <n v="951228"/>
    <x v="0"/>
    <x v="8"/>
    <x v="0"/>
  </r>
  <r>
    <x v="255"/>
    <x v="10"/>
    <x v="2"/>
    <x v="0"/>
    <x v="0"/>
    <n v="349"/>
    <n v="179"/>
    <n v="252"/>
    <n v="276"/>
    <n v="116"/>
    <n v="434"/>
    <n v="119784"/>
    <n v="0"/>
    <n v="77686"/>
    <x v="0"/>
    <x v="8"/>
    <x v="0"/>
  </r>
  <r>
    <x v="255"/>
    <x v="3"/>
    <x v="2"/>
    <x v="2"/>
    <x v="1"/>
    <n v="491"/>
    <n v="274"/>
    <n v="95"/>
    <n v="670"/>
    <n v="70"/>
    <n v="810"/>
    <n v="542700"/>
    <n v="0"/>
    <n v="221940"/>
    <x v="0"/>
    <x v="8"/>
    <x v="0"/>
  </r>
  <r>
    <x v="255"/>
    <x v="19"/>
    <x v="0"/>
    <x v="0"/>
    <x v="5"/>
    <n v="110"/>
    <n v="58"/>
    <n v="49"/>
    <n v="119"/>
    <n v="21"/>
    <n v="8991"/>
    <n v="1069929"/>
    <n v="0"/>
    <n v="521478"/>
    <x v="0"/>
    <x v="8"/>
    <x v="0"/>
  </r>
  <r>
    <x v="256"/>
    <x v="5"/>
    <x v="3"/>
    <x v="0"/>
    <x v="1"/>
    <n v="139"/>
    <n v="59"/>
    <n v="90"/>
    <n v="108"/>
    <n v="32"/>
    <n v="28618"/>
    <n v="3090744"/>
    <n v="0"/>
    <n v="1688462"/>
    <x v="0"/>
    <x v="8"/>
    <x v="0"/>
  </r>
  <r>
    <x v="256"/>
    <x v="15"/>
    <x v="2"/>
    <x v="1"/>
    <x v="2"/>
    <n v="487"/>
    <n v="45"/>
    <n v="175"/>
    <n v="357"/>
    <n v="100"/>
    <n v="913"/>
    <n v="325941"/>
    <n v="0"/>
    <n v="41085"/>
    <x v="0"/>
    <x v="8"/>
    <x v="0"/>
  </r>
  <r>
    <x v="256"/>
    <x v="1"/>
    <x v="1"/>
    <x v="0"/>
    <x v="2"/>
    <n v="27"/>
    <n v="51"/>
    <n v="34"/>
    <n v="44"/>
    <n v="11"/>
    <n v="20160"/>
    <n v="887040"/>
    <n v="0"/>
    <n v="1028160"/>
    <x v="0"/>
    <x v="8"/>
    <x v="0"/>
  </r>
  <r>
    <x v="257"/>
    <x v="13"/>
    <x v="3"/>
    <x v="3"/>
    <x v="3"/>
    <n v="46"/>
    <n v="116"/>
    <n v="44"/>
    <n v="118"/>
    <n v="52"/>
    <n v="7429"/>
    <n v="876622"/>
    <n v="0"/>
    <n v="861764"/>
    <x v="0"/>
    <x v="8"/>
    <x v="0"/>
  </r>
  <r>
    <x v="257"/>
    <x v="1"/>
    <x v="1"/>
    <x v="1"/>
    <x v="3"/>
    <n v="64"/>
    <n v="19"/>
    <n v="37"/>
    <n v="46"/>
    <n v="19"/>
    <n v="6625"/>
    <n v="304750"/>
    <n v="0"/>
    <n v="125875"/>
    <x v="0"/>
    <x v="8"/>
    <x v="0"/>
  </r>
  <r>
    <x v="257"/>
    <x v="12"/>
    <x v="1"/>
    <x v="0"/>
    <x v="1"/>
    <n v="60"/>
    <n v="19"/>
    <n v="32"/>
    <n v="47"/>
    <n v="25"/>
    <n v="16785"/>
    <n v="788895"/>
    <n v="0"/>
    <n v="318915"/>
    <x v="0"/>
    <x v="8"/>
    <x v="0"/>
  </r>
  <r>
    <x v="257"/>
    <x v="18"/>
    <x v="3"/>
    <x v="1"/>
    <x v="1"/>
    <n v="173"/>
    <n v="63"/>
    <n v="44"/>
    <n v="192"/>
    <n v="23"/>
    <n v="20961"/>
    <n v="4024512"/>
    <n v="0"/>
    <n v="1320543"/>
    <x v="0"/>
    <x v="8"/>
    <x v="0"/>
  </r>
  <r>
    <x v="257"/>
    <x v="3"/>
    <x v="2"/>
    <x v="3"/>
    <x v="2"/>
    <n v="139"/>
    <n v="133"/>
    <n v="195"/>
    <n v="77"/>
    <n v="124"/>
    <n v="917"/>
    <n v="70609"/>
    <n v="0"/>
    <n v="121961"/>
    <x v="1"/>
    <x v="8"/>
    <x v="0"/>
  </r>
  <r>
    <x v="257"/>
    <x v="8"/>
    <x v="3"/>
    <x v="0"/>
    <x v="4"/>
    <n v="130"/>
    <n v="113"/>
    <n v="37"/>
    <n v="206"/>
    <n v="26"/>
    <n v="11903"/>
    <n v="2452018"/>
    <n v="0"/>
    <n v="1345039"/>
    <x v="0"/>
    <x v="8"/>
    <x v="0"/>
  </r>
  <r>
    <x v="257"/>
    <x v="19"/>
    <x v="0"/>
    <x v="0"/>
    <x v="4"/>
    <n v="57"/>
    <n v="11"/>
    <n v="63"/>
    <n v="5"/>
    <n v="39"/>
    <n v="17644"/>
    <n v="88220"/>
    <n v="0"/>
    <n v="194084"/>
    <x v="1"/>
    <x v="8"/>
    <x v="0"/>
  </r>
  <r>
    <x v="257"/>
    <x v="18"/>
    <x v="3"/>
    <x v="1"/>
    <x v="2"/>
    <n v="66"/>
    <n v="104"/>
    <n v="17"/>
    <n v="153"/>
    <n v="35"/>
    <n v="9879"/>
    <n v="1511487"/>
    <n v="0"/>
    <n v="1027416"/>
    <x v="0"/>
    <x v="8"/>
    <x v="0"/>
  </r>
  <r>
    <x v="258"/>
    <x v="18"/>
    <x v="3"/>
    <x v="0"/>
    <x v="0"/>
    <n v="144"/>
    <n v="91"/>
    <n v="31"/>
    <n v="204"/>
    <n v="51"/>
    <n v="35274"/>
    <n v="7195896"/>
    <n v="0"/>
    <n v="3209934"/>
    <x v="0"/>
    <x v="8"/>
    <x v="0"/>
  </r>
  <r>
    <x v="258"/>
    <x v="3"/>
    <x v="2"/>
    <x v="0"/>
    <x v="3"/>
    <n v="265"/>
    <n v="127"/>
    <n v="39"/>
    <n v="353"/>
    <n v="65"/>
    <n v="167"/>
    <n v="58951"/>
    <n v="0"/>
    <n v="21209"/>
    <x v="0"/>
    <x v="8"/>
    <x v="0"/>
  </r>
  <r>
    <x v="258"/>
    <x v="6"/>
    <x v="3"/>
    <x v="0"/>
    <x v="3"/>
    <n v="156"/>
    <n v="97"/>
    <n v="60"/>
    <n v="193"/>
    <n v="36"/>
    <n v="59183"/>
    <n v="11422319"/>
    <n v="0"/>
    <n v="5740751"/>
    <x v="0"/>
    <x v="8"/>
    <x v="0"/>
  </r>
  <r>
    <x v="258"/>
    <x v="7"/>
    <x v="2"/>
    <x v="1"/>
    <x v="2"/>
    <n v="471"/>
    <n v="92"/>
    <n v="38"/>
    <n v="525"/>
    <n v="149"/>
    <n v="304"/>
    <n v="159600"/>
    <n v="0"/>
    <n v="27968"/>
    <x v="0"/>
    <x v="8"/>
    <x v="0"/>
  </r>
  <r>
    <x v="258"/>
    <x v="5"/>
    <x v="3"/>
    <x v="2"/>
    <x v="5"/>
    <n v="145"/>
    <n v="112"/>
    <n v="43"/>
    <n v="214"/>
    <n v="54"/>
    <n v="5905"/>
    <n v="1263670"/>
    <n v="0"/>
    <n v="661360"/>
    <x v="0"/>
    <x v="8"/>
    <x v="0"/>
  </r>
  <r>
    <x v="259"/>
    <x v="13"/>
    <x v="3"/>
    <x v="3"/>
    <x v="2"/>
    <n v="64"/>
    <n v="32"/>
    <n v="51"/>
    <n v="45"/>
    <n v="30"/>
    <n v="39998"/>
    <n v="1799910"/>
    <n v="0"/>
    <n v="1279936"/>
    <x v="0"/>
    <x v="8"/>
    <x v="0"/>
  </r>
  <r>
    <x v="259"/>
    <x v="14"/>
    <x v="3"/>
    <x v="2"/>
    <x v="1"/>
    <n v="50"/>
    <n v="46"/>
    <n v="83"/>
    <n v="13"/>
    <n v="24"/>
    <n v="60846"/>
    <n v="790998"/>
    <n v="0"/>
    <n v="2798916"/>
    <x v="1"/>
    <x v="8"/>
    <x v="0"/>
  </r>
  <r>
    <x v="259"/>
    <x v="11"/>
    <x v="2"/>
    <x v="3"/>
    <x v="3"/>
    <n v="183"/>
    <n v="116"/>
    <n v="65"/>
    <n v="234"/>
    <n v="117"/>
    <n v="897"/>
    <n v="209898"/>
    <n v="0"/>
    <n v="104052"/>
    <x v="0"/>
    <x v="8"/>
    <x v="0"/>
  </r>
  <r>
    <x v="259"/>
    <x v="6"/>
    <x v="3"/>
    <x v="1"/>
    <x v="5"/>
    <n v="35"/>
    <n v="26"/>
    <n v="36"/>
    <n v="25"/>
    <n v="51"/>
    <n v="56965"/>
    <n v="1424125"/>
    <n v="0"/>
    <n v="1481090"/>
    <x v="1"/>
    <x v="8"/>
    <x v="0"/>
  </r>
  <r>
    <x v="259"/>
    <x v="5"/>
    <x v="3"/>
    <x v="3"/>
    <x v="2"/>
    <n v="92"/>
    <n v="16"/>
    <n v="45"/>
    <n v="63"/>
    <n v="29"/>
    <n v="24307"/>
    <n v="1531341"/>
    <n v="0"/>
    <n v="388912"/>
    <x v="0"/>
    <x v="8"/>
    <x v="0"/>
  </r>
  <r>
    <x v="259"/>
    <x v="9"/>
    <x v="0"/>
    <x v="1"/>
    <x v="5"/>
    <n v="37"/>
    <n v="14"/>
    <n v="46"/>
    <n v="5"/>
    <n v="27"/>
    <n v="7741"/>
    <n v="38705"/>
    <n v="0"/>
    <n v="108374"/>
    <x v="1"/>
    <x v="8"/>
    <x v="0"/>
  </r>
  <r>
    <x v="260"/>
    <x v="8"/>
    <x v="3"/>
    <x v="3"/>
    <x v="0"/>
    <n v="45"/>
    <n v="112"/>
    <n v="59"/>
    <n v="98"/>
    <n v="28"/>
    <n v="64710"/>
    <n v="6341580"/>
    <n v="0"/>
    <n v="7247520"/>
    <x v="0"/>
    <x v="8"/>
    <x v="0"/>
  </r>
  <r>
    <x v="260"/>
    <x v="16"/>
    <x v="1"/>
    <x v="0"/>
    <x v="4"/>
    <n v="95"/>
    <n v="29"/>
    <n v="19"/>
    <n v="105"/>
    <n v="21"/>
    <n v="8216"/>
    <n v="862680"/>
    <n v="0"/>
    <n v="238264"/>
    <x v="0"/>
    <x v="8"/>
    <x v="0"/>
  </r>
  <r>
    <x v="260"/>
    <x v="13"/>
    <x v="3"/>
    <x v="1"/>
    <x v="3"/>
    <n v="25"/>
    <n v="40"/>
    <n v="65"/>
    <n v="0"/>
    <n v="40"/>
    <n v="26199"/>
    <n v="0"/>
    <n v="0"/>
    <n v="1047960"/>
    <x v="1"/>
    <x v="8"/>
    <x v="0"/>
  </r>
  <r>
    <x v="260"/>
    <x v="14"/>
    <x v="3"/>
    <x v="1"/>
    <x v="3"/>
    <n v="42"/>
    <n v="16"/>
    <n v="58"/>
    <n v="0"/>
    <n v="20"/>
    <n v="18563"/>
    <n v="0"/>
    <n v="0"/>
    <n v="297008"/>
    <x v="1"/>
    <x v="8"/>
    <x v="0"/>
  </r>
  <r>
    <x v="261"/>
    <x v="3"/>
    <x v="2"/>
    <x v="0"/>
    <x v="5"/>
    <n v="341"/>
    <n v="32"/>
    <n v="37"/>
    <n v="336"/>
    <n v="93"/>
    <n v="345"/>
    <n v="115920"/>
    <n v="0"/>
    <n v="11040"/>
    <x v="0"/>
    <x v="8"/>
    <x v="0"/>
  </r>
  <r>
    <x v="261"/>
    <x v="10"/>
    <x v="2"/>
    <x v="0"/>
    <x v="0"/>
    <n v="417"/>
    <n v="162"/>
    <n v="234"/>
    <n v="345"/>
    <n v="110"/>
    <n v="329"/>
    <n v="113505"/>
    <n v="0"/>
    <n v="53298"/>
    <x v="0"/>
    <x v="8"/>
    <x v="0"/>
  </r>
  <r>
    <x v="261"/>
    <x v="19"/>
    <x v="0"/>
    <x v="3"/>
    <x v="0"/>
    <n v="17"/>
    <n v="51"/>
    <n v="35"/>
    <n v="33"/>
    <n v="24"/>
    <n v="13245"/>
    <n v="437085"/>
    <n v="0"/>
    <n v="675495"/>
    <x v="0"/>
    <x v="8"/>
    <x v="0"/>
  </r>
  <r>
    <x v="262"/>
    <x v="5"/>
    <x v="3"/>
    <x v="2"/>
    <x v="5"/>
    <n v="157"/>
    <n v="57"/>
    <n v="59"/>
    <n v="155"/>
    <n v="33"/>
    <n v="28298"/>
    <n v="4386190"/>
    <n v="0"/>
    <n v="1612986"/>
    <x v="0"/>
    <x v="8"/>
    <x v="0"/>
  </r>
  <r>
    <x v="262"/>
    <x v="13"/>
    <x v="3"/>
    <x v="0"/>
    <x v="3"/>
    <n v="22"/>
    <n v="21"/>
    <n v="43"/>
    <n v="0"/>
    <n v="33"/>
    <n v="32559"/>
    <n v="0"/>
    <n v="0"/>
    <n v="683739"/>
    <x v="1"/>
    <x v="8"/>
    <x v="0"/>
  </r>
  <r>
    <x v="262"/>
    <x v="7"/>
    <x v="2"/>
    <x v="3"/>
    <x v="0"/>
    <n v="117"/>
    <n v="136"/>
    <n v="76"/>
    <n v="177"/>
    <n v="50"/>
    <n v="533"/>
    <n v="94341"/>
    <n v="0"/>
    <n v="72488"/>
    <x v="0"/>
    <x v="8"/>
    <x v="0"/>
  </r>
  <r>
    <x v="263"/>
    <x v="11"/>
    <x v="2"/>
    <x v="2"/>
    <x v="4"/>
    <n v="269"/>
    <n v="245"/>
    <n v="165"/>
    <n v="349"/>
    <n v="128"/>
    <n v="235"/>
    <n v="82015"/>
    <n v="0"/>
    <n v="57575"/>
    <x v="0"/>
    <x v="8"/>
    <x v="0"/>
  </r>
  <r>
    <x v="263"/>
    <x v="0"/>
    <x v="0"/>
    <x v="3"/>
    <x v="0"/>
    <n v="41"/>
    <n v="6"/>
    <n v="23"/>
    <n v="24"/>
    <n v="30"/>
    <n v="8336"/>
    <n v="200064"/>
    <n v="0"/>
    <n v="50016"/>
    <x v="1"/>
    <x v="8"/>
    <x v="0"/>
  </r>
  <r>
    <x v="263"/>
    <x v="4"/>
    <x v="1"/>
    <x v="2"/>
    <x v="2"/>
    <n v="94"/>
    <n v="17"/>
    <n v="11"/>
    <n v="100"/>
    <n v="13"/>
    <n v="16038"/>
    <n v="1603800"/>
    <n v="0"/>
    <n v="272646"/>
    <x v="0"/>
    <x v="8"/>
    <x v="0"/>
  </r>
  <r>
    <x v="263"/>
    <x v="17"/>
    <x v="2"/>
    <x v="0"/>
    <x v="2"/>
    <n v="188"/>
    <n v="99"/>
    <n v="127"/>
    <n v="160"/>
    <n v="126"/>
    <n v="217"/>
    <n v="34720"/>
    <n v="0"/>
    <n v="21483"/>
    <x v="0"/>
    <x v="8"/>
    <x v="0"/>
  </r>
  <r>
    <x v="263"/>
    <x v="18"/>
    <x v="3"/>
    <x v="2"/>
    <x v="2"/>
    <n v="154"/>
    <n v="25"/>
    <n v="23"/>
    <n v="156"/>
    <n v="25"/>
    <n v="8710"/>
    <n v="1358760"/>
    <n v="0"/>
    <n v="217750"/>
    <x v="0"/>
    <x v="8"/>
    <x v="0"/>
  </r>
  <r>
    <x v="263"/>
    <x v="13"/>
    <x v="3"/>
    <x v="1"/>
    <x v="0"/>
    <n v="73"/>
    <n v="35"/>
    <n v="89"/>
    <n v="19"/>
    <n v="47"/>
    <n v="2685"/>
    <n v="51015"/>
    <n v="0"/>
    <n v="93975"/>
    <x v="1"/>
    <x v="8"/>
    <x v="0"/>
  </r>
  <r>
    <x v="263"/>
    <x v="9"/>
    <x v="0"/>
    <x v="1"/>
    <x v="0"/>
    <n v="22"/>
    <n v="23"/>
    <n v="45"/>
    <n v="0"/>
    <n v="16"/>
    <n v="6019"/>
    <n v="0"/>
    <n v="0"/>
    <n v="138437"/>
    <x v="1"/>
    <x v="8"/>
    <x v="0"/>
  </r>
  <r>
    <x v="264"/>
    <x v="8"/>
    <x v="3"/>
    <x v="0"/>
    <x v="1"/>
    <n v="54"/>
    <n v="64"/>
    <n v="29"/>
    <n v="89"/>
    <n v="51"/>
    <n v="1018"/>
    <n v="90602"/>
    <n v="0"/>
    <n v="65152"/>
    <x v="0"/>
    <x v="8"/>
    <x v="0"/>
  </r>
  <r>
    <x v="264"/>
    <x v="15"/>
    <x v="2"/>
    <x v="2"/>
    <x v="1"/>
    <n v="439"/>
    <n v="164"/>
    <n v="254"/>
    <n v="349"/>
    <n v="140"/>
    <n v="1074"/>
    <n v="374826"/>
    <n v="0"/>
    <n v="176136"/>
    <x v="0"/>
    <x v="8"/>
    <x v="0"/>
  </r>
  <r>
    <x v="264"/>
    <x v="17"/>
    <x v="2"/>
    <x v="0"/>
    <x v="5"/>
    <n v="449"/>
    <n v="236"/>
    <n v="86"/>
    <n v="599"/>
    <n v="96"/>
    <n v="1024"/>
    <n v="613376"/>
    <n v="0"/>
    <n v="241664"/>
    <x v="0"/>
    <x v="8"/>
    <x v="0"/>
  </r>
  <r>
    <x v="264"/>
    <x v="9"/>
    <x v="0"/>
    <x v="0"/>
    <x v="1"/>
    <n v="41"/>
    <n v="19"/>
    <n v="60"/>
    <n v="0"/>
    <n v="35"/>
    <n v="15271"/>
    <n v="0"/>
    <n v="0"/>
    <n v="290149"/>
    <x v="1"/>
    <x v="8"/>
    <x v="0"/>
  </r>
  <r>
    <x v="264"/>
    <x v="8"/>
    <x v="3"/>
    <x v="1"/>
    <x v="4"/>
    <n v="147"/>
    <n v="119"/>
    <n v="28"/>
    <n v="238"/>
    <n v="42"/>
    <n v="24706"/>
    <n v="5880028"/>
    <n v="0"/>
    <n v="2940014"/>
    <x v="0"/>
    <x v="8"/>
    <x v="0"/>
  </r>
  <r>
    <x v="264"/>
    <x v="4"/>
    <x v="1"/>
    <x v="2"/>
    <x v="3"/>
    <n v="23"/>
    <n v="22"/>
    <n v="10"/>
    <n v="35"/>
    <n v="16"/>
    <n v="9044"/>
    <n v="316540"/>
    <n v="0"/>
    <n v="198968"/>
    <x v="0"/>
    <x v="8"/>
    <x v="0"/>
  </r>
  <r>
    <x v="264"/>
    <x v="18"/>
    <x v="3"/>
    <x v="3"/>
    <x v="5"/>
    <n v="72"/>
    <n v="88"/>
    <n v="63"/>
    <n v="97"/>
    <n v="40"/>
    <n v="38325"/>
    <n v="3717525"/>
    <n v="0"/>
    <n v="3372600"/>
    <x v="0"/>
    <x v="8"/>
    <x v="0"/>
  </r>
  <r>
    <x v="265"/>
    <x v="5"/>
    <x v="3"/>
    <x v="3"/>
    <x v="5"/>
    <n v="121"/>
    <n v="79"/>
    <n v="66"/>
    <n v="134"/>
    <n v="53"/>
    <n v="17870"/>
    <n v="2394580"/>
    <n v="0"/>
    <n v="1411730"/>
    <x v="0"/>
    <x v="8"/>
    <x v="0"/>
  </r>
  <r>
    <x v="265"/>
    <x v="0"/>
    <x v="0"/>
    <x v="1"/>
    <x v="4"/>
    <n v="45"/>
    <n v="15"/>
    <n v="58"/>
    <n v="2"/>
    <n v="35"/>
    <n v="944"/>
    <n v="1888"/>
    <n v="0"/>
    <n v="14160"/>
    <x v="1"/>
    <x v="8"/>
    <x v="0"/>
  </r>
  <r>
    <x v="265"/>
    <x v="0"/>
    <x v="0"/>
    <x v="1"/>
    <x v="4"/>
    <n v="39"/>
    <n v="63"/>
    <n v="26"/>
    <n v="76"/>
    <n v="33"/>
    <n v="5757"/>
    <n v="437532"/>
    <n v="0"/>
    <n v="362691"/>
    <x v="0"/>
    <x v="8"/>
    <x v="0"/>
  </r>
  <r>
    <x v="266"/>
    <x v="15"/>
    <x v="2"/>
    <x v="2"/>
    <x v="3"/>
    <n v="446"/>
    <n v="37"/>
    <n v="274"/>
    <n v="209"/>
    <n v="127"/>
    <n v="917"/>
    <n v="191653"/>
    <n v="0"/>
    <n v="33929"/>
    <x v="0"/>
    <x v="8"/>
    <x v="0"/>
  </r>
  <r>
    <x v="266"/>
    <x v="1"/>
    <x v="1"/>
    <x v="2"/>
    <x v="1"/>
    <n v="44"/>
    <n v="47"/>
    <n v="2"/>
    <n v="89"/>
    <n v="22"/>
    <n v="17170"/>
    <n v="1528130"/>
    <n v="0"/>
    <n v="806990"/>
    <x v="0"/>
    <x v="8"/>
    <x v="0"/>
  </r>
  <r>
    <x v="266"/>
    <x v="11"/>
    <x v="2"/>
    <x v="2"/>
    <x v="4"/>
    <n v="61"/>
    <n v="220"/>
    <n v="34"/>
    <n v="247"/>
    <n v="137"/>
    <n v="110"/>
    <n v="27170"/>
    <n v="0"/>
    <n v="24200"/>
    <x v="0"/>
    <x v="8"/>
    <x v="0"/>
  </r>
  <r>
    <x v="266"/>
    <x v="7"/>
    <x v="2"/>
    <x v="1"/>
    <x v="5"/>
    <n v="219"/>
    <n v="68"/>
    <n v="148"/>
    <n v="139"/>
    <n v="67"/>
    <n v="1184"/>
    <n v="164576"/>
    <n v="0"/>
    <n v="80512"/>
    <x v="0"/>
    <x v="8"/>
    <x v="0"/>
  </r>
  <r>
    <x v="266"/>
    <x v="6"/>
    <x v="3"/>
    <x v="3"/>
    <x v="5"/>
    <n v="73"/>
    <n v="117"/>
    <n v="9"/>
    <n v="181"/>
    <n v="49"/>
    <n v="61181"/>
    <n v="11073761"/>
    <n v="0"/>
    <n v="7158177"/>
    <x v="0"/>
    <x v="8"/>
    <x v="0"/>
  </r>
  <r>
    <x v="266"/>
    <x v="14"/>
    <x v="3"/>
    <x v="3"/>
    <x v="5"/>
    <n v="72"/>
    <n v="80"/>
    <n v="14"/>
    <n v="138"/>
    <n v="36"/>
    <n v="59852"/>
    <n v="8259576"/>
    <n v="0"/>
    <n v="4788160"/>
    <x v="0"/>
    <x v="8"/>
    <x v="0"/>
  </r>
  <r>
    <x v="267"/>
    <x v="10"/>
    <x v="2"/>
    <x v="2"/>
    <x v="2"/>
    <n v="290"/>
    <n v="274"/>
    <n v="172"/>
    <n v="392"/>
    <n v="55"/>
    <n v="1103"/>
    <n v="432376"/>
    <n v="0"/>
    <n v="302222"/>
    <x v="0"/>
    <x v="8"/>
    <x v="0"/>
  </r>
  <r>
    <x v="268"/>
    <x v="15"/>
    <x v="2"/>
    <x v="2"/>
    <x v="5"/>
    <n v="400"/>
    <n v="244"/>
    <n v="261"/>
    <n v="383"/>
    <n v="111"/>
    <n v="1036"/>
    <n v="396788"/>
    <n v="0"/>
    <n v="252784"/>
    <x v="0"/>
    <x v="8"/>
    <x v="0"/>
  </r>
  <r>
    <x v="268"/>
    <x v="12"/>
    <x v="1"/>
    <x v="3"/>
    <x v="0"/>
    <n v="19"/>
    <n v="20"/>
    <n v="17"/>
    <n v="22"/>
    <n v="19"/>
    <n v="3514"/>
    <n v="77308"/>
    <n v="0"/>
    <n v="70280"/>
    <x v="0"/>
    <x v="8"/>
    <x v="0"/>
  </r>
  <r>
    <x v="268"/>
    <x v="4"/>
    <x v="1"/>
    <x v="3"/>
    <x v="4"/>
    <n v="89"/>
    <n v="14"/>
    <n v="30"/>
    <n v="73"/>
    <n v="21"/>
    <n v="23781"/>
    <n v="1736013"/>
    <n v="0"/>
    <n v="332934"/>
    <x v="0"/>
    <x v="8"/>
    <x v="0"/>
  </r>
  <r>
    <x v="269"/>
    <x v="8"/>
    <x v="3"/>
    <x v="1"/>
    <x v="1"/>
    <n v="108"/>
    <n v="91"/>
    <n v="42"/>
    <n v="157"/>
    <n v="45"/>
    <n v="22473"/>
    <n v="3528261"/>
    <n v="0"/>
    <n v="2045043"/>
    <x v="0"/>
    <x v="8"/>
    <x v="0"/>
  </r>
  <r>
    <x v="269"/>
    <x v="12"/>
    <x v="1"/>
    <x v="1"/>
    <x v="2"/>
    <n v="81"/>
    <n v="25"/>
    <n v="40"/>
    <n v="66"/>
    <n v="28"/>
    <n v="7765"/>
    <n v="512490"/>
    <n v="0"/>
    <n v="194125"/>
    <x v="0"/>
    <x v="8"/>
    <x v="0"/>
  </r>
  <r>
    <x v="269"/>
    <x v="9"/>
    <x v="0"/>
    <x v="3"/>
    <x v="2"/>
    <n v="103"/>
    <n v="64"/>
    <n v="24"/>
    <n v="143"/>
    <n v="15"/>
    <n v="16571"/>
    <n v="2369653"/>
    <n v="0"/>
    <n v="1060544"/>
    <x v="0"/>
    <x v="8"/>
    <x v="0"/>
  </r>
  <r>
    <x v="269"/>
    <x v="6"/>
    <x v="3"/>
    <x v="3"/>
    <x v="0"/>
    <n v="27"/>
    <n v="47"/>
    <n v="74"/>
    <n v="0"/>
    <n v="45"/>
    <n v="62807"/>
    <n v="0"/>
    <n v="0"/>
    <n v="2951929"/>
    <x v="1"/>
    <x v="8"/>
    <x v="0"/>
  </r>
  <r>
    <x v="269"/>
    <x v="10"/>
    <x v="2"/>
    <x v="1"/>
    <x v="5"/>
    <n v="114"/>
    <n v="212"/>
    <n v="19"/>
    <n v="307"/>
    <n v="91"/>
    <n v="513"/>
    <n v="157491"/>
    <n v="0"/>
    <n v="108756"/>
    <x v="0"/>
    <x v="8"/>
    <x v="0"/>
  </r>
  <r>
    <x v="269"/>
    <x v="7"/>
    <x v="2"/>
    <x v="0"/>
    <x v="3"/>
    <n v="470"/>
    <n v="224"/>
    <n v="49"/>
    <n v="645"/>
    <n v="85"/>
    <n v="208"/>
    <n v="134160"/>
    <n v="0"/>
    <n v="46592"/>
    <x v="0"/>
    <x v="8"/>
    <x v="0"/>
  </r>
  <r>
    <x v="270"/>
    <x v="14"/>
    <x v="3"/>
    <x v="1"/>
    <x v="5"/>
    <n v="155"/>
    <n v="96"/>
    <n v="64"/>
    <n v="187"/>
    <n v="55"/>
    <n v="20765"/>
    <n v="3883055"/>
    <n v="0"/>
    <n v="1993440"/>
    <x v="0"/>
    <x v="8"/>
    <x v="0"/>
  </r>
  <r>
    <x v="270"/>
    <x v="16"/>
    <x v="1"/>
    <x v="3"/>
    <x v="4"/>
    <n v="68"/>
    <n v="50"/>
    <n v="31"/>
    <n v="87"/>
    <n v="10"/>
    <n v="12260"/>
    <n v="1066620"/>
    <n v="0"/>
    <n v="613000"/>
    <x v="0"/>
    <x v="8"/>
    <x v="0"/>
  </r>
  <r>
    <x v="270"/>
    <x v="17"/>
    <x v="2"/>
    <x v="0"/>
    <x v="2"/>
    <n v="238"/>
    <n v="221"/>
    <n v="78"/>
    <n v="381"/>
    <n v="142"/>
    <n v="809"/>
    <n v="308229"/>
    <n v="0"/>
    <n v="178789"/>
    <x v="0"/>
    <x v="8"/>
    <x v="0"/>
  </r>
  <r>
    <x v="270"/>
    <x v="6"/>
    <x v="3"/>
    <x v="0"/>
    <x v="0"/>
    <n v="85"/>
    <n v="108"/>
    <n v="44"/>
    <n v="149"/>
    <n v="47"/>
    <n v="11287"/>
    <n v="1681763"/>
    <n v="0"/>
    <n v="1218996"/>
    <x v="0"/>
    <x v="8"/>
    <x v="0"/>
  </r>
  <r>
    <x v="270"/>
    <x v="10"/>
    <x v="2"/>
    <x v="0"/>
    <x v="2"/>
    <n v="263"/>
    <n v="298"/>
    <n v="29"/>
    <n v="532"/>
    <n v="148"/>
    <n v="597"/>
    <n v="317604"/>
    <n v="0"/>
    <n v="177906"/>
    <x v="0"/>
    <x v="8"/>
    <x v="0"/>
  </r>
  <r>
    <x v="271"/>
    <x v="16"/>
    <x v="1"/>
    <x v="0"/>
    <x v="1"/>
    <n v="53"/>
    <n v="49"/>
    <n v="9"/>
    <n v="93"/>
    <n v="10"/>
    <n v="19821"/>
    <n v="1843353"/>
    <n v="0"/>
    <n v="971229"/>
    <x v="0"/>
    <x v="8"/>
    <x v="0"/>
  </r>
  <r>
    <x v="271"/>
    <x v="13"/>
    <x v="3"/>
    <x v="3"/>
    <x v="5"/>
    <n v="165"/>
    <n v="64"/>
    <n v="77"/>
    <n v="152"/>
    <n v="59"/>
    <n v="22968"/>
    <n v="3491136"/>
    <n v="0"/>
    <n v="1469952"/>
    <x v="0"/>
    <x v="8"/>
    <x v="0"/>
  </r>
  <r>
    <x v="271"/>
    <x v="12"/>
    <x v="1"/>
    <x v="1"/>
    <x v="3"/>
    <n v="15"/>
    <n v="23"/>
    <n v="38"/>
    <n v="0"/>
    <n v="11"/>
    <n v="2551"/>
    <n v="0"/>
    <n v="0"/>
    <n v="58673"/>
    <x v="1"/>
    <x v="8"/>
    <x v="0"/>
  </r>
  <r>
    <x v="271"/>
    <x v="19"/>
    <x v="0"/>
    <x v="3"/>
    <x v="3"/>
    <n v="111"/>
    <n v="36"/>
    <n v="60"/>
    <n v="87"/>
    <n v="35"/>
    <n v="9624"/>
    <n v="837288"/>
    <n v="0"/>
    <n v="346464"/>
    <x v="0"/>
    <x v="8"/>
    <x v="0"/>
  </r>
  <r>
    <x v="271"/>
    <x v="7"/>
    <x v="2"/>
    <x v="2"/>
    <x v="0"/>
    <n v="301"/>
    <n v="44"/>
    <n v="169"/>
    <n v="176"/>
    <n v="134"/>
    <n v="224"/>
    <n v="39424"/>
    <n v="0"/>
    <n v="9856"/>
    <x v="0"/>
    <x v="8"/>
    <x v="0"/>
  </r>
  <r>
    <x v="271"/>
    <x v="17"/>
    <x v="2"/>
    <x v="1"/>
    <x v="4"/>
    <n v="374"/>
    <n v="137"/>
    <n v="148"/>
    <n v="363"/>
    <n v="64"/>
    <n v="881"/>
    <n v="319803"/>
    <n v="0"/>
    <n v="120697"/>
    <x v="0"/>
    <x v="8"/>
    <x v="0"/>
  </r>
  <r>
    <x v="271"/>
    <x v="1"/>
    <x v="1"/>
    <x v="2"/>
    <x v="0"/>
    <n v="42"/>
    <n v="51"/>
    <n v="17"/>
    <n v="76"/>
    <n v="18"/>
    <n v="12472"/>
    <n v="947872"/>
    <n v="0"/>
    <n v="636072"/>
    <x v="0"/>
    <x v="8"/>
    <x v="0"/>
  </r>
  <r>
    <x v="271"/>
    <x v="6"/>
    <x v="3"/>
    <x v="0"/>
    <x v="4"/>
    <n v="132"/>
    <n v="71"/>
    <n v="88"/>
    <n v="115"/>
    <n v="44"/>
    <n v="47759"/>
    <n v="5492285"/>
    <n v="0"/>
    <n v="3390889"/>
    <x v="0"/>
    <x v="8"/>
    <x v="0"/>
  </r>
  <r>
    <x v="271"/>
    <x v="6"/>
    <x v="3"/>
    <x v="2"/>
    <x v="1"/>
    <n v="95"/>
    <n v="58"/>
    <n v="60"/>
    <n v="93"/>
    <n v="22"/>
    <n v="28254"/>
    <n v="2627622"/>
    <n v="0"/>
    <n v="1638732"/>
    <x v="0"/>
    <x v="8"/>
    <x v="0"/>
  </r>
  <r>
    <x v="271"/>
    <x v="1"/>
    <x v="1"/>
    <x v="1"/>
    <x v="4"/>
    <n v="95"/>
    <n v="43"/>
    <n v="42"/>
    <n v="96"/>
    <n v="19"/>
    <n v="3213"/>
    <n v="308448"/>
    <n v="0"/>
    <n v="138159"/>
    <x v="0"/>
    <x v="8"/>
    <x v="0"/>
  </r>
  <r>
    <x v="271"/>
    <x v="19"/>
    <x v="0"/>
    <x v="0"/>
    <x v="2"/>
    <n v="60"/>
    <n v="57"/>
    <n v="43"/>
    <n v="74"/>
    <n v="27"/>
    <n v="10019"/>
    <n v="741406"/>
    <n v="0"/>
    <n v="571083"/>
    <x v="0"/>
    <x v="8"/>
    <x v="0"/>
  </r>
  <r>
    <x v="272"/>
    <x v="7"/>
    <x v="2"/>
    <x v="3"/>
    <x v="4"/>
    <n v="61"/>
    <n v="248"/>
    <n v="10"/>
    <n v="299"/>
    <n v="140"/>
    <n v="1154"/>
    <n v="345046"/>
    <n v="0"/>
    <n v="286192"/>
    <x v="0"/>
    <x v="9"/>
    <x v="0"/>
  </r>
  <r>
    <x v="272"/>
    <x v="7"/>
    <x v="2"/>
    <x v="0"/>
    <x v="0"/>
    <n v="459"/>
    <n v="164"/>
    <n v="107"/>
    <n v="516"/>
    <n v="94"/>
    <n v="1026"/>
    <n v="529416"/>
    <n v="0"/>
    <n v="168264"/>
    <x v="0"/>
    <x v="9"/>
    <x v="0"/>
  </r>
  <r>
    <x v="273"/>
    <x v="16"/>
    <x v="1"/>
    <x v="0"/>
    <x v="4"/>
    <n v="57"/>
    <n v="26"/>
    <n v="21"/>
    <n v="62"/>
    <n v="14"/>
    <n v="11931"/>
    <n v="739722"/>
    <n v="0"/>
    <n v="310206"/>
    <x v="0"/>
    <x v="9"/>
    <x v="0"/>
  </r>
  <r>
    <x v="273"/>
    <x v="17"/>
    <x v="2"/>
    <x v="3"/>
    <x v="1"/>
    <n v="228"/>
    <n v="270"/>
    <n v="162"/>
    <n v="336"/>
    <n v="124"/>
    <n v="1147"/>
    <n v="385392"/>
    <n v="0"/>
    <n v="309690"/>
    <x v="0"/>
    <x v="9"/>
    <x v="0"/>
  </r>
  <r>
    <x v="273"/>
    <x v="18"/>
    <x v="3"/>
    <x v="3"/>
    <x v="5"/>
    <n v="71"/>
    <n v="39"/>
    <n v="59"/>
    <n v="51"/>
    <n v="32"/>
    <n v="50989"/>
    <n v="2600439"/>
    <n v="0"/>
    <n v="1988571"/>
    <x v="0"/>
    <x v="9"/>
    <x v="0"/>
  </r>
  <r>
    <x v="273"/>
    <x v="11"/>
    <x v="2"/>
    <x v="1"/>
    <x v="4"/>
    <n v="407"/>
    <n v="49"/>
    <n v="223"/>
    <n v="233"/>
    <n v="60"/>
    <n v="98"/>
    <n v="22834"/>
    <n v="0"/>
    <n v="4802"/>
    <x v="0"/>
    <x v="9"/>
    <x v="0"/>
  </r>
  <r>
    <x v="274"/>
    <x v="8"/>
    <x v="3"/>
    <x v="1"/>
    <x v="3"/>
    <n v="54"/>
    <n v="62"/>
    <n v="51"/>
    <n v="65"/>
    <n v="30"/>
    <n v="28557"/>
    <n v="1856205"/>
    <n v="0"/>
    <n v="1770534"/>
    <x v="0"/>
    <x v="9"/>
    <x v="0"/>
  </r>
  <r>
    <x v="274"/>
    <x v="14"/>
    <x v="3"/>
    <x v="1"/>
    <x v="3"/>
    <n v="159"/>
    <n v="52"/>
    <n v="65"/>
    <n v="146"/>
    <n v="51"/>
    <n v="10106"/>
    <n v="1475476"/>
    <n v="0"/>
    <n v="525512"/>
    <x v="0"/>
    <x v="9"/>
    <x v="0"/>
  </r>
  <r>
    <x v="274"/>
    <x v="16"/>
    <x v="1"/>
    <x v="0"/>
    <x v="2"/>
    <n v="17"/>
    <n v="47"/>
    <n v="13"/>
    <n v="51"/>
    <n v="29"/>
    <n v="24540"/>
    <n v="1251540"/>
    <n v="0"/>
    <n v="1153380"/>
    <x v="0"/>
    <x v="9"/>
    <x v="0"/>
  </r>
  <r>
    <x v="275"/>
    <x v="16"/>
    <x v="1"/>
    <x v="3"/>
    <x v="0"/>
    <n v="52"/>
    <n v="35"/>
    <n v="22"/>
    <n v="65"/>
    <n v="18"/>
    <n v="13045"/>
    <n v="847925"/>
    <n v="0"/>
    <n v="456575"/>
    <x v="0"/>
    <x v="9"/>
    <x v="0"/>
  </r>
  <r>
    <x v="275"/>
    <x v="16"/>
    <x v="1"/>
    <x v="1"/>
    <x v="1"/>
    <n v="31"/>
    <n v="58"/>
    <n v="5"/>
    <n v="84"/>
    <n v="28"/>
    <n v="15388"/>
    <n v="1292592"/>
    <n v="0"/>
    <n v="892504"/>
    <x v="0"/>
    <x v="9"/>
    <x v="0"/>
  </r>
  <r>
    <x v="275"/>
    <x v="14"/>
    <x v="3"/>
    <x v="3"/>
    <x v="2"/>
    <n v="43"/>
    <n v="111"/>
    <n v="8"/>
    <n v="146"/>
    <n v="54"/>
    <n v="17335"/>
    <n v="2530910"/>
    <n v="0"/>
    <n v="1924185"/>
    <x v="0"/>
    <x v="9"/>
    <x v="0"/>
  </r>
  <r>
    <x v="275"/>
    <x v="4"/>
    <x v="1"/>
    <x v="2"/>
    <x v="4"/>
    <n v="89"/>
    <n v="16"/>
    <n v="3"/>
    <n v="102"/>
    <n v="12"/>
    <n v="13444"/>
    <n v="1371288"/>
    <n v="0"/>
    <n v="215104"/>
    <x v="0"/>
    <x v="9"/>
    <x v="0"/>
  </r>
  <r>
    <x v="275"/>
    <x v="3"/>
    <x v="2"/>
    <x v="1"/>
    <x v="3"/>
    <n v="115"/>
    <n v="165"/>
    <n v="243"/>
    <n v="37"/>
    <n v="92"/>
    <n v="919"/>
    <n v="34003"/>
    <n v="0"/>
    <n v="151635"/>
    <x v="1"/>
    <x v="9"/>
    <x v="0"/>
  </r>
  <r>
    <x v="276"/>
    <x v="3"/>
    <x v="2"/>
    <x v="1"/>
    <x v="0"/>
    <n v="67"/>
    <n v="41"/>
    <n v="108"/>
    <n v="0"/>
    <n v="143"/>
    <n v="142"/>
    <n v="0"/>
    <n v="0"/>
    <n v="5822"/>
    <x v="1"/>
    <x v="9"/>
    <x v="0"/>
  </r>
  <r>
    <x v="276"/>
    <x v="12"/>
    <x v="1"/>
    <x v="0"/>
    <x v="4"/>
    <n v="13"/>
    <n v="30"/>
    <n v="30"/>
    <n v="13"/>
    <n v="11"/>
    <n v="12872"/>
    <n v="167336"/>
    <n v="0"/>
    <n v="386160"/>
    <x v="0"/>
    <x v="9"/>
    <x v="0"/>
  </r>
  <r>
    <x v="277"/>
    <x v="5"/>
    <x v="3"/>
    <x v="1"/>
    <x v="2"/>
    <n v="46"/>
    <n v="104"/>
    <n v="11"/>
    <n v="139"/>
    <n v="23"/>
    <n v="7248"/>
    <n v="1007472"/>
    <n v="0"/>
    <n v="753792"/>
    <x v="0"/>
    <x v="9"/>
    <x v="0"/>
  </r>
  <r>
    <x v="277"/>
    <x v="7"/>
    <x v="2"/>
    <x v="2"/>
    <x v="5"/>
    <n v="431"/>
    <n v="42"/>
    <n v="53"/>
    <n v="420"/>
    <n v="75"/>
    <n v="179"/>
    <n v="75180"/>
    <n v="0"/>
    <n v="7518"/>
    <x v="0"/>
    <x v="9"/>
    <x v="0"/>
  </r>
  <r>
    <x v="278"/>
    <x v="9"/>
    <x v="0"/>
    <x v="2"/>
    <x v="5"/>
    <n v="22"/>
    <n v="57"/>
    <n v="10"/>
    <n v="69"/>
    <n v="18"/>
    <n v="8342"/>
    <n v="575598"/>
    <n v="0"/>
    <n v="475494"/>
    <x v="0"/>
    <x v="9"/>
    <x v="0"/>
  </r>
  <r>
    <x v="279"/>
    <x v="19"/>
    <x v="0"/>
    <x v="2"/>
    <x v="5"/>
    <n v="58"/>
    <n v="62"/>
    <n v="27"/>
    <n v="93"/>
    <n v="38"/>
    <n v="5272"/>
    <n v="490296"/>
    <n v="0"/>
    <n v="326864"/>
    <x v="0"/>
    <x v="9"/>
    <x v="0"/>
  </r>
  <r>
    <x v="279"/>
    <x v="14"/>
    <x v="3"/>
    <x v="1"/>
    <x v="0"/>
    <n v="79"/>
    <n v="56"/>
    <n v="44"/>
    <n v="91"/>
    <n v="42"/>
    <n v="33062"/>
    <n v="3008642"/>
    <n v="0"/>
    <n v="1851472"/>
    <x v="0"/>
    <x v="9"/>
    <x v="0"/>
  </r>
  <r>
    <x v="279"/>
    <x v="12"/>
    <x v="1"/>
    <x v="1"/>
    <x v="0"/>
    <n v="15"/>
    <n v="59"/>
    <n v="35"/>
    <n v="39"/>
    <n v="18"/>
    <n v="4762"/>
    <n v="185718"/>
    <n v="0"/>
    <n v="280958"/>
    <x v="0"/>
    <x v="9"/>
    <x v="0"/>
  </r>
  <r>
    <x v="279"/>
    <x v="9"/>
    <x v="0"/>
    <x v="0"/>
    <x v="0"/>
    <n v="48"/>
    <n v="77"/>
    <n v="11"/>
    <n v="114"/>
    <n v="25"/>
    <n v="8717"/>
    <n v="993738"/>
    <n v="0"/>
    <n v="671209"/>
    <x v="0"/>
    <x v="9"/>
    <x v="0"/>
  </r>
  <r>
    <x v="279"/>
    <x v="2"/>
    <x v="0"/>
    <x v="0"/>
    <x v="0"/>
    <n v="84"/>
    <n v="67"/>
    <n v="38"/>
    <n v="113"/>
    <n v="36"/>
    <n v="4669"/>
    <n v="527597"/>
    <n v="0"/>
    <n v="312823"/>
    <x v="0"/>
    <x v="9"/>
    <x v="0"/>
  </r>
  <r>
    <x v="279"/>
    <x v="18"/>
    <x v="3"/>
    <x v="0"/>
    <x v="5"/>
    <n v="161"/>
    <n v="47"/>
    <n v="42"/>
    <n v="166"/>
    <n v="37"/>
    <n v="49699"/>
    <n v="8250034"/>
    <n v="0"/>
    <n v="2335853"/>
    <x v="0"/>
    <x v="9"/>
    <x v="0"/>
  </r>
  <r>
    <x v="279"/>
    <x v="14"/>
    <x v="3"/>
    <x v="3"/>
    <x v="2"/>
    <n v="118"/>
    <n v="74"/>
    <n v="9"/>
    <n v="183"/>
    <n v="27"/>
    <n v="17632"/>
    <n v="3226656"/>
    <n v="0"/>
    <n v="1304768"/>
    <x v="0"/>
    <x v="9"/>
    <x v="0"/>
  </r>
  <r>
    <x v="279"/>
    <x v="7"/>
    <x v="2"/>
    <x v="3"/>
    <x v="0"/>
    <n v="473"/>
    <n v="299"/>
    <n v="163"/>
    <n v="609"/>
    <n v="136"/>
    <n v="633"/>
    <n v="385497"/>
    <n v="0"/>
    <n v="189267"/>
    <x v="0"/>
    <x v="9"/>
    <x v="0"/>
  </r>
  <r>
    <x v="280"/>
    <x v="6"/>
    <x v="3"/>
    <x v="2"/>
    <x v="4"/>
    <n v="137"/>
    <n v="10"/>
    <n v="87"/>
    <n v="60"/>
    <n v="55"/>
    <n v="14886"/>
    <n v="893160"/>
    <n v="0"/>
    <n v="148860"/>
    <x v="0"/>
    <x v="9"/>
    <x v="0"/>
  </r>
  <r>
    <x v="280"/>
    <x v="0"/>
    <x v="0"/>
    <x v="3"/>
    <x v="2"/>
    <n v="77"/>
    <n v="63"/>
    <n v="29"/>
    <n v="111"/>
    <n v="15"/>
    <n v="14472"/>
    <n v="1606392"/>
    <n v="0"/>
    <n v="911736"/>
    <x v="0"/>
    <x v="9"/>
    <x v="0"/>
  </r>
  <r>
    <x v="281"/>
    <x v="14"/>
    <x v="3"/>
    <x v="3"/>
    <x v="4"/>
    <n v="101"/>
    <n v="97"/>
    <n v="28"/>
    <n v="170"/>
    <n v="53"/>
    <n v="27269"/>
    <n v="4635730"/>
    <n v="0"/>
    <n v="2645093"/>
    <x v="0"/>
    <x v="9"/>
    <x v="0"/>
  </r>
  <r>
    <x v="281"/>
    <x v="9"/>
    <x v="0"/>
    <x v="1"/>
    <x v="3"/>
    <n v="46"/>
    <n v="22"/>
    <n v="30"/>
    <n v="38"/>
    <n v="30"/>
    <n v="1207"/>
    <n v="45866"/>
    <n v="0"/>
    <n v="26554"/>
    <x v="0"/>
    <x v="9"/>
    <x v="0"/>
  </r>
  <r>
    <x v="281"/>
    <x v="10"/>
    <x v="2"/>
    <x v="3"/>
    <x v="4"/>
    <n v="57"/>
    <n v="236"/>
    <n v="203"/>
    <n v="90"/>
    <n v="96"/>
    <n v="986"/>
    <n v="88740"/>
    <n v="0"/>
    <n v="232696"/>
    <x v="1"/>
    <x v="9"/>
    <x v="0"/>
  </r>
  <r>
    <x v="281"/>
    <x v="7"/>
    <x v="2"/>
    <x v="1"/>
    <x v="4"/>
    <n v="103"/>
    <n v="41"/>
    <n v="144"/>
    <n v="0"/>
    <n v="65"/>
    <n v="349"/>
    <n v="0"/>
    <n v="0"/>
    <n v="14309"/>
    <x v="1"/>
    <x v="9"/>
    <x v="0"/>
  </r>
  <r>
    <x v="281"/>
    <x v="9"/>
    <x v="0"/>
    <x v="2"/>
    <x v="2"/>
    <n v="84"/>
    <n v="66"/>
    <n v="34"/>
    <n v="116"/>
    <n v="38"/>
    <n v="5443"/>
    <n v="631388"/>
    <n v="0"/>
    <n v="359238"/>
    <x v="0"/>
    <x v="9"/>
    <x v="0"/>
  </r>
  <r>
    <x v="281"/>
    <x v="4"/>
    <x v="1"/>
    <x v="3"/>
    <x v="1"/>
    <n v="88"/>
    <n v="36"/>
    <n v="29"/>
    <n v="95"/>
    <n v="16"/>
    <n v="7268"/>
    <n v="690460"/>
    <n v="0"/>
    <n v="261648"/>
    <x v="0"/>
    <x v="9"/>
    <x v="0"/>
  </r>
  <r>
    <x v="281"/>
    <x v="4"/>
    <x v="1"/>
    <x v="1"/>
    <x v="1"/>
    <n v="67"/>
    <n v="50"/>
    <n v="3"/>
    <n v="114"/>
    <n v="18"/>
    <n v="12276"/>
    <n v="1399464"/>
    <n v="0"/>
    <n v="613800"/>
    <x v="0"/>
    <x v="9"/>
    <x v="0"/>
  </r>
  <r>
    <x v="282"/>
    <x v="5"/>
    <x v="3"/>
    <x v="3"/>
    <x v="3"/>
    <n v="142"/>
    <n v="87"/>
    <n v="37"/>
    <n v="192"/>
    <n v="29"/>
    <n v="46607"/>
    <n v="8948544"/>
    <n v="0"/>
    <n v="4054809"/>
    <x v="0"/>
    <x v="9"/>
    <x v="0"/>
  </r>
  <r>
    <x v="282"/>
    <x v="16"/>
    <x v="1"/>
    <x v="1"/>
    <x v="2"/>
    <n v="65"/>
    <n v="39"/>
    <n v="6"/>
    <n v="98"/>
    <n v="11"/>
    <n v="2377"/>
    <n v="232946"/>
    <n v="0"/>
    <n v="92703"/>
    <x v="0"/>
    <x v="9"/>
    <x v="0"/>
  </r>
  <r>
    <x v="282"/>
    <x v="17"/>
    <x v="2"/>
    <x v="0"/>
    <x v="4"/>
    <n v="258"/>
    <n v="216"/>
    <n v="139"/>
    <n v="335"/>
    <n v="85"/>
    <n v="658"/>
    <n v="220430"/>
    <n v="0"/>
    <n v="142128"/>
    <x v="0"/>
    <x v="9"/>
    <x v="0"/>
  </r>
  <r>
    <x v="283"/>
    <x v="3"/>
    <x v="2"/>
    <x v="2"/>
    <x v="3"/>
    <n v="499"/>
    <n v="185"/>
    <n v="122"/>
    <n v="562"/>
    <n v="87"/>
    <n v="670"/>
    <n v="376540"/>
    <n v="0"/>
    <n v="123950"/>
    <x v="0"/>
    <x v="9"/>
    <x v="0"/>
  </r>
  <r>
    <x v="283"/>
    <x v="10"/>
    <x v="2"/>
    <x v="1"/>
    <x v="3"/>
    <n v="267"/>
    <n v="249"/>
    <n v="154"/>
    <n v="362"/>
    <n v="147"/>
    <n v="79"/>
    <n v="28598"/>
    <n v="0"/>
    <n v="19671"/>
    <x v="0"/>
    <x v="9"/>
    <x v="0"/>
  </r>
  <r>
    <x v="283"/>
    <x v="0"/>
    <x v="0"/>
    <x v="3"/>
    <x v="3"/>
    <n v="36"/>
    <n v="42"/>
    <n v="56"/>
    <n v="22"/>
    <n v="32"/>
    <n v="15910"/>
    <n v="350020"/>
    <n v="0"/>
    <n v="668220"/>
    <x v="1"/>
    <x v="9"/>
    <x v="0"/>
  </r>
  <r>
    <x v="284"/>
    <x v="13"/>
    <x v="3"/>
    <x v="3"/>
    <x v="0"/>
    <n v="31"/>
    <n v="60"/>
    <n v="53"/>
    <n v="38"/>
    <n v="43"/>
    <n v="33299"/>
    <n v="1265362"/>
    <n v="0"/>
    <n v="1997940"/>
    <x v="1"/>
    <x v="9"/>
    <x v="0"/>
  </r>
  <r>
    <x v="284"/>
    <x v="0"/>
    <x v="0"/>
    <x v="0"/>
    <x v="2"/>
    <n v="30"/>
    <n v="44"/>
    <n v="21"/>
    <n v="53"/>
    <n v="28"/>
    <n v="1468"/>
    <n v="77804"/>
    <n v="0"/>
    <n v="64592"/>
    <x v="0"/>
    <x v="9"/>
    <x v="0"/>
  </r>
  <r>
    <x v="284"/>
    <x v="12"/>
    <x v="1"/>
    <x v="3"/>
    <x v="4"/>
    <n v="57"/>
    <n v="23"/>
    <n v="32"/>
    <n v="48"/>
    <n v="27"/>
    <n v="18630"/>
    <n v="894240"/>
    <n v="0"/>
    <n v="428490"/>
    <x v="0"/>
    <x v="9"/>
    <x v="0"/>
  </r>
  <r>
    <x v="285"/>
    <x v="11"/>
    <x v="2"/>
    <x v="0"/>
    <x v="2"/>
    <n v="404"/>
    <n v="112"/>
    <n v="119"/>
    <n v="397"/>
    <n v="136"/>
    <n v="209"/>
    <n v="82973"/>
    <n v="0"/>
    <n v="23408"/>
    <x v="0"/>
    <x v="9"/>
    <x v="0"/>
  </r>
  <r>
    <x v="285"/>
    <x v="2"/>
    <x v="0"/>
    <x v="0"/>
    <x v="1"/>
    <n v="99"/>
    <n v="26"/>
    <n v="6"/>
    <n v="119"/>
    <n v="24"/>
    <n v="16616"/>
    <n v="1977304"/>
    <n v="0"/>
    <n v="432016"/>
    <x v="0"/>
    <x v="9"/>
    <x v="0"/>
  </r>
  <r>
    <x v="285"/>
    <x v="3"/>
    <x v="2"/>
    <x v="3"/>
    <x v="5"/>
    <n v="499"/>
    <n v="121"/>
    <n v="115"/>
    <n v="505"/>
    <n v="67"/>
    <n v="1056"/>
    <n v="533280"/>
    <n v="0"/>
    <n v="127776"/>
    <x v="0"/>
    <x v="9"/>
    <x v="0"/>
  </r>
  <r>
    <x v="285"/>
    <x v="3"/>
    <x v="2"/>
    <x v="3"/>
    <x v="4"/>
    <n v="257"/>
    <n v="143"/>
    <n v="31"/>
    <n v="369"/>
    <n v="116"/>
    <n v="702"/>
    <n v="259038"/>
    <n v="0"/>
    <n v="100386"/>
    <x v="0"/>
    <x v="9"/>
    <x v="0"/>
  </r>
  <r>
    <x v="286"/>
    <x v="3"/>
    <x v="2"/>
    <x v="1"/>
    <x v="5"/>
    <n v="154"/>
    <n v="257"/>
    <n v="256"/>
    <n v="155"/>
    <n v="132"/>
    <n v="719"/>
    <n v="111445"/>
    <n v="0"/>
    <n v="184783"/>
    <x v="0"/>
    <x v="9"/>
    <x v="0"/>
  </r>
  <r>
    <x v="286"/>
    <x v="11"/>
    <x v="2"/>
    <x v="1"/>
    <x v="1"/>
    <n v="346"/>
    <n v="163"/>
    <n v="162"/>
    <n v="347"/>
    <n v="58"/>
    <n v="1109"/>
    <n v="384823"/>
    <n v="0"/>
    <n v="180767"/>
    <x v="0"/>
    <x v="9"/>
    <x v="0"/>
  </r>
  <r>
    <x v="286"/>
    <x v="1"/>
    <x v="1"/>
    <x v="2"/>
    <x v="5"/>
    <n v="56"/>
    <n v="26"/>
    <n v="24"/>
    <n v="58"/>
    <n v="19"/>
    <n v="4509"/>
    <n v="261522"/>
    <n v="0"/>
    <n v="117234"/>
    <x v="0"/>
    <x v="9"/>
    <x v="0"/>
  </r>
  <r>
    <x v="286"/>
    <x v="2"/>
    <x v="0"/>
    <x v="2"/>
    <x v="3"/>
    <n v="24"/>
    <n v="12"/>
    <n v="28"/>
    <n v="8"/>
    <n v="25"/>
    <n v="8089"/>
    <n v="64712"/>
    <n v="0"/>
    <n v="97068"/>
    <x v="1"/>
    <x v="9"/>
    <x v="0"/>
  </r>
  <r>
    <x v="286"/>
    <x v="3"/>
    <x v="2"/>
    <x v="2"/>
    <x v="5"/>
    <n v="402"/>
    <n v="193"/>
    <n v="25"/>
    <n v="570"/>
    <n v="57"/>
    <n v="1061"/>
    <n v="604770"/>
    <n v="0"/>
    <n v="204773"/>
    <x v="0"/>
    <x v="9"/>
    <x v="0"/>
  </r>
  <r>
    <x v="286"/>
    <x v="6"/>
    <x v="3"/>
    <x v="0"/>
    <x v="1"/>
    <n v="27"/>
    <n v="96"/>
    <n v="34"/>
    <n v="89"/>
    <n v="29"/>
    <n v="43182"/>
    <n v="3843198"/>
    <n v="0"/>
    <n v="4145472"/>
    <x v="0"/>
    <x v="9"/>
    <x v="0"/>
  </r>
  <r>
    <x v="286"/>
    <x v="4"/>
    <x v="1"/>
    <x v="2"/>
    <x v="5"/>
    <n v="61"/>
    <n v="24"/>
    <n v="40"/>
    <n v="45"/>
    <n v="17"/>
    <n v="17220"/>
    <n v="774900"/>
    <n v="0"/>
    <n v="413280"/>
    <x v="0"/>
    <x v="9"/>
    <x v="0"/>
  </r>
  <r>
    <x v="287"/>
    <x v="17"/>
    <x v="2"/>
    <x v="0"/>
    <x v="0"/>
    <n v="255"/>
    <n v="265"/>
    <n v="51"/>
    <n v="469"/>
    <n v="53"/>
    <n v="1168"/>
    <n v="547792"/>
    <n v="0"/>
    <n v="309520"/>
    <x v="0"/>
    <x v="9"/>
    <x v="0"/>
  </r>
  <r>
    <x v="287"/>
    <x v="7"/>
    <x v="2"/>
    <x v="2"/>
    <x v="0"/>
    <n v="82"/>
    <n v="36"/>
    <n v="118"/>
    <n v="0"/>
    <n v="116"/>
    <n v="259"/>
    <n v="0"/>
    <n v="0"/>
    <n v="9324"/>
    <x v="1"/>
    <x v="9"/>
    <x v="0"/>
  </r>
  <r>
    <x v="287"/>
    <x v="13"/>
    <x v="3"/>
    <x v="0"/>
    <x v="2"/>
    <n v="114"/>
    <n v="23"/>
    <n v="69"/>
    <n v="68"/>
    <n v="35"/>
    <n v="26509"/>
    <n v="1802612"/>
    <n v="0"/>
    <n v="609707"/>
    <x v="0"/>
    <x v="9"/>
    <x v="0"/>
  </r>
  <r>
    <x v="287"/>
    <x v="1"/>
    <x v="1"/>
    <x v="2"/>
    <x v="3"/>
    <n v="15"/>
    <n v="28"/>
    <n v="20"/>
    <n v="23"/>
    <n v="17"/>
    <n v="20267"/>
    <n v="466141"/>
    <n v="0"/>
    <n v="567476"/>
    <x v="0"/>
    <x v="9"/>
    <x v="0"/>
  </r>
  <r>
    <x v="287"/>
    <x v="17"/>
    <x v="2"/>
    <x v="2"/>
    <x v="1"/>
    <n v="99"/>
    <n v="33"/>
    <n v="128"/>
    <n v="4"/>
    <n v="85"/>
    <n v="871"/>
    <n v="3484"/>
    <n v="0"/>
    <n v="28743"/>
    <x v="1"/>
    <x v="9"/>
    <x v="0"/>
  </r>
  <r>
    <x v="288"/>
    <x v="3"/>
    <x v="2"/>
    <x v="1"/>
    <x v="0"/>
    <n v="344"/>
    <n v="244"/>
    <n v="129"/>
    <n v="459"/>
    <n v="142"/>
    <n v="1070"/>
    <n v="491130"/>
    <n v="0"/>
    <n v="261080"/>
    <x v="0"/>
    <x v="9"/>
    <x v="0"/>
  </r>
  <r>
    <x v="288"/>
    <x v="14"/>
    <x v="3"/>
    <x v="1"/>
    <x v="0"/>
    <n v="143"/>
    <n v="15"/>
    <n v="40"/>
    <n v="118"/>
    <n v="58"/>
    <n v="10370"/>
    <n v="1223660"/>
    <n v="0"/>
    <n v="155550"/>
    <x v="0"/>
    <x v="9"/>
    <x v="0"/>
  </r>
  <r>
    <x v="288"/>
    <x v="14"/>
    <x v="3"/>
    <x v="0"/>
    <x v="4"/>
    <n v="75"/>
    <n v="84"/>
    <n v="7"/>
    <n v="152"/>
    <n v="25"/>
    <n v="5321"/>
    <n v="808792"/>
    <n v="0"/>
    <n v="446964"/>
    <x v="0"/>
    <x v="9"/>
    <x v="0"/>
  </r>
  <r>
    <x v="288"/>
    <x v="6"/>
    <x v="3"/>
    <x v="1"/>
    <x v="1"/>
    <n v="128"/>
    <n v="18"/>
    <n v="67"/>
    <n v="79"/>
    <n v="29"/>
    <n v="13547"/>
    <n v="1070213"/>
    <n v="0"/>
    <n v="243846"/>
    <x v="0"/>
    <x v="9"/>
    <x v="0"/>
  </r>
  <r>
    <x v="288"/>
    <x v="5"/>
    <x v="3"/>
    <x v="1"/>
    <x v="1"/>
    <n v="175"/>
    <n v="46"/>
    <n v="11"/>
    <n v="210"/>
    <n v="56"/>
    <n v="4067"/>
    <n v="854070"/>
    <n v="0"/>
    <n v="187082"/>
    <x v="0"/>
    <x v="9"/>
    <x v="0"/>
  </r>
  <r>
    <x v="288"/>
    <x v="9"/>
    <x v="0"/>
    <x v="1"/>
    <x v="4"/>
    <n v="96"/>
    <n v="79"/>
    <n v="43"/>
    <n v="132"/>
    <n v="31"/>
    <n v="14727"/>
    <n v="1943964"/>
    <n v="0"/>
    <n v="1163433"/>
    <x v="0"/>
    <x v="9"/>
    <x v="0"/>
  </r>
  <r>
    <x v="289"/>
    <x v="1"/>
    <x v="1"/>
    <x v="0"/>
    <x v="3"/>
    <n v="14"/>
    <n v="13"/>
    <n v="27"/>
    <n v="0"/>
    <n v="11"/>
    <n v="18209"/>
    <n v="0"/>
    <n v="0"/>
    <n v="236717"/>
    <x v="1"/>
    <x v="9"/>
    <x v="0"/>
  </r>
  <r>
    <x v="289"/>
    <x v="5"/>
    <x v="3"/>
    <x v="0"/>
    <x v="0"/>
    <n v="155"/>
    <n v="61"/>
    <n v="44"/>
    <n v="172"/>
    <n v="55"/>
    <n v="20120"/>
    <n v="3460640"/>
    <n v="0"/>
    <n v="1227320"/>
    <x v="0"/>
    <x v="9"/>
    <x v="0"/>
  </r>
  <r>
    <x v="290"/>
    <x v="15"/>
    <x v="2"/>
    <x v="3"/>
    <x v="1"/>
    <n v="384"/>
    <n v="249"/>
    <n v="125"/>
    <n v="508"/>
    <n v="98"/>
    <n v="844"/>
    <n v="428752"/>
    <n v="0"/>
    <n v="210156"/>
    <x v="0"/>
    <x v="9"/>
    <x v="0"/>
  </r>
  <r>
    <x v="290"/>
    <x v="4"/>
    <x v="1"/>
    <x v="3"/>
    <x v="3"/>
    <n v="65"/>
    <n v="40"/>
    <n v="26"/>
    <n v="79"/>
    <n v="29"/>
    <n v="17071"/>
    <n v="1348609"/>
    <n v="0"/>
    <n v="682840"/>
    <x v="0"/>
    <x v="9"/>
    <x v="0"/>
  </r>
  <r>
    <x v="290"/>
    <x v="9"/>
    <x v="0"/>
    <x v="1"/>
    <x v="5"/>
    <n v="34"/>
    <n v="20"/>
    <n v="5"/>
    <n v="49"/>
    <n v="37"/>
    <n v="16435"/>
    <n v="805315"/>
    <n v="0"/>
    <n v="328700"/>
    <x v="0"/>
    <x v="9"/>
    <x v="0"/>
  </r>
  <r>
    <x v="290"/>
    <x v="5"/>
    <x v="3"/>
    <x v="1"/>
    <x v="0"/>
    <n v="165"/>
    <n v="31"/>
    <n v="70"/>
    <n v="126"/>
    <n v="55"/>
    <n v="1844"/>
    <n v="232344"/>
    <n v="0"/>
    <n v="57164"/>
    <x v="0"/>
    <x v="9"/>
    <x v="0"/>
  </r>
  <r>
    <x v="291"/>
    <x v="5"/>
    <x v="3"/>
    <x v="0"/>
    <x v="3"/>
    <n v="138"/>
    <n v="68"/>
    <n v="58"/>
    <n v="148"/>
    <n v="20"/>
    <n v="12977"/>
    <n v="1920596"/>
    <n v="0"/>
    <n v="882436"/>
    <x v="0"/>
    <x v="9"/>
    <x v="0"/>
  </r>
  <r>
    <x v="291"/>
    <x v="18"/>
    <x v="3"/>
    <x v="0"/>
    <x v="4"/>
    <n v="21"/>
    <n v="78"/>
    <n v="94"/>
    <n v="5"/>
    <n v="32"/>
    <n v="25032"/>
    <n v="125160"/>
    <n v="0"/>
    <n v="1952496"/>
    <x v="1"/>
    <x v="9"/>
    <x v="0"/>
  </r>
  <r>
    <x v="291"/>
    <x v="0"/>
    <x v="0"/>
    <x v="2"/>
    <x v="3"/>
    <n v="82"/>
    <n v="54"/>
    <n v="26"/>
    <n v="110"/>
    <n v="21"/>
    <n v="4383"/>
    <n v="482130"/>
    <n v="0"/>
    <n v="236682"/>
    <x v="0"/>
    <x v="9"/>
    <x v="0"/>
  </r>
  <r>
    <x v="291"/>
    <x v="5"/>
    <x v="3"/>
    <x v="0"/>
    <x v="5"/>
    <n v="65"/>
    <n v="51"/>
    <n v="19"/>
    <n v="97"/>
    <n v="35"/>
    <n v="5312"/>
    <n v="515264"/>
    <n v="0"/>
    <n v="270912"/>
    <x v="0"/>
    <x v="9"/>
    <x v="0"/>
  </r>
  <r>
    <x v="291"/>
    <x v="18"/>
    <x v="3"/>
    <x v="0"/>
    <x v="0"/>
    <n v="135"/>
    <n v="33"/>
    <n v="59"/>
    <n v="109"/>
    <n v="26"/>
    <n v="25912"/>
    <n v="2824408"/>
    <n v="0"/>
    <n v="855096"/>
    <x v="0"/>
    <x v="9"/>
    <x v="0"/>
  </r>
  <r>
    <x v="291"/>
    <x v="19"/>
    <x v="0"/>
    <x v="3"/>
    <x v="0"/>
    <n v="56"/>
    <n v="21"/>
    <n v="39"/>
    <n v="38"/>
    <n v="23"/>
    <n v="15906"/>
    <n v="604428"/>
    <n v="0"/>
    <n v="334026"/>
    <x v="0"/>
    <x v="9"/>
    <x v="0"/>
  </r>
  <r>
    <x v="291"/>
    <x v="3"/>
    <x v="2"/>
    <x v="0"/>
    <x v="5"/>
    <n v="222"/>
    <n v="237"/>
    <n v="33"/>
    <n v="426"/>
    <n v="71"/>
    <n v="1142"/>
    <n v="486492"/>
    <n v="0"/>
    <n v="270654"/>
    <x v="0"/>
    <x v="9"/>
    <x v="0"/>
  </r>
  <r>
    <x v="291"/>
    <x v="10"/>
    <x v="2"/>
    <x v="0"/>
    <x v="3"/>
    <n v="342"/>
    <n v="209"/>
    <n v="231"/>
    <n v="320"/>
    <n v="85"/>
    <n v="909"/>
    <n v="290880"/>
    <n v="0"/>
    <n v="189981"/>
    <x v="0"/>
    <x v="9"/>
    <x v="0"/>
  </r>
  <r>
    <x v="292"/>
    <x v="15"/>
    <x v="2"/>
    <x v="0"/>
    <x v="1"/>
    <n v="443"/>
    <n v="248"/>
    <n v="243"/>
    <n v="448"/>
    <n v="55"/>
    <n v="267"/>
    <n v="119616"/>
    <n v="0"/>
    <n v="66216"/>
    <x v="0"/>
    <x v="9"/>
    <x v="0"/>
  </r>
  <r>
    <x v="292"/>
    <x v="0"/>
    <x v="0"/>
    <x v="3"/>
    <x v="5"/>
    <n v="38"/>
    <n v="55"/>
    <n v="12"/>
    <n v="81"/>
    <n v="22"/>
    <n v="16179"/>
    <n v="1310499"/>
    <n v="0"/>
    <n v="889845"/>
    <x v="0"/>
    <x v="9"/>
    <x v="0"/>
  </r>
  <r>
    <x v="292"/>
    <x v="11"/>
    <x v="2"/>
    <x v="1"/>
    <x v="2"/>
    <n v="145"/>
    <n v="30"/>
    <n v="175"/>
    <n v="0"/>
    <n v="102"/>
    <n v="939"/>
    <n v="0"/>
    <n v="0"/>
    <n v="28170"/>
    <x v="1"/>
    <x v="9"/>
    <x v="0"/>
  </r>
  <r>
    <x v="293"/>
    <x v="3"/>
    <x v="2"/>
    <x v="1"/>
    <x v="1"/>
    <n v="169"/>
    <n v="47"/>
    <n v="178"/>
    <n v="38"/>
    <n v="76"/>
    <n v="729"/>
    <n v="27702"/>
    <n v="0"/>
    <n v="34263"/>
    <x v="1"/>
    <x v="9"/>
    <x v="0"/>
  </r>
  <r>
    <x v="293"/>
    <x v="10"/>
    <x v="2"/>
    <x v="2"/>
    <x v="2"/>
    <n v="371"/>
    <n v="35"/>
    <n v="30"/>
    <n v="376"/>
    <n v="123"/>
    <n v="1116"/>
    <n v="419616"/>
    <n v="0"/>
    <n v="39060"/>
    <x v="0"/>
    <x v="9"/>
    <x v="0"/>
  </r>
  <r>
    <x v="293"/>
    <x v="10"/>
    <x v="2"/>
    <x v="2"/>
    <x v="5"/>
    <n v="226"/>
    <n v="266"/>
    <n v="147"/>
    <n v="345"/>
    <n v="104"/>
    <n v="858"/>
    <n v="296010"/>
    <n v="0"/>
    <n v="228228"/>
    <x v="0"/>
    <x v="9"/>
    <x v="0"/>
  </r>
  <r>
    <x v="293"/>
    <x v="10"/>
    <x v="2"/>
    <x v="2"/>
    <x v="0"/>
    <n v="475"/>
    <n v="272"/>
    <n v="195"/>
    <n v="552"/>
    <n v="61"/>
    <n v="656"/>
    <n v="362112"/>
    <n v="0"/>
    <n v="178432"/>
    <x v="0"/>
    <x v="9"/>
    <x v="0"/>
  </r>
  <r>
    <x v="294"/>
    <x v="13"/>
    <x v="3"/>
    <x v="0"/>
    <x v="0"/>
    <n v="116"/>
    <n v="21"/>
    <n v="6"/>
    <n v="131"/>
    <n v="47"/>
    <n v="1818"/>
    <n v="238158"/>
    <n v="0"/>
    <n v="38178"/>
    <x v="0"/>
    <x v="9"/>
    <x v="0"/>
  </r>
  <r>
    <x v="294"/>
    <x v="8"/>
    <x v="3"/>
    <x v="3"/>
    <x v="5"/>
    <n v="80"/>
    <n v="59"/>
    <n v="71"/>
    <n v="68"/>
    <n v="52"/>
    <n v="53853"/>
    <n v="3662004"/>
    <n v="0"/>
    <n v="3177327"/>
    <x v="0"/>
    <x v="9"/>
    <x v="0"/>
  </r>
  <r>
    <x v="294"/>
    <x v="7"/>
    <x v="2"/>
    <x v="3"/>
    <x v="4"/>
    <n v="379"/>
    <n v="230"/>
    <n v="55"/>
    <n v="554"/>
    <n v="91"/>
    <n v="507"/>
    <n v="280878"/>
    <n v="0"/>
    <n v="116610"/>
    <x v="0"/>
    <x v="9"/>
    <x v="0"/>
  </r>
  <r>
    <x v="294"/>
    <x v="2"/>
    <x v="0"/>
    <x v="1"/>
    <x v="2"/>
    <n v="114"/>
    <n v="24"/>
    <n v="26"/>
    <n v="112"/>
    <n v="19"/>
    <n v="15041"/>
    <n v="1684592"/>
    <n v="0"/>
    <n v="360984"/>
    <x v="0"/>
    <x v="9"/>
    <x v="0"/>
  </r>
  <r>
    <x v="294"/>
    <x v="12"/>
    <x v="1"/>
    <x v="3"/>
    <x v="5"/>
    <n v="23"/>
    <n v="43"/>
    <n v="37"/>
    <n v="29"/>
    <n v="14"/>
    <n v="10924"/>
    <n v="316796"/>
    <n v="0"/>
    <n v="469732"/>
    <x v="0"/>
    <x v="9"/>
    <x v="0"/>
  </r>
  <r>
    <x v="294"/>
    <x v="14"/>
    <x v="3"/>
    <x v="0"/>
    <x v="0"/>
    <n v="158"/>
    <n v="87"/>
    <n v="6"/>
    <n v="239"/>
    <n v="54"/>
    <n v="14018"/>
    <n v="3350302"/>
    <n v="0"/>
    <n v="1219566"/>
    <x v="0"/>
    <x v="9"/>
    <x v="0"/>
  </r>
  <r>
    <x v="295"/>
    <x v="16"/>
    <x v="1"/>
    <x v="1"/>
    <x v="0"/>
    <n v="17"/>
    <n v="36"/>
    <n v="31"/>
    <n v="22"/>
    <n v="18"/>
    <n v="23305"/>
    <n v="512710"/>
    <n v="0"/>
    <n v="838980"/>
    <x v="0"/>
    <x v="9"/>
    <x v="0"/>
  </r>
  <r>
    <x v="295"/>
    <x v="11"/>
    <x v="2"/>
    <x v="1"/>
    <x v="5"/>
    <n v="164"/>
    <n v="30"/>
    <n v="50"/>
    <n v="144"/>
    <n v="147"/>
    <n v="501"/>
    <n v="72144"/>
    <n v="0"/>
    <n v="15030"/>
    <x v="1"/>
    <x v="9"/>
    <x v="0"/>
  </r>
  <r>
    <x v="295"/>
    <x v="13"/>
    <x v="3"/>
    <x v="3"/>
    <x v="4"/>
    <n v="76"/>
    <n v="55"/>
    <n v="90"/>
    <n v="41"/>
    <n v="58"/>
    <n v="12239"/>
    <n v="501799"/>
    <n v="0"/>
    <n v="673145"/>
    <x v="1"/>
    <x v="9"/>
    <x v="0"/>
  </r>
  <r>
    <x v="295"/>
    <x v="1"/>
    <x v="1"/>
    <x v="0"/>
    <x v="2"/>
    <n v="84"/>
    <n v="28"/>
    <n v="7"/>
    <n v="105"/>
    <n v="16"/>
    <n v="18456"/>
    <n v="1937880"/>
    <n v="0"/>
    <n v="516768"/>
    <x v="0"/>
    <x v="9"/>
    <x v="0"/>
  </r>
  <r>
    <x v="295"/>
    <x v="13"/>
    <x v="3"/>
    <x v="1"/>
    <x v="3"/>
    <n v="131"/>
    <n v="75"/>
    <n v="58"/>
    <n v="148"/>
    <n v="47"/>
    <n v="48583"/>
    <n v="7190284"/>
    <n v="0"/>
    <n v="3643725"/>
    <x v="0"/>
    <x v="9"/>
    <x v="0"/>
  </r>
  <r>
    <x v="295"/>
    <x v="14"/>
    <x v="3"/>
    <x v="2"/>
    <x v="4"/>
    <n v="113"/>
    <n v="66"/>
    <n v="40"/>
    <n v="139"/>
    <n v="53"/>
    <n v="13919"/>
    <n v="1934741"/>
    <n v="0"/>
    <n v="918654"/>
    <x v="0"/>
    <x v="9"/>
    <x v="0"/>
  </r>
  <r>
    <x v="296"/>
    <x v="9"/>
    <x v="0"/>
    <x v="3"/>
    <x v="4"/>
    <n v="113"/>
    <n v="11"/>
    <n v="62"/>
    <n v="62"/>
    <n v="34"/>
    <n v="9908"/>
    <n v="614296"/>
    <n v="0"/>
    <n v="108988"/>
    <x v="0"/>
    <x v="9"/>
    <x v="0"/>
  </r>
  <r>
    <x v="296"/>
    <x v="12"/>
    <x v="1"/>
    <x v="0"/>
    <x v="1"/>
    <n v="18"/>
    <n v="45"/>
    <n v="7"/>
    <n v="56"/>
    <n v="21"/>
    <n v="6099"/>
    <n v="341544"/>
    <n v="0"/>
    <n v="274455"/>
    <x v="0"/>
    <x v="9"/>
    <x v="0"/>
  </r>
  <r>
    <x v="296"/>
    <x v="5"/>
    <x v="3"/>
    <x v="0"/>
    <x v="4"/>
    <n v="154"/>
    <n v="24"/>
    <n v="64"/>
    <n v="114"/>
    <n v="38"/>
    <n v="30791"/>
    <n v="3510174"/>
    <n v="0"/>
    <n v="738984"/>
    <x v="0"/>
    <x v="9"/>
    <x v="0"/>
  </r>
  <r>
    <x v="296"/>
    <x v="2"/>
    <x v="0"/>
    <x v="1"/>
    <x v="0"/>
    <n v="41"/>
    <n v="78"/>
    <n v="48"/>
    <n v="71"/>
    <n v="24"/>
    <n v="8047"/>
    <n v="571337"/>
    <n v="0"/>
    <n v="627666"/>
    <x v="0"/>
    <x v="9"/>
    <x v="0"/>
  </r>
  <r>
    <x v="296"/>
    <x v="6"/>
    <x v="3"/>
    <x v="0"/>
    <x v="2"/>
    <n v="160"/>
    <n v="45"/>
    <n v="17"/>
    <n v="188"/>
    <n v="56"/>
    <n v="53291"/>
    <n v="10018708"/>
    <n v="0"/>
    <n v="2398095"/>
    <x v="0"/>
    <x v="9"/>
    <x v="0"/>
  </r>
  <r>
    <x v="297"/>
    <x v="9"/>
    <x v="0"/>
    <x v="1"/>
    <x v="5"/>
    <n v="53"/>
    <n v="77"/>
    <n v="8"/>
    <n v="122"/>
    <n v="29"/>
    <n v="16107"/>
    <n v="1965054"/>
    <n v="0"/>
    <n v="1240239"/>
    <x v="0"/>
    <x v="9"/>
    <x v="0"/>
  </r>
  <r>
    <x v="297"/>
    <x v="17"/>
    <x v="2"/>
    <x v="3"/>
    <x v="5"/>
    <n v="126"/>
    <n v="166"/>
    <n v="29"/>
    <n v="263"/>
    <n v="132"/>
    <n v="459"/>
    <n v="120717"/>
    <n v="0"/>
    <n v="76194"/>
    <x v="0"/>
    <x v="9"/>
    <x v="0"/>
  </r>
  <r>
    <x v="297"/>
    <x v="9"/>
    <x v="0"/>
    <x v="0"/>
    <x v="3"/>
    <n v="48"/>
    <n v="53"/>
    <n v="20"/>
    <n v="81"/>
    <n v="39"/>
    <n v="17784"/>
    <n v="1440504"/>
    <n v="0"/>
    <n v="942552"/>
    <x v="0"/>
    <x v="9"/>
    <x v="0"/>
  </r>
  <r>
    <x v="298"/>
    <x v="17"/>
    <x v="2"/>
    <x v="1"/>
    <x v="2"/>
    <n v="475"/>
    <n v="75"/>
    <n v="104"/>
    <n v="446"/>
    <n v="78"/>
    <n v="83"/>
    <n v="37018"/>
    <n v="0"/>
    <n v="6225"/>
    <x v="0"/>
    <x v="9"/>
    <x v="0"/>
  </r>
  <r>
    <x v="298"/>
    <x v="0"/>
    <x v="0"/>
    <x v="3"/>
    <x v="5"/>
    <n v="81"/>
    <n v="74"/>
    <n v="64"/>
    <n v="91"/>
    <n v="27"/>
    <n v="9510"/>
    <n v="865410"/>
    <n v="0"/>
    <n v="703740"/>
    <x v="0"/>
    <x v="9"/>
    <x v="0"/>
  </r>
  <r>
    <x v="298"/>
    <x v="3"/>
    <x v="2"/>
    <x v="1"/>
    <x v="2"/>
    <n v="159"/>
    <n v="225"/>
    <n v="161"/>
    <n v="223"/>
    <n v="124"/>
    <n v="167"/>
    <n v="37241"/>
    <n v="0"/>
    <n v="37575"/>
    <x v="0"/>
    <x v="9"/>
    <x v="0"/>
  </r>
  <r>
    <x v="298"/>
    <x v="17"/>
    <x v="2"/>
    <x v="1"/>
    <x v="4"/>
    <n v="452"/>
    <n v="165"/>
    <n v="64"/>
    <n v="553"/>
    <n v="143"/>
    <n v="272"/>
    <n v="150416"/>
    <n v="0"/>
    <n v="44880"/>
    <x v="0"/>
    <x v="9"/>
    <x v="0"/>
  </r>
  <r>
    <x v="298"/>
    <x v="1"/>
    <x v="1"/>
    <x v="3"/>
    <x v="4"/>
    <n v="69"/>
    <n v="43"/>
    <n v="42"/>
    <n v="70"/>
    <n v="19"/>
    <n v="10864"/>
    <n v="760480"/>
    <n v="0"/>
    <n v="467152"/>
    <x v="0"/>
    <x v="9"/>
    <x v="0"/>
  </r>
  <r>
    <x v="299"/>
    <x v="16"/>
    <x v="1"/>
    <x v="0"/>
    <x v="4"/>
    <n v="98"/>
    <n v="47"/>
    <n v="23"/>
    <n v="122"/>
    <n v="10"/>
    <n v="13118"/>
    <n v="1600396"/>
    <n v="0"/>
    <n v="616546"/>
    <x v="0"/>
    <x v="9"/>
    <x v="0"/>
  </r>
  <r>
    <x v="299"/>
    <x v="5"/>
    <x v="3"/>
    <x v="0"/>
    <x v="3"/>
    <n v="60"/>
    <n v="47"/>
    <n v="23"/>
    <n v="84"/>
    <n v="40"/>
    <n v="64045"/>
    <n v="5379780"/>
    <n v="0"/>
    <n v="3010115"/>
    <x v="0"/>
    <x v="9"/>
    <x v="0"/>
  </r>
  <r>
    <x v="299"/>
    <x v="18"/>
    <x v="3"/>
    <x v="0"/>
    <x v="5"/>
    <n v="141"/>
    <n v="56"/>
    <n v="71"/>
    <n v="126"/>
    <n v="47"/>
    <n v="40887"/>
    <n v="5151762"/>
    <n v="0"/>
    <n v="2289672"/>
    <x v="0"/>
    <x v="9"/>
    <x v="0"/>
  </r>
  <r>
    <x v="299"/>
    <x v="15"/>
    <x v="2"/>
    <x v="0"/>
    <x v="5"/>
    <n v="160"/>
    <n v="109"/>
    <n v="149"/>
    <n v="120"/>
    <n v="82"/>
    <n v="452"/>
    <n v="54240"/>
    <n v="0"/>
    <n v="49268"/>
    <x v="0"/>
    <x v="9"/>
    <x v="0"/>
  </r>
  <r>
    <x v="299"/>
    <x v="19"/>
    <x v="0"/>
    <x v="1"/>
    <x v="1"/>
    <n v="104"/>
    <n v="26"/>
    <n v="53"/>
    <n v="77"/>
    <n v="39"/>
    <n v="12420"/>
    <n v="956340"/>
    <n v="0"/>
    <n v="322920"/>
    <x v="0"/>
    <x v="9"/>
    <x v="0"/>
  </r>
  <r>
    <x v="299"/>
    <x v="1"/>
    <x v="1"/>
    <x v="0"/>
    <x v="2"/>
    <n v="42"/>
    <n v="11"/>
    <n v="23"/>
    <n v="30"/>
    <n v="23"/>
    <n v="15968"/>
    <n v="479040"/>
    <n v="0"/>
    <n v="175648"/>
    <x v="0"/>
    <x v="9"/>
    <x v="0"/>
  </r>
  <r>
    <x v="300"/>
    <x v="3"/>
    <x v="2"/>
    <x v="2"/>
    <x v="2"/>
    <n v="409"/>
    <n v="267"/>
    <n v="144"/>
    <n v="532"/>
    <n v="145"/>
    <n v="682"/>
    <n v="362824"/>
    <n v="0"/>
    <n v="182094"/>
    <x v="0"/>
    <x v="9"/>
    <x v="0"/>
  </r>
  <r>
    <x v="300"/>
    <x v="10"/>
    <x v="2"/>
    <x v="0"/>
    <x v="0"/>
    <n v="181"/>
    <n v="149"/>
    <n v="225"/>
    <n v="105"/>
    <n v="110"/>
    <n v="1179"/>
    <n v="123795"/>
    <n v="0"/>
    <n v="175671"/>
    <x v="1"/>
    <x v="9"/>
    <x v="0"/>
  </r>
  <r>
    <x v="300"/>
    <x v="1"/>
    <x v="1"/>
    <x v="3"/>
    <x v="3"/>
    <n v="81"/>
    <n v="39"/>
    <n v="40"/>
    <n v="80"/>
    <n v="28"/>
    <n v="9399"/>
    <n v="751920"/>
    <n v="0"/>
    <n v="366561"/>
    <x v="0"/>
    <x v="9"/>
    <x v="0"/>
  </r>
  <r>
    <x v="300"/>
    <x v="17"/>
    <x v="2"/>
    <x v="2"/>
    <x v="1"/>
    <n v="219"/>
    <n v="163"/>
    <n v="50"/>
    <n v="332"/>
    <n v="74"/>
    <n v="250"/>
    <n v="83000"/>
    <n v="0"/>
    <n v="40750"/>
    <x v="0"/>
    <x v="9"/>
    <x v="0"/>
  </r>
  <r>
    <x v="300"/>
    <x v="2"/>
    <x v="0"/>
    <x v="1"/>
    <x v="5"/>
    <n v="45"/>
    <n v="13"/>
    <n v="17"/>
    <n v="41"/>
    <n v="24"/>
    <n v="16665"/>
    <n v="683265"/>
    <n v="0"/>
    <n v="216645"/>
    <x v="0"/>
    <x v="9"/>
    <x v="0"/>
  </r>
  <r>
    <x v="300"/>
    <x v="14"/>
    <x v="3"/>
    <x v="0"/>
    <x v="0"/>
    <n v="125"/>
    <n v="43"/>
    <n v="29"/>
    <n v="139"/>
    <n v="48"/>
    <n v="20169"/>
    <n v="2803491"/>
    <n v="0"/>
    <n v="867267"/>
    <x v="0"/>
    <x v="9"/>
    <x v="0"/>
  </r>
  <r>
    <x v="300"/>
    <x v="0"/>
    <x v="0"/>
    <x v="0"/>
    <x v="4"/>
    <n v="82"/>
    <n v="8"/>
    <n v="32"/>
    <n v="58"/>
    <n v="18"/>
    <n v="12134"/>
    <n v="703772"/>
    <n v="0"/>
    <n v="97072"/>
    <x v="0"/>
    <x v="9"/>
    <x v="0"/>
  </r>
  <r>
    <x v="300"/>
    <x v="16"/>
    <x v="1"/>
    <x v="0"/>
    <x v="3"/>
    <n v="55"/>
    <n v="21"/>
    <n v="3"/>
    <n v="73"/>
    <n v="14"/>
    <n v="23363"/>
    <n v="1705499"/>
    <n v="0"/>
    <n v="490623"/>
    <x v="0"/>
    <x v="9"/>
    <x v="0"/>
  </r>
  <r>
    <x v="301"/>
    <x v="17"/>
    <x v="2"/>
    <x v="0"/>
    <x v="0"/>
    <n v="284"/>
    <n v="213"/>
    <n v="47"/>
    <n v="450"/>
    <n v="116"/>
    <n v="158"/>
    <n v="71100"/>
    <n v="0"/>
    <n v="33654"/>
    <x v="0"/>
    <x v="9"/>
    <x v="0"/>
  </r>
  <r>
    <x v="301"/>
    <x v="7"/>
    <x v="2"/>
    <x v="1"/>
    <x v="4"/>
    <n v="191"/>
    <n v="231"/>
    <n v="216"/>
    <n v="206"/>
    <n v="142"/>
    <n v="434"/>
    <n v="89404"/>
    <n v="0"/>
    <n v="100254"/>
    <x v="0"/>
    <x v="9"/>
    <x v="0"/>
  </r>
  <r>
    <x v="301"/>
    <x v="18"/>
    <x v="3"/>
    <x v="2"/>
    <x v="2"/>
    <n v="48"/>
    <n v="95"/>
    <n v="49"/>
    <n v="94"/>
    <n v="28"/>
    <n v="33644"/>
    <n v="3162536"/>
    <n v="0"/>
    <n v="3196180"/>
    <x v="0"/>
    <x v="9"/>
    <x v="0"/>
  </r>
  <r>
    <x v="302"/>
    <x v="15"/>
    <x v="2"/>
    <x v="0"/>
    <x v="5"/>
    <n v="342"/>
    <n v="257"/>
    <n v="52"/>
    <n v="547"/>
    <n v="136"/>
    <n v="963"/>
    <n v="526761"/>
    <n v="0"/>
    <n v="247491"/>
    <x v="0"/>
    <x v="9"/>
    <x v="0"/>
  </r>
  <r>
    <x v="302"/>
    <x v="19"/>
    <x v="0"/>
    <x v="2"/>
    <x v="0"/>
    <n v="30"/>
    <n v="75"/>
    <n v="20"/>
    <n v="85"/>
    <n v="15"/>
    <n v="3546"/>
    <n v="301410"/>
    <n v="0"/>
    <n v="265950"/>
    <x v="0"/>
    <x v="9"/>
    <x v="0"/>
  </r>
  <r>
    <x v="302"/>
    <x v="0"/>
    <x v="0"/>
    <x v="2"/>
    <x v="1"/>
    <n v="26"/>
    <n v="73"/>
    <n v="39"/>
    <n v="60"/>
    <n v="23"/>
    <n v="7858"/>
    <n v="471480"/>
    <n v="0"/>
    <n v="573634"/>
    <x v="0"/>
    <x v="9"/>
    <x v="0"/>
  </r>
  <r>
    <x v="302"/>
    <x v="2"/>
    <x v="0"/>
    <x v="2"/>
    <x v="2"/>
    <n v="112"/>
    <n v="66"/>
    <n v="54"/>
    <n v="124"/>
    <n v="26"/>
    <n v="5576"/>
    <n v="691424"/>
    <n v="0"/>
    <n v="368016"/>
    <x v="0"/>
    <x v="9"/>
    <x v="0"/>
  </r>
  <r>
    <x v="302"/>
    <x v="15"/>
    <x v="2"/>
    <x v="3"/>
    <x v="3"/>
    <n v="432"/>
    <n v="75"/>
    <n v="37"/>
    <n v="470"/>
    <n v="120"/>
    <n v="763"/>
    <n v="358610"/>
    <n v="0"/>
    <n v="57225"/>
    <x v="0"/>
    <x v="9"/>
    <x v="0"/>
  </r>
  <r>
    <x v="303"/>
    <x v="13"/>
    <x v="3"/>
    <x v="2"/>
    <x v="0"/>
    <n v="123"/>
    <n v="84"/>
    <n v="65"/>
    <n v="142"/>
    <n v="25"/>
    <n v="39650"/>
    <n v="5630300"/>
    <n v="0"/>
    <n v="3330600"/>
    <x v="0"/>
    <x v="10"/>
    <x v="0"/>
  </r>
  <r>
    <x v="303"/>
    <x v="16"/>
    <x v="1"/>
    <x v="3"/>
    <x v="1"/>
    <n v="72"/>
    <n v="24"/>
    <n v="15"/>
    <n v="81"/>
    <n v="22"/>
    <n v="3128"/>
    <n v="253368"/>
    <n v="0"/>
    <n v="75072"/>
    <x v="0"/>
    <x v="10"/>
    <x v="0"/>
  </r>
  <r>
    <x v="304"/>
    <x v="13"/>
    <x v="3"/>
    <x v="2"/>
    <x v="5"/>
    <n v="165"/>
    <n v="27"/>
    <n v="20"/>
    <n v="172"/>
    <n v="24"/>
    <n v="28755"/>
    <n v="4945860"/>
    <n v="0"/>
    <n v="776385"/>
    <x v="0"/>
    <x v="10"/>
    <x v="0"/>
  </r>
  <r>
    <x v="304"/>
    <x v="5"/>
    <x v="3"/>
    <x v="3"/>
    <x v="5"/>
    <n v="159"/>
    <n v="104"/>
    <n v="85"/>
    <n v="178"/>
    <n v="30"/>
    <n v="24576"/>
    <n v="4374528"/>
    <n v="0"/>
    <n v="2555904"/>
    <x v="0"/>
    <x v="10"/>
    <x v="0"/>
  </r>
  <r>
    <x v="304"/>
    <x v="0"/>
    <x v="0"/>
    <x v="3"/>
    <x v="2"/>
    <n v="22"/>
    <n v="66"/>
    <n v="27"/>
    <n v="61"/>
    <n v="26"/>
    <n v="8848"/>
    <n v="539728"/>
    <n v="0"/>
    <n v="583968"/>
    <x v="0"/>
    <x v="10"/>
    <x v="0"/>
  </r>
  <r>
    <x v="304"/>
    <x v="13"/>
    <x v="3"/>
    <x v="0"/>
    <x v="2"/>
    <n v="143"/>
    <n v="28"/>
    <n v="5"/>
    <n v="166"/>
    <n v="51"/>
    <n v="36935"/>
    <n v="6131210"/>
    <n v="0"/>
    <n v="1034180"/>
    <x v="0"/>
    <x v="10"/>
    <x v="0"/>
  </r>
  <r>
    <x v="304"/>
    <x v="6"/>
    <x v="3"/>
    <x v="2"/>
    <x v="2"/>
    <n v="21"/>
    <n v="24"/>
    <n v="41"/>
    <n v="4"/>
    <n v="51"/>
    <n v="12206"/>
    <n v="48824"/>
    <n v="0"/>
    <n v="292944"/>
    <x v="1"/>
    <x v="10"/>
    <x v="0"/>
  </r>
  <r>
    <x v="305"/>
    <x v="14"/>
    <x v="3"/>
    <x v="1"/>
    <x v="2"/>
    <n v="30"/>
    <n v="72"/>
    <n v="61"/>
    <n v="41"/>
    <n v="31"/>
    <n v="28318"/>
    <n v="1161038"/>
    <n v="0"/>
    <n v="2038896"/>
    <x v="0"/>
    <x v="10"/>
    <x v="0"/>
  </r>
  <r>
    <x v="306"/>
    <x v="2"/>
    <x v="0"/>
    <x v="2"/>
    <x v="1"/>
    <n v="23"/>
    <n v="58"/>
    <n v="49"/>
    <n v="32"/>
    <n v="17"/>
    <n v="9959"/>
    <n v="318688"/>
    <n v="0"/>
    <n v="577622"/>
    <x v="0"/>
    <x v="10"/>
    <x v="0"/>
  </r>
  <r>
    <x v="306"/>
    <x v="4"/>
    <x v="1"/>
    <x v="1"/>
    <x v="1"/>
    <n v="80"/>
    <n v="6"/>
    <n v="24"/>
    <n v="62"/>
    <n v="17"/>
    <n v="11330"/>
    <n v="702460"/>
    <n v="0"/>
    <n v="67980"/>
    <x v="0"/>
    <x v="10"/>
    <x v="0"/>
  </r>
  <r>
    <x v="306"/>
    <x v="5"/>
    <x v="3"/>
    <x v="1"/>
    <x v="5"/>
    <n v="175"/>
    <n v="87"/>
    <n v="62"/>
    <n v="200"/>
    <n v="25"/>
    <n v="6339"/>
    <n v="1267800"/>
    <n v="0"/>
    <n v="551493"/>
    <x v="0"/>
    <x v="10"/>
    <x v="0"/>
  </r>
  <r>
    <x v="306"/>
    <x v="14"/>
    <x v="3"/>
    <x v="3"/>
    <x v="5"/>
    <n v="152"/>
    <n v="20"/>
    <n v="29"/>
    <n v="143"/>
    <n v="54"/>
    <n v="57922"/>
    <n v="8282846"/>
    <n v="0"/>
    <n v="1158440"/>
    <x v="0"/>
    <x v="10"/>
    <x v="0"/>
  </r>
  <r>
    <x v="306"/>
    <x v="17"/>
    <x v="2"/>
    <x v="1"/>
    <x v="3"/>
    <n v="416"/>
    <n v="159"/>
    <n v="57"/>
    <n v="518"/>
    <n v="64"/>
    <n v="46"/>
    <n v="23828"/>
    <n v="0"/>
    <n v="7314"/>
    <x v="0"/>
    <x v="10"/>
    <x v="0"/>
  </r>
  <r>
    <x v="306"/>
    <x v="5"/>
    <x v="3"/>
    <x v="2"/>
    <x v="3"/>
    <n v="47"/>
    <n v="79"/>
    <n v="74"/>
    <n v="52"/>
    <n v="42"/>
    <n v="22742"/>
    <n v="1182584"/>
    <n v="0"/>
    <n v="1796618"/>
    <x v="0"/>
    <x v="10"/>
    <x v="0"/>
  </r>
  <r>
    <x v="306"/>
    <x v="8"/>
    <x v="3"/>
    <x v="1"/>
    <x v="1"/>
    <n v="161"/>
    <n v="38"/>
    <n v="12"/>
    <n v="187"/>
    <n v="59"/>
    <n v="20993"/>
    <n v="3925691"/>
    <n v="0"/>
    <n v="797734"/>
    <x v="0"/>
    <x v="10"/>
    <x v="0"/>
  </r>
  <r>
    <x v="306"/>
    <x v="18"/>
    <x v="3"/>
    <x v="2"/>
    <x v="3"/>
    <n v="25"/>
    <n v="11"/>
    <n v="33"/>
    <n v="3"/>
    <n v="59"/>
    <n v="42390"/>
    <n v="127170"/>
    <n v="0"/>
    <n v="466290"/>
    <x v="1"/>
    <x v="10"/>
    <x v="0"/>
  </r>
  <r>
    <x v="307"/>
    <x v="7"/>
    <x v="2"/>
    <x v="1"/>
    <x v="0"/>
    <n v="168"/>
    <n v="297"/>
    <n v="73"/>
    <n v="392"/>
    <n v="143"/>
    <n v="829"/>
    <n v="324968"/>
    <n v="0"/>
    <n v="246213"/>
    <x v="0"/>
    <x v="10"/>
    <x v="0"/>
  </r>
  <r>
    <x v="307"/>
    <x v="11"/>
    <x v="2"/>
    <x v="3"/>
    <x v="3"/>
    <n v="75"/>
    <n v="267"/>
    <n v="23"/>
    <n v="319"/>
    <n v="94"/>
    <n v="393"/>
    <n v="125367"/>
    <n v="0"/>
    <n v="104931"/>
    <x v="0"/>
    <x v="10"/>
    <x v="0"/>
  </r>
  <r>
    <x v="307"/>
    <x v="15"/>
    <x v="2"/>
    <x v="2"/>
    <x v="1"/>
    <n v="494"/>
    <n v="194"/>
    <n v="202"/>
    <n v="486"/>
    <n v="98"/>
    <n v="445"/>
    <n v="216270"/>
    <n v="0"/>
    <n v="86330"/>
    <x v="0"/>
    <x v="10"/>
    <x v="0"/>
  </r>
  <r>
    <x v="308"/>
    <x v="11"/>
    <x v="2"/>
    <x v="0"/>
    <x v="1"/>
    <n v="323"/>
    <n v="56"/>
    <n v="230"/>
    <n v="149"/>
    <n v="118"/>
    <n v="380"/>
    <n v="56620"/>
    <n v="0"/>
    <n v="21280"/>
    <x v="0"/>
    <x v="10"/>
    <x v="0"/>
  </r>
  <r>
    <x v="308"/>
    <x v="13"/>
    <x v="3"/>
    <x v="2"/>
    <x v="2"/>
    <n v="164"/>
    <n v="14"/>
    <n v="93"/>
    <n v="85"/>
    <n v="27"/>
    <n v="49585"/>
    <n v="4214725"/>
    <n v="0"/>
    <n v="694190"/>
    <x v="0"/>
    <x v="10"/>
    <x v="0"/>
  </r>
  <r>
    <x v="308"/>
    <x v="18"/>
    <x v="3"/>
    <x v="3"/>
    <x v="1"/>
    <n v="146"/>
    <n v="56"/>
    <n v="10"/>
    <n v="192"/>
    <n v="28"/>
    <n v="55137"/>
    <n v="10586304"/>
    <n v="0"/>
    <n v="3087672"/>
    <x v="0"/>
    <x v="10"/>
    <x v="0"/>
  </r>
  <r>
    <x v="309"/>
    <x v="2"/>
    <x v="0"/>
    <x v="1"/>
    <x v="1"/>
    <n v="60"/>
    <n v="36"/>
    <n v="57"/>
    <n v="39"/>
    <n v="19"/>
    <n v="12827"/>
    <n v="500253"/>
    <n v="0"/>
    <n v="461772"/>
    <x v="0"/>
    <x v="10"/>
    <x v="0"/>
  </r>
  <r>
    <x v="309"/>
    <x v="15"/>
    <x v="2"/>
    <x v="2"/>
    <x v="5"/>
    <n v="276"/>
    <n v="199"/>
    <n v="43"/>
    <n v="432"/>
    <n v="62"/>
    <n v="433"/>
    <n v="187056"/>
    <n v="0"/>
    <n v="86167"/>
    <x v="0"/>
    <x v="10"/>
    <x v="0"/>
  </r>
  <r>
    <x v="309"/>
    <x v="3"/>
    <x v="2"/>
    <x v="3"/>
    <x v="0"/>
    <n v="442"/>
    <n v="159"/>
    <n v="255"/>
    <n v="346"/>
    <n v="93"/>
    <n v="828"/>
    <n v="286488"/>
    <n v="0"/>
    <n v="131652"/>
    <x v="0"/>
    <x v="10"/>
    <x v="0"/>
  </r>
  <r>
    <x v="309"/>
    <x v="13"/>
    <x v="3"/>
    <x v="1"/>
    <x v="4"/>
    <n v="153"/>
    <n v="10"/>
    <n v="60"/>
    <n v="103"/>
    <n v="59"/>
    <n v="22272"/>
    <n v="2294016"/>
    <n v="0"/>
    <n v="222720"/>
    <x v="0"/>
    <x v="10"/>
    <x v="0"/>
  </r>
  <r>
    <x v="309"/>
    <x v="17"/>
    <x v="2"/>
    <x v="1"/>
    <x v="2"/>
    <n v="117"/>
    <n v="117"/>
    <n v="226"/>
    <n v="8"/>
    <n v="56"/>
    <n v="20"/>
    <n v="160"/>
    <n v="0"/>
    <n v="2340"/>
    <x v="1"/>
    <x v="10"/>
    <x v="0"/>
  </r>
  <r>
    <x v="309"/>
    <x v="7"/>
    <x v="2"/>
    <x v="0"/>
    <x v="2"/>
    <n v="125"/>
    <n v="170"/>
    <n v="135"/>
    <n v="160"/>
    <n v="97"/>
    <n v="390"/>
    <n v="62400"/>
    <n v="0"/>
    <n v="66300"/>
    <x v="0"/>
    <x v="10"/>
    <x v="0"/>
  </r>
  <r>
    <x v="310"/>
    <x v="14"/>
    <x v="3"/>
    <x v="0"/>
    <x v="2"/>
    <n v="146"/>
    <n v="41"/>
    <n v="53"/>
    <n v="134"/>
    <n v="49"/>
    <n v="7212"/>
    <n v="966408"/>
    <n v="0"/>
    <n v="295692"/>
    <x v="0"/>
    <x v="10"/>
    <x v="0"/>
  </r>
  <r>
    <x v="311"/>
    <x v="16"/>
    <x v="1"/>
    <x v="2"/>
    <x v="0"/>
    <n v="35"/>
    <n v="45"/>
    <n v="36"/>
    <n v="44"/>
    <n v="20"/>
    <n v="18420"/>
    <n v="810480"/>
    <n v="0"/>
    <n v="828900"/>
    <x v="0"/>
    <x v="10"/>
    <x v="0"/>
  </r>
  <r>
    <x v="311"/>
    <x v="2"/>
    <x v="0"/>
    <x v="2"/>
    <x v="1"/>
    <n v="93"/>
    <n v="56"/>
    <n v="46"/>
    <n v="103"/>
    <n v="24"/>
    <n v="5470"/>
    <n v="563410"/>
    <n v="0"/>
    <n v="306320"/>
    <x v="0"/>
    <x v="10"/>
    <x v="0"/>
  </r>
  <r>
    <x v="312"/>
    <x v="6"/>
    <x v="3"/>
    <x v="0"/>
    <x v="3"/>
    <n v="53"/>
    <n v="68"/>
    <n v="25"/>
    <n v="96"/>
    <n v="56"/>
    <n v="53719"/>
    <n v="5157024"/>
    <n v="0"/>
    <n v="3652892"/>
    <x v="0"/>
    <x v="10"/>
    <x v="0"/>
  </r>
  <r>
    <x v="312"/>
    <x v="2"/>
    <x v="0"/>
    <x v="0"/>
    <x v="2"/>
    <n v="33"/>
    <n v="66"/>
    <n v="16"/>
    <n v="83"/>
    <n v="20"/>
    <n v="6403"/>
    <n v="531449"/>
    <n v="0"/>
    <n v="422598"/>
    <x v="0"/>
    <x v="10"/>
    <x v="0"/>
  </r>
  <r>
    <x v="313"/>
    <x v="2"/>
    <x v="0"/>
    <x v="1"/>
    <x v="5"/>
    <n v="89"/>
    <n v="45"/>
    <n v="43"/>
    <n v="91"/>
    <n v="15"/>
    <n v="14912"/>
    <n v="1356992"/>
    <n v="0"/>
    <n v="671040"/>
    <x v="0"/>
    <x v="10"/>
    <x v="0"/>
  </r>
  <r>
    <x v="313"/>
    <x v="13"/>
    <x v="3"/>
    <x v="3"/>
    <x v="1"/>
    <n v="151"/>
    <n v="86"/>
    <n v="86"/>
    <n v="151"/>
    <n v="56"/>
    <n v="20130"/>
    <n v="3039630"/>
    <n v="0"/>
    <n v="1731180"/>
    <x v="0"/>
    <x v="10"/>
    <x v="0"/>
  </r>
  <r>
    <x v="313"/>
    <x v="6"/>
    <x v="3"/>
    <x v="3"/>
    <x v="1"/>
    <n v="55"/>
    <n v="88"/>
    <n v="23"/>
    <n v="120"/>
    <n v="24"/>
    <n v="52754"/>
    <n v="6330480"/>
    <n v="0"/>
    <n v="4642352"/>
    <x v="0"/>
    <x v="10"/>
    <x v="0"/>
  </r>
  <r>
    <x v="314"/>
    <x v="9"/>
    <x v="0"/>
    <x v="0"/>
    <x v="2"/>
    <n v="52"/>
    <n v="16"/>
    <n v="13"/>
    <n v="55"/>
    <n v="15"/>
    <n v="7556"/>
    <n v="415580"/>
    <n v="0"/>
    <n v="120896"/>
    <x v="0"/>
    <x v="10"/>
    <x v="0"/>
  </r>
  <r>
    <x v="314"/>
    <x v="5"/>
    <x v="3"/>
    <x v="2"/>
    <x v="5"/>
    <n v="47"/>
    <n v="101"/>
    <n v="45"/>
    <n v="103"/>
    <n v="46"/>
    <n v="5635"/>
    <n v="580405"/>
    <n v="0"/>
    <n v="569135"/>
    <x v="0"/>
    <x v="10"/>
    <x v="0"/>
  </r>
  <r>
    <x v="314"/>
    <x v="14"/>
    <x v="3"/>
    <x v="1"/>
    <x v="2"/>
    <n v="73"/>
    <n v="46"/>
    <n v="87"/>
    <n v="32"/>
    <n v="33"/>
    <n v="19012"/>
    <n v="608384"/>
    <n v="0"/>
    <n v="874552"/>
    <x v="1"/>
    <x v="10"/>
    <x v="0"/>
  </r>
  <r>
    <x v="315"/>
    <x v="9"/>
    <x v="0"/>
    <x v="0"/>
    <x v="0"/>
    <n v="92"/>
    <n v="9"/>
    <n v="38"/>
    <n v="63"/>
    <n v="27"/>
    <n v="12954"/>
    <n v="816102"/>
    <n v="0"/>
    <n v="116586"/>
    <x v="0"/>
    <x v="10"/>
    <x v="0"/>
  </r>
  <r>
    <x v="316"/>
    <x v="12"/>
    <x v="1"/>
    <x v="0"/>
    <x v="2"/>
    <n v="63"/>
    <n v="45"/>
    <n v="10"/>
    <n v="98"/>
    <n v="14"/>
    <n v="6963"/>
    <n v="682374"/>
    <n v="0"/>
    <n v="313335"/>
    <x v="0"/>
    <x v="10"/>
    <x v="0"/>
  </r>
  <r>
    <x v="316"/>
    <x v="18"/>
    <x v="3"/>
    <x v="0"/>
    <x v="3"/>
    <n v="117"/>
    <n v="66"/>
    <n v="99"/>
    <n v="84"/>
    <n v="43"/>
    <n v="32650"/>
    <n v="2742600"/>
    <n v="0"/>
    <n v="2154900"/>
    <x v="0"/>
    <x v="10"/>
    <x v="0"/>
  </r>
  <r>
    <x v="317"/>
    <x v="6"/>
    <x v="3"/>
    <x v="3"/>
    <x v="3"/>
    <n v="132"/>
    <n v="103"/>
    <n v="52"/>
    <n v="183"/>
    <n v="33"/>
    <n v="21982"/>
    <n v="4022706"/>
    <n v="0"/>
    <n v="2264146"/>
    <x v="0"/>
    <x v="10"/>
    <x v="0"/>
  </r>
  <r>
    <x v="317"/>
    <x v="7"/>
    <x v="2"/>
    <x v="0"/>
    <x v="1"/>
    <n v="266"/>
    <n v="63"/>
    <n v="275"/>
    <n v="54"/>
    <n v="56"/>
    <n v="743"/>
    <n v="40122"/>
    <n v="0"/>
    <n v="46809"/>
    <x v="1"/>
    <x v="10"/>
    <x v="0"/>
  </r>
  <r>
    <x v="317"/>
    <x v="16"/>
    <x v="1"/>
    <x v="0"/>
    <x v="2"/>
    <n v="30"/>
    <n v="9"/>
    <n v="36"/>
    <n v="3"/>
    <n v="13"/>
    <n v="4912"/>
    <n v="14736"/>
    <n v="0"/>
    <n v="44208"/>
    <x v="1"/>
    <x v="10"/>
    <x v="0"/>
  </r>
  <r>
    <x v="317"/>
    <x v="2"/>
    <x v="0"/>
    <x v="3"/>
    <x v="2"/>
    <n v="85"/>
    <n v="32"/>
    <n v="48"/>
    <n v="69"/>
    <n v="39"/>
    <n v="16105"/>
    <n v="1111245"/>
    <n v="0"/>
    <n v="515360"/>
    <x v="0"/>
    <x v="10"/>
    <x v="0"/>
  </r>
  <r>
    <x v="317"/>
    <x v="16"/>
    <x v="1"/>
    <x v="0"/>
    <x v="0"/>
    <n v="82"/>
    <n v="57"/>
    <n v="44"/>
    <n v="95"/>
    <n v="16"/>
    <n v="8710"/>
    <n v="827450"/>
    <n v="0"/>
    <n v="496470"/>
    <x v="0"/>
    <x v="10"/>
    <x v="0"/>
  </r>
  <r>
    <x v="318"/>
    <x v="1"/>
    <x v="1"/>
    <x v="1"/>
    <x v="0"/>
    <n v="19"/>
    <n v="17"/>
    <n v="30"/>
    <n v="6"/>
    <n v="17"/>
    <n v="24088"/>
    <n v="144528"/>
    <n v="0"/>
    <n v="409496"/>
    <x v="1"/>
    <x v="10"/>
    <x v="0"/>
  </r>
  <r>
    <x v="318"/>
    <x v="1"/>
    <x v="1"/>
    <x v="3"/>
    <x v="0"/>
    <n v="28"/>
    <n v="27"/>
    <n v="19"/>
    <n v="36"/>
    <n v="10"/>
    <n v="17808"/>
    <n v="641088"/>
    <n v="0"/>
    <n v="480816"/>
    <x v="0"/>
    <x v="10"/>
    <x v="0"/>
  </r>
  <r>
    <x v="318"/>
    <x v="1"/>
    <x v="1"/>
    <x v="1"/>
    <x v="1"/>
    <n v="31"/>
    <n v="19"/>
    <n v="42"/>
    <n v="8"/>
    <n v="19"/>
    <n v="6291"/>
    <n v="50328"/>
    <n v="0"/>
    <n v="119529"/>
    <x v="1"/>
    <x v="10"/>
    <x v="0"/>
  </r>
  <r>
    <x v="318"/>
    <x v="10"/>
    <x v="2"/>
    <x v="2"/>
    <x v="1"/>
    <n v="271"/>
    <n v="255"/>
    <n v="219"/>
    <n v="307"/>
    <n v="120"/>
    <n v="950"/>
    <n v="291650"/>
    <n v="0"/>
    <n v="242250"/>
    <x v="0"/>
    <x v="10"/>
    <x v="0"/>
  </r>
  <r>
    <x v="318"/>
    <x v="10"/>
    <x v="2"/>
    <x v="3"/>
    <x v="1"/>
    <n v="424"/>
    <n v="121"/>
    <n v="159"/>
    <n v="386"/>
    <n v="106"/>
    <n v="590"/>
    <n v="227740"/>
    <n v="0"/>
    <n v="71390"/>
    <x v="0"/>
    <x v="10"/>
    <x v="0"/>
  </r>
  <r>
    <x v="319"/>
    <x v="3"/>
    <x v="2"/>
    <x v="0"/>
    <x v="4"/>
    <n v="439"/>
    <n v="51"/>
    <n v="97"/>
    <n v="393"/>
    <n v="128"/>
    <n v="1168"/>
    <n v="459024"/>
    <n v="0"/>
    <n v="59568"/>
    <x v="0"/>
    <x v="10"/>
    <x v="0"/>
  </r>
  <r>
    <x v="319"/>
    <x v="16"/>
    <x v="1"/>
    <x v="1"/>
    <x v="3"/>
    <n v="59"/>
    <n v="33"/>
    <n v="2"/>
    <n v="90"/>
    <n v="25"/>
    <n v="5283"/>
    <n v="475470"/>
    <n v="0"/>
    <n v="174339"/>
    <x v="0"/>
    <x v="10"/>
    <x v="0"/>
  </r>
  <r>
    <x v="319"/>
    <x v="12"/>
    <x v="1"/>
    <x v="1"/>
    <x v="5"/>
    <n v="60"/>
    <n v="40"/>
    <n v="25"/>
    <n v="75"/>
    <n v="11"/>
    <n v="14710"/>
    <n v="1103250"/>
    <n v="0"/>
    <n v="588400"/>
    <x v="0"/>
    <x v="10"/>
    <x v="0"/>
  </r>
  <r>
    <x v="319"/>
    <x v="1"/>
    <x v="1"/>
    <x v="2"/>
    <x v="0"/>
    <n v="72"/>
    <n v="41"/>
    <n v="10"/>
    <n v="103"/>
    <n v="18"/>
    <n v="20716"/>
    <n v="2133748"/>
    <n v="0"/>
    <n v="849356"/>
    <x v="0"/>
    <x v="10"/>
    <x v="0"/>
  </r>
  <r>
    <x v="319"/>
    <x v="16"/>
    <x v="1"/>
    <x v="3"/>
    <x v="2"/>
    <n v="63"/>
    <n v="23"/>
    <n v="34"/>
    <n v="52"/>
    <n v="21"/>
    <n v="3141"/>
    <n v="163332"/>
    <n v="0"/>
    <n v="72243"/>
    <x v="0"/>
    <x v="10"/>
    <x v="0"/>
  </r>
  <r>
    <x v="319"/>
    <x v="0"/>
    <x v="0"/>
    <x v="3"/>
    <x v="2"/>
    <n v="66"/>
    <n v="25"/>
    <n v="32"/>
    <n v="59"/>
    <n v="17"/>
    <n v="13622"/>
    <n v="803698"/>
    <n v="0"/>
    <n v="340550"/>
    <x v="0"/>
    <x v="10"/>
    <x v="0"/>
  </r>
  <r>
    <x v="319"/>
    <x v="16"/>
    <x v="1"/>
    <x v="2"/>
    <x v="1"/>
    <n v="88"/>
    <n v="36"/>
    <n v="9"/>
    <n v="115"/>
    <n v="27"/>
    <n v="8508"/>
    <n v="978420"/>
    <n v="0"/>
    <n v="306288"/>
    <x v="0"/>
    <x v="10"/>
    <x v="0"/>
  </r>
  <r>
    <x v="320"/>
    <x v="11"/>
    <x v="2"/>
    <x v="1"/>
    <x v="5"/>
    <n v="205"/>
    <n v="269"/>
    <n v="69"/>
    <n v="405"/>
    <n v="99"/>
    <n v="669"/>
    <n v="270945"/>
    <n v="0"/>
    <n v="179961"/>
    <x v="0"/>
    <x v="10"/>
    <x v="0"/>
  </r>
  <r>
    <x v="320"/>
    <x v="16"/>
    <x v="1"/>
    <x v="0"/>
    <x v="2"/>
    <n v="28"/>
    <n v="23"/>
    <n v="8"/>
    <n v="43"/>
    <n v="19"/>
    <n v="10394"/>
    <n v="446942"/>
    <n v="0"/>
    <n v="239062"/>
    <x v="0"/>
    <x v="10"/>
    <x v="0"/>
  </r>
  <r>
    <x v="320"/>
    <x v="7"/>
    <x v="2"/>
    <x v="2"/>
    <x v="1"/>
    <n v="343"/>
    <n v="198"/>
    <n v="112"/>
    <n v="429"/>
    <n v="89"/>
    <n v="902"/>
    <n v="386958"/>
    <n v="0"/>
    <n v="178596"/>
    <x v="0"/>
    <x v="10"/>
    <x v="0"/>
  </r>
  <r>
    <x v="320"/>
    <x v="11"/>
    <x v="2"/>
    <x v="0"/>
    <x v="5"/>
    <n v="104"/>
    <n v="120"/>
    <n v="110"/>
    <n v="114"/>
    <n v="142"/>
    <n v="1198"/>
    <n v="136572"/>
    <n v="0"/>
    <n v="143760"/>
    <x v="1"/>
    <x v="10"/>
    <x v="0"/>
  </r>
  <r>
    <x v="321"/>
    <x v="13"/>
    <x v="3"/>
    <x v="1"/>
    <x v="5"/>
    <n v="24"/>
    <n v="94"/>
    <n v="26"/>
    <n v="92"/>
    <n v="56"/>
    <n v="15765"/>
    <n v="1450380"/>
    <n v="0"/>
    <n v="1481910"/>
    <x v="0"/>
    <x v="10"/>
    <x v="0"/>
  </r>
  <r>
    <x v="321"/>
    <x v="0"/>
    <x v="0"/>
    <x v="2"/>
    <x v="2"/>
    <n v="99"/>
    <n v="61"/>
    <n v="10"/>
    <n v="150"/>
    <n v="21"/>
    <n v="11701"/>
    <n v="1755150"/>
    <n v="0"/>
    <n v="713761"/>
    <x v="0"/>
    <x v="10"/>
    <x v="0"/>
  </r>
  <r>
    <x v="321"/>
    <x v="17"/>
    <x v="2"/>
    <x v="0"/>
    <x v="2"/>
    <n v="395"/>
    <n v="116"/>
    <n v="158"/>
    <n v="353"/>
    <n v="114"/>
    <n v="780"/>
    <n v="275340"/>
    <n v="0"/>
    <n v="90480"/>
    <x v="0"/>
    <x v="10"/>
    <x v="0"/>
  </r>
  <r>
    <x v="322"/>
    <x v="7"/>
    <x v="2"/>
    <x v="1"/>
    <x v="4"/>
    <n v="195"/>
    <n v="182"/>
    <n v="202"/>
    <n v="175"/>
    <n v="128"/>
    <n v="968"/>
    <n v="169400"/>
    <n v="0"/>
    <n v="176176"/>
    <x v="0"/>
    <x v="10"/>
    <x v="0"/>
  </r>
  <r>
    <x v="322"/>
    <x v="0"/>
    <x v="0"/>
    <x v="3"/>
    <x v="0"/>
    <n v="108"/>
    <n v="37"/>
    <n v="38"/>
    <n v="107"/>
    <n v="19"/>
    <n v="17677"/>
    <n v="1891439"/>
    <n v="0"/>
    <n v="654049"/>
    <x v="0"/>
    <x v="10"/>
    <x v="0"/>
  </r>
  <r>
    <x v="323"/>
    <x v="9"/>
    <x v="0"/>
    <x v="3"/>
    <x v="0"/>
    <n v="100"/>
    <n v="45"/>
    <n v="12"/>
    <n v="133"/>
    <n v="31"/>
    <n v="13965"/>
    <n v="1857345"/>
    <n v="0"/>
    <n v="628425"/>
    <x v="0"/>
    <x v="10"/>
    <x v="0"/>
  </r>
  <r>
    <x v="323"/>
    <x v="7"/>
    <x v="2"/>
    <x v="2"/>
    <x v="2"/>
    <n v="353"/>
    <n v="201"/>
    <n v="210"/>
    <n v="344"/>
    <n v="130"/>
    <n v="1078"/>
    <n v="370832"/>
    <n v="0"/>
    <n v="216678"/>
    <x v="0"/>
    <x v="10"/>
    <x v="0"/>
  </r>
  <r>
    <x v="323"/>
    <x v="1"/>
    <x v="1"/>
    <x v="2"/>
    <x v="4"/>
    <n v="28"/>
    <n v="51"/>
    <n v="39"/>
    <n v="40"/>
    <n v="20"/>
    <n v="17238"/>
    <n v="689520"/>
    <n v="0"/>
    <n v="879138"/>
    <x v="0"/>
    <x v="10"/>
    <x v="0"/>
  </r>
  <r>
    <x v="323"/>
    <x v="13"/>
    <x v="3"/>
    <x v="1"/>
    <x v="3"/>
    <n v="174"/>
    <n v="96"/>
    <n v="37"/>
    <n v="233"/>
    <n v="40"/>
    <n v="13155"/>
    <n v="3065115"/>
    <n v="0"/>
    <n v="1262880"/>
    <x v="0"/>
    <x v="10"/>
    <x v="0"/>
  </r>
  <r>
    <x v="324"/>
    <x v="13"/>
    <x v="3"/>
    <x v="1"/>
    <x v="5"/>
    <n v="160"/>
    <n v="106"/>
    <n v="23"/>
    <n v="243"/>
    <n v="52"/>
    <n v="61678"/>
    <n v="14987754"/>
    <n v="0"/>
    <n v="6537868"/>
    <x v="0"/>
    <x v="10"/>
    <x v="0"/>
  </r>
  <r>
    <x v="325"/>
    <x v="6"/>
    <x v="3"/>
    <x v="0"/>
    <x v="0"/>
    <n v="171"/>
    <n v="72"/>
    <n v="90"/>
    <n v="153"/>
    <n v="42"/>
    <n v="32012"/>
    <n v="4897836"/>
    <n v="0"/>
    <n v="2304864"/>
    <x v="0"/>
    <x v="10"/>
    <x v="0"/>
  </r>
  <r>
    <x v="325"/>
    <x v="11"/>
    <x v="2"/>
    <x v="3"/>
    <x v="1"/>
    <n v="203"/>
    <n v="136"/>
    <n v="155"/>
    <n v="184"/>
    <n v="95"/>
    <n v="271"/>
    <n v="49864"/>
    <n v="0"/>
    <n v="36856"/>
    <x v="0"/>
    <x v="10"/>
    <x v="0"/>
  </r>
  <r>
    <x v="325"/>
    <x v="5"/>
    <x v="3"/>
    <x v="3"/>
    <x v="5"/>
    <n v="105"/>
    <n v="42"/>
    <n v="85"/>
    <n v="62"/>
    <n v="53"/>
    <n v="10679"/>
    <n v="662098"/>
    <n v="0"/>
    <n v="448518"/>
    <x v="0"/>
    <x v="10"/>
    <x v="0"/>
  </r>
  <r>
    <x v="325"/>
    <x v="8"/>
    <x v="3"/>
    <x v="1"/>
    <x v="1"/>
    <n v="135"/>
    <n v="63"/>
    <n v="82"/>
    <n v="116"/>
    <n v="26"/>
    <n v="14826"/>
    <n v="1719816"/>
    <n v="0"/>
    <n v="934038"/>
    <x v="0"/>
    <x v="10"/>
    <x v="0"/>
  </r>
  <r>
    <x v="326"/>
    <x v="1"/>
    <x v="1"/>
    <x v="0"/>
    <x v="3"/>
    <n v="92"/>
    <n v="27"/>
    <n v="28"/>
    <n v="91"/>
    <n v="28"/>
    <n v="9659"/>
    <n v="878969"/>
    <n v="0"/>
    <n v="260793"/>
    <x v="0"/>
    <x v="10"/>
    <x v="0"/>
  </r>
  <r>
    <x v="326"/>
    <x v="13"/>
    <x v="3"/>
    <x v="2"/>
    <x v="0"/>
    <n v="117"/>
    <n v="119"/>
    <n v="93"/>
    <n v="143"/>
    <n v="47"/>
    <n v="25838"/>
    <n v="3694834"/>
    <n v="0"/>
    <n v="3074722"/>
    <x v="0"/>
    <x v="10"/>
    <x v="0"/>
  </r>
  <r>
    <x v="326"/>
    <x v="7"/>
    <x v="2"/>
    <x v="1"/>
    <x v="2"/>
    <n v="141"/>
    <n v="288"/>
    <n v="215"/>
    <n v="214"/>
    <n v="102"/>
    <n v="368"/>
    <n v="78752"/>
    <n v="0"/>
    <n v="105984"/>
    <x v="0"/>
    <x v="10"/>
    <x v="0"/>
  </r>
  <r>
    <x v="326"/>
    <x v="0"/>
    <x v="0"/>
    <x v="2"/>
    <x v="4"/>
    <n v="112"/>
    <n v="42"/>
    <n v="56"/>
    <n v="98"/>
    <n v="18"/>
    <n v="16979"/>
    <n v="1663942"/>
    <n v="0"/>
    <n v="713118"/>
    <x v="0"/>
    <x v="10"/>
    <x v="0"/>
  </r>
  <r>
    <x v="327"/>
    <x v="17"/>
    <x v="2"/>
    <x v="2"/>
    <x v="0"/>
    <n v="468"/>
    <n v="229"/>
    <n v="208"/>
    <n v="489"/>
    <n v="126"/>
    <n v="845"/>
    <n v="413205"/>
    <n v="0"/>
    <n v="193505"/>
    <x v="0"/>
    <x v="10"/>
    <x v="0"/>
  </r>
  <r>
    <x v="327"/>
    <x v="4"/>
    <x v="1"/>
    <x v="2"/>
    <x v="2"/>
    <n v="70"/>
    <n v="9"/>
    <n v="41"/>
    <n v="38"/>
    <n v="19"/>
    <n v="21596"/>
    <n v="820648"/>
    <n v="0"/>
    <n v="194364"/>
    <x v="0"/>
    <x v="10"/>
    <x v="0"/>
  </r>
  <r>
    <x v="327"/>
    <x v="4"/>
    <x v="1"/>
    <x v="3"/>
    <x v="5"/>
    <n v="56"/>
    <n v="21"/>
    <n v="40"/>
    <n v="37"/>
    <n v="27"/>
    <n v="17167"/>
    <n v="635179"/>
    <n v="0"/>
    <n v="360507"/>
    <x v="0"/>
    <x v="10"/>
    <x v="0"/>
  </r>
  <r>
    <x v="327"/>
    <x v="1"/>
    <x v="1"/>
    <x v="2"/>
    <x v="0"/>
    <n v="41"/>
    <n v="19"/>
    <n v="38"/>
    <n v="22"/>
    <n v="14"/>
    <n v="11112"/>
    <n v="244464"/>
    <n v="0"/>
    <n v="211128"/>
    <x v="0"/>
    <x v="10"/>
    <x v="0"/>
  </r>
  <r>
    <x v="327"/>
    <x v="2"/>
    <x v="0"/>
    <x v="0"/>
    <x v="3"/>
    <n v="55"/>
    <n v="43"/>
    <n v="28"/>
    <n v="70"/>
    <n v="37"/>
    <n v="3389"/>
    <n v="237230"/>
    <n v="0"/>
    <n v="145727"/>
    <x v="0"/>
    <x v="10"/>
    <x v="0"/>
  </r>
  <r>
    <x v="327"/>
    <x v="4"/>
    <x v="1"/>
    <x v="3"/>
    <x v="0"/>
    <n v="26"/>
    <n v="31"/>
    <n v="3"/>
    <n v="54"/>
    <n v="13"/>
    <n v="2074"/>
    <n v="111996"/>
    <n v="0"/>
    <n v="64294"/>
    <x v="0"/>
    <x v="10"/>
    <x v="0"/>
  </r>
  <r>
    <x v="328"/>
    <x v="4"/>
    <x v="1"/>
    <x v="0"/>
    <x v="1"/>
    <n v="92"/>
    <n v="35"/>
    <n v="18"/>
    <n v="109"/>
    <n v="22"/>
    <n v="4196"/>
    <n v="457364"/>
    <n v="0"/>
    <n v="146860"/>
    <x v="0"/>
    <x v="10"/>
    <x v="0"/>
  </r>
  <r>
    <x v="328"/>
    <x v="14"/>
    <x v="3"/>
    <x v="3"/>
    <x v="0"/>
    <n v="100"/>
    <n v="31"/>
    <n v="47"/>
    <n v="84"/>
    <n v="36"/>
    <n v="21746"/>
    <n v="1826664"/>
    <n v="0"/>
    <n v="674126"/>
    <x v="0"/>
    <x v="10"/>
    <x v="0"/>
  </r>
  <r>
    <x v="328"/>
    <x v="12"/>
    <x v="1"/>
    <x v="2"/>
    <x v="1"/>
    <n v="81"/>
    <n v="31"/>
    <n v="11"/>
    <n v="101"/>
    <n v="23"/>
    <n v="13673"/>
    <n v="1380973"/>
    <n v="0"/>
    <n v="423863"/>
    <x v="0"/>
    <x v="10"/>
    <x v="0"/>
  </r>
  <r>
    <x v="328"/>
    <x v="9"/>
    <x v="0"/>
    <x v="3"/>
    <x v="1"/>
    <n v="97"/>
    <n v="49"/>
    <n v="17"/>
    <n v="129"/>
    <n v="18"/>
    <n v="6717"/>
    <n v="866493"/>
    <n v="0"/>
    <n v="329133"/>
    <x v="0"/>
    <x v="10"/>
    <x v="0"/>
  </r>
  <r>
    <x v="328"/>
    <x v="8"/>
    <x v="3"/>
    <x v="2"/>
    <x v="1"/>
    <n v="82"/>
    <n v="23"/>
    <n v="92"/>
    <n v="13"/>
    <n v="30"/>
    <n v="61405"/>
    <n v="798265"/>
    <n v="0"/>
    <n v="1412315"/>
    <x v="1"/>
    <x v="10"/>
    <x v="0"/>
  </r>
  <r>
    <x v="328"/>
    <x v="5"/>
    <x v="3"/>
    <x v="2"/>
    <x v="1"/>
    <n v="36"/>
    <n v="93"/>
    <n v="92"/>
    <n v="37"/>
    <n v="53"/>
    <n v="37732"/>
    <n v="1396084"/>
    <n v="0"/>
    <n v="3509076"/>
    <x v="1"/>
    <x v="10"/>
    <x v="0"/>
  </r>
  <r>
    <x v="328"/>
    <x v="6"/>
    <x v="3"/>
    <x v="0"/>
    <x v="4"/>
    <n v="106"/>
    <n v="24"/>
    <n v="98"/>
    <n v="32"/>
    <n v="32"/>
    <n v="36225"/>
    <n v="1159200"/>
    <n v="0"/>
    <n v="869400"/>
    <x v="1"/>
    <x v="10"/>
    <x v="0"/>
  </r>
  <r>
    <x v="328"/>
    <x v="8"/>
    <x v="3"/>
    <x v="0"/>
    <x v="1"/>
    <n v="151"/>
    <n v="108"/>
    <n v="14"/>
    <n v="245"/>
    <n v="30"/>
    <n v="7886"/>
    <n v="1932070"/>
    <n v="0"/>
    <n v="851688"/>
    <x v="0"/>
    <x v="10"/>
    <x v="0"/>
  </r>
  <r>
    <x v="329"/>
    <x v="16"/>
    <x v="1"/>
    <x v="3"/>
    <x v="5"/>
    <n v="58"/>
    <n v="6"/>
    <n v="4"/>
    <n v="60"/>
    <n v="12"/>
    <n v="24845"/>
    <n v="1490700"/>
    <n v="0"/>
    <n v="149070"/>
    <x v="0"/>
    <x v="10"/>
    <x v="0"/>
  </r>
  <r>
    <x v="329"/>
    <x v="10"/>
    <x v="2"/>
    <x v="3"/>
    <x v="4"/>
    <n v="265"/>
    <n v="53"/>
    <n v="44"/>
    <n v="274"/>
    <n v="149"/>
    <n v="559"/>
    <n v="153166"/>
    <n v="0"/>
    <n v="29627"/>
    <x v="0"/>
    <x v="10"/>
    <x v="0"/>
  </r>
  <r>
    <x v="330"/>
    <x v="3"/>
    <x v="2"/>
    <x v="3"/>
    <x v="3"/>
    <n v="313"/>
    <n v="246"/>
    <n v="198"/>
    <n v="361"/>
    <n v="99"/>
    <n v="575"/>
    <n v="207575"/>
    <n v="0"/>
    <n v="141450"/>
    <x v="0"/>
    <x v="10"/>
    <x v="0"/>
  </r>
  <r>
    <x v="330"/>
    <x v="12"/>
    <x v="1"/>
    <x v="2"/>
    <x v="0"/>
    <n v="16"/>
    <n v="6"/>
    <n v="2"/>
    <n v="20"/>
    <n v="27"/>
    <n v="16178"/>
    <n v="323560"/>
    <n v="0"/>
    <n v="97068"/>
    <x v="1"/>
    <x v="10"/>
    <x v="0"/>
  </r>
  <r>
    <x v="330"/>
    <x v="8"/>
    <x v="3"/>
    <x v="1"/>
    <x v="2"/>
    <n v="171"/>
    <n v="35"/>
    <n v="24"/>
    <n v="182"/>
    <n v="42"/>
    <n v="15784"/>
    <n v="2872688"/>
    <n v="0"/>
    <n v="552440"/>
    <x v="0"/>
    <x v="10"/>
    <x v="0"/>
  </r>
  <r>
    <x v="330"/>
    <x v="10"/>
    <x v="2"/>
    <x v="0"/>
    <x v="3"/>
    <n v="393"/>
    <n v="181"/>
    <n v="24"/>
    <n v="550"/>
    <n v="93"/>
    <n v="450"/>
    <n v="247500"/>
    <n v="0"/>
    <n v="81450"/>
    <x v="0"/>
    <x v="10"/>
    <x v="0"/>
  </r>
  <r>
    <x v="331"/>
    <x v="3"/>
    <x v="2"/>
    <x v="2"/>
    <x v="5"/>
    <n v="94"/>
    <n v="49"/>
    <n v="143"/>
    <n v="0"/>
    <n v="142"/>
    <n v="654"/>
    <n v="0"/>
    <n v="0"/>
    <n v="32046"/>
    <x v="1"/>
    <x v="10"/>
    <x v="0"/>
  </r>
  <r>
    <x v="331"/>
    <x v="8"/>
    <x v="3"/>
    <x v="0"/>
    <x v="4"/>
    <n v="104"/>
    <n v="118"/>
    <n v="35"/>
    <n v="187"/>
    <n v="24"/>
    <n v="2564"/>
    <n v="479468"/>
    <n v="0"/>
    <n v="302552"/>
    <x v="0"/>
    <x v="10"/>
    <x v="0"/>
  </r>
  <r>
    <x v="331"/>
    <x v="11"/>
    <x v="2"/>
    <x v="0"/>
    <x v="1"/>
    <n v="406"/>
    <n v="81"/>
    <n v="204"/>
    <n v="283"/>
    <n v="127"/>
    <n v="485"/>
    <n v="137255"/>
    <n v="0"/>
    <n v="39285"/>
    <x v="0"/>
    <x v="10"/>
    <x v="0"/>
  </r>
  <r>
    <x v="331"/>
    <x v="9"/>
    <x v="0"/>
    <x v="3"/>
    <x v="0"/>
    <n v="34"/>
    <n v="53"/>
    <n v="52"/>
    <n v="35"/>
    <n v="37"/>
    <n v="5342"/>
    <n v="186970"/>
    <n v="0"/>
    <n v="283126"/>
    <x v="1"/>
    <x v="10"/>
    <x v="0"/>
  </r>
  <r>
    <x v="331"/>
    <x v="7"/>
    <x v="2"/>
    <x v="3"/>
    <x v="3"/>
    <n v="176"/>
    <n v="75"/>
    <n v="54"/>
    <n v="197"/>
    <n v="89"/>
    <n v="20"/>
    <n v="3940"/>
    <n v="0"/>
    <n v="1500"/>
    <x v="0"/>
    <x v="10"/>
    <x v="0"/>
  </r>
  <r>
    <x v="332"/>
    <x v="3"/>
    <x v="2"/>
    <x v="3"/>
    <x v="5"/>
    <n v="262"/>
    <n v="32"/>
    <n v="188"/>
    <n v="106"/>
    <n v="50"/>
    <n v="766"/>
    <n v="81196"/>
    <n v="0"/>
    <n v="24512"/>
    <x v="0"/>
    <x v="10"/>
    <x v="0"/>
  </r>
  <r>
    <x v="332"/>
    <x v="14"/>
    <x v="3"/>
    <x v="1"/>
    <x v="3"/>
    <n v="149"/>
    <n v="82"/>
    <n v="41"/>
    <n v="190"/>
    <n v="45"/>
    <n v="26419"/>
    <n v="5019610"/>
    <n v="0"/>
    <n v="2166358"/>
    <x v="0"/>
    <x v="10"/>
    <x v="0"/>
  </r>
  <r>
    <x v="332"/>
    <x v="12"/>
    <x v="1"/>
    <x v="2"/>
    <x v="4"/>
    <n v="58"/>
    <n v="45"/>
    <n v="20"/>
    <n v="83"/>
    <n v="14"/>
    <n v="6393"/>
    <n v="530619"/>
    <n v="0"/>
    <n v="287685"/>
    <x v="0"/>
    <x v="10"/>
    <x v="0"/>
  </r>
  <r>
    <x v="332"/>
    <x v="11"/>
    <x v="2"/>
    <x v="2"/>
    <x v="5"/>
    <n v="248"/>
    <n v="190"/>
    <n v="35"/>
    <n v="403"/>
    <n v="94"/>
    <n v="1164"/>
    <n v="469092"/>
    <n v="0"/>
    <n v="221160"/>
    <x v="0"/>
    <x v="10"/>
    <x v="0"/>
  </r>
  <r>
    <x v="332"/>
    <x v="12"/>
    <x v="1"/>
    <x v="0"/>
    <x v="5"/>
    <n v="24"/>
    <n v="46"/>
    <n v="27"/>
    <n v="43"/>
    <n v="21"/>
    <n v="10640"/>
    <n v="457520"/>
    <n v="0"/>
    <n v="489440"/>
    <x v="0"/>
    <x v="10"/>
    <x v="0"/>
  </r>
  <r>
    <x v="332"/>
    <x v="3"/>
    <x v="2"/>
    <x v="2"/>
    <x v="3"/>
    <n v="430"/>
    <n v="81"/>
    <n v="36"/>
    <n v="475"/>
    <n v="77"/>
    <n v="770"/>
    <n v="365750"/>
    <n v="0"/>
    <n v="62370"/>
    <x v="0"/>
    <x v="10"/>
    <x v="0"/>
  </r>
  <r>
    <x v="332"/>
    <x v="10"/>
    <x v="2"/>
    <x v="2"/>
    <x v="2"/>
    <n v="162"/>
    <n v="138"/>
    <n v="106"/>
    <n v="194"/>
    <n v="93"/>
    <n v="35"/>
    <n v="6790"/>
    <n v="0"/>
    <n v="4830"/>
    <x v="0"/>
    <x v="10"/>
    <x v="0"/>
  </r>
  <r>
    <x v="332"/>
    <x v="15"/>
    <x v="2"/>
    <x v="0"/>
    <x v="4"/>
    <n v="333"/>
    <n v="83"/>
    <n v="76"/>
    <n v="340"/>
    <n v="112"/>
    <n v="651"/>
    <n v="221340"/>
    <n v="0"/>
    <n v="54033"/>
    <x v="0"/>
    <x v="10"/>
    <x v="0"/>
  </r>
  <r>
    <x v="332"/>
    <x v="14"/>
    <x v="3"/>
    <x v="0"/>
    <x v="5"/>
    <n v="30"/>
    <n v="80"/>
    <n v="35"/>
    <n v="75"/>
    <n v="45"/>
    <n v="47607"/>
    <n v="3570525"/>
    <n v="0"/>
    <n v="3808560"/>
    <x v="0"/>
    <x v="10"/>
    <x v="0"/>
  </r>
  <r>
    <x v="332"/>
    <x v="7"/>
    <x v="2"/>
    <x v="0"/>
    <x v="4"/>
    <n v="418"/>
    <n v="171"/>
    <n v="53"/>
    <n v="536"/>
    <n v="146"/>
    <n v="163"/>
    <n v="87368"/>
    <n v="0"/>
    <n v="27873"/>
    <x v="0"/>
    <x v="10"/>
    <x v="0"/>
  </r>
  <r>
    <x v="332"/>
    <x v="0"/>
    <x v="0"/>
    <x v="2"/>
    <x v="0"/>
    <n v="115"/>
    <n v="26"/>
    <n v="32"/>
    <n v="109"/>
    <n v="19"/>
    <n v="4306"/>
    <n v="469354"/>
    <n v="0"/>
    <n v="111956"/>
    <x v="0"/>
    <x v="10"/>
    <x v="0"/>
  </r>
  <r>
    <x v="332"/>
    <x v="14"/>
    <x v="3"/>
    <x v="0"/>
    <x v="0"/>
    <n v="39"/>
    <n v="86"/>
    <n v="95"/>
    <n v="30"/>
    <n v="54"/>
    <n v="57051"/>
    <n v="1711530"/>
    <n v="0"/>
    <n v="4906386"/>
    <x v="1"/>
    <x v="10"/>
    <x v="0"/>
  </r>
  <r>
    <x v="332"/>
    <x v="17"/>
    <x v="2"/>
    <x v="1"/>
    <x v="3"/>
    <n v="126"/>
    <n v="56"/>
    <n v="164"/>
    <n v="18"/>
    <n v="112"/>
    <n v="1115"/>
    <n v="20070"/>
    <n v="0"/>
    <n v="62440"/>
    <x v="1"/>
    <x v="10"/>
    <x v="0"/>
  </r>
  <r>
    <x v="332"/>
    <x v="2"/>
    <x v="0"/>
    <x v="3"/>
    <x v="1"/>
    <n v="17"/>
    <n v="61"/>
    <n v="35"/>
    <n v="43"/>
    <n v="21"/>
    <n v="2495"/>
    <n v="107285"/>
    <n v="0"/>
    <n v="152195"/>
    <x v="0"/>
    <x v="10"/>
    <x v="0"/>
  </r>
  <r>
    <x v="332"/>
    <x v="18"/>
    <x v="3"/>
    <x v="1"/>
    <x v="4"/>
    <n v="54"/>
    <n v="39"/>
    <n v="93"/>
    <n v="0"/>
    <n v="22"/>
    <n v="33840"/>
    <n v="0"/>
    <n v="0"/>
    <n v="1319760"/>
    <x v="1"/>
    <x v="10"/>
    <x v="0"/>
  </r>
  <r>
    <x v="333"/>
    <x v="11"/>
    <x v="2"/>
    <x v="3"/>
    <x v="1"/>
    <n v="337"/>
    <n v="281"/>
    <n v="274"/>
    <n v="344"/>
    <n v="77"/>
    <n v="290"/>
    <n v="99760"/>
    <n v="0"/>
    <n v="81490"/>
    <x v="0"/>
    <x v="11"/>
    <x v="0"/>
  </r>
  <r>
    <x v="333"/>
    <x v="12"/>
    <x v="1"/>
    <x v="3"/>
    <x v="2"/>
    <n v="21"/>
    <n v="51"/>
    <n v="15"/>
    <n v="57"/>
    <n v="26"/>
    <n v="22178"/>
    <n v="1264146"/>
    <n v="0"/>
    <n v="1131078"/>
    <x v="0"/>
    <x v="11"/>
    <x v="0"/>
  </r>
  <r>
    <x v="333"/>
    <x v="17"/>
    <x v="2"/>
    <x v="2"/>
    <x v="5"/>
    <n v="449"/>
    <n v="195"/>
    <n v="269"/>
    <n v="375"/>
    <n v="149"/>
    <n v="1047"/>
    <n v="392625"/>
    <n v="0"/>
    <n v="204165"/>
    <x v="0"/>
    <x v="11"/>
    <x v="0"/>
  </r>
  <r>
    <x v="333"/>
    <x v="14"/>
    <x v="3"/>
    <x v="2"/>
    <x v="5"/>
    <n v="110"/>
    <n v="60"/>
    <n v="67"/>
    <n v="103"/>
    <n v="57"/>
    <n v="11009"/>
    <n v="1133927"/>
    <n v="0"/>
    <n v="660540"/>
    <x v="0"/>
    <x v="11"/>
    <x v="0"/>
  </r>
  <r>
    <x v="333"/>
    <x v="4"/>
    <x v="1"/>
    <x v="0"/>
    <x v="4"/>
    <n v="32"/>
    <n v="40"/>
    <n v="2"/>
    <n v="70"/>
    <n v="12"/>
    <n v="5027"/>
    <n v="351890"/>
    <n v="0"/>
    <n v="201080"/>
    <x v="0"/>
    <x v="11"/>
    <x v="0"/>
  </r>
  <r>
    <x v="334"/>
    <x v="12"/>
    <x v="1"/>
    <x v="1"/>
    <x v="4"/>
    <n v="72"/>
    <n v="16"/>
    <n v="42"/>
    <n v="46"/>
    <n v="25"/>
    <n v="10191"/>
    <n v="468786"/>
    <n v="0"/>
    <n v="163056"/>
    <x v="0"/>
    <x v="11"/>
    <x v="0"/>
  </r>
  <r>
    <x v="334"/>
    <x v="15"/>
    <x v="2"/>
    <x v="2"/>
    <x v="0"/>
    <n v="499"/>
    <n v="287"/>
    <n v="134"/>
    <n v="652"/>
    <n v="96"/>
    <n v="890"/>
    <n v="580280"/>
    <n v="0"/>
    <n v="255430"/>
    <x v="0"/>
    <x v="11"/>
    <x v="0"/>
  </r>
  <r>
    <x v="334"/>
    <x v="1"/>
    <x v="1"/>
    <x v="1"/>
    <x v="2"/>
    <n v="98"/>
    <n v="14"/>
    <n v="30"/>
    <n v="82"/>
    <n v="15"/>
    <n v="18377"/>
    <n v="1506914"/>
    <n v="0"/>
    <n v="257278"/>
    <x v="0"/>
    <x v="11"/>
    <x v="0"/>
  </r>
  <r>
    <x v="334"/>
    <x v="6"/>
    <x v="3"/>
    <x v="2"/>
    <x v="0"/>
    <n v="174"/>
    <n v="12"/>
    <n v="53"/>
    <n v="133"/>
    <n v="57"/>
    <n v="59892"/>
    <n v="7965636"/>
    <n v="0"/>
    <n v="718704"/>
    <x v="0"/>
    <x v="11"/>
    <x v="0"/>
  </r>
  <r>
    <x v="335"/>
    <x v="6"/>
    <x v="3"/>
    <x v="3"/>
    <x v="4"/>
    <n v="142"/>
    <n v="77"/>
    <n v="49"/>
    <n v="170"/>
    <n v="38"/>
    <n v="55047"/>
    <n v="9357990"/>
    <n v="0"/>
    <n v="4238619"/>
    <x v="0"/>
    <x v="11"/>
    <x v="0"/>
  </r>
  <r>
    <x v="335"/>
    <x v="17"/>
    <x v="2"/>
    <x v="0"/>
    <x v="4"/>
    <n v="445"/>
    <n v="145"/>
    <n v="278"/>
    <n v="312"/>
    <n v="105"/>
    <n v="354"/>
    <n v="110448"/>
    <n v="0"/>
    <n v="51330"/>
    <x v="0"/>
    <x v="11"/>
    <x v="0"/>
  </r>
  <r>
    <x v="335"/>
    <x v="2"/>
    <x v="0"/>
    <x v="0"/>
    <x v="3"/>
    <n v="77"/>
    <n v="53"/>
    <n v="14"/>
    <n v="116"/>
    <n v="27"/>
    <n v="874"/>
    <n v="101384"/>
    <n v="0"/>
    <n v="46322"/>
    <x v="0"/>
    <x v="11"/>
    <x v="0"/>
  </r>
  <r>
    <x v="335"/>
    <x v="4"/>
    <x v="1"/>
    <x v="0"/>
    <x v="1"/>
    <n v="97"/>
    <n v="7"/>
    <n v="31"/>
    <n v="73"/>
    <n v="28"/>
    <n v="14440"/>
    <n v="1054120"/>
    <n v="0"/>
    <n v="101080"/>
    <x v="0"/>
    <x v="11"/>
    <x v="0"/>
  </r>
  <r>
    <x v="336"/>
    <x v="9"/>
    <x v="0"/>
    <x v="0"/>
    <x v="2"/>
    <n v="115"/>
    <n v="49"/>
    <n v="34"/>
    <n v="130"/>
    <n v="31"/>
    <n v="863"/>
    <n v="112190"/>
    <n v="0"/>
    <n v="42287"/>
    <x v="0"/>
    <x v="11"/>
    <x v="0"/>
  </r>
  <r>
    <x v="336"/>
    <x v="1"/>
    <x v="1"/>
    <x v="0"/>
    <x v="2"/>
    <n v="62"/>
    <n v="28"/>
    <n v="27"/>
    <n v="63"/>
    <n v="22"/>
    <n v="22743"/>
    <n v="1432809"/>
    <n v="0"/>
    <n v="636804"/>
    <x v="0"/>
    <x v="11"/>
    <x v="0"/>
  </r>
  <r>
    <x v="337"/>
    <x v="19"/>
    <x v="0"/>
    <x v="3"/>
    <x v="2"/>
    <n v="33"/>
    <n v="56"/>
    <n v="36"/>
    <n v="53"/>
    <n v="35"/>
    <n v="12760"/>
    <n v="676280"/>
    <n v="0"/>
    <n v="714560"/>
    <x v="0"/>
    <x v="11"/>
    <x v="0"/>
  </r>
  <r>
    <x v="337"/>
    <x v="13"/>
    <x v="3"/>
    <x v="3"/>
    <x v="3"/>
    <n v="125"/>
    <n v="65"/>
    <n v="56"/>
    <n v="134"/>
    <n v="55"/>
    <n v="62861"/>
    <n v="8423374"/>
    <n v="0"/>
    <n v="4085965"/>
    <x v="0"/>
    <x v="11"/>
    <x v="0"/>
  </r>
  <r>
    <x v="337"/>
    <x v="14"/>
    <x v="3"/>
    <x v="0"/>
    <x v="4"/>
    <n v="64"/>
    <n v="83"/>
    <n v="65"/>
    <n v="82"/>
    <n v="57"/>
    <n v="46506"/>
    <n v="3813492"/>
    <n v="0"/>
    <n v="3859998"/>
    <x v="0"/>
    <x v="11"/>
    <x v="0"/>
  </r>
  <r>
    <x v="338"/>
    <x v="4"/>
    <x v="1"/>
    <x v="2"/>
    <x v="2"/>
    <n v="38"/>
    <n v="57"/>
    <n v="30"/>
    <n v="65"/>
    <n v="27"/>
    <n v="15508"/>
    <n v="1008020"/>
    <n v="0"/>
    <n v="883956"/>
    <x v="0"/>
    <x v="11"/>
    <x v="0"/>
  </r>
  <r>
    <x v="338"/>
    <x v="2"/>
    <x v="0"/>
    <x v="3"/>
    <x v="2"/>
    <n v="37"/>
    <n v="46"/>
    <n v="19"/>
    <n v="64"/>
    <n v="27"/>
    <n v="2413"/>
    <n v="154432"/>
    <n v="0"/>
    <n v="110998"/>
    <x v="0"/>
    <x v="11"/>
    <x v="0"/>
  </r>
  <r>
    <x v="338"/>
    <x v="1"/>
    <x v="1"/>
    <x v="1"/>
    <x v="5"/>
    <n v="56"/>
    <n v="8"/>
    <n v="22"/>
    <n v="42"/>
    <n v="17"/>
    <n v="18440"/>
    <n v="774480"/>
    <n v="0"/>
    <n v="147520"/>
    <x v="0"/>
    <x v="11"/>
    <x v="0"/>
  </r>
  <r>
    <x v="338"/>
    <x v="18"/>
    <x v="3"/>
    <x v="0"/>
    <x v="1"/>
    <n v="64"/>
    <n v="105"/>
    <n v="70"/>
    <n v="99"/>
    <n v="28"/>
    <n v="8511"/>
    <n v="842589"/>
    <n v="0"/>
    <n v="893655"/>
    <x v="0"/>
    <x v="11"/>
    <x v="0"/>
  </r>
  <r>
    <x v="338"/>
    <x v="1"/>
    <x v="1"/>
    <x v="2"/>
    <x v="4"/>
    <n v="64"/>
    <n v="20"/>
    <n v="44"/>
    <n v="40"/>
    <n v="25"/>
    <n v="20450"/>
    <n v="818000"/>
    <n v="0"/>
    <n v="409000"/>
    <x v="0"/>
    <x v="11"/>
    <x v="0"/>
  </r>
  <r>
    <x v="338"/>
    <x v="9"/>
    <x v="0"/>
    <x v="1"/>
    <x v="5"/>
    <n v="66"/>
    <n v="68"/>
    <n v="54"/>
    <n v="80"/>
    <n v="31"/>
    <n v="8482"/>
    <n v="678560"/>
    <n v="0"/>
    <n v="576776"/>
    <x v="0"/>
    <x v="11"/>
    <x v="0"/>
  </r>
  <r>
    <x v="338"/>
    <x v="14"/>
    <x v="3"/>
    <x v="2"/>
    <x v="1"/>
    <n v="148"/>
    <n v="63"/>
    <n v="62"/>
    <n v="149"/>
    <n v="38"/>
    <n v="59365"/>
    <n v="8845385"/>
    <n v="0"/>
    <n v="3739995"/>
    <x v="0"/>
    <x v="11"/>
    <x v="0"/>
  </r>
  <r>
    <x v="338"/>
    <x v="8"/>
    <x v="3"/>
    <x v="0"/>
    <x v="4"/>
    <n v="116"/>
    <n v="115"/>
    <n v="12"/>
    <n v="219"/>
    <n v="48"/>
    <n v="54359"/>
    <n v="11904621"/>
    <n v="0"/>
    <n v="6251285"/>
    <x v="0"/>
    <x v="11"/>
    <x v="0"/>
  </r>
  <r>
    <x v="339"/>
    <x v="4"/>
    <x v="1"/>
    <x v="0"/>
    <x v="5"/>
    <n v="67"/>
    <n v="19"/>
    <n v="21"/>
    <n v="65"/>
    <n v="21"/>
    <n v="20940"/>
    <n v="1361100"/>
    <n v="0"/>
    <n v="397860"/>
    <x v="0"/>
    <x v="11"/>
    <x v="0"/>
  </r>
  <r>
    <x v="339"/>
    <x v="11"/>
    <x v="2"/>
    <x v="0"/>
    <x v="5"/>
    <n v="106"/>
    <n v="247"/>
    <n v="116"/>
    <n v="237"/>
    <n v="93"/>
    <n v="835"/>
    <n v="197895"/>
    <n v="0"/>
    <n v="206245"/>
    <x v="0"/>
    <x v="11"/>
    <x v="0"/>
  </r>
  <r>
    <x v="340"/>
    <x v="1"/>
    <x v="1"/>
    <x v="3"/>
    <x v="4"/>
    <n v="59"/>
    <n v="42"/>
    <n v="38"/>
    <n v="63"/>
    <n v="28"/>
    <n v="1691"/>
    <n v="106533"/>
    <n v="0"/>
    <n v="71022"/>
    <x v="0"/>
    <x v="11"/>
    <x v="0"/>
  </r>
  <r>
    <x v="340"/>
    <x v="4"/>
    <x v="1"/>
    <x v="0"/>
    <x v="1"/>
    <n v="22"/>
    <n v="59"/>
    <n v="18"/>
    <n v="63"/>
    <n v="21"/>
    <n v="8932"/>
    <n v="562716"/>
    <n v="0"/>
    <n v="526988"/>
    <x v="0"/>
    <x v="11"/>
    <x v="0"/>
  </r>
  <r>
    <x v="340"/>
    <x v="6"/>
    <x v="3"/>
    <x v="1"/>
    <x v="3"/>
    <n v="66"/>
    <n v="77"/>
    <n v="96"/>
    <n v="47"/>
    <n v="57"/>
    <n v="46699"/>
    <n v="2194853"/>
    <n v="0"/>
    <n v="3595823"/>
    <x v="1"/>
    <x v="11"/>
    <x v="0"/>
  </r>
  <r>
    <x v="340"/>
    <x v="12"/>
    <x v="1"/>
    <x v="3"/>
    <x v="4"/>
    <n v="21"/>
    <n v="59"/>
    <n v="7"/>
    <n v="73"/>
    <n v="25"/>
    <n v="20752"/>
    <n v="1514896"/>
    <n v="0"/>
    <n v="1224368"/>
    <x v="0"/>
    <x v="11"/>
    <x v="0"/>
  </r>
  <r>
    <x v="340"/>
    <x v="19"/>
    <x v="0"/>
    <x v="3"/>
    <x v="0"/>
    <n v="53"/>
    <n v="46"/>
    <n v="59"/>
    <n v="40"/>
    <n v="36"/>
    <n v="9651"/>
    <n v="386040"/>
    <n v="0"/>
    <n v="443946"/>
    <x v="0"/>
    <x v="11"/>
    <x v="0"/>
  </r>
  <r>
    <x v="340"/>
    <x v="9"/>
    <x v="0"/>
    <x v="3"/>
    <x v="2"/>
    <n v="59"/>
    <n v="54"/>
    <n v="33"/>
    <n v="80"/>
    <n v="27"/>
    <n v="14781"/>
    <n v="1182480"/>
    <n v="0"/>
    <n v="798174"/>
    <x v="0"/>
    <x v="11"/>
    <x v="0"/>
  </r>
  <r>
    <x v="340"/>
    <x v="9"/>
    <x v="0"/>
    <x v="3"/>
    <x v="0"/>
    <n v="70"/>
    <n v="63"/>
    <n v="7"/>
    <n v="126"/>
    <n v="39"/>
    <n v="10647"/>
    <n v="1341522"/>
    <n v="0"/>
    <n v="670761"/>
    <x v="0"/>
    <x v="11"/>
    <x v="0"/>
  </r>
  <r>
    <x v="340"/>
    <x v="0"/>
    <x v="0"/>
    <x v="1"/>
    <x v="2"/>
    <n v="51"/>
    <n v="52"/>
    <n v="62"/>
    <n v="41"/>
    <n v="30"/>
    <n v="17899"/>
    <n v="733859"/>
    <n v="0"/>
    <n v="930748"/>
    <x v="0"/>
    <x v="11"/>
    <x v="0"/>
  </r>
  <r>
    <x v="341"/>
    <x v="18"/>
    <x v="3"/>
    <x v="1"/>
    <x v="4"/>
    <n v="43"/>
    <n v="107"/>
    <n v="11"/>
    <n v="139"/>
    <n v="56"/>
    <n v="26565"/>
    <n v="3692535"/>
    <n v="0"/>
    <n v="2842455"/>
    <x v="0"/>
    <x v="11"/>
    <x v="0"/>
  </r>
  <r>
    <x v="341"/>
    <x v="5"/>
    <x v="3"/>
    <x v="0"/>
    <x v="3"/>
    <n v="26"/>
    <n v="100"/>
    <n v="81"/>
    <n v="45"/>
    <n v="36"/>
    <n v="43986"/>
    <n v="1979370"/>
    <n v="0"/>
    <n v="4398600"/>
    <x v="0"/>
    <x v="11"/>
    <x v="0"/>
  </r>
  <r>
    <x v="341"/>
    <x v="16"/>
    <x v="1"/>
    <x v="1"/>
    <x v="5"/>
    <n v="32"/>
    <n v="32"/>
    <n v="37"/>
    <n v="27"/>
    <n v="27"/>
    <n v="13282"/>
    <n v="358614"/>
    <n v="0"/>
    <n v="425024"/>
    <x v="1"/>
    <x v="11"/>
    <x v="0"/>
  </r>
  <r>
    <x v="341"/>
    <x v="11"/>
    <x v="2"/>
    <x v="0"/>
    <x v="0"/>
    <n v="474"/>
    <n v="88"/>
    <n v="191"/>
    <n v="371"/>
    <n v="71"/>
    <n v="477"/>
    <n v="176967"/>
    <n v="0"/>
    <n v="41976"/>
    <x v="0"/>
    <x v="11"/>
    <x v="0"/>
  </r>
  <r>
    <x v="341"/>
    <x v="6"/>
    <x v="3"/>
    <x v="1"/>
    <x v="4"/>
    <n v="127"/>
    <n v="92"/>
    <n v="86"/>
    <n v="133"/>
    <n v="20"/>
    <n v="29550"/>
    <n v="3930150"/>
    <n v="0"/>
    <n v="2718600"/>
    <x v="0"/>
    <x v="11"/>
    <x v="0"/>
  </r>
  <r>
    <x v="342"/>
    <x v="19"/>
    <x v="0"/>
    <x v="2"/>
    <x v="2"/>
    <n v="94"/>
    <n v="16"/>
    <n v="36"/>
    <n v="74"/>
    <n v="25"/>
    <n v="10370"/>
    <n v="767380"/>
    <n v="0"/>
    <n v="165920"/>
    <x v="0"/>
    <x v="11"/>
    <x v="0"/>
  </r>
  <r>
    <x v="342"/>
    <x v="0"/>
    <x v="0"/>
    <x v="1"/>
    <x v="2"/>
    <n v="49"/>
    <n v="66"/>
    <n v="3"/>
    <n v="112"/>
    <n v="27"/>
    <n v="4948"/>
    <n v="554176"/>
    <n v="0"/>
    <n v="326568"/>
    <x v="0"/>
    <x v="11"/>
    <x v="0"/>
  </r>
  <r>
    <x v="342"/>
    <x v="11"/>
    <x v="2"/>
    <x v="3"/>
    <x v="4"/>
    <n v="462"/>
    <n v="83"/>
    <n v="227"/>
    <n v="318"/>
    <n v="148"/>
    <n v="547"/>
    <n v="173946"/>
    <n v="0"/>
    <n v="45401"/>
    <x v="0"/>
    <x v="11"/>
    <x v="0"/>
  </r>
  <r>
    <x v="342"/>
    <x v="16"/>
    <x v="1"/>
    <x v="3"/>
    <x v="1"/>
    <n v="77"/>
    <n v="16"/>
    <n v="38"/>
    <n v="55"/>
    <n v="20"/>
    <n v="13760"/>
    <n v="756800"/>
    <n v="0"/>
    <n v="220160"/>
    <x v="0"/>
    <x v="11"/>
    <x v="0"/>
  </r>
  <r>
    <x v="342"/>
    <x v="14"/>
    <x v="3"/>
    <x v="3"/>
    <x v="4"/>
    <n v="30"/>
    <n v="71"/>
    <n v="81"/>
    <n v="20"/>
    <n v="44"/>
    <n v="15361"/>
    <n v="307220"/>
    <n v="0"/>
    <n v="1090631"/>
    <x v="1"/>
    <x v="11"/>
    <x v="0"/>
  </r>
  <r>
    <x v="343"/>
    <x v="10"/>
    <x v="2"/>
    <x v="0"/>
    <x v="4"/>
    <n v="66"/>
    <n v="79"/>
    <n v="144"/>
    <n v="1"/>
    <n v="99"/>
    <n v="649"/>
    <n v="649"/>
    <n v="0"/>
    <n v="51271"/>
    <x v="1"/>
    <x v="11"/>
    <x v="0"/>
  </r>
  <r>
    <x v="343"/>
    <x v="3"/>
    <x v="2"/>
    <x v="3"/>
    <x v="0"/>
    <n v="201"/>
    <n v="174"/>
    <n v="139"/>
    <n v="236"/>
    <n v="80"/>
    <n v="160"/>
    <n v="37760"/>
    <n v="0"/>
    <n v="27840"/>
    <x v="0"/>
    <x v="11"/>
    <x v="0"/>
  </r>
  <r>
    <x v="343"/>
    <x v="12"/>
    <x v="1"/>
    <x v="2"/>
    <x v="4"/>
    <n v="28"/>
    <n v="35"/>
    <n v="27"/>
    <n v="36"/>
    <n v="13"/>
    <n v="18564"/>
    <n v="668304"/>
    <n v="0"/>
    <n v="649740"/>
    <x v="0"/>
    <x v="11"/>
    <x v="0"/>
  </r>
  <r>
    <x v="343"/>
    <x v="5"/>
    <x v="3"/>
    <x v="1"/>
    <x v="5"/>
    <n v="97"/>
    <n v="48"/>
    <n v="94"/>
    <n v="51"/>
    <n v="43"/>
    <n v="42023"/>
    <n v="2143173"/>
    <n v="0"/>
    <n v="2017104"/>
    <x v="0"/>
    <x v="11"/>
    <x v="0"/>
  </r>
  <r>
    <x v="344"/>
    <x v="17"/>
    <x v="2"/>
    <x v="1"/>
    <x v="4"/>
    <n v="121"/>
    <n v="299"/>
    <n v="75"/>
    <n v="345"/>
    <n v="117"/>
    <n v="899"/>
    <n v="310155"/>
    <n v="0"/>
    <n v="268801"/>
    <x v="0"/>
    <x v="11"/>
    <x v="0"/>
  </r>
  <r>
    <x v="344"/>
    <x v="19"/>
    <x v="0"/>
    <x v="1"/>
    <x v="5"/>
    <n v="115"/>
    <n v="66"/>
    <n v="25"/>
    <n v="156"/>
    <n v="23"/>
    <n v="1850"/>
    <n v="288600"/>
    <n v="0"/>
    <n v="122100"/>
    <x v="0"/>
    <x v="11"/>
    <x v="0"/>
  </r>
  <r>
    <x v="344"/>
    <x v="7"/>
    <x v="2"/>
    <x v="2"/>
    <x v="1"/>
    <n v="235"/>
    <n v="236"/>
    <n v="181"/>
    <n v="290"/>
    <n v="63"/>
    <n v="483"/>
    <n v="140070"/>
    <n v="0"/>
    <n v="113988"/>
    <x v="0"/>
    <x v="11"/>
    <x v="0"/>
  </r>
  <r>
    <x v="345"/>
    <x v="4"/>
    <x v="1"/>
    <x v="2"/>
    <x v="5"/>
    <n v="23"/>
    <n v="52"/>
    <n v="40"/>
    <n v="35"/>
    <n v="21"/>
    <n v="1744"/>
    <n v="61040"/>
    <n v="0"/>
    <n v="90688"/>
    <x v="0"/>
    <x v="11"/>
    <x v="0"/>
  </r>
  <r>
    <x v="345"/>
    <x v="10"/>
    <x v="2"/>
    <x v="3"/>
    <x v="3"/>
    <n v="442"/>
    <n v="130"/>
    <n v="46"/>
    <n v="526"/>
    <n v="101"/>
    <n v="111"/>
    <n v="58386"/>
    <n v="0"/>
    <n v="14430"/>
    <x v="0"/>
    <x v="11"/>
    <x v="0"/>
  </r>
  <r>
    <x v="345"/>
    <x v="17"/>
    <x v="2"/>
    <x v="1"/>
    <x v="3"/>
    <n v="186"/>
    <n v="274"/>
    <n v="118"/>
    <n v="342"/>
    <n v="139"/>
    <n v="552"/>
    <n v="188784"/>
    <n v="0"/>
    <n v="151248"/>
    <x v="0"/>
    <x v="11"/>
    <x v="0"/>
  </r>
  <r>
    <x v="345"/>
    <x v="10"/>
    <x v="2"/>
    <x v="1"/>
    <x v="2"/>
    <n v="221"/>
    <n v="229"/>
    <n v="85"/>
    <n v="365"/>
    <n v="110"/>
    <n v="391"/>
    <n v="142715"/>
    <n v="0"/>
    <n v="89539"/>
    <x v="0"/>
    <x v="11"/>
    <x v="0"/>
  </r>
  <r>
    <x v="346"/>
    <x v="7"/>
    <x v="2"/>
    <x v="3"/>
    <x v="1"/>
    <n v="258"/>
    <n v="192"/>
    <n v="177"/>
    <n v="273"/>
    <n v="97"/>
    <n v="297"/>
    <n v="81081"/>
    <n v="0"/>
    <n v="57024"/>
    <x v="0"/>
    <x v="11"/>
    <x v="0"/>
  </r>
  <r>
    <x v="346"/>
    <x v="0"/>
    <x v="0"/>
    <x v="3"/>
    <x v="1"/>
    <n v="116"/>
    <n v="26"/>
    <n v="17"/>
    <n v="125"/>
    <n v="29"/>
    <n v="7200"/>
    <n v="900000"/>
    <n v="0"/>
    <n v="187200"/>
    <x v="0"/>
    <x v="11"/>
    <x v="0"/>
  </r>
  <r>
    <x v="346"/>
    <x v="8"/>
    <x v="3"/>
    <x v="3"/>
    <x v="3"/>
    <n v="109"/>
    <n v="95"/>
    <n v="74"/>
    <n v="130"/>
    <n v="33"/>
    <n v="15402"/>
    <n v="2002260"/>
    <n v="0"/>
    <n v="1463190"/>
    <x v="0"/>
    <x v="11"/>
    <x v="0"/>
  </r>
  <r>
    <x v="346"/>
    <x v="11"/>
    <x v="2"/>
    <x v="1"/>
    <x v="5"/>
    <n v="280"/>
    <n v="219"/>
    <n v="234"/>
    <n v="265"/>
    <n v="126"/>
    <n v="652"/>
    <n v="172780"/>
    <n v="0"/>
    <n v="142788"/>
    <x v="0"/>
    <x v="11"/>
    <x v="0"/>
  </r>
  <r>
    <x v="346"/>
    <x v="18"/>
    <x v="3"/>
    <x v="0"/>
    <x v="5"/>
    <n v="114"/>
    <n v="81"/>
    <n v="43"/>
    <n v="152"/>
    <n v="53"/>
    <n v="15289"/>
    <n v="2323928"/>
    <n v="0"/>
    <n v="1238409"/>
    <x v="0"/>
    <x v="11"/>
    <x v="0"/>
  </r>
  <r>
    <x v="347"/>
    <x v="11"/>
    <x v="2"/>
    <x v="1"/>
    <x v="5"/>
    <n v="391"/>
    <n v="207"/>
    <n v="275"/>
    <n v="323"/>
    <n v="78"/>
    <n v="519"/>
    <n v="167637"/>
    <n v="0"/>
    <n v="107433"/>
    <x v="0"/>
    <x v="11"/>
    <x v="0"/>
  </r>
  <r>
    <x v="347"/>
    <x v="3"/>
    <x v="2"/>
    <x v="0"/>
    <x v="3"/>
    <n v="245"/>
    <n v="140"/>
    <n v="267"/>
    <n v="118"/>
    <n v="98"/>
    <n v="1132"/>
    <n v="133576"/>
    <n v="0"/>
    <n v="158480"/>
    <x v="0"/>
    <x v="11"/>
    <x v="0"/>
  </r>
  <r>
    <x v="348"/>
    <x v="10"/>
    <x v="2"/>
    <x v="3"/>
    <x v="3"/>
    <n v="107"/>
    <n v="241"/>
    <n v="139"/>
    <n v="209"/>
    <n v="50"/>
    <n v="30"/>
    <n v="6270"/>
    <n v="0"/>
    <n v="7230"/>
    <x v="0"/>
    <x v="11"/>
    <x v="0"/>
  </r>
  <r>
    <x v="348"/>
    <x v="11"/>
    <x v="2"/>
    <x v="2"/>
    <x v="4"/>
    <n v="144"/>
    <n v="181"/>
    <n v="146"/>
    <n v="179"/>
    <n v="52"/>
    <n v="778"/>
    <n v="139262"/>
    <n v="0"/>
    <n v="140818"/>
    <x v="0"/>
    <x v="11"/>
    <x v="0"/>
  </r>
  <r>
    <x v="348"/>
    <x v="5"/>
    <x v="3"/>
    <x v="2"/>
    <x v="1"/>
    <n v="26"/>
    <n v="104"/>
    <n v="78"/>
    <n v="52"/>
    <n v="32"/>
    <n v="30534"/>
    <n v="1587768"/>
    <n v="0"/>
    <n v="3175536"/>
    <x v="0"/>
    <x v="11"/>
    <x v="0"/>
  </r>
  <r>
    <x v="348"/>
    <x v="8"/>
    <x v="3"/>
    <x v="2"/>
    <x v="4"/>
    <n v="45"/>
    <n v="46"/>
    <n v="17"/>
    <n v="74"/>
    <n v="24"/>
    <n v="43644"/>
    <n v="3229656"/>
    <n v="0"/>
    <n v="2007624"/>
    <x v="0"/>
    <x v="11"/>
    <x v="0"/>
  </r>
  <r>
    <x v="348"/>
    <x v="13"/>
    <x v="3"/>
    <x v="2"/>
    <x v="1"/>
    <n v="103"/>
    <n v="30"/>
    <n v="97"/>
    <n v="36"/>
    <n v="44"/>
    <n v="35610"/>
    <n v="1281960"/>
    <n v="0"/>
    <n v="1068300"/>
    <x v="1"/>
    <x v="11"/>
    <x v="0"/>
  </r>
  <r>
    <x v="348"/>
    <x v="8"/>
    <x v="3"/>
    <x v="3"/>
    <x v="0"/>
    <n v="66"/>
    <n v="108"/>
    <n v="59"/>
    <n v="115"/>
    <n v="35"/>
    <n v="7879"/>
    <n v="906085"/>
    <n v="0"/>
    <n v="850932"/>
    <x v="0"/>
    <x v="11"/>
    <x v="0"/>
  </r>
  <r>
    <x v="348"/>
    <x v="3"/>
    <x v="2"/>
    <x v="0"/>
    <x v="1"/>
    <n v="68"/>
    <n v="148"/>
    <n v="216"/>
    <n v="0"/>
    <n v="110"/>
    <n v="375"/>
    <n v="0"/>
    <n v="0"/>
    <n v="55500"/>
    <x v="1"/>
    <x v="11"/>
    <x v="0"/>
  </r>
  <r>
    <x v="349"/>
    <x v="13"/>
    <x v="3"/>
    <x v="3"/>
    <x v="2"/>
    <n v="97"/>
    <n v="63"/>
    <n v="51"/>
    <n v="109"/>
    <n v="48"/>
    <n v="39981"/>
    <n v="4357929"/>
    <n v="0"/>
    <n v="2518803"/>
    <x v="0"/>
    <x v="11"/>
    <x v="0"/>
  </r>
  <r>
    <x v="349"/>
    <x v="2"/>
    <x v="0"/>
    <x v="1"/>
    <x v="3"/>
    <n v="72"/>
    <n v="35"/>
    <n v="40"/>
    <n v="67"/>
    <n v="27"/>
    <n v="1681"/>
    <n v="112627"/>
    <n v="0"/>
    <n v="58835"/>
    <x v="0"/>
    <x v="11"/>
    <x v="0"/>
  </r>
  <r>
    <x v="349"/>
    <x v="4"/>
    <x v="1"/>
    <x v="3"/>
    <x v="2"/>
    <n v="24"/>
    <n v="20"/>
    <n v="14"/>
    <n v="30"/>
    <n v="29"/>
    <n v="4350"/>
    <n v="130500"/>
    <n v="0"/>
    <n v="87000"/>
    <x v="0"/>
    <x v="11"/>
    <x v="0"/>
  </r>
  <r>
    <x v="349"/>
    <x v="12"/>
    <x v="1"/>
    <x v="1"/>
    <x v="5"/>
    <n v="15"/>
    <n v="6"/>
    <n v="14"/>
    <n v="7"/>
    <n v="20"/>
    <n v="5519"/>
    <n v="38633"/>
    <n v="0"/>
    <n v="33114"/>
    <x v="1"/>
    <x v="11"/>
    <x v="0"/>
  </r>
  <r>
    <x v="350"/>
    <x v="15"/>
    <x v="2"/>
    <x v="3"/>
    <x v="5"/>
    <n v="382"/>
    <n v="139"/>
    <n v="78"/>
    <n v="443"/>
    <n v="93"/>
    <n v="77"/>
    <n v="34111"/>
    <n v="0"/>
    <n v="10703"/>
    <x v="0"/>
    <x v="11"/>
    <x v="0"/>
  </r>
  <r>
    <x v="350"/>
    <x v="3"/>
    <x v="2"/>
    <x v="2"/>
    <x v="4"/>
    <n v="143"/>
    <n v="68"/>
    <n v="90"/>
    <n v="121"/>
    <n v="133"/>
    <n v="206"/>
    <n v="24926"/>
    <n v="0"/>
    <n v="14008"/>
    <x v="1"/>
    <x v="11"/>
    <x v="0"/>
  </r>
  <r>
    <x v="350"/>
    <x v="3"/>
    <x v="2"/>
    <x v="2"/>
    <x v="0"/>
    <n v="463"/>
    <n v="67"/>
    <n v="106"/>
    <n v="424"/>
    <n v="72"/>
    <n v="127"/>
    <n v="53848"/>
    <n v="0"/>
    <n v="8509"/>
    <x v="0"/>
    <x v="11"/>
    <x v="0"/>
  </r>
  <r>
    <x v="351"/>
    <x v="11"/>
    <x v="2"/>
    <x v="0"/>
    <x v="2"/>
    <n v="233"/>
    <n v="32"/>
    <n v="200"/>
    <n v="65"/>
    <n v="72"/>
    <n v="38"/>
    <n v="2470"/>
    <n v="0"/>
    <n v="1216"/>
    <x v="1"/>
    <x v="11"/>
    <x v="0"/>
  </r>
  <r>
    <x v="351"/>
    <x v="2"/>
    <x v="0"/>
    <x v="3"/>
    <x v="5"/>
    <n v="21"/>
    <n v="5"/>
    <n v="26"/>
    <n v="0"/>
    <n v="21"/>
    <n v="9117"/>
    <n v="0"/>
    <n v="0"/>
    <n v="45585"/>
    <x v="1"/>
    <x v="11"/>
    <x v="0"/>
  </r>
  <r>
    <x v="351"/>
    <x v="5"/>
    <x v="3"/>
    <x v="1"/>
    <x v="2"/>
    <n v="150"/>
    <n v="82"/>
    <n v="12"/>
    <n v="220"/>
    <n v="25"/>
    <n v="55424"/>
    <n v="12193280"/>
    <n v="0"/>
    <n v="4544768"/>
    <x v="0"/>
    <x v="11"/>
    <x v="0"/>
  </r>
  <r>
    <x v="352"/>
    <x v="6"/>
    <x v="3"/>
    <x v="0"/>
    <x v="3"/>
    <n v="115"/>
    <n v="58"/>
    <n v="84"/>
    <n v="89"/>
    <n v="37"/>
    <n v="15491"/>
    <n v="1378699"/>
    <n v="0"/>
    <n v="898478"/>
    <x v="0"/>
    <x v="11"/>
    <x v="0"/>
  </r>
  <r>
    <x v="352"/>
    <x v="19"/>
    <x v="0"/>
    <x v="3"/>
    <x v="3"/>
    <n v="77"/>
    <n v="23"/>
    <n v="51"/>
    <n v="49"/>
    <n v="35"/>
    <n v="4979"/>
    <n v="243971"/>
    <n v="0"/>
    <n v="114517"/>
    <x v="0"/>
    <x v="11"/>
    <x v="0"/>
  </r>
  <r>
    <x v="352"/>
    <x v="8"/>
    <x v="3"/>
    <x v="0"/>
    <x v="1"/>
    <n v="49"/>
    <n v="81"/>
    <n v="67"/>
    <n v="63"/>
    <n v="45"/>
    <n v="5582"/>
    <n v="351666"/>
    <n v="0"/>
    <n v="452142"/>
    <x v="0"/>
    <x v="11"/>
    <x v="0"/>
  </r>
  <r>
    <x v="352"/>
    <x v="19"/>
    <x v="0"/>
    <x v="3"/>
    <x v="5"/>
    <n v="46"/>
    <n v="55"/>
    <n v="60"/>
    <n v="41"/>
    <n v="28"/>
    <n v="1040"/>
    <n v="42640"/>
    <n v="0"/>
    <n v="57200"/>
    <x v="0"/>
    <x v="11"/>
    <x v="0"/>
  </r>
  <r>
    <x v="352"/>
    <x v="5"/>
    <x v="3"/>
    <x v="0"/>
    <x v="2"/>
    <n v="75"/>
    <n v="109"/>
    <n v="21"/>
    <n v="163"/>
    <n v="42"/>
    <n v="57129"/>
    <n v="9312027"/>
    <n v="0"/>
    <n v="6227061"/>
    <x v="0"/>
    <x v="11"/>
    <x v="0"/>
  </r>
  <r>
    <x v="353"/>
    <x v="11"/>
    <x v="2"/>
    <x v="0"/>
    <x v="5"/>
    <n v="249"/>
    <n v="147"/>
    <n v="272"/>
    <n v="124"/>
    <n v="95"/>
    <n v="1089"/>
    <n v="135036"/>
    <n v="0"/>
    <n v="160083"/>
    <x v="0"/>
    <x v="11"/>
    <x v="0"/>
  </r>
  <r>
    <x v="353"/>
    <x v="1"/>
    <x v="1"/>
    <x v="3"/>
    <x v="4"/>
    <n v="81"/>
    <n v="54"/>
    <n v="44"/>
    <n v="91"/>
    <n v="28"/>
    <n v="20221"/>
    <n v="1840111"/>
    <n v="0"/>
    <n v="1091934"/>
    <x v="0"/>
    <x v="11"/>
    <x v="0"/>
  </r>
  <r>
    <x v="353"/>
    <x v="16"/>
    <x v="1"/>
    <x v="3"/>
    <x v="1"/>
    <n v="28"/>
    <n v="45"/>
    <n v="32"/>
    <n v="41"/>
    <n v="27"/>
    <n v="7122"/>
    <n v="292002"/>
    <n v="0"/>
    <n v="320490"/>
    <x v="0"/>
    <x v="11"/>
    <x v="0"/>
  </r>
  <r>
    <x v="353"/>
    <x v="12"/>
    <x v="1"/>
    <x v="2"/>
    <x v="3"/>
    <n v="86"/>
    <n v="34"/>
    <n v="35"/>
    <n v="85"/>
    <n v="12"/>
    <n v="13695"/>
    <n v="1164075"/>
    <n v="0"/>
    <n v="465630"/>
    <x v="0"/>
    <x v="11"/>
    <x v="0"/>
  </r>
  <r>
    <x v="354"/>
    <x v="13"/>
    <x v="3"/>
    <x v="1"/>
    <x v="4"/>
    <n v="133"/>
    <n v="33"/>
    <n v="31"/>
    <n v="135"/>
    <n v="57"/>
    <n v="16324"/>
    <n v="2203740"/>
    <n v="0"/>
    <n v="538692"/>
    <x v="0"/>
    <x v="11"/>
    <x v="0"/>
  </r>
  <r>
    <x v="354"/>
    <x v="3"/>
    <x v="2"/>
    <x v="1"/>
    <x v="2"/>
    <n v="405"/>
    <n v="116"/>
    <n v="87"/>
    <n v="434"/>
    <n v="116"/>
    <n v="947"/>
    <n v="410998"/>
    <n v="0"/>
    <n v="109852"/>
    <x v="0"/>
    <x v="11"/>
    <x v="0"/>
  </r>
  <r>
    <x v="354"/>
    <x v="1"/>
    <x v="1"/>
    <x v="2"/>
    <x v="2"/>
    <n v="80"/>
    <n v="11"/>
    <n v="33"/>
    <n v="58"/>
    <n v="21"/>
    <n v="17187"/>
    <n v="996846"/>
    <n v="0"/>
    <n v="189057"/>
    <x v="0"/>
    <x v="11"/>
    <x v="0"/>
  </r>
  <r>
    <x v="354"/>
    <x v="18"/>
    <x v="3"/>
    <x v="0"/>
    <x v="0"/>
    <n v="167"/>
    <n v="57"/>
    <n v="76"/>
    <n v="148"/>
    <n v="45"/>
    <n v="28512"/>
    <n v="4219776"/>
    <n v="0"/>
    <n v="1625184"/>
    <x v="0"/>
    <x v="11"/>
    <x v="0"/>
  </r>
  <r>
    <x v="355"/>
    <x v="15"/>
    <x v="2"/>
    <x v="1"/>
    <x v="3"/>
    <n v="269"/>
    <n v="128"/>
    <n v="245"/>
    <n v="152"/>
    <n v="65"/>
    <n v="738"/>
    <n v="112176"/>
    <n v="0"/>
    <n v="94464"/>
    <x v="0"/>
    <x v="11"/>
    <x v="0"/>
  </r>
  <r>
    <x v="355"/>
    <x v="15"/>
    <x v="2"/>
    <x v="3"/>
    <x v="2"/>
    <n v="494"/>
    <n v="42"/>
    <n v="151"/>
    <n v="385"/>
    <n v="93"/>
    <n v="1158"/>
    <n v="445830"/>
    <n v="0"/>
    <n v="48636"/>
    <x v="0"/>
    <x v="11"/>
    <x v="0"/>
  </r>
  <r>
    <x v="355"/>
    <x v="0"/>
    <x v="0"/>
    <x v="0"/>
    <x v="4"/>
    <n v="62"/>
    <n v="36"/>
    <n v="13"/>
    <n v="85"/>
    <n v="19"/>
    <n v="13068"/>
    <n v="1110780"/>
    <n v="0"/>
    <n v="470448"/>
    <x v="0"/>
    <x v="11"/>
    <x v="0"/>
  </r>
  <r>
    <x v="355"/>
    <x v="18"/>
    <x v="3"/>
    <x v="2"/>
    <x v="1"/>
    <n v="81"/>
    <n v="71"/>
    <n v="42"/>
    <n v="110"/>
    <n v="43"/>
    <n v="51769"/>
    <n v="5694590"/>
    <n v="0"/>
    <n v="3675599"/>
    <x v="0"/>
    <x v="11"/>
    <x v="0"/>
  </r>
  <r>
    <x v="356"/>
    <x v="11"/>
    <x v="2"/>
    <x v="1"/>
    <x v="5"/>
    <n v="457"/>
    <n v="185"/>
    <n v="17"/>
    <n v="625"/>
    <n v="141"/>
    <n v="1165"/>
    <n v="728125"/>
    <n v="0"/>
    <n v="215525"/>
    <x v="0"/>
    <x v="11"/>
    <x v="0"/>
  </r>
  <r>
    <x v="356"/>
    <x v="11"/>
    <x v="2"/>
    <x v="3"/>
    <x v="4"/>
    <n v="320"/>
    <n v="228"/>
    <n v="155"/>
    <n v="393"/>
    <n v="110"/>
    <n v="937"/>
    <n v="368241"/>
    <n v="0"/>
    <n v="213636"/>
    <x v="0"/>
    <x v="11"/>
    <x v="0"/>
  </r>
  <r>
    <x v="356"/>
    <x v="1"/>
    <x v="1"/>
    <x v="3"/>
    <x v="5"/>
    <n v="57"/>
    <n v="56"/>
    <n v="25"/>
    <n v="88"/>
    <n v="24"/>
    <n v="19768"/>
    <n v="1739584"/>
    <n v="0"/>
    <n v="1107008"/>
    <x v="0"/>
    <x v="11"/>
    <x v="0"/>
  </r>
  <r>
    <x v="356"/>
    <x v="4"/>
    <x v="1"/>
    <x v="2"/>
    <x v="1"/>
    <n v="46"/>
    <n v="34"/>
    <n v="35"/>
    <n v="45"/>
    <n v="26"/>
    <n v="3565"/>
    <n v="160425"/>
    <n v="0"/>
    <n v="121210"/>
    <x v="0"/>
    <x v="11"/>
    <x v="0"/>
  </r>
  <r>
    <x v="356"/>
    <x v="18"/>
    <x v="3"/>
    <x v="1"/>
    <x v="4"/>
    <n v="117"/>
    <n v="37"/>
    <n v="6"/>
    <n v="148"/>
    <n v="32"/>
    <n v="27773"/>
    <n v="4110404"/>
    <n v="0"/>
    <n v="1027601"/>
    <x v="0"/>
    <x v="11"/>
    <x v="0"/>
  </r>
  <r>
    <x v="356"/>
    <x v="7"/>
    <x v="2"/>
    <x v="2"/>
    <x v="1"/>
    <n v="171"/>
    <n v="119"/>
    <n v="202"/>
    <n v="88"/>
    <n v="70"/>
    <n v="775"/>
    <n v="68200"/>
    <n v="0"/>
    <n v="92225"/>
    <x v="0"/>
    <x v="11"/>
    <x v="0"/>
  </r>
  <r>
    <x v="357"/>
    <x v="7"/>
    <x v="2"/>
    <x v="3"/>
    <x v="5"/>
    <n v="85"/>
    <n v="63"/>
    <n v="97"/>
    <n v="51"/>
    <n v="65"/>
    <n v="677"/>
    <n v="34527"/>
    <n v="0"/>
    <n v="42651"/>
    <x v="1"/>
    <x v="11"/>
    <x v="0"/>
  </r>
  <r>
    <x v="357"/>
    <x v="2"/>
    <x v="0"/>
    <x v="2"/>
    <x v="3"/>
    <n v="75"/>
    <n v="72"/>
    <n v="27"/>
    <n v="120"/>
    <n v="20"/>
    <n v="8533"/>
    <n v="1023960"/>
    <n v="0"/>
    <n v="614376"/>
    <x v="0"/>
    <x v="11"/>
    <x v="0"/>
  </r>
  <r>
    <x v="357"/>
    <x v="2"/>
    <x v="0"/>
    <x v="2"/>
    <x v="3"/>
    <n v="70"/>
    <n v="27"/>
    <n v="64"/>
    <n v="33"/>
    <n v="22"/>
    <n v="8610"/>
    <n v="284130"/>
    <n v="0"/>
    <n v="232470"/>
    <x v="0"/>
    <x v="11"/>
    <x v="0"/>
  </r>
  <r>
    <x v="357"/>
    <x v="16"/>
    <x v="1"/>
    <x v="2"/>
    <x v="1"/>
    <n v="41"/>
    <n v="45"/>
    <n v="13"/>
    <n v="73"/>
    <n v="17"/>
    <n v="23267"/>
    <n v="1698491"/>
    <n v="0"/>
    <n v="1047015"/>
    <x v="0"/>
    <x v="11"/>
    <x v="0"/>
  </r>
  <r>
    <x v="357"/>
    <x v="2"/>
    <x v="0"/>
    <x v="3"/>
    <x v="5"/>
    <n v="35"/>
    <n v="61"/>
    <n v="43"/>
    <n v="53"/>
    <n v="24"/>
    <n v="7814"/>
    <n v="414142"/>
    <n v="0"/>
    <n v="476654"/>
    <x v="0"/>
    <x v="11"/>
    <x v="0"/>
  </r>
  <r>
    <x v="357"/>
    <x v="6"/>
    <x v="3"/>
    <x v="3"/>
    <x v="1"/>
    <n v="110"/>
    <n v="99"/>
    <n v="82"/>
    <n v="127"/>
    <n v="48"/>
    <n v="54321"/>
    <n v="6898767"/>
    <n v="0"/>
    <n v="5377779"/>
    <x v="0"/>
    <x v="11"/>
    <x v="0"/>
  </r>
  <r>
    <x v="357"/>
    <x v="3"/>
    <x v="2"/>
    <x v="3"/>
    <x v="5"/>
    <n v="64"/>
    <n v="104"/>
    <n v="43"/>
    <n v="125"/>
    <n v="124"/>
    <n v="215"/>
    <n v="26875"/>
    <n v="0"/>
    <n v="22360"/>
    <x v="0"/>
    <x v="11"/>
    <x v="0"/>
  </r>
  <r>
    <x v="358"/>
    <x v="2"/>
    <x v="0"/>
    <x v="1"/>
    <x v="4"/>
    <n v="87"/>
    <n v="44"/>
    <n v="56"/>
    <n v="75"/>
    <n v="21"/>
    <n v="16268"/>
    <n v="1220100"/>
    <n v="0"/>
    <n v="715792"/>
    <x v="0"/>
    <x v="11"/>
    <x v="0"/>
  </r>
  <r>
    <x v="358"/>
    <x v="12"/>
    <x v="1"/>
    <x v="0"/>
    <x v="5"/>
    <n v="10"/>
    <n v="58"/>
    <n v="5"/>
    <n v="63"/>
    <n v="21"/>
    <n v="10489"/>
    <n v="660807"/>
    <n v="0"/>
    <n v="608362"/>
    <x v="0"/>
    <x v="11"/>
    <x v="0"/>
  </r>
  <r>
    <x v="358"/>
    <x v="12"/>
    <x v="1"/>
    <x v="2"/>
    <x v="0"/>
    <n v="49"/>
    <n v="17"/>
    <n v="27"/>
    <n v="39"/>
    <n v="20"/>
    <n v="4201"/>
    <n v="163839"/>
    <n v="0"/>
    <n v="71417"/>
    <x v="0"/>
    <x v="11"/>
    <x v="0"/>
  </r>
  <r>
    <x v="358"/>
    <x v="4"/>
    <x v="1"/>
    <x v="3"/>
    <x v="3"/>
    <n v="32"/>
    <n v="29"/>
    <n v="2"/>
    <n v="59"/>
    <n v="24"/>
    <n v="2349"/>
    <n v="138591"/>
    <n v="0"/>
    <n v="68121"/>
    <x v="0"/>
    <x v="11"/>
    <x v="0"/>
  </r>
  <r>
    <x v="359"/>
    <x v="16"/>
    <x v="1"/>
    <x v="2"/>
    <x v="0"/>
    <n v="86"/>
    <n v="40"/>
    <n v="10"/>
    <n v="116"/>
    <n v="28"/>
    <n v="24489"/>
    <n v="2840724"/>
    <n v="0"/>
    <n v="979560"/>
    <x v="0"/>
    <x v="11"/>
    <x v="0"/>
  </r>
  <r>
    <x v="359"/>
    <x v="5"/>
    <x v="3"/>
    <x v="1"/>
    <x v="1"/>
    <n v="32"/>
    <n v="27"/>
    <n v="25"/>
    <n v="34"/>
    <n v="20"/>
    <n v="9359"/>
    <n v="318206"/>
    <n v="0"/>
    <n v="252693"/>
    <x v="0"/>
    <x v="11"/>
    <x v="0"/>
  </r>
  <r>
    <x v="359"/>
    <x v="17"/>
    <x v="2"/>
    <x v="1"/>
    <x v="1"/>
    <n v="290"/>
    <n v="100"/>
    <n v="225"/>
    <n v="165"/>
    <n v="90"/>
    <n v="98"/>
    <n v="16170"/>
    <n v="0"/>
    <n v="9800"/>
    <x v="0"/>
    <x v="11"/>
    <x v="0"/>
  </r>
  <r>
    <x v="360"/>
    <x v="14"/>
    <x v="3"/>
    <x v="1"/>
    <x v="2"/>
    <n v="131"/>
    <n v="117"/>
    <n v="21"/>
    <n v="227"/>
    <n v="28"/>
    <n v="5317"/>
    <n v="1206959"/>
    <n v="0"/>
    <n v="622089"/>
    <x v="0"/>
    <x v="11"/>
    <x v="0"/>
  </r>
  <r>
    <x v="360"/>
    <x v="14"/>
    <x v="3"/>
    <x v="3"/>
    <x v="4"/>
    <n v="59"/>
    <n v="67"/>
    <n v="82"/>
    <n v="44"/>
    <n v="52"/>
    <n v="50153"/>
    <n v="2206732"/>
    <n v="0"/>
    <n v="3360251"/>
    <x v="1"/>
    <x v="11"/>
    <x v="0"/>
  </r>
  <r>
    <x v="360"/>
    <x v="5"/>
    <x v="3"/>
    <x v="2"/>
    <x v="2"/>
    <n v="112"/>
    <n v="74"/>
    <n v="72"/>
    <n v="114"/>
    <n v="51"/>
    <n v="3231"/>
    <n v="368334"/>
    <n v="0"/>
    <n v="239094"/>
    <x v="0"/>
    <x v="11"/>
    <x v="0"/>
  </r>
  <r>
    <x v="360"/>
    <x v="10"/>
    <x v="2"/>
    <x v="0"/>
    <x v="2"/>
    <n v="430"/>
    <n v="183"/>
    <n v="171"/>
    <n v="442"/>
    <n v="127"/>
    <n v="38"/>
    <n v="16796"/>
    <n v="0"/>
    <n v="6954"/>
    <x v="0"/>
    <x v="11"/>
    <x v="0"/>
  </r>
  <r>
    <x v="360"/>
    <x v="16"/>
    <x v="1"/>
    <x v="0"/>
    <x v="1"/>
    <n v="86"/>
    <n v="19"/>
    <n v="6"/>
    <n v="99"/>
    <n v="12"/>
    <n v="3768"/>
    <n v="373032"/>
    <n v="0"/>
    <n v="71592"/>
    <x v="0"/>
    <x v="11"/>
    <x v="0"/>
  </r>
  <r>
    <x v="360"/>
    <x v="10"/>
    <x v="2"/>
    <x v="2"/>
    <x v="5"/>
    <n v="244"/>
    <n v="123"/>
    <n v="144"/>
    <n v="223"/>
    <n v="68"/>
    <n v="735"/>
    <n v="163905"/>
    <n v="0"/>
    <n v="90405"/>
    <x v="0"/>
    <x v="11"/>
    <x v="0"/>
  </r>
  <r>
    <x v="360"/>
    <x v="1"/>
    <x v="1"/>
    <x v="1"/>
    <x v="3"/>
    <n v="78"/>
    <n v="56"/>
    <n v="42"/>
    <n v="92"/>
    <n v="20"/>
    <n v="4131"/>
    <n v="380052"/>
    <n v="0"/>
    <n v="231336"/>
    <x v="0"/>
    <x v="11"/>
    <x v="0"/>
  </r>
  <r>
    <x v="360"/>
    <x v="18"/>
    <x v="3"/>
    <x v="1"/>
    <x v="2"/>
    <n v="66"/>
    <n v="22"/>
    <n v="26"/>
    <n v="62"/>
    <n v="40"/>
    <n v="24469"/>
    <n v="1517078"/>
    <n v="0"/>
    <n v="538318"/>
    <x v="0"/>
    <x v="11"/>
    <x v="0"/>
  </r>
  <r>
    <x v="360"/>
    <x v="7"/>
    <x v="2"/>
    <x v="3"/>
    <x v="2"/>
    <n v="223"/>
    <n v="119"/>
    <n v="222"/>
    <n v="120"/>
    <n v="141"/>
    <n v="80"/>
    <n v="9600"/>
    <n v="0"/>
    <n v="9520"/>
    <x v="1"/>
    <x v="11"/>
    <x v="0"/>
  </r>
  <r>
    <x v="361"/>
    <x v="6"/>
    <x v="3"/>
    <x v="3"/>
    <x v="4"/>
    <n v="37"/>
    <n v="47"/>
    <n v="19"/>
    <n v="65"/>
    <n v="44"/>
    <n v="47071"/>
    <n v="3059615"/>
    <n v="0"/>
    <n v="2212337"/>
    <x v="0"/>
    <x v="11"/>
    <x v="0"/>
  </r>
  <r>
    <x v="361"/>
    <x v="13"/>
    <x v="3"/>
    <x v="2"/>
    <x v="5"/>
    <n v="143"/>
    <n v="79"/>
    <n v="92"/>
    <n v="130"/>
    <n v="42"/>
    <n v="48875"/>
    <n v="6353750"/>
    <n v="0"/>
    <n v="3861125"/>
    <x v="0"/>
    <x v="11"/>
    <x v="0"/>
  </r>
  <r>
    <x v="361"/>
    <x v="10"/>
    <x v="2"/>
    <x v="2"/>
    <x v="4"/>
    <n v="445"/>
    <n v="247"/>
    <n v="150"/>
    <n v="542"/>
    <n v="131"/>
    <n v="977"/>
    <n v="529534"/>
    <n v="0"/>
    <n v="241319"/>
    <x v="0"/>
    <x v="11"/>
    <x v="0"/>
  </r>
  <r>
    <x v="361"/>
    <x v="18"/>
    <x v="3"/>
    <x v="3"/>
    <x v="3"/>
    <n v="64"/>
    <n v="98"/>
    <n v="57"/>
    <n v="105"/>
    <n v="55"/>
    <n v="47049"/>
    <n v="4940145"/>
    <n v="0"/>
    <n v="4610802"/>
    <x v="0"/>
    <x v="11"/>
    <x v="0"/>
  </r>
  <r>
    <x v="361"/>
    <x v="15"/>
    <x v="2"/>
    <x v="0"/>
    <x v="3"/>
    <n v="355"/>
    <n v="234"/>
    <n v="26"/>
    <n v="563"/>
    <n v="133"/>
    <n v="563"/>
    <n v="316969"/>
    <n v="0"/>
    <n v="131742"/>
    <x v="0"/>
    <x v="11"/>
    <x v="0"/>
  </r>
  <r>
    <x v="361"/>
    <x v="12"/>
    <x v="1"/>
    <x v="3"/>
    <x v="4"/>
    <n v="38"/>
    <n v="47"/>
    <n v="40"/>
    <n v="45"/>
    <n v="28"/>
    <n v="5277"/>
    <n v="237465"/>
    <n v="0"/>
    <n v="248019"/>
    <x v="0"/>
    <x v="11"/>
    <x v="0"/>
  </r>
  <r>
    <x v="361"/>
    <x v="5"/>
    <x v="3"/>
    <x v="0"/>
    <x v="4"/>
    <n v="70"/>
    <n v="81"/>
    <n v="29"/>
    <n v="122"/>
    <n v="54"/>
    <n v="9583"/>
    <n v="1169126"/>
    <n v="0"/>
    <n v="776223"/>
    <x v="0"/>
    <x v="11"/>
    <x v="0"/>
  </r>
  <r>
    <x v="361"/>
    <x v="9"/>
    <x v="0"/>
    <x v="3"/>
    <x v="0"/>
    <n v="115"/>
    <n v="57"/>
    <n v="26"/>
    <n v="146"/>
    <n v="16"/>
    <n v="13043"/>
    <n v="1904278"/>
    <n v="0"/>
    <n v="743451"/>
    <x v="0"/>
    <x v="11"/>
    <x v="0"/>
  </r>
  <r>
    <x v="361"/>
    <x v="7"/>
    <x v="2"/>
    <x v="1"/>
    <x v="5"/>
    <n v="242"/>
    <n v="210"/>
    <n v="38"/>
    <n v="414"/>
    <n v="60"/>
    <n v="168"/>
    <n v="69552"/>
    <n v="0"/>
    <n v="35280"/>
    <x v="0"/>
    <x v="11"/>
    <x v="0"/>
  </r>
  <r>
    <x v="361"/>
    <x v="18"/>
    <x v="3"/>
    <x v="1"/>
    <x v="4"/>
    <n v="146"/>
    <n v="22"/>
    <n v="60"/>
    <n v="108"/>
    <n v="33"/>
    <n v="18401"/>
    <n v="1987308"/>
    <n v="0"/>
    <n v="404822"/>
    <x v="0"/>
    <x v="11"/>
    <x v="0"/>
  </r>
  <r>
    <x v="362"/>
    <x v="2"/>
    <x v="0"/>
    <x v="2"/>
    <x v="4"/>
    <n v="38"/>
    <n v="78"/>
    <n v="32"/>
    <n v="84"/>
    <n v="28"/>
    <n v="2806"/>
    <n v="235704"/>
    <n v="0"/>
    <n v="218868"/>
    <x v="0"/>
    <x v="11"/>
    <x v="0"/>
  </r>
  <r>
    <x v="362"/>
    <x v="6"/>
    <x v="3"/>
    <x v="2"/>
    <x v="2"/>
    <n v="88"/>
    <n v="83"/>
    <n v="32"/>
    <n v="139"/>
    <n v="33"/>
    <n v="44142"/>
    <n v="6135738"/>
    <n v="0"/>
    <n v="3663786"/>
    <x v="0"/>
    <x v="11"/>
    <x v="0"/>
  </r>
  <r>
    <x v="362"/>
    <x v="15"/>
    <x v="2"/>
    <x v="1"/>
    <x v="4"/>
    <n v="152"/>
    <n v="79"/>
    <n v="119"/>
    <n v="112"/>
    <n v="69"/>
    <n v="107"/>
    <n v="11984"/>
    <n v="0"/>
    <n v="8453"/>
    <x v="0"/>
    <x v="11"/>
    <x v="0"/>
  </r>
  <r>
    <x v="362"/>
    <x v="1"/>
    <x v="1"/>
    <x v="0"/>
    <x v="0"/>
    <n v="87"/>
    <n v="43"/>
    <n v="12"/>
    <n v="118"/>
    <n v="17"/>
    <n v="12608"/>
    <n v="1487744"/>
    <n v="0"/>
    <n v="542144"/>
    <x v="0"/>
    <x v="11"/>
    <x v="0"/>
  </r>
  <r>
    <x v="362"/>
    <x v="14"/>
    <x v="3"/>
    <x v="2"/>
    <x v="5"/>
    <n v="142"/>
    <n v="52"/>
    <n v="25"/>
    <n v="169"/>
    <n v="35"/>
    <n v="33974"/>
    <n v="5741606"/>
    <n v="0"/>
    <n v="1766648"/>
    <x v="0"/>
    <x v="11"/>
    <x v="0"/>
  </r>
  <r>
    <x v="362"/>
    <x v="5"/>
    <x v="3"/>
    <x v="2"/>
    <x v="5"/>
    <n v="131"/>
    <n v="34"/>
    <n v="11"/>
    <n v="154"/>
    <n v="47"/>
    <n v="43525"/>
    <n v="6702850"/>
    <n v="0"/>
    <n v="1479850"/>
    <x v="0"/>
    <x v="11"/>
    <x v="0"/>
  </r>
  <r>
    <x v="362"/>
    <x v="5"/>
    <x v="3"/>
    <x v="2"/>
    <x v="5"/>
    <n v="74"/>
    <n v="37"/>
    <n v="48"/>
    <n v="63"/>
    <n v="57"/>
    <n v="11632"/>
    <n v="732816"/>
    <n v="0"/>
    <n v="430384"/>
    <x v="0"/>
    <x v="11"/>
    <x v="0"/>
  </r>
  <r>
    <x v="362"/>
    <x v="14"/>
    <x v="3"/>
    <x v="0"/>
    <x v="5"/>
    <n v="114"/>
    <n v="20"/>
    <n v="72"/>
    <n v="62"/>
    <n v="37"/>
    <n v="42650"/>
    <n v="2644300"/>
    <n v="0"/>
    <n v="853000"/>
    <x v="0"/>
    <x v="11"/>
    <x v="0"/>
  </r>
  <r>
    <x v="363"/>
    <x v="7"/>
    <x v="2"/>
    <x v="1"/>
    <x v="5"/>
    <n v="203"/>
    <n v="43"/>
    <n v="196"/>
    <n v="50"/>
    <n v="56"/>
    <n v="902"/>
    <n v="45100"/>
    <n v="0"/>
    <n v="38786"/>
    <x v="1"/>
    <x v="11"/>
    <x v="0"/>
  </r>
  <r>
    <x v="363"/>
    <x v="0"/>
    <x v="0"/>
    <x v="2"/>
    <x v="3"/>
    <n v="85"/>
    <n v="71"/>
    <n v="17"/>
    <n v="139"/>
    <n v="32"/>
    <n v="14488"/>
    <n v="2013832"/>
    <n v="0"/>
    <n v="1028648"/>
    <x v="0"/>
    <x v="11"/>
    <x v="0"/>
  </r>
  <r>
    <x v="363"/>
    <x v="17"/>
    <x v="2"/>
    <x v="1"/>
    <x v="0"/>
    <n v="423"/>
    <n v="66"/>
    <n v="241"/>
    <n v="248"/>
    <n v="129"/>
    <n v="1136"/>
    <n v="281728"/>
    <n v="0"/>
    <n v="74976"/>
    <x v="0"/>
    <x v="11"/>
    <x v="0"/>
  </r>
  <r>
    <x v="363"/>
    <x v="11"/>
    <x v="2"/>
    <x v="3"/>
    <x v="4"/>
    <n v="271"/>
    <n v="133"/>
    <n v="120"/>
    <n v="284"/>
    <n v="148"/>
    <n v="447"/>
    <n v="126948"/>
    <n v="0"/>
    <n v="59451"/>
    <x v="0"/>
    <x v="11"/>
    <x v="0"/>
  </r>
  <r>
    <x v="363"/>
    <x v="3"/>
    <x v="2"/>
    <x v="3"/>
    <x v="5"/>
    <n v="417"/>
    <n v="87"/>
    <n v="87"/>
    <n v="417"/>
    <n v="91"/>
    <n v="1118"/>
    <n v="466206"/>
    <n v="0"/>
    <n v="97266"/>
    <x v="0"/>
    <x v="11"/>
    <x v="0"/>
  </r>
  <r>
    <x v="364"/>
    <x v="17"/>
    <x v="2"/>
    <x v="2"/>
    <x v="2"/>
    <n v="211"/>
    <n v="256"/>
    <n v="239"/>
    <n v="228"/>
    <n v="99"/>
    <n v="389"/>
    <n v="88692"/>
    <n v="0"/>
    <n v="99584"/>
    <x v="0"/>
    <x v="0"/>
    <x v="1"/>
  </r>
  <r>
    <x v="364"/>
    <x v="18"/>
    <x v="3"/>
    <x v="1"/>
    <x v="4"/>
    <n v="23"/>
    <n v="96"/>
    <n v="59"/>
    <n v="60"/>
    <n v="44"/>
    <n v="54475"/>
    <n v="3268500"/>
    <n v="0"/>
    <n v="5229600"/>
    <x v="0"/>
    <x v="0"/>
    <x v="1"/>
  </r>
  <r>
    <x v="364"/>
    <x v="2"/>
    <x v="0"/>
    <x v="2"/>
    <x v="2"/>
    <n v="96"/>
    <n v="67"/>
    <n v="24"/>
    <n v="139"/>
    <n v="23"/>
    <n v="16157"/>
    <n v="2245823"/>
    <n v="0"/>
    <n v="1082519"/>
    <x v="0"/>
    <x v="0"/>
    <x v="1"/>
  </r>
  <r>
    <x v="364"/>
    <x v="5"/>
    <x v="3"/>
    <x v="2"/>
    <x v="3"/>
    <n v="35"/>
    <n v="68"/>
    <n v="57"/>
    <n v="46"/>
    <n v="53"/>
    <n v="13106"/>
    <n v="602876"/>
    <n v="0"/>
    <n v="891208"/>
    <x v="1"/>
    <x v="0"/>
    <x v="1"/>
  </r>
  <r>
    <x v="365"/>
    <x v="1"/>
    <x v="1"/>
    <x v="1"/>
    <x v="3"/>
    <n v="91"/>
    <n v="42"/>
    <n v="13"/>
    <n v="120"/>
    <n v="15"/>
    <n v="5098"/>
    <n v="611760"/>
    <n v="0"/>
    <n v="214116"/>
    <x v="0"/>
    <x v="0"/>
    <x v="1"/>
  </r>
  <r>
    <x v="365"/>
    <x v="8"/>
    <x v="3"/>
    <x v="3"/>
    <x v="0"/>
    <n v="167"/>
    <n v="92"/>
    <n v="15"/>
    <n v="244"/>
    <n v="22"/>
    <n v="9863"/>
    <n v="2406572"/>
    <n v="0"/>
    <n v="907396"/>
    <x v="0"/>
    <x v="0"/>
    <x v="1"/>
  </r>
  <r>
    <x v="365"/>
    <x v="5"/>
    <x v="3"/>
    <x v="2"/>
    <x v="0"/>
    <n v="92"/>
    <n v="112"/>
    <n v="23"/>
    <n v="181"/>
    <n v="25"/>
    <n v="14661"/>
    <n v="2653641"/>
    <n v="0"/>
    <n v="1642032"/>
    <x v="0"/>
    <x v="0"/>
    <x v="1"/>
  </r>
  <r>
    <x v="365"/>
    <x v="19"/>
    <x v="0"/>
    <x v="1"/>
    <x v="4"/>
    <n v="111"/>
    <n v="74"/>
    <n v="62"/>
    <n v="123"/>
    <n v="17"/>
    <n v="12932"/>
    <n v="1590636"/>
    <n v="0"/>
    <n v="956968"/>
    <x v="0"/>
    <x v="0"/>
    <x v="1"/>
  </r>
  <r>
    <x v="365"/>
    <x v="9"/>
    <x v="0"/>
    <x v="1"/>
    <x v="0"/>
    <n v="118"/>
    <n v="22"/>
    <n v="58"/>
    <n v="82"/>
    <n v="20"/>
    <n v="14046"/>
    <n v="1151772"/>
    <n v="0"/>
    <n v="309012"/>
    <x v="0"/>
    <x v="0"/>
    <x v="1"/>
  </r>
  <r>
    <x v="366"/>
    <x v="7"/>
    <x v="2"/>
    <x v="0"/>
    <x v="2"/>
    <n v="92"/>
    <n v="195"/>
    <n v="51"/>
    <n v="236"/>
    <n v="97"/>
    <n v="475"/>
    <n v="112100"/>
    <n v="0"/>
    <n v="92625"/>
    <x v="0"/>
    <x v="0"/>
    <x v="1"/>
  </r>
  <r>
    <x v="366"/>
    <x v="1"/>
    <x v="1"/>
    <x v="2"/>
    <x v="0"/>
    <n v="85"/>
    <n v="13"/>
    <n v="11"/>
    <n v="87"/>
    <n v="19"/>
    <n v="24523"/>
    <n v="2133501"/>
    <n v="0"/>
    <n v="318799"/>
    <x v="0"/>
    <x v="0"/>
    <x v="1"/>
  </r>
  <r>
    <x v="367"/>
    <x v="17"/>
    <x v="2"/>
    <x v="2"/>
    <x v="3"/>
    <n v="159"/>
    <n v="96"/>
    <n v="95"/>
    <n v="160"/>
    <n v="148"/>
    <n v="806"/>
    <n v="128960"/>
    <n v="0"/>
    <n v="77376"/>
    <x v="0"/>
    <x v="0"/>
    <x v="1"/>
  </r>
  <r>
    <x v="367"/>
    <x v="17"/>
    <x v="2"/>
    <x v="0"/>
    <x v="3"/>
    <n v="403"/>
    <n v="168"/>
    <n v="108"/>
    <n v="463"/>
    <n v="113"/>
    <n v="336"/>
    <n v="155568"/>
    <n v="0"/>
    <n v="56448"/>
    <x v="0"/>
    <x v="0"/>
    <x v="1"/>
  </r>
  <r>
    <x v="368"/>
    <x v="10"/>
    <x v="2"/>
    <x v="2"/>
    <x v="5"/>
    <n v="224"/>
    <n v="105"/>
    <n v="123"/>
    <n v="206"/>
    <n v="104"/>
    <n v="1154"/>
    <n v="237724"/>
    <n v="0"/>
    <n v="121170"/>
    <x v="0"/>
    <x v="0"/>
    <x v="1"/>
  </r>
  <r>
    <x v="368"/>
    <x v="10"/>
    <x v="2"/>
    <x v="3"/>
    <x v="3"/>
    <n v="313"/>
    <n v="142"/>
    <n v="39"/>
    <n v="416"/>
    <n v="116"/>
    <n v="666"/>
    <n v="277056"/>
    <n v="0"/>
    <n v="94572"/>
    <x v="0"/>
    <x v="0"/>
    <x v="1"/>
  </r>
  <r>
    <x v="369"/>
    <x v="14"/>
    <x v="3"/>
    <x v="3"/>
    <x v="2"/>
    <n v="87"/>
    <n v="95"/>
    <n v="94"/>
    <n v="88"/>
    <n v="55"/>
    <n v="56272"/>
    <n v="4951936"/>
    <n v="0"/>
    <n v="5345840"/>
    <x v="0"/>
    <x v="0"/>
    <x v="1"/>
  </r>
  <r>
    <x v="369"/>
    <x v="3"/>
    <x v="2"/>
    <x v="0"/>
    <x v="5"/>
    <n v="473"/>
    <n v="135"/>
    <n v="176"/>
    <n v="432"/>
    <n v="81"/>
    <n v="868"/>
    <n v="374976"/>
    <n v="0"/>
    <n v="117180"/>
    <x v="0"/>
    <x v="0"/>
    <x v="1"/>
  </r>
  <r>
    <x v="369"/>
    <x v="13"/>
    <x v="3"/>
    <x v="1"/>
    <x v="1"/>
    <n v="32"/>
    <n v="72"/>
    <n v="70"/>
    <n v="34"/>
    <n v="24"/>
    <n v="60569"/>
    <n v="2059346"/>
    <n v="0"/>
    <n v="4360968"/>
    <x v="0"/>
    <x v="0"/>
    <x v="1"/>
  </r>
  <r>
    <x v="369"/>
    <x v="6"/>
    <x v="3"/>
    <x v="3"/>
    <x v="1"/>
    <n v="94"/>
    <n v="82"/>
    <n v="82"/>
    <n v="94"/>
    <n v="28"/>
    <n v="10782"/>
    <n v="1013508"/>
    <n v="0"/>
    <n v="884124"/>
    <x v="0"/>
    <x v="0"/>
    <x v="1"/>
  </r>
  <r>
    <x v="369"/>
    <x v="13"/>
    <x v="3"/>
    <x v="1"/>
    <x v="0"/>
    <n v="122"/>
    <n v="115"/>
    <n v="61"/>
    <n v="176"/>
    <n v="54"/>
    <n v="40687"/>
    <n v="7160912"/>
    <n v="0"/>
    <n v="4679005"/>
    <x v="0"/>
    <x v="0"/>
    <x v="1"/>
  </r>
  <r>
    <x v="369"/>
    <x v="12"/>
    <x v="1"/>
    <x v="1"/>
    <x v="2"/>
    <n v="46"/>
    <n v="43"/>
    <n v="20"/>
    <n v="69"/>
    <n v="26"/>
    <n v="16000"/>
    <n v="1104000"/>
    <n v="0"/>
    <n v="688000"/>
    <x v="0"/>
    <x v="0"/>
    <x v="1"/>
  </r>
  <r>
    <x v="369"/>
    <x v="4"/>
    <x v="1"/>
    <x v="1"/>
    <x v="5"/>
    <n v="10"/>
    <n v="46"/>
    <n v="3"/>
    <n v="53"/>
    <n v="16"/>
    <n v="16684"/>
    <n v="884252"/>
    <n v="0"/>
    <n v="767464"/>
    <x v="0"/>
    <x v="0"/>
    <x v="1"/>
  </r>
  <r>
    <x v="369"/>
    <x v="3"/>
    <x v="2"/>
    <x v="1"/>
    <x v="3"/>
    <n v="148"/>
    <n v="76"/>
    <n v="76"/>
    <n v="148"/>
    <n v="88"/>
    <n v="81"/>
    <n v="11988"/>
    <n v="0"/>
    <n v="6156"/>
    <x v="0"/>
    <x v="0"/>
    <x v="1"/>
  </r>
  <r>
    <x v="369"/>
    <x v="18"/>
    <x v="3"/>
    <x v="2"/>
    <x v="3"/>
    <n v="142"/>
    <n v="17"/>
    <n v="73"/>
    <n v="86"/>
    <n v="28"/>
    <n v="50899"/>
    <n v="4377314"/>
    <n v="0"/>
    <n v="865283"/>
    <x v="0"/>
    <x v="0"/>
    <x v="1"/>
  </r>
  <r>
    <x v="370"/>
    <x v="18"/>
    <x v="3"/>
    <x v="0"/>
    <x v="3"/>
    <n v="143"/>
    <n v="24"/>
    <n v="40"/>
    <n v="127"/>
    <n v="41"/>
    <n v="50254"/>
    <n v="6382258"/>
    <n v="0"/>
    <n v="1206096"/>
    <x v="0"/>
    <x v="0"/>
    <x v="1"/>
  </r>
  <r>
    <x v="370"/>
    <x v="10"/>
    <x v="2"/>
    <x v="2"/>
    <x v="5"/>
    <n v="154"/>
    <n v="117"/>
    <n v="11"/>
    <n v="260"/>
    <n v="147"/>
    <n v="103"/>
    <n v="26780"/>
    <n v="0"/>
    <n v="12051"/>
    <x v="0"/>
    <x v="0"/>
    <x v="1"/>
  </r>
  <r>
    <x v="370"/>
    <x v="6"/>
    <x v="3"/>
    <x v="2"/>
    <x v="1"/>
    <n v="152"/>
    <n v="76"/>
    <n v="15"/>
    <n v="213"/>
    <n v="49"/>
    <n v="33688"/>
    <n v="7175544"/>
    <n v="0"/>
    <n v="2560288"/>
    <x v="0"/>
    <x v="0"/>
    <x v="1"/>
  </r>
  <r>
    <x v="371"/>
    <x v="3"/>
    <x v="2"/>
    <x v="3"/>
    <x v="2"/>
    <n v="153"/>
    <n v="274"/>
    <n v="178"/>
    <n v="249"/>
    <n v="74"/>
    <n v="497"/>
    <n v="123753"/>
    <n v="0"/>
    <n v="136178"/>
    <x v="0"/>
    <x v="0"/>
    <x v="1"/>
  </r>
  <r>
    <x v="371"/>
    <x v="7"/>
    <x v="2"/>
    <x v="2"/>
    <x v="5"/>
    <n v="201"/>
    <n v="112"/>
    <n v="143"/>
    <n v="170"/>
    <n v="88"/>
    <n v="691"/>
    <n v="117470"/>
    <n v="0"/>
    <n v="77392"/>
    <x v="0"/>
    <x v="0"/>
    <x v="1"/>
  </r>
  <r>
    <x v="371"/>
    <x v="7"/>
    <x v="2"/>
    <x v="3"/>
    <x v="1"/>
    <n v="103"/>
    <n v="288"/>
    <n v="153"/>
    <n v="238"/>
    <n v="106"/>
    <n v="490"/>
    <n v="116620"/>
    <n v="0"/>
    <n v="141120"/>
    <x v="0"/>
    <x v="0"/>
    <x v="1"/>
  </r>
  <r>
    <x v="371"/>
    <x v="3"/>
    <x v="2"/>
    <x v="3"/>
    <x v="5"/>
    <n v="466"/>
    <n v="60"/>
    <n v="56"/>
    <n v="470"/>
    <n v="121"/>
    <n v="127"/>
    <n v="59690"/>
    <n v="0"/>
    <n v="7620"/>
    <x v="0"/>
    <x v="0"/>
    <x v="1"/>
  </r>
  <r>
    <x v="372"/>
    <x v="18"/>
    <x v="3"/>
    <x v="0"/>
    <x v="1"/>
    <n v="61"/>
    <n v="56"/>
    <n v="41"/>
    <n v="76"/>
    <n v="35"/>
    <n v="18453"/>
    <n v="1402428"/>
    <n v="0"/>
    <n v="1033368"/>
    <x v="0"/>
    <x v="0"/>
    <x v="1"/>
  </r>
  <r>
    <x v="372"/>
    <x v="9"/>
    <x v="0"/>
    <x v="2"/>
    <x v="0"/>
    <n v="28"/>
    <n v="39"/>
    <n v="30"/>
    <n v="37"/>
    <n v="21"/>
    <n v="10005"/>
    <n v="370185"/>
    <n v="0"/>
    <n v="390195"/>
    <x v="0"/>
    <x v="0"/>
    <x v="1"/>
  </r>
  <r>
    <x v="372"/>
    <x v="9"/>
    <x v="0"/>
    <x v="3"/>
    <x v="5"/>
    <n v="53"/>
    <n v="45"/>
    <n v="51"/>
    <n v="47"/>
    <n v="28"/>
    <n v="12243"/>
    <n v="575421"/>
    <n v="0"/>
    <n v="550935"/>
    <x v="0"/>
    <x v="0"/>
    <x v="1"/>
  </r>
  <r>
    <x v="372"/>
    <x v="15"/>
    <x v="2"/>
    <x v="2"/>
    <x v="0"/>
    <n v="118"/>
    <n v="74"/>
    <n v="146"/>
    <n v="46"/>
    <n v="81"/>
    <n v="253"/>
    <n v="11638"/>
    <n v="0"/>
    <n v="18722"/>
    <x v="1"/>
    <x v="0"/>
    <x v="1"/>
  </r>
  <r>
    <x v="373"/>
    <x v="17"/>
    <x v="2"/>
    <x v="2"/>
    <x v="1"/>
    <n v="211"/>
    <n v="263"/>
    <n v="153"/>
    <n v="321"/>
    <n v="115"/>
    <n v="341"/>
    <n v="109461"/>
    <n v="0"/>
    <n v="89683"/>
    <x v="0"/>
    <x v="0"/>
    <x v="1"/>
  </r>
  <r>
    <x v="373"/>
    <x v="2"/>
    <x v="0"/>
    <x v="1"/>
    <x v="5"/>
    <n v="22"/>
    <n v="5"/>
    <n v="27"/>
    <n v="0"/>
    <n v="20"/>
    <n v="10691"/>
    <n v="0"/>
    <n v="0"/>
    <n v="53455"/>
    <x v="1"/>
    <x v="0"/>
    <x v="1"/>
  </r>
  <r>
    <x v="373"/>
    <x v="1"/>
    <x v="1"/>
    <x v="1"/>
    <x v="2"/>
    <n v="83"/>
    <n v="58"/>
    <n v="21"/>
    <n v="120"/>
    <n v="16"/>
    <n v="21290"/>
    <n v="2554800"/>
    <n v="0"/>
    <n v="1234820"/>
    <x v="0"/>
    <x v="0"/>
    <x v="1"/>
  </r>
  <r>
    <x v="373"/>
    <x v="16"/>
    <x v="1"/>
    <x v="1"/>
    <x v="3"/>
    <n v="62"/>
    <n v="43"/>
    <n v="21"/>
    <n v="84"/>
    <n v="22"/>
    <n v="9459"/>
    <n v="794556"/>
    <n v="0"/>
    <n v="406737"/>
    <x v="0"/>
    <x v="0"/>
    <x v="1"/>
  </r>
  <r>
    <x v="373"/>
    <x v="12"/>
    <x v="1"/>
    <x v="1"/>
    <x v="3"/>
    <n v="15"/>
    <n v="59"/>
    <n v="37"/>
    <n v="37"/>
    <n v="28"/>
    <n v="24782"/>
    <n v="916934"/>
    <n v="0"/>
    <n v="1462138"/>
    <x v="0"/>
    <x v="0"/>
    <x v="1"/>
  </r>
  <r>
    <x v="373"/>
    <x v="15"/>
    <x v="2"/>
    <x v="0"/>
    <x v="3"/>
    <n v="101"/>
    <n v="241"/>
    <n v="50"/>
    <n v="292"/>
    <n v="140"/>
    <n v="835"/>
    <n v="243820"/>
    <n v="0"/>
    <n v="201235"/>
    <x v="0"/>
    <x v="0"/>
    <x v="1"/>
  </r>
  <r>
    <x v="373"/>
    <x v="2"/>
    <x v="0"/>
    <x v="0"/>
    <x v="5"/>
    <n v="29"/>
    <n v="32"/>
    <n v="15"/>
    <n v="46"/>
    <n v="34"/>
    <n v="5421"/>
    <n v="249366"/>
    <n v="0"/>
    <n v="173472"/>
    <x v="0"/>
    <x v="0"/>
    <x v="1"/>
  </r>
  <r>
    <x v="373"/>
    <x v="8"/>
    <x v="3"/>
    <x v="1"/>
    <x v="4"/>
    <n v="133"/>
    <n v="25"/>
    <n v="87"/>
    <n v="71"/>
    <n v="37"/>
    <n v="12242"/>
    <n v="869182"/>
    <n v="0"/>
    <n v="306050"/>
    <x v="0"/>
    <x v="0"/>
    <x v="1"/>
  </r>
  <r>
    <x v="374"/>
    <x v="9"/>
    <x v="0"/>
    <x v="3"/>
    <x v="0"/>
    <n v="61"/>
    <n v="13"/>
    <n v="15"/>
    <n v="59"/>
    <n v="29"/>
    <n v="854"/>
    <n v="50386"/>
    <n v="0"/>
    <n v="11102"/>
    <x v="0"/>
    <x v="0"/>
    <x v="1"/>
  </r>
  <r>
    <x v="374"/>
    <x v="4"/>
    <x v="1"/>
    <x v="2"/>
    <x v="1"/>
    <n v="96"/>
    <n v="39"/>
    <n v="8"/>
    <n v="127"/>
    <n v="29"/>
    <n v="16272"/>
    <n v="2066544"/>
    <n v="0"/>
    <n v="634608"/>
    <x v="0"/>
    <x v="0"/>
    <x v="1"/>
  </r>
  <r>
    <x v="374"/>
    <x v="2"/>
    <x v="0"/>
    <x v="2"/>
    <x v="0"/>
    <n v="98"/>
    <n v="79"/>
    <n v="60"/>
    <n v="117"/>
    <n v="37"/>
    <n v="4997"/>
    <n v="584649"/>
    <n v="0"/>
    <n v="394763"/>
    <x v="0"/>
    <x v="0"/>
    <x v="1"/>
  </r>
  <r>
    <x v="374"/>
    <x v="7"/>
    <x v="2"/>
    <x v="1"/>
    <x v="4"/>
    <n v="281"/>
    <n v="242"/>
    <n v="88"/>
    <n v="435"/>
    <n v="141"/>
    <n v="647"/>
    <n v="281445"/>
    <n v="0"/>
    <n v="156574"/>
    <x v="0"/>
    <x v="0"/>
    <x v="1"/>
  </r>
  <r>
    <x v="374"/>
    <x v="11"/>
    <x v="2"/>
    <x v="2"/>
    <x v="4"/>
    <n v="138"/>
    <n v="218"/>
    <n v="266"/>
    <n v="90"/>
    <n v="115"/>
    <n v="236"/>
    <n v="21240"/>
    <n v="0"/>
    <n v="51448"/>
    <x v="1"/>
    <x v="0"/>
    <x v="1"/>
  </r>
  <r>
    <x v="374"/>
    <x v="15"/>
    <x v="2"/>
    <x v="2"/>
    <x v="4"/>
    <n v="186"/>
    <n v="105"/>
    <n v="44"/>
    <n v="247"/>
    <n v="89"/>
    <n v="532"/>
    <n v="131404"/>
    <n v="0"/>
    <n v="55860"/>
    <x v="0"/>
    <x v="0"/>
    <x v="1"/>
  </r>
  <r>
    <x v="374"/>
    <x v="9"/>
    <x v="0"/>
    <x v="2"/>
    <x v="5"/>
    <n v="104"/>
    <n v="51"/>
    <n v="23"/>
    <n v="132"/>
    <n v="35"/>
    <n v="5712"/>
    <n v="753984"/>
    <n v="0"/>
    <n v="291312"/>
    <x v="0"/>
    <x v="0"/>
    <x v="1"/>
  </r>
  <r>
    <x v="375"/>
    <x v="6"/>
    <x v="3"/>
    <x v="3"/>
    <x v="1"/>
    <n v="69"/>
    <n v="65"/>
    <n v="13"/>
    <n v="121"/>
    <n v="37"/>
    <n v="21768"/>
    <n v="2633928"/>
    <n v="0"/>
    <n v="1414920"/>
    <x v="0"/>
    <x v="0"/>
    <x v="1"/>
  </r>
  <r>
    <x v="375"/>
    <x v="3"/>
    <x v="2"/>
    <x v="2"/>
    <x v="2"/>
    <n v="338"/>
    <n v="179"/>
    <n v="207"/>
    <n v="310"/>
    <n v="53"/>
    <n v="643"/>
    <n v="199330"/>
    <n v="0"/>
    <n v="115097"/>
    <x v="0"/>
    <x v="0"/>
    <x v="1"/>
  </r>
  <r>
    <x v="375"/>
    <x v="9"/>
    <x v="0"/>
    <x v="1"/>
    <x v="3"/>
    <n v="117"/>
    <n v="64"/>
    <n v="20"/>
    <n v="161"/>
    <n v="16"/>
    <n v="2592"/>
    <n v="417312"/>
    <n v="0"/>
    <n v="165888"/>
    <x v="0"/>
    <x v="0"/>
    <x v="1"/>
  </r>
  <r>
    <x v="375"/>
    <x v="17"/>
    <x v="2"/>
    <x v="1"/>
    <x v="1"/>
    <n v="190"/>
    <n v="125"/>
    <n v="236"/>
    <n v="79"/>
    <n v="96"/>
    <n v="724"/>
    <n v="57196"/>
    <n v="0"/>
    <n v="90500"/>
    <x v="1"/>
    <x v="0"/>
    <x v="1"/>
  </r>
  <r>
    <x v="376"/>
    <x v="17"/>
    <x v="2"/>
    <x v="0"/>
    <x v="4"/>
    <n v="301"/>
    <n v="117"/>
    <n v="35"/>
    <n v="383"/>
    <n v="65"/>
    <n v="793"/>
    <n v="303719"/>
    <n v="0"/>
    <n v="92781"/>
    <x v="0"/>
    <x v="0"/>
    <x v="1"/>
  </r>
  <r>
    <x v="376"/>
    <x v="13"/>
    <x v="3"/>
    <x v="2"/>
    <x v="3"/>
    <n v="168"/>
    <n v="98"/>
    <n v="88"/>
    <n v="178"/>
    <n v="41"/>
    <n v="6352"/>
    <n v="1130656"/>
    <n v="0"/>
    <n v="622496"/>
    <x v="0"/>
    <x v="0"/>
    <x v="1"/>
  </r>
  <r>
    <x v="376"/>
    <x v="16"/>
    <x v="1"/>
    <x v="3"/>
    <x v="3"/>
    <n v="21"/>
    <n v="25"/>
    <n v="4"/>
    <n v="42"/>
    <n v="19"/>
    <n v="1584"/>
    <n v="66528"/>
    <n v="0"/>
    <n v="39600"/>
    <x v="0"/>
    <x v="0"/>
    <x v="1"/>
  </r>
  <r>
    <x v="376"/>
    <x v="8"/>
    <x v="3"/>
    <x v="3"/>
    <x v="3"/>
    <n v="88"/>
    <n v="32"/>
    <n v="57"/>
    <n v="63"/>
    <n v="28"/>
    <n v="36932"/>
    <n v="2326716"/>
    <n v="0"/>
    <n v="1181824"/>
    <x v="0"/>
    <x v="0"/>
    <x v="1"/>
  </r>
  <r>
    <x v="376"/>
    <x v="15"/>
    <x v="2"/>
    <x v="0"/>
    <x v="0"/>
    <n v="436"/>
    <n v="75"/>
    <n v="24"/>
    <n v="487"/>
    <n v="143"/>
    <n v="1196"/>
    <n v="582452"/>
    <n v="0"/>
    <n v="89700"/>
    <x v="0"/>
    <x v="0"/>
    <x v="1"/>
  </r>
  <r>
    <x v="377"/>
    <x v="6"/>
    <x v="3"/>
    <x v="1"/>
    <x v="4"/>
    <n v="42"/>
    <n v="112"/>
    <n v="50"/>
    <n v="104"/>
    <n v="27"/>
    <n v="17438"/>
    <n v="1813552"/>
    <n v="0"/>
    <n v="1953056"/>
    <x v="0"/>
    <x v="0"/>
    <x v="1"/>
  </r>
  <r>
    <x v="377"/>
    <x v="19"/>
    <x v="0"/>
    <x v="2"/>
    <x v="4"/>
    <n v="47"/>
    <n v="19"/>
    <n v="16"/>
    <n v="50"/>
    <n v="34"/>
    <n v="9152"/>
    <n v="457600"/>
    <n v="0"/>
    <n v="173888"/>
    <x v="0"/>
    <x v="0"/>
    <x v="1"/>
  </r>
  <r>
    <x v="377"/>
    <x v="5"/>
    <x v="3"/>
    <x v="2"/>
    <x v="1"/>
    <n v="119"/>
    <n v="77"/>
    <n v="77"/>
    <n v="119"/>
    <n v="21"/>
    <n v="20903"/>
    <n v="2487457"/>
    <n v="0"/>
    <n v="1609531"/>
    <x v="0"/>
    <x v="0"/>
    <x v="1"/>
  </r>
  <r>
    <x v="377"/>
    <x v="18"/>
    <x v="3"/>
    <x v="3"/>
    <x v="0"/>
    <n v="172"/>
    <n v="34"/>
    <n v="7"/>
    <n v="199"/>
    <n v="57"/>
    <n v="28260"/>
    <n v="5623740"/>
    <n v="0"/>
    <n v="960840"/>
    <x v="0"/>
    <x v="0"/>
    <x v="1"/>
  </r>
  <r>
    <x v="378"/>
    <x v="13"/>
    <x v="3"/>
    <x v="0"/>
    <x v="5"/>
    <n v="165"/>
    <n v="90"/>
    <n v="96"/>
    <n v="159"/>
    <n v="54"/>
    <n v="4843"/>
    <n v="770037"/>
    <n v="0"/>
    <n v="435870"/>
    <x v="0"/>
    <x v="0"/>
    <x v="1"/>
  </r>
  <r>
    <x v="378"/>
    <x v="16"/>
    <x v="1"/>
    <x v="2"/>
    <x v="2"/>
    <n v="35"/>
    <n v="42"/>
    <n v="37"/>
    <n v="40"/>
    <n v="26"/>
    <n v="15887"/>
    <n v="635480"/>
    <n v="0"/>
    <n v="667254"/>
    <x v="0"/>
    <x v="0"/>
    <x v="1"/>
  </r>
  <r>
    <x v="378"/>
    <x v="10"/>
    <x v="2"/>
    <x v="2"/>
    <x v="2"/>
    <n v="414"/>
    <n v="119"/>
    <n v="230"/>
    <n v="303"/>
    <n v="53"/>
    <n v="92"/>
    <n v="27876"/>
    <n v="0"/>
    <n v="10948"/>
    <x v="0"/>
    <x v="0"/>
    <x v="1"/>
  </r>
  <r>
    <x v="378"/>
    <x v="15"/>
    <x v="2"/>
    <x v="0"/>
    <x v="5"/>
    <n v="492"/>
    <n v="60"/>
    <n v="80"/>
    <n v="472"/>
    <n v="103"/>
    <n v="416"/>
    <n v="196352"/>
    <n v="0"/>
    <n v="24960"/>
    <x v="0"/>
    <x v="0"/>
    <x v="1"/>
  </r>
  <r>
    <x v="378"/>
    <x v="2"/>
    <x v="0"/>
    <x v="2"/>
    <x v="1"/>
    <n v="17"/>
    <n v="56"/>
    <n v="12"/>
    <n v="61"/>
    <n v="19"/>
    <n v="16080"/>
    <n v="980880"/>
    <n v="0"/>
    <n v="900480"/>
    <x v="0"/>
    <x v="0"/>
    <x v="1"/>
  </r>
  <r>
    <x v="378"/>
    <x v="19"/>
    <x v="0"/>
    <x v="2"/>
    <x v="2"/>
    <n v="57"/>
    <n v="32"/>
    <n v="23"/>
    <n v="66"/>
    <n v="36"/>
    <n v="7123"/>
    <n v="470118"/>
    <n v="0"/>
    <n v="227936"/>
    <x v="0"/>
    <x v="0"/>
    <x v="1"/>
  </r>
  <r>
    <x v="379"/>
    <x v="1"/>
    <x v="1"/>
    <x v="1"/>
    <x v="2"/>
    <n v="26"/>
    <n v="11"/>
    <n v="37"/>
    <n v="0"/>
    <n v="10"/>
    <n v="18957"/>
    <n v="0"/>
    <n v="0"/>
    <n v="208527"/>
    <x v="1"/>
    <x v="0"/>
    <x v="1"/>
  </r>
  <r>
    <x v="379"/>
    <x v="11"/>
    <x v="2"/>
    <x v="0"/>
    <x v="1"/>
    <n v="60"/>
    <n v="56"/>
    <n v="92"/>
    <n v="24"/>
    <n v="87"/>
    <n v="821"/>
    <n v="19704"/>
    <n v="0"/>
    <n v="45976"/>
    <x v="1"/>
    <x v="0"/>
    <x v="1"/>
  </r>
  <r>
    <x v="379"/>
    <x v="9"/>
    <x v="0"/>
    <x v="1"/>
    <x v="0"/>
    <n v="87"/>
    <n v="19"/>
    <n v="6"/>
    <n v="100"/>
    <n v="22"/>
    <n v="13178"/>
    <n v="1317800"/>
    <n v="0"/>
    <n v="250382"/>
    <x v="0"/>
    <x v="0"/>
    <x v="1"/>
  </r>
  <r>
    <x v="379"/>
    <x v="17"/>
    <x v="2"/>
    <x v="3"/>
    <x v="0"/>
    <n v="471"/>
    <n v="122"/>
    <n v="17"/>
    <n v="576"/>
    <n v="118"/>
    <n v="413"/>
    <n v="237888"/>
    <n v="0"/>
    <n v="50386"/>
    <x v="0"/>
    <x v="0"/>
    <x v="1"/>
  </r>
  <r>
    <x v="379"/>
    <x v="1"/>
    <x v="1"/>
    <x v="0"/>
    <x v="1"/>
    <n v="69"/>
    <n v="29"/>
    <n v="28"/>
    <n v="70"/>
    <n v="27"/>
    <n v="5989"/>
    <n v="419230"/>
    <n v="0"/>
    <n v="173681"/>
    <x v="0"/>
    <x v="0"/>
    <x v="1"/>
  </r>
  <r>
    <x v="380"/>
    <x v="2"/>
    <x v="0"/>
    <x v="3"/>
    <x v="1"/>
    <n v="38"/>
    <n v="76"/>
    <n v="11"/>
    <n v="103"/>
    <n v="38"/>
    <n v="10251"/>
    <n v="1055853"/>
    <n v="0"/>
    <n v="779076"/>
    <x v="0"/>
    <x v="0"/>
    <x v="1"/>
  </r>
  <r>
    <x v="380"/>
    <x v="14"/>
    <x v="3"/>
    <x v="0"/>
    <x v="1"/>
    <n v="58"/>
    <n v="97"/>
    <n v="37"/>
    <n v="118"/>
    <n v="37"/>
    <n v="49370"/>
    <n v="5825660"/>
    <n v="0"/>
    <n v="4788890"/>
    <x v="0"/>
    <x v="0"/>
    <x v="1"/>
  </r>
  <r>
    <x v="380"/>
    <x v="18"/>
    <x v="3"/>
    <x v="1"/>
    <x v="1"/>
    <n v="152"/>
    <n v="108"/>
    <n v="65"/>
    <n v="195"/>
    <n v="48"/>
    <n v="12539"/>
    <n v="2445105"/>
    <n v="0"/>
    <n v="1354212"/>
    <x v="0"/>
    <x v="0"/>
    <x v="1"/>
  </r>
  <r>
    <x v="380"/>
    <x v="6"/>
    <x v="3"/>
    <x v="3"/>
    <x v="2"/>
    <n v="143"/>
    <n v="39"/>
    <n v="15"/>
    <n v="167"/>
    <n v="44"/>
    <n v="6709"/>
    <n v="1120403"/>
    <n v="0"/>
    <n v="261651"/>
    <x v="0"/>
    <x v="0"/>
    <x v="1"/>
  </r>
  <r>
    <x v="380"/>
    <x v="19"/>
    <x v="0"/>
    <x v="0"/>
    <x v="3"/>
    <n v="20"/>
    <n v="77"/>
    <n v="3"/>
    <n v="94"/>
    <n v="28"/>
    <n v="1799"/>
    <n v="169106"/>
    <n v="0"/>
    <n v="138523"/>
    <x v="0"/>
    <x v="0"/>
    <x v="1"/>
  </r>
  <r>
    <x v="380"/>
    <x v="9"/>
    <x v="0"/>
    <x v="2"/>
    <x v="4"/>
    <n v="80"/>
    <n v="9"/>
    <n v="31"/>
    <n v="58"/>
    <n v="34"/>
    <n v="7269"/>
    <n v="421602"/>
    <n v="0"/>
    <n v="65421"/>
    <x v="0"/>
    <x v="0"/>
    <x v="1"/>
  </r>
  <r>
    <x v="380"/>
    <x v="9"/>
    <x v="0"/>
    <x v="0"/>
    <x v="4"/>
    <n v="111"/>
    <n v="28"/>
    <n v="16"/>
    <n v="123"/>
    <n v="25"/>
    <n v="12416"/>
    <n v="1527168"/>
    <n v="0"/>
    <n v="347648"/>
    <x v="0"/>
    <x v="0"/>
    <x v="1"/>
  </r>
  <r>
    <x v="381"/>
    <x v="4"/>
    <x v="1"/>
    <x v="1"/>
    <x v="3"/>
    <n v="98"/>
    <n v="38"/>
    <n v="38"/>
    <n v="98"/>
    <n v="16"/>
    <n v="16121"/>
    <n v="1579858"/>
    <n v="0"/>
    <n v="612598"/>
    <x v="0"/>
    <x v="0"/>
    <x v="1"/>
  </r>
  <r>
    <x v="381"/>
    <x v="9"/>
    <x v="0"/>
    <x v="1"/>
    <x v="4"/>
    <n v="102"/>
    <n v="26"/>
    <n v="4"/>
    <n v="124"/>
    <n v="28"/>
    <n v="12998"/>
    <n v="1611752"/>
    <n v="0"/>
    <n v="337948"/>
    <x v="0"/>
    <x v="0"/>
    <x v="1"/>
  </r>
  <r>
    <x v="381"/>
    <x v="9"/>
    <x v="0"/>
    <x v="3"/>
    <x v="1"/>
    <n v="69"/>
    <n v="17"/>
    <n v="11"/>
    <n v="75"/>
    <n v="29"/>
    <n v="9971"/>
    <n v="747825"/>
    <n v="0"/>
    <n v="169507"/>
    <x v="0"/>
    <x v="0"/>
    <x v="1"/>
  </r>
  <r>
    <x v="382"/>
    <x v="1"/>
    <x v="1"/>
    <x v="2"/>
    <x v="3"/>
    <n v="57"/>
    <n v="6"/>
    <n v="33"/>
    <n v="30"/>
    <n v="15"/>
    <n v="5219"/>
    <n v="156570"/>
    <n v="0"/>
    <n v="31314"/>
    <x v="0"/>
    <x v="0"/>
    <x v="1"/>
  </r>
  <r>
    <x v="382"/>
    <x v="16"/>
    <x v="1"/>
    <x v="2"/>
    <x v="4"/>
    <n v="13"/>
    <n v="34"/>
    <n v="32"/>
    <n v="15"/>
    <n v="20"/>
    <n v="2881"/>
    <n v="43215"/>
    <n v="0"/>
    <n v="97954"/>
    <x v="1"/>
    <x v="0"/>
    <x v="1"/>
  </r>
  <r>
    <x v="382"/>
    <x v="13"/>
    <x v="3"/>
    <x v="2"/>
    <x v="3"/>
    <n v="138"/>
    <n v="99"/>
    <n v="82"/>
    <n v="155"/>
    <n v="27"/>
    <n v="53849"/>
    <n v="8346595"/>
    <n v="0"/>
    <n v="5331051"/>
    <x v="0"/>
    <x v="0"/>
    <x v="1"/>
  </r>
  <r>
    <x v="382"/>
    <x v="1"/>
    <x v="1"/>
    <x v="3"/>
    <x v="1"/>
    <n v="39"/>
    <n v="42"/>
    <n v="36"/>
    <n v="45"/>
    <n v="17"/>
    <n v="17033"/>
    <n v="766485"/>
    <n v="0"/>
    <n v="715386"/>
    <x v="0"/>
    <x v="0"/>
    <x v="1"/>
  </r>
  <r>
    <x v="382"/>
    <x v="0"/>
    <x v="0"/>
    <x v="3"/>
    <x v="3"/>
    <n v="26"/>
    <n v="65"/>
    <n v="43"/>
    <n v="48"/>
    <n v="32"/>
    <n v="7004"/>
    <n v="336192"/>
    <n v="0"/>
    <n v="455260"/>
    <x v="0"/>
    <x v="0"/>
    <x v="1"/>
  </r>
  <r>
    <x v="383"/>
    <x v="15"/>
    <x v="2"/>
    <x v="2"/>
    <x v="3"/>
    <n v="245"/>
    <n v="272"/>
    <n v="44"/>
    <n v="473"/>
    <n v="140"/>
    <n v="746"/>
    <n v="352858"/>
    <n v="0"/>
    <n v="202912"/>
    <x v="0"/>
    <x v="0"/>
    <x v="1"/>
  </r>
  <r>
    <x v="383"/>
    <x v="11"/>
    <x v="2"/>
    <x v="0"/>
    <x v="0"/>
    <n v="102"/>
    <n v="204"/>
    <n v="170"/>
    <n v="136"/>
    <n v="64"/>
    <n v="493"/>
    <n v="67048"/>
    <n v="0"/>
    <n v="100572"/>
    <x v="0"/>
    <x v="0"/>
    <x v="1"/>
  </r>
  <r>
    <x v="383"/>
    <x v="19"/>
    <x v="0"/>
    <x v="3"/>
    <x v="4"/>
    <n v="91"/>
    <n v="7"/>
    <n v="55"/>
    <n v="43"/>
    <n v="29"/>
    <n v="6766"/>
    <n v="290938"/>
    <n v="0"/>
    <n v="47362"/>
    <x v="0"/>
    <x v="0"/>
    <x v="1"/>
  </r>
  <r>
    <x v="383"/>
    <x v="14"/>
    <x v="3"/>
    <x v="2"/>
    <x v="2"/>
    <n v="70"/>
    <n v="115"/>
    <n v="93"/>
    <n v="92"/>
    <n v="40"/>
    <n v="5534"/>
    <n v="509128"/>
    <n v="0"/>
    <n v="636410"/>
    <x v="0"/>
    <x v="0"/>
    <x v="1"/>
  </r>
  <r>
    <x v="383"/>
    <x v="7"/>
    <x v="2"/>
    <x v="3"/>
    <x v="3"/>
    <n v="139"/>
    <n v="270"/>
    <n v="44"/>
    <n v="365"/>
    <n v="116"/>
    <n v="33"/>
    <n v="12045"/>
    <n v="0"/>
    <n v="8910"/>
    <x v="0"/>
    <x v="0"/>
    <x v="1"/>
  </r>
  <r>
    <x v="383"/>
    <x v="0"/>
    <x v="0"/>
    <x v="0"/>
    <x v="3"/>
    <n v="27"/>
    <n v="31"/>
    <n v="8"/>
    <n v="50"/>
    <n v="15"/>
    <n v="14529"/>
    <n v="726450"/>
    <n v="0"/>
    <n v="450399"/>
    <x v="0"/>
    <x v="0"/>
    <x v="1"/>
  </r>
  <r>
    <x v="384"/>
    <x v="18"/>
    <x v="3"/>
    <x v="2"/>
    <x v="4"/>
    <n v="28"/>
    <n v="117"/>
    <n v="9"/>
    <n v="136"/>
    <n v="38"/>
    <n v="6017"/>
    <n v="818312"/>
    <n v="0"/>
    <n v="703989"/>
    <x v="0"/>
    <x v="0"/>
    <x v="1"/>
  </r>
  <r>
    <x v="384"/>
    <x v="0"/>
    <x v="0"/>
    <x v="3"/>
    <x v="4"/>
    <n v="53"/>
    <n v="25"/>
    <n v="42"/>
    <n v="36"/>
    <n v="32"/>
    <n v="7840"/>
    <n v="282240"/>
    <n v="0"/>
    <n v="196000"/>
    <x v="0"/>
    <x v="0"/>
    <x v="1"/>
  </r>
  <r>
    <x v="384"/>
    <x v="17"/>
    <x v="2"/>
    <x v="3"/>
    <x v="5"/>
    <n v="352"/>
    <n v="299"/>
    <n v="59"/>
    <n v="592"/>
    <n v="124"/>
    <n v="408"/>
    <n v="241536"/>
    <n v="0"/>
    <n v="121992"/>
    <x v="0"/>
    <x v="0"/>
    <x v="1"/>
  </r>
  <r>
    <x v="384"/>
    <x v="6"/>
    <x v="3"/>
    <x v="0"/>
    <x v="5"/>
    <n v="159"/>
    <n v="30"/>
    <n v="73"/>
    <n v="116"/>
    <n v="23"/>
    <n v="49894"/>
    <n v="5787704"/>
    <n v="0"/>
    <n v="1496820"/>
    <x v="0"/>
    <x v="0"/>
    <x v="1"/>
  </r>
  <r>
    <x v="384"/>
    <x v="17"/>
    <x v="2"/>
    <x v="2"/>
    <x v="3"/>
    <n v="491"/>
    <n v="167"/>
    <n v="213"/>
    <n v="445"/>
    <n v="131"/>
    <n v="833"/>
    <n v="370685"/>
    <n v="0"/>
    <n v="139111"/>
    <x v="0"/>
    <x v="0"/>
    <x v="1"/>
  </r>
  <r>
    <x v="384"/>
    <x v="15"/>
    <x v="2"/>
    <x v="2"/>
    <x v="4"/>
    <n v="241"/>
    <n v="190"/>
    <n v="31"/>
    <n v="400"/>
    <n v="138"/>
    <n v="272"/>
    <n v="108800"/>
    <n v="0"/>
    <n v="51680"/>
    <x v="0"/>
    <x v="0"/>
    <x v="1"/>
  </r>
  <r>
    <x v="384"/>
    <x v="5"/>
    <x v="3"/>
    <x v="2"/>
    <x v="5"/>
    <n v="130"/>
    <n v="103"/>
    <n v="30"/>
    <n v="203"/>
    <n v="45"/>
    <n v="22482"/>
    <n v="4563846"/>
    <n v="0"/>
    <n v="2315646"/>
    <x v="0"/>
    <x v="0"/>
    <x v="1"/>
  </r>
  <r>
    <x v="385"/>
    <x v="15"/>
    <x v="2"/>
    <x v="2"/>
    <x v="5"/>
    <n v="162"/>
    <n v="130"/>
    <n v="122"/>
    <n v="170"/>
    <n v="130"/>
    <n v="971"/>
    <n v="165070"/>
    <n v="0"/>
    <n v="126230"/>
    <x v="0"/>
    <x v="0"/>
    <x v="1"/>
  </r>
  <r>
    <x v="385"/>
    <x v="5"/>
    <x v="3"/>
    <x v="2"/>
    <x v="0"/>
    <n v="106"/>
    <n v="60"/>
    <n v="86"/>
    <n v="80"/>
    <n v="55"/>
    <n v="30649"/>
    <n v="2451920"/>
    <n v="0"/>
    <n v="1838940"/>
    <x v="0"/>
    <x v="0"/>
    <x v="1"/>
  </r>
  <r>
    <x v="385"/>
    <x v="14"/>
    <x v="3"/>
    <x v="0"/>
    <x v="0"/>
    <n v="42"/>
    <n v="81"/>
    <n v="23"/>
    <n v="100"/>
    <n v="30"/>
    <n v="1300"/>
    <n v="130000"/>
    <n v="0"/>
    <n v="105300"/>
    <x v="0"/>
    <x v="0"/>
    <x v="1"/>
  </r>
  <r>
    <x v="385"/>
    <x v="0"/>
    <x v="0"/>
    <x v="3"/>
    <x v="4"/>
    <n v="88"/>
    <n v="9"/>
    <n v="48"/>
    <n v="49"/>
    <n v="35"/>
    <n v="15253"/>
    <n v="747397"/>
    <n v="0"/>
    <n v="137277"/>
    <x v="0"/>
    <x v="0"/>
    <x v="1"/>
  </r>
  <r>
    <x v="386"/>
    <x v="18"/>
    <x v="3"/>
    <x v="3"/>
    <x v="5"/>
    <n v="122"/>
    <n v="23"/>
    <n v="22"/>
    <n v="123"/>
    <n v="20"/>
    <n v="56385"/>
    <n v="6935355"/>
    <n v="0"/>
    <n v="1296855"/>
    <x v="0"/>
    <x v="0"/>
    <x v="1"/>
  </r>
  <r>
    <x v="386"/>
    <x v="16"/>
    <x v="1"/>
    <x v="3"/>
    <x v="5"/>
    <n v="25"/>
    <n v="58"/>
    <n v="34"/>
    <n v="49"/>
    <n v="17"/>
    <n v="21220"/>
    <n v="1039780"/>
    <n v="0"/>
    <n v="1230760"/>
    <x v="0"/>
    <x v="0"/>
    <x v="1"/>
  </r>
  <r>
    <x v="387"/>
    <x v="17"/>
    <x v="2"/>
    <x v="2"/>
    <x v="0"/>
    <n v="259"/>
    <n v="86"/>
    <n v="194"/>
    <n v="151"/>
    <n v="103"/>
    <n v="990"/>
    <n v="149490"/>
    <n v="0"/>
    <n v="85140"/>
    <x v="0"/>
    <x v="0"/>
    <x v="1"/>
  </r>
  <r>
    <x v="387"/>
    <x v="15"/>
    <x v="2"/>
    <x v="3"/>
    <x v="5"/>
    <n v="380"/>
    <n v="279"/>
    <n v="68"/>
    <n v="591"/>
    <n v="108"/>
    <n v="734"/>
    <n v="433794"/>
    <n v="0"/>
    <n v="204786"/>
    <x v="0"/>
    <x v="0"/>
    <x v="1"/>
  </r>
  <r>
    <x v="387"/>
    <x v="12"/>
    <x v="1"/>
    <x v="0"/>
    <x v="1"/>
    <n v="88"/>
    <n v="54"/>
    <n v="5"/>
    <n v="137"/>
    <n v="29"/>
    <n v="9230"/>
    <n v="1264510"/>
    <n v="0"/>
    <n v="498420"/>
    <x v="0"/>
    <x v="0"/>
    <x v="1"/>
  </r>
  <r>
    <x v="387"/>
    <x v="18"/>
    <x v="3"/>
    <x v="1"/>
    <x v="0"/>
    <n v="169"/>
    <n v="77"/>
    <n v="52"/>
    <n v="194"/>
    <n v="35"/>
    <n v="60847"/>
    <n v="11804318"/>
    <n v="0"/>
    <n v="4685219"/>
    <x v="0"/>
    <x v="0"/>
    <x v="1"/>
  </r>
  <r>
    <x v="388"/>
    <x v="6"/>
    <x v="3"/>
    <x v="2"/>
    <x v="0"/>
    <n v="45"/>
    <n v="110"/>
    <n v="95"/>
    <n v="60"/>
    <n v="30"/>
    <n v="15560"/>
    <n v="933600"/>
    <n v="0"/>
    <n v="1711600"/>
    <x v="0"/>
    <x v="0"/>
    <x v="1"/>
  </r>
  <r>
    <x v="388"/>
    <x v="9"/>
    <x v="0"/>
    <x v="1"/>
    <x v="1"/>
    <n v="83"/>
    <n v="48"/>
    <n v="59"/>
    <n v="72"/>
    <n v="25"/>
    <n v="5976"/>
    <n v="430272"/>
    <n v="0"/>
    <n v="286848"/>
    <x v="0"/>
    <x v="0"/>
    <x v="1"/>
  </r>
  <r>
    <x v="388"/>
    <x v="3"/>
    <x v="2"/>
    <x v="1"/>
    <x v="5"/>
    <n v="392"/>
    <n v="290"/>
    <n v="251"/>
    <n v="431"/>
    <n v="92"/>
    <n v="413"/>
    <n v="178003"/>
    <n v="0"/>
    <n v="119770"/>
    <x v="0"/>
    <x v="0"/>
    <x v="1"/>
  </r>
  <r>
    <x v="388"/>
    <x v="17"/>
    <x v="2"/>
    <x v="1"/>
    <x v="3"/>
    <n v="437"/>
    <n v="132"/>
    <n v="104"/>
    <n v="465"/>
    <n v="76"/>
    <n v="449"/>
    <n v="208785"/>
    <n v="0"/>
    <n v="59268"/>
    <x v="0"/>
    <x v="0"/>
    <x v="1"/>
  </r>
  <r>
    <x v="389"/>
    <x v="14"/>
    <x v="3"/>
    <x v="0"/>
    <x v="1"/>
    <n v="122"/>
    <n v="47"/>
    <n v="89"/>
    <n v="80"/>
    <n v="39"/>
    <n v="12380"/>
    <n v="990400"/>
    <n v="0"/>
    <n v="581860"/>
    <x v="0"/>
    <x v="0"/>
    <x v="1"/>
  </r>
  <r>
    <x v="389"/>
    <x v="11"/>
    <x v="2"/>
    <x v="1"/>
    <x v="3"/>
    <n v="77"/>
    <n v="80"/>
    <n v="157"/>
    <n v="0"/>
    <n v="143"/>
    <n v="792"/>
    <n v="0"/>
    <n v="0"/>
    <n v="63360"/>
    <x v="1"/>
    <x v="0"/>
    <x v="1"/>
  </r>
  <r>
    <x v="389"/>
    <x v="10"/>
    <x v="2"/>
    <x v="2"/>
    <x v="1"/>
    <n v="60"/>
    <n v="230"/>
    <n v="12"/>
    <n v="278"/>
    <n v="100"/>
    <n v="827"/>
    <n v="229906"/>
    <n v="0"/>
    <n v="190210"/>
    <x v="0"/>
    <x v="0"/>
    <x v="1"/>
  </r>
  <r>
    <x v="389"/>
    <x v="1"/>
    <x v="1"/>
    <x v="3"/>
    <x v="1"/>
    <n v="61"/>
    <n v="15"/>
    <n v="28"/>
    <n v="48"/>
    <n v="25"/>
    <n v="13929"/>
    <n v="668592"/>
    <n v="0"/>
    <n v="208935"/>
    <x v="0"/>
    <x v="0"/>
    <x v="1"/>
  </r>
  <r>
    <x v="390"/>
    <x v="7"/>
    <x v="2"/>
    <x v="2"/>
    <x v="5"/>
    <n v="292"/>
    <n v="135"/>
    <n v="80"/>
    <n v="347"/>
    <n v="70"/>
    <n v="1097"/>
    <n v="380659"/>
    <n v="0"/>
    <n v="148095"/>
    <x v="0"/>
    <x v="0"/>
    <x v="1"/>
  </r>
  <r>
    <x v="390"/>
    <x v="4"/>
    <x v="1"/>
    <x v="2"/>
    <x v="5"/>
    <n v="27"/>
    <n v="24"/>
    <n v="33"/>
    <n v="18"/>
    <n v="26"/>
    <n v="8504"/>
    <n v="153072"/>
    <n v="0"/>
    <n v="204096"/>
    <x v="1"/>
    <x v="0"/>
    <x v="1"/>
  </r>
  <r>
    <x v="390"/>
    <x v="8"/>
    <x v="3"/>
    <x v="3"/>
    <x v="1"/>
    <n v="95"/>
    <n v="119"/>
    <n v="52"/>
    <n v="162"/>
    <n v="34"/>
    <n v="12585"/>
    <n v="2038770"/>
    <n v="0"/>
    <n v="1497615"/>
    <x v="0"/>
    <x v="0"/>
    <x v="1"/>
  </r>
  <r>
    <x v="390"/>
    <x v="7"/>
    <x v="2"/>
    <x v="0"/>
    <x v="3"/>
    <n v="233"/>
    <n v="46"/>
    <n v="21"/>
    <n v="258"/>
    <n v="75"/>
    <n v="165"/>
    <n v="42570"/>
    <n v="0"/>
    <n v="7590"/>
    <x v="0"/>
    <x v="0"/>
    <x v="1"/>
  </r>
  <r>
    <x v="390"/>
    <x v="3"/>
    <x v="2"/>
    <x v="0"/>
    <x v="3"/>
    <n v="328"/>
    <n v="146"/>
    <n v="115"/>
    <n v="359"/>
    <n v="144"/>
    <n v="438"/>
    <n v="157242"/>
    <n v="0"/>
    <n v="63948"/>
    <x v="0"/>
    <x v="0"/>
    <x v="1"/>
  </r>
  <r>
    <x v="390"/>
    <x v="2"/>
    <x v="0"/>
    <x v="1"/>
    <x v="3"/>
    <n v="112"/>
    <n v="53"/>
    <n v="25"/>
    <n v="140"/>
    <n v="35"/>
    <n v="14561"/>
    <n v="2038540"/>
    <n v="0"/>
    <n v="771733"/>
    <x v="0"/>
    <x v="0"/>
    <x v="1"/>
  </r>
  <r>
    <x v="391"/>
    <x v="3"/>
    <x v="2"/>
    <x v="0"/>
    <x v="2"/>
    <n v="110"/>
    <n v="273"/>
    <n v="15"/>
    <n v="368"/>
    <n v="62"/>
    <n v="184"/>
    <n v="67712"/>
    <n v="0"/>
    <n v="50232"/>
    <x v="0"/>
    <x v="0"/>
    <x v="1"/>
  </r>
  <r>
    <x v="391"/>
    <x v="12"/>
    <x v="1"/>
    <x v="1"/>
    <x v="3"/>
    <n v="31"/>
    <n v="38"/>
    <n v="2"/>
    <n v="67"/>
    <n v="29"/>
    <n v="24612"/>
    <n v="1649004"/>
    <n v="0"/>
    <n v="935256"/>
    <x v="0"/>
    <x v="0"/>
    <x v="1"/>
  </r>
  <r>
    <x v="391"/>
    <x v="8"/>
    <x v="3"/>
    <x v="2"/>
    <x v="4"/>
    <n v="34"/>
    <n v="99"/>
    <n v="46"/>
    <n v="87"/>
    <n v="32"/>
    <n v="24219"/>
    <n v="2107053"/>
    <n v="0"/>
    <n v="2397681"/>
    <x v="0"/>
    <x v="0"/>
    <x v="1"/>
  </r>
  <r>
    <x v="391"/>
    <x v="16"/>
    <x v="1"/>
    <x v="0"/>
    <x v="0"/>
    <n v="72"/>
    <n v="19"/>
    <n v="14"/>
    <n v="77"/>
    <n v="25"/>
    <n v="9563"/>
    <n v="736351"/>
    <n v="0"/>
    <n v="181697"/>
    <x v="0"/>
    <x v="0"/>
    <x v="1"/>
  </r>
  <r>
    <x v="392"/>
    <x v="2"/>
    <x v="0"/>
    <x v="1"/>
    <x v="2"/>
    <n v="94"/>
    <n v="67"/>
    <n v="27"/>
    <n v="134"/>
    <n v="28"/>
    <n v="11092"/>
    <n v="1486328"/>
    <n v="0"/>
    <n v="743164"/>
    <x v="0"/>
    <x v="0"/>
    <x v="1"/>
  </r>
  <r>
    <x v="392"/>
    <x v="12"/>
    <x v="1"/>
    <x v="0"/>
    <x v="5"/>
    <n v="19"/>
    <n v="42"/>
    <n v="28"/>
    <n v="33"/>
    <n v="28"/>
    <n v="2967"/>
    <n v="97911"/>
    <n v="0"/>
    <n v="124614"/>
    <x v="0"/>
    <x v="0"/>
    <x v="1"/>
  </r>
  <r>
    <x v="392"/>
    <x v="1"/>
    <x v="1"/>
    <x v="1"/>
    <x v="5"/>
    <n v="43"/>
    <n v="18"/>
    <n v="9"/>
    <n v="52"/>
    <n v="19"/>
    <n v="23314"/>
    <n v="1212328"/>
    <n v="0"/>
    <n v="419652"/>
    <x v="0"/>
    <x v="0"/>
    <x v="1"/>
  </r>
  <r>
    <x v="393"/>
    <x v="9"/>
    <x v="0"/>
    <x v="3"/>
    <x v="2"/>
    <n v="93"/>
    <n v="33"/>
    <n v="52"/>
    <n v="74"/>
    <n v="18"/>
    <n v="12264"/>
    <n v="907536"/>
    <n v="0"/>
    <n v="404712"/>
    <x v="0"/>
    <x v="0"/>
    <x v="1"/>
  </r>
  <r>
    <x v="393"/>
    <x v="15"/>
    <x v="2"/>
    <x v="2"/>
    <x v="2"/>
    <n v="54"/>
    <n v="213"/>
    <n v="29"/>
    <n v="238"/>
    <n v="61"/>
    <n v="577"/>
    <n v="137326"/>
    <n v="0"/>
    <n v="122901"/>
    <x v="0"/>
    <x v="0"/>
    <x v="1"/>
  </r>
  <r>
    <x v="393"/>
    <x v="6"/>
    <x v="3"/>
    <x v="0"/>
    <x v="0"/>
    <n v="168"/>
    <n v="61"/>
    <n v="59"/>
    <n v="170"/>
    <n v="45"/>
    <n v="30100"/>
    <n v="5117000"/>
    <n v="0"/>
    <n v="1836100"/>
    <x v="0"/>
    <x v="0"/>
    <x v="1"/>
  </r>
  <r>
    <x v="393"/>
    <x v="12"/>
    <x v="1"/>
    <x v="1"/>
    <x v="1"/>
    <n v="53"/>
    <n v="18"/>
    <n v="30"/>
    <n v="41"/>
    <n v="27"/>
    <n v="1829"/>
    <n v="74989"/>
    <n v="0"/>
    <n v="32922"/>
    <x v="0"/>
    <x v="0"/>
    <x v="1"/>
  </r>
  <r>
    <x v="393"/>
    <x v="5"/>
    <x v="3"/>
    <x v="1"/>
    <x v="0"/>
    <n v="133"/>
    <n v="74"/>
    <n v="22"/>
    <n v="185"/>
    <n v="52"/>
    <n v="33734"/>
    <n v="6240790"/>
    <n v="0"/>
    <n v="2496316"/>
    <x v="0"/>
    <x v="0"/>
    <x v="1"/>
  </r>
  <r>
    <x v="393"/>
    <x v="3"/>
    <x v="2"/>
    <x v="0"/>
    <x v="2"/>
    <n v="480"/>
    <n v="202"/>
    <n v="59"/>
    <n v="623"/>
    <n v="98"/>
    <n v="876"/>
    <n v="545748"/>
    <n v="0"/>
    <n v="176952"/>
    <x v="0"/>
    <x v="0"/>
    <x v="1"/>
  </r>
  <r>
    <x v="394"/>
    <x v="9"/>
    <x v="0"/>
    <x v="1"/>
    <x v="1"/>
    <n v="85"/>
    <n v="43"/>
    <n v="19"/>
    <n v="109"/>
    <n v="20"/>
    <n v="15430"/>
    <n v="1681870"/>
    <n v="0"/>
    <n v="663490"/>
    <x v="0"/>
    <x v="0"/>
    <x v="1"/>
  </r>
  <r>
    <x v="394"/>
    <x v="5"/>
    <x v="3"/>
    <x v="2"/>
    <x v="3"/>
    <n v="34"/>
    <n v="40"/>
    <n v="47"/>
    <n v="27"/>
    <n v="56"/>
    <n v="43396"/>
    <n v="1171692"/>
    <n v="0"/>
    <n v="1735840"/>
    <x v="1"/>
    <x v="0"/>
    <x v="1"/>
  </r>
  <r>
    <x v="394"/>
    <x v="2"/>
    <x v="0"/>
    <x v="2"/>
    <x v="5"/>
    <n v="117"/>
    <n v="40"/>
    <n v="30"/>
    <n v="127"/>
    <n v="21"/>
    <n v="16534"/>
    <n v="2099818"/>
    <n v="0"/>
    <n v="661360"/>
    <x v="0"/>
    <x v="0"/>
    <x v="1"/>
  </r>
  <r>
    <x v="394"/>
    <x v="3"/>
    <x v="2"/>
    <x v="2"/>
    <x v="1"/>
    <n v="104"/>
    <n v="190"/>
    <n v="207"/>
    <n v="87"/>
    <n v="80"/>
    <n v="99"/>
    <n v="8613"/>
    <n v="0"/>
    <n v="18810"/>
    <x v="0"/>
    <x v="0"/>
    <x v="1"/>
  </r>
  <r>
    <x v="394"/>
    <x v="2"/>
    <x v="0"/>
    <x v="2"/>
    <x v="1"/>
    <n v="109"/>
    <n v="36"/>
    <n v="56"/>
    <n v="89"/>
    <n v="33"/>
    <n v="12850"/>
    <n v="1143650"/>
    <n v="0"/>
    <n v="462600"/>
    <x v="0"/>
    <x v="0"/>
    <x v="1"/>
  </r>
  <r>
    <x v="394"/>
    <x v="0"/>
    <x v="0"/>
    <x v="3"/>
    <x v="1"/>
    <n v="25"/>
    <n v="79"/>
    <n v="36"/>
    <n v="68"/>
    <n v="29"/>
    <n v="17466"/>
    <n v="1187688"/>
    <n v="0"/>
    <n v="1379814"/>
    <x v="0"/>
    <x v="0"/>
    <x v="1"/>
  </r>
  <r>
    <x v="394"/>
    <x v="2"/>
    <x v="0"/>
    <x v="3"/>
    <x v="5"/>
    <n v="111"/>
    <n v="29"/>
    <n v="27"/>
    <n v="113"/>
    <n v="29"/>
    <n v="4275"/>
    <n v="483075"/>
    <n v="0"/>
    <n v="123975"/>
    <x v="0"/>
    <x v="0"/>
    <x v="1"/>
  </r>
  <r>
    <x v="394"/>
    <x v="15"/>
    <x v="2"/>
    <x v="1"/>
    <x v="2"/>
    <n v="338"/>
    <n v="241"/>
    <n v="186"/>
    <n v="393"/>
    <n v="109"/>
    <n v="40"/>
    <n v="15720"/>
    <n v="0"/>
    <n v="9640"/>
    <x v="0"/>
    <x v="0"/>
    <x v="1"/>
  </r>
  <r>
    <x v="394"/>
    <x v="17"/>
    <x v="2"/>
    <x v="2"/>
    <x v="1"/>
    <n v="59"/>
    <n v="253"/>
    <n v="273"/>
    <n v="39"/>
    <n v="67"/>
    <n v="809"/>
    <n v="31551"/>
    <n v="0"/>
    <n v="204677"/>
    <x v="1"/>
    <x v="0"/>
    <x v="1"/>
  </r>
  <r>
    <x v="394"/>
    <x v="17"/>
    <x v="2"/>
    <x v="3"/>
    <x v="2"/>
    <n v="383"/>
    <n v="109"/>
    <n v="189"/>
    <n v="303"/>
    <n v="126"/>
    <n v="803"/>
    <n v="243309"/>
    <n v="0"/>
    <n v="87527"/>
    <x v="0"/>
    <x v="0"/>
    <x v="1"/>
  </r>
  <r>
    <x v="394"/>
    <x v="10"/>
    <x v="2"/>
    <x v="0"/>
    <x v="5"/>
    <n v="145"/>
    <n v="132"/>
    <n v="233"/>
    <n v="44"/>
    <n v="92"/>
    <n v="537"/>
    <n v="23628"/>
    <n v="0"/>
    <n v="70884"/>
    <x v="1"/>
    <x v="0"/>
    <x v="1"/>
  </r>
  <r>
    <x v="395"/>
    <x v="5"/>
    <x v="3"/>
    <x v="0"/>
    <x v="3"/>
    <n v="58"/>
    <n v="24"/>
    <n v="33"/>
    <n v="49"/>
    <n v="30"/>
    <n v="11196"/>
    <n v="548604"/>
    <n v="0"/>
    <n v="268704"/>
    <x v="0"/>
    <x v="1"/>
    <x v="1"/>
  </r>
  <r>
    <x v="395"/>
    <x v="14"/>
    <x v="3"/>
    <x v="2"/>
    <x v="3"/>
    <n v="22"/>
    <n v="35"/>
    <n v="57"/>
    <n v="0"/>
    <n v="43"/>
    <n v="7069"/>
    <n v="0"/>
    <n v="0"/>
    <n v="247415"/>
    <x v="1"/>
    <x v="1"/>
    <x v="1"/>
  </r>
  <r>
    <x v="395"/>
    <x v="19"/>
    <x v="0"/>
    <x v="2"/>
    <x v="4"/>
    <n v="35"/>
    <n v="5"/>
    <n v="40"/>
    <n v="0"/>
    <n v="15"/>
    <n v="10296"/>
    <n v="0"/>
    <n v="0"/>
    <n v="51480"/>
    <x v="1"/>
    <x v="1"/>
    <x v="1"/>
  </r>
  <r>
    <x v="395"/>
    <x v="19"/>
    <x v="0"/>
    <x v="2"/>
    <x v="1"/>
    <n v="57"/>
    <n v="31"/>
    <n v="9"/>
    <n v="79"/>
    <n v="39"/>
    <n v="8766"/>
    <n v="692514"/>
    <n v="0"/>
    <n v="271746"/>
    <x v="0"/>
    <x v="1"/>
    <x v="1"/>
  </r>
  <r>
    <x v="395"/>
    <x v="14"/>
    <x v="3"/>
    <x v="1"/>
    <x v="0"/>
    <n v="47"/>
    <n v="105"/>
    <n v="86"/>
    <n v="66"/>
    <n v="53"/>
    <n v="41857"/>
    <n v="2762562"/>
    <n v="0"/>
    <n v="4394985"/>
    <x v="0"/>
    <x v="1"/>
    <x v="1"/>
  </r>
  <r>
    <x v="396"/>
    <x v="19"/>
    <x v="0"/>
    <x v="3"/>
    <x v="0"/>
    <n v="52"/>
    <n v="57"/>
    <n v="63"/>
    <n v="46"/>
    <n v="23"/>
    <n v="11404"/>
    <n v="524584"/>
    <n v="0"/>
    <n v="650028"/>
    <x v="0"/>
    <x v="1"/>
    <x v="1"/>
  </r>
  <r>
    <x v="396"/>
    <x v="18"/>
    <x v="3"/>
    <x v="3"/>
    <x v="3"/>
    <n v="71"/>
    <n v="39"/>
    <n v="62"/>
    <n v="48"/>
    <n v="24"/>
    <n v="12757"/>
    <n v="612336"/>
    <n v="0"/>
    <n v="497523"/>
    <x v="0"/>
    <x v="1"/>
    <x v="1"/>
  </r>
  <r>
    <x v="396"/>
    <x v="12"/>
    <x v="1"/>
    <x v="2"/>
    <x v="0"/>
    <n v="25"/>
    <n v="47"/>
    <n v="10"/>
    <n v="62"/>
    <n v="26"/>
    <n v="17445"/>
    <n v="1081590"/>
    <n v="0"/>
    <n v="819915"/>
    <x v="0"/>
    <x v="1"/>
    <x v="1"/>
  </r>
  <r>
    <x v="396"/>
    <x v="13"/>
    <x v="3"/>
    <x v="2"/>
    <x v="1"/>
    <n v="157"/>
    <n v="44"/>
    <n v="29"/>
    <n v="172"/>
    <n v="57"/>
    <n v="42146"/>
    <n v="7249112"/>
    <n v="0"/>
    <n v="1854424"/>
    <x v="0"/>
    <x v="1"/>
    <x v="1"/>
  </r>
  <r>
    <x v="396"/>
    <x v="12"/>
    <x v="1"/>
    <x v="2"/>
    <x v="2"/>
    <n v="25"/>
    <n v="7"/>
    <n v="10"/>
    <n v="22"/>
    <n v="27"/>
    <n v="10762"/>
    <n v="236764"/>
    <n v="0"/>
    <n v="75334"/>
    <x v="1"/>
    <x v="1"/>
    <x v="1"/>
  </r>
  <r>
    <x v="396"/>
    <x v="16"/>
    <x v="1"/>
    <x v="0"/>
    <x v="1"/>
    <n v="84"/>
    <n v="29"/>
    <n v="32"/>
    <n v="81"/>
    <n v="16"/>
    <n v="6697"/>
    <n v="542457"/>
    <n v="0"/>
    <n v="194213"/>
    <x v="0"/>
    <x v="1"/>
    <x v="1"/>
  </r>
  <r>
    <x v="396"/>
    <x v="10"/>
    <x v="2"/>
    <x v="2"/>
    <x v="2"/>
    <n v="180"/>
    <n v="79"/>
    <n v="102"/>
    <n v="157"/>
    <n v="103"/>
    <n v="911"/>
    <n v="143027"/>
    <n v="0"/>
    <n v="71969"/>
    <x v="0"/>
    <x v="1"/>
    <x v="1"/>
  </r>
  <r>
    <x v="396"/>
    <x v="15"/>
    <x v="2"/>
    <x v="1"/>
    <x v="5"/>
    <n v="331"/>
    <n v="59"/>
    <n v="65"/>
    <n v="325"/>
    <n v="60"/>
    <n v="151"/>
    <n v="49075"/>
    <n v="0"/>
    <n v="8909"/>
    <x v="0"/>
    <x v="1"/>
    <x v="1"/>
  </r>
  <r>
    <x v="397"/>
    <x v="10"/>
    <x v="2"/>
    <x v="0"/>
    <x v="0"/>
    <n v="330"/>
    <n v="232"/>
    <n v="60"/>
    <n v="502"/>
    <n v="70"/>
    <n v="343"/>
    <n v="172186"/>
    <n v="0"/>
    <n v="79576"/>
    <x v="0"/>
    <x v="1"/>
    <x v="1"/>
  </r>
  <r>
    <x v="397"/>
    <x v="13"/>
    <x v="3"/>
    <x v="1"/>
    <x v="1"/>
    <n v="154"/>
    <n v="97"/>
    <n v="94"/>
    <n v="157"/>
    <n v="29"/>
    <n v="52561"/>
    <n v="8252077"/>
    <n v="0"/>
    <n v="5098417"/>
    <x v="0"/>
    <x v="1"/>
    <x v="1"/>
  </r>
  <r>
    <x v="397"/>
    <x v="11"/>
    <x v="2"/>
    <x v="0"/>
    <x v="4"/>
    <n v="310"/>
    <n v="250"/>
    <n v="92"/>
    <n v="468"/>
    <n v="100"/>
    <n v="201"/>
    <n v="94068"/>
    <n v="0"/>
    <n v="50250"/>
    <x v="0"/>
    <x v="1"/>
    <x v="1"/>
  </r>
  <r>
    <x v="397"/>
    <x v="3"/>
    <x v="2"/>
    <x v="2"/>
    <x v="5"/>
    <n v="345"/>
    <n v="285"/>
    <n v="183"/>
    <n v="447"/>
    <n v="136"/>
    <n v="1088"/>
    <n v="486336"/>
    <n v="0"/>
    <n v="310080"/>
    <x v="0"/>
    <x v="1"/>
    <x v="1"/>
  </r>
  <r>
    <x v="397"/>
    <x v="7"/>
    <x v="2"/>
    <x v="0"/>
    <x v="0"/>
    <n v="68"/>
    <n v="92"/>
    <n v="160"/>
    <n v="0"/>
    <n v="84"/>
    <n v="1023"/>
    <n v="0"/>
    <n v="0"/>
    <n v="94116"/>
    <x v="1"/>
    <x v="1"/>
    <x v="1"/>
  </r>
  <r>
    <x v="397"/>
    <x v="10"/>
    <x v="2"/>
    <x v="3"/>
    <x v="1"/>
    <n v="133"/>
    <n v="243"/>
    <n v="43"/>
    <n v="333"/>
    <n v="82"/>
    <n v="581"/>
    <n v="193473"/>
    <n v="0"/>
    <n v="141183"/>
    <x v="0"/>
    <x v="1"/>
    <x v="1"/>
  </r>
  <r>
    <x v="398"/>
    <x v="18"/>
    <x v="3"/>
    <x v="1"/>
    <x v="4"/>
    <n v="161"/>
    <n v="85"/>
    <n v="91"/>
    <n v="155"/>
    <n v="47"/>
    <n v="59310"/>
    <n v="9193050"/>
    <n v="0"/>
    <n v="5041350"/>
    <x v="0"/>
    <x v="1"/>
    <x v="1"/>
  </r>
  <r>
    <x v="398"/>
    <x v="5"/>
    <x v="3"/>
    <x v="2"/>
    <x v="0"/>
    <n v="23"/>
    <n v="66"/>
    <n v="77"/>
    <n v="12"/>
    <n v="40"/>
    <n v="12688"/>
    <n v="152256"/>
    <n v="0"/>
    <n v="837408"/>
    <x v="1"/>
    <x v="1"/>
    <x v="1"/>
  </r>
  <r>
    <x v="398"/>
    <x v="15"/>
    <x v="2"/>
    <x v="0"/>
    <x v="3"/>
    <n v="445"/>
    <n v="231"/>
    <n v="27"/>
    <n v="649"/>
    <n v="73"/>
    <n v="1136"/>
    <n v="737264"/>
    <n v="0"/>
    <n v="262416"/>
    <x v="0"/>
    <x v="1"/>
    <x v="1"/>
  </r>
  <r>
    <x v="398"/>
    <x v="3"/>
    <x v="2"/>
    <x v="2"/>
    <x v="3"/>
    <n v="256"/>
    <n v="136"/>
    <n v="155"/>
    <n v="237"/>
    <n v="111"/>
    <n v="898"/>
    <n v="212826"/>
    <n v="0"/>
    <n v="122128"/>
    <x v="0"/>
    <x v="1"/>
    <x v="1"/>
  </r>
  <r>
    <x v="398"/>
    <x v="17"/>
    <x v="2"/>
    <x v="1"/>
    <x v="1"/>
    <n v="445"/>
    <n v="165"/>
    <n v="12"/>
    <n v="598"/>
    <n v="72"/>
    <n v="256"/>
    <n v="153088"/>
    <n v="0"/>
    <n v="42240"/>
    <x v="0"/>
    <x v="1"/>
    <x v="1"/>
  </r>
  <r>
    <x v="398"/>
    <x v="5"/>
    <x v="3"/>
    <x v="2"/>
    <x v="2"/>
    <n v="105"/>
    <n v="73"/>
    <n v="36"/>
    <n v="142"/>
    <n v="34"/>
    <n v="25711"/>
    <n v="3650962"/>
    <n v="0"/>
    <n v="1876903"/>
    <x v="0"/>
    <x v="1"/>
    <x v="1"/>
  </r>
  <r>
    <x v="399"/>
    <x v="19"/>
    <x v="0"/>
    <x v="1"/>
    <x v="1"/>
    <n v="90"/>
    <n v="50"/>
    <n v="34"/>
    <n v="106"/>
    <n v="30"/>
    <n v="16522"/>
    <n v="1751332"/>
    <n v="0"/>
    <n v="826100"/>
    <x v="0"/>
    <x v="1"/>
    <x v="1"/>
  </r>
  <r>
    <x v="399"/>
    <x v="2"/>
    <x v="0"/>
    <x v="2"/>
    <x v="1"/>
    <n v="117"/>
    <n v="69"/>
    <n v="61"/>
    <n v="125"/>
    <n v="28"/>
    <n v="14639"/>
    <n v="1829875"/>
    <n v="0"/>
    <n v="1010091"/>
    <x v="0"/>
    <x v="1"/>
    <x v="1"/>
  </r>
  <r>
    <x v="399"/>
    <x v="6"/>
    <x v="3"/>
    <x v="2"/>
    <x v="3"/>
    <n v="115"/>
    <n v="13"/>
    <n v="67"/>
    <n v="61"/>
    <n v="36"/>
    <n v="59619"/>
    <n v="3636759"/>
    <n v="0"/>
    <n v="775047"/>
    <x v="0"/>
    <x v="1"/>
    <x v="1"/>
  </r>
  <r>
    <x v="399"/>
    <x v="6"/>
    <x v="3"/>
    <x v="3"/>
    <x v="0"/>
    <n v="47"/>
    <n v="101"/>
    <n v="26"/>
    <n v="122"/>
    <n v="26"/>
    <n v="43397"/>
    <n v="5294434"/>
    <n v="0"/>
    <n v="4383097"/>
    <x v="0"/>
    <x v="1"/>
    <x v="1"/>
  </r>
  <r>
    <x v="399"/>
    <x v="3"/>
    <x v="2"/>
    <x v="0"/>
    <x v="3"/>
    <n v="487"/>
    <n v="57"/>
    <n v="269"/>
    <n v="275"/>
    <n v="88"/>
    <n v="1001"/>
    <n v="275275"/>
    <n v="0"/>
    <n v="57057"/>
    <x v="0"/>
    <x v="1"/>
    <x v="1"/>
  </r>
  <r>
    <x v="400"/>
    <x v="2"/>
    <x v="0"/>
    <x v="3"/>
    <x v="3"/>
    <n v="102"/>
    <n v="76"/>
    <n v="63"/>
    <n v="115"/>
    <n v="24"/>
    <n v="17392"/>
    <n v="2000080"/>
    <n v="0"/>
    <n v="1321792"/>
    <x v="0"/>
    <x v="1"/>
    <x v="1"/>
  </r>
  <r>
    <x v="400"/>
    <x v="13"/>
    <x v="3"/>
    <x v="1"/>
    <x v="5"/>
    <n v="57"/>
    <n v="52"/>
    <n v="36"/>
    <n v="73"/>
    <n v="42"/>
    <n v="7206"/>
    <n v="526038"/>
    <n v="0"/>
    <n v="374712"/>
    <x v="0"/>
    <x v="1"/>
    <x v="1"/>
  </r>
  <r>
    <x v="400"/>
    <x v="7"/>
    <x v="2"/>
    <x v="1"/>
    <x v="0"/>
    <n v="123"/>
    <n v="47"/>
    <n v="149"/>
    <n v="21"/>
    <n v="121"/>
    <n v="1158"/>
    <n v="24318"/>
    <n v="0"/>
    <n v="54426"/>
    <x v="1"/>
    <x v="1"/>
    <x v="1"/>
  </r>
  <r>
    <x v="400"/>
    <x v="18"/>
    <x v="3"/>
    <x v="0"/>
    <x v="3"/>
    <n v="37"/>
    <n v="86"/>
    <n v="90"/>
    <n v="33"/>
    <n v="33"/>
    <n v="25309"/>
    <n v="835197"/>
    <n v="0"/>
    <n v="2176574"/>
    <x v="1"/>
    <x v="1"/>
    <x v="1"/>
  </r>
  <r>
    <x v="400"/>
    <x v="13"/>
    <x v="3"/>
    <x v="1"/>
    <x v="0"/>
    <n v="24"/>
    <n v="28"/>
    <n v="46"/>
    <n v="6"/>
    <n v="51"/>
    <n v="7729"/>
    <n v="46374"/>
    <n v="0"/>
    <n v="216412"/>
    <x v="1"/>
    <x v="1"/>
    <x v="1"/>
  </r>
  <r>
    <x v="401"/>
    <x v="17"/>
    <x v="2"/>
    <x v="0"/>
    <x v="3"/>
    <n v="395"/>
    <n v="176"/>
    <n v="157"/>
    <n v="414"/>
    <n v="120"/>
    <n v="883"/>
    <n v="365562"/>
    <n v="0"/>
    <n v="155408"/>
    <x v="0"/>
    <x v="1"/>
    <x v="1"/>
  </r>
  <r>
    <x v="401"/>
    <x v="18"/>
    <x v="3"/>
    <x v="0"/>
    <x v="5"/>
    <n v="179"/>
    <n v="53"/>
    <n v="59"/>
    <n v="173"/>
    <n v="24"/>
    <n v="42095"/>
    <n v="7282435"/>
    <n v="0"/>
    <n v="2231035"/>
    <x v="0"/>
    <x v="1"/>
    <x v="1"/>
  </r>
  <r>
    <x v="401"/>
    <x v="6"/>
    <x v="3"/>
    <x v="1"/>
    <x v="5"/>
    <n v="128"/>
    <n v="69"/>
    <n v="75"/>
    <n v="122"/>
    <n v="26"/>
    <n v="24654"/>
    <n v="3007788"/>
    <n v="0"/>
    <n v="1701126"/>
    <x v="0"/>
    <x v="1"/>
    <x v="1"/>
  </r>
  <r>
    <x v="402"/>
    <x v="1"/>
    <x v="1"/>
    <x v="1"/>
    <x v="3"/>
    <n v="42"/>
    <n v="33"/>
    <n v="17"/>
    <n v="58"/>
    <n v="16"/>
    <n v="15401"/>
    <n v="893258"/>
    <n v="0"/>
    <n v="508233"/>
    <x v="0"/>
    <x v="1"/>
    <x v="1"/>
  </r>
  <r>
    <x v="402"/>
    <x v="15"/>
    <x v="2"/>
    <x v="2"/>
    <x v="0"/>
    <n v="350"/>
    <n v="221"/>
    <n v="241"/>
    <n v="330"/>
    <n v="142"/>
    <n v="974"/>
    <n v="321420"/>
    <n v="0"/>
    <n v="215254"/>
    <x v="0"/>
    <x v="1"/>
    <x v="1"/>
  </r>
  <r>
    <x v="403"/>
    <x v="14"/>
    <x v="3"/>
    <x v="3"/>
    <x v="0"/>
    <n v="21"/>
    <n v="99"/>
    <n v="99"/>
    <n v="21"/>
    <n v="51"/>
    <n v="15225"/>
    <n v="319725"/>
    <n v="0"/>
    <n v="1507275"/>
    <x v="1"/>
    <x v="1"/>
    <x v="1"/>
  </r>
  <r>
    <x v="403"/>
    <x v="13"/>
    <x v="3"/>
    <x v="1"/>
    <x v="0"/>
    <n v="67"/>
    <n v="17"/>
    <n v="32"/>
    <n v="52"/>
    <n v="29"/>
    <n v="48751"/>
    <n v="2535052"/>
    <n v="0"/>
    <n v="828767"/>
    <x v="0"/>
    <x v="1"/>
    <x v="1"/>
  </r>
  <r>
    <x v="403"/>
    <x v="3"/>
    <x v="2"/>
    <x v="1"/>
    <x v="0"/>
    <n v="164"/>
    <n v="218"/>
    <n v="35"/>
    <n v="347"/>
    <n v="91"/>
    <n v="585"/>
    <n v="202995"/>
    <n v="0"/>
    <n v="127530"/>
    <x v="0"/>
    <x v="1"/>
    <x v="1"/>
  </r>
  <r>
    <x v="403"/>
    <x v="9"/>
    <x v="0"/>
    <x v="2"/>
    <x v="2"/>
    <n v="79"/>
    <n v="7"/>
    <n v="7"/>
    <n v="79"/>
    <n v="31"/>
    <n v="8212"/>
    <n v="648748"/>
    <n v="0"/>
    <n v="57484"/>
    <x v="0"/>
    <x v="1"/>
    <x v="1"/>
  </r>
  <r>
    <x v="404"/>
    <x v="1"/>
    <x v="1"/>
    <x v="3"/>
    <x v="3"/>
    <n v="35"/>
    <n v="23"/>
    <n v="40"/>
    <n v="18"/>
    <n v="13"/>
    <n v="3158"/>
    <n v="56844"/>
    <n v="0"/>
    <n v="72634"/>
    <x v="0"/>
    <x v="1"/>
    <x v="1"/>
  </r>
  <r>
    <x v="404"/>
    <x v="10"/>
    <x v="2"/>
    <x v="2"/>
    <x v="1"/>
    <n v="281"/>
    <n v="118"/>
    <n v="86"/>
    <n v="313"/>
    <n v="134"/>
    <n v="936"/>
    <n v="292968"/>
    <n v="0"/>
    <n v="110448"/>
    <x v="0"/>
    <x v="1"/>
    <x v="1"/>
  </r>
  <r>
    <x v="404"/>
    <x v="10"/>
    <x v="2"/>
    <x v="1"/>
    <x v="4"/>
    <n v="118"/>
    <n v="279"/>
    <n v="45"/>
    <n v="352"/>
    <n v="69"/>
    <n v="770"/>
    <n v="271040"/>
    <n v="0"/>
    <n v="214830"/>
    <x v="0"/>
    <x v="1"/>
    <x v="1"/>
  </r>
  <r>
    <x v="404"/>
    <x v="17"/>
    <x v="2"/>
    <x v="1"/>
    <x v="0"/>
    <n v="417"/>
    <n v="158"/>
    <n v="232"/>
    <n v="343"/>
    <n v="91"/>
    <n v="903"/>
    <n v="309729"/>
    <n v="0"/>
    <n v="142674"/>
    <x v="0"/>
    <x v="1"/>
    <x v="1"/>
  </r>
  <r>
    <x v="405"/>
    <x v="1"/>
    <x v="1"/>
    <x v="3"/>
    <x v="1"/>
    <n v="71"/>
    <n v="50"/>
    <n v="24"/>
    <n v="97"/>
    <n v="25"/>
    <n v="3434"/>
    <n v="333098"/>
    <n v="0"/>
    <n v="171700"/>
    <x v="0"/>
    <x v="1"/>
    <x v="1"/>
  </r>
  <r>
    <x v="405"/>
    <x v="16"/>
    <x v="1"/>
    <x v="2"/>
    <x v="2"/>
    <n v="63"/>
    <n v="12"/>
    <n v="37"/>
    <n v="38"/>
    <n v="29"/>
    <n v="19119"/>
    <n v="726522"/>
    <n v="0"/>
    <n v="229428"/>
    <x v="0"/>
    <x v="1"/>
    <x v="1"/>
  </r>
  <r>
    <x v="405"/>
    <x v="8"/>
    <x v="3"/>
    <x v="2"/>
    <x v="5"/>
    <n v="45"/>
    <n v="56"/>
    <n v="9"/>
    <n v="92"/>
    <n v="39"/>
    <n v="18169"/>
    <n v="1671548"/>
    <n v="0"/>
    <n v="1017464"/>
    <x v="0"/>
    <x v="1"/>
    <x v="1"/>
  </r>
  <r>
    <x v="406"/>
    <x v="13"/>
    <x v="3"/>
    <x v="0"/>
    <x v="5"/>
    <n v="160"/>
    <n v="11"/>
    <n v="75"/>
    <n v="96"/>
    <n v="40"/>
    <n v="37263"/>
    <n v="3577248"/>
    <n v="0"/>
    <n v="409893"/>
    <x v="0"/>
    <x v="1"/>
    <x v="1"/>
  </r>
  <r>
    <x v="406"/>
    <x v="1"/>
    <x v="1"/>
    <x v="2"/>
    <x v="3"/>
    <n v="22"/>
    <n v="47"/>
    <n v="30"/>
    <n v="39"/>
    <n v="28"/>
    <n v="21539"/>
    <n v="840021"/>
    <n v="0"/>
    <n v="1012333"/>
    <x v="0"/>
    <x v="1"/>
    <x v="1"/>
  </r>
  <r>
    <x v="406"/>
    <x v="9"/>
    <x v="0"/>
    <x v="2"/>
    <x v="0"/>
    <n v="44"/>
    <n v="6"/>
    <n v="21"/>
    <n v="29"/>
    <n v="26"/>
    <n v="9002"/>
    <n v="261058"/>
    <n v="0"/>
    <n v="54012"/>
    <x v="0"/>
    <x v="1"/>
    <x v="1"/>
  </r>
  <r>
    <x v="406"/>
    <x v="4"/>
    <x v="1"/>
    <x v="3"/>
    <x v="5"/>
    <n v="22"/>
    <n v="11"/>
    <n v="33"/>
    <n v="0"/>
    <n v="29"/>
    <n v="6280"/>
    <n v="0"/>
    <n v="0"/>
    <n v="69080"/>
    <x v="1"/>
    <x v="1"/>
    <x v="1"/>
  </r>
  <r>
    <x v="406"/>
    <x v="7"/>
    <x v="2"/>
    <x v="1"/>
    <x v="0"/>
    <n v="55"/>
    <n v="148"/>
    <n v="40"/>
    <n v="163"/>
    <n v="128"/>
    <n v="502"/>
    <n v="81826"/>
    <n v="0"/>
    <n v="74296"/>
    <x v="0"/>
    <x v="1"/>
    <x v="1"/>
  </r>
  <r>
    <x v="407"/>
    <x v="5"/>
    <x v="3"/>
    <x v="1"/>
    <x v="2"/>
    <n v="63"/>
    <n v="21"/>
    <n v="84"/>
    <n v="0"/>
    <n v="52"/>
    <n v="21636"/>
    <n v="0"/>
    <n v="0"/>
    <n v="454356"/>
    <x v="1"/>
    <x v="1"/>
    <x v="1"/>
  </r>
  <r>
    <x v="407"/>
    <x v="10"/>
    <x v="2"/>
    <x v="2"/>
    <x v="0"/>
    <n v="90"/>
    <n v="288"/>
    <n v="130"/>
    <n v="248"/>
    <n v="144"/>
    <n v="96"/>
    <n v="23808"/>
    <n v="0"/>
    <n v="27648"/>
    <x v="0"/>
    <x v="1"/>
    <x v="1"/>
  </r>
  <r>
    <x v="407"/>
    <x v="4"/>
    <x v="1"/>
    <x v="1"/>
    <x v="3"/>
    <n v="96"/>
    <n v="31"/>
    <n v="15"/>
    <n v="112"/>
    <n v="15"/>
    <n v="12824"/>
    <n v="1436288"/>
    <n v="0"/>
    <n v="397544"/>
    <x v="0"/>
    <x v="1"/>
    <x v="1"/>
  </r>
  <r>
    <x v="407"/>
    <x v="13"/>
    <x v="3"/>
    <x v="2"/>
    <x v="0"/>
    <n v="103"/>
    <n v="34"/>
    <n v="57"/>
    <n v="80"/>
    <n v="58"/>
    <n v="43181"/>
    <n v="3454480"/>
    <n v="0"/>
    <n v="1468154"/>
    <x v="0"/>
    <x v="1"/>
    <x v="1"/>
  </r>
  <r>
    <x v="407"/>
    <x v="6"/>
    <x v="3"/>
    <x v="0"/>
    <x v="3"/>
    <n v="61"/>
    <n v="55"/>
    <n v="77"/>
    <n v="39"/>
    <n v="40"/>
    <n v="45939"/>
    <n v="1791621"/>
    <n v="0"/>
    <n v="2526645"/>
    <x v="1"/>
    <x v="1"/>
    <x v="1"/>
  </r>
  <r>
    <x v="408"/>
    <x v="7"/>
    <x v="2"/>
    <x v="2"/>
    <x v="5"/>
    <n v="185"/>
    <n v="260"/>
    <n v="17"/>
    <n v="428"/>
    <n v="83"/>
    <n v="347"/>
    <n v="148516"/>
    <n v="0"/>
    <n v="90220"/>
    <x v="0"/>
    <x v="1"/>
    <x v="1"/>
  </r>
  <r>
    <x v="408"/>
    <x v="15"/>
    <x v="2"/>
    <x v="2"/>
    <x v="1"/>
    <n v="405"/>
    <n v="197"/>
    <n v="202"/>
    <n v="400"/>
    <n v="50"/>
    <n v="133"/>
    <n v="53200"/>
    <n v="0"/>
    <n v="26201"/>
    <x v="0"/>
    <x v="1"/>
    <x v="1"/>
  </r>
  <r>
    <x v="408"/>
    <x v="5"/>
    <x v="3"/>
    <x v="1"/>
    <x v="3"/>
    <n v="59"/>
    <n v="59"/>
    <n v="47"/>
    <n v="71"/>
    <n v="22"/>
    <n v="8298"/>
    <n v="589158"/>
    <n v="0"/>
    <n v="489582"/>
    <x v="0"/>
    <x v="1"/>
    <x v="1"/>
  </r>
  <r>
    <x v="409"/>
    <x v="11"/>
    <x v="2"/>
    <x v="1"/>
    <x v="1"/>
    <n v="215"/>
    <n v="55"/>
    <n v="82"/>
    <n v="188"/>
    <n v="100"/>
    <n v="1158"/>
    <n v="217704"/>
    <n v="0"/>
    <n v="63690"/>
    <x v="0"/>
    <x v="1"/>
    <x v="1"/>
  </r>
  <r>
    <x v="409"/>
    <x v="15"/>
    <x v="2"/>
    <x v="0"/>
    <x v="5"/>
    <n v="144"/>
    <n v="144"/>
    <n v="252"/>
    <n v="36"/>
    <n v="92"/>
    <n v="813"/>
    <n v="29268"/>
    <n v="0"/>
    <n v="117072"/>
    <x v="1"/>
    <x v="1"/>
    <x v="1"/>
  </r>
  <r>
    <x v="409"/>
    <x v="12"/>
    <x v="1"/>
    <x v="2"/>
    <x v="0"/>
    <n v="59"/>
    <n v="22"/>
    <n v="37"/>
    <n v="44"/>
    <n v="25"/>
    <n v="9430"/>
    <n v="414920"/>
    <n v="0"/>
    <n v="207460"/>
    <x v="0"/>
    <x v="1"/>
    <x v="1"/>
  </r>
  <r>
    <x v="410"/>
    <x v="14"/>
    <x v="3"/>
    <x v="2"/>
    <x v="0"/>
    <n v="159"/>
    <n v="73"/>
    <n v="6"/>
    <n v="226"/>
    <n v="56"/>
    <n v="24026"/>
    <n v="5429876"/>
    <n v="0"/>
    <n v="1753898"/>
    <x v="0"/>
    <x v="1"/>
    <x v="1"/>
  </r>
  <r>
    <x v="410"/>
    <x v="10"/>
    <x v="2"/>
    <x v="2"/>
    <x v="0"/>
    <n v="310"/>
    <n v="30"/>
    <n v="95"/>
    <n v="245"/>
    <n v="95"/>
    <n v="869"/>
    <n v="212905"/>
    <n v="0"/>
    <n v="26070"/>
    <x v="0"/>
    <x v="1"/>
    <x v="1"/>
  </r>
  <r>
    <x v="410"/>
    <x v="4"/>
    <x v="1"/>
    <x v="3"/>
    <x v="3"/>
    <n v="63"/>
    <n v="35"/>
    <n v="16"/>
    <n v="82"/>
    <n v="17"/>
    <n v="22987"/>
    <n v="1884934"/>
    <n v="0"/>
    <n v="804545"/>
    <x v="0"/>
    <x v="1"/>
    <x v="1"/>
  </r>
  <r>
    <x v="410"/>
    <x v="6"/>
    <x v="3"/>
    <x v="3"/>
    <x v="3"/>
    <n v="93"/>
    <n v="106"/>
    <n v="52"/>
    <n v="147"/>
    <n v="29"/>
    <n v="14447"/>
    <n v="2123709"/>
    <n v="0"/>
    <n v="1531382"/>
    <x v="0"/>
    <x v="1"/>
    <x v="1"/>
  </r>
  <r>
    <x v="411"/>
    <x v="17"/>
    <x v="2"/>
    <x v="1"/>
    <x v="0"/>
    <n v="269"/>
    <n v="37"/>
    <n v="75"/>
    <n v="231"/>
    <n v="135"/>
    <n v="1122"/>
    <n v="259182"/>
    <n v="0"/>
    <n v="41514"/>
    <x v="0"/>
    <x v="1"/>
    <x v="1"/>
  </r>
  <r>
    <x v="411"/>
    <x v="0"/>
    <x v="0"/>
    <x v="3"/>
    <x v="0"/>
    <n v="64"/>
    <n v="6"/>
    <n v="11"/>
    <n v="59"/>
    <n v="31"/>
    <n v="2675"/>
    <n v="157825"/>
    <n v="0"/>
    <n v="16050"/>
    <x v="0"/>
    <x v="1"/>
    <x v="1"/>
  </r>
  <r>
    <x v="411"/>
    <x v="7"/>
    <x v="2"/>
    <x v="0"/>
    <x v="4"/>
    <n v="151"/>
    <n v="166"/>
    <n v="200"/>
    <n v="117"/>
    <n v="63"/>
    <n v="952"/>
    <n v="111384"/>
    <n v="0"/>
    <n v="158032"/>
    <x v="0"/>
    <x v="1"/>
    <x v="1"/>
  </r>
  <r>
    <x v="412"/>
    <x v="3"/>
    <x v="2"/>
    <x v="1"/>
    <x v="4"/>
    <n v="124"/>
    <n v="224"/>
    <n v="196"/>
    <n v="152"/>
    <n v="52"/>
    <n v="515"/>
    <n v="78280"/>
    <n v="0"/>
    <n v="115360"/>
    <x v="0"/>
    <x v="1"/>
    <x v="1"/>
  </r>
  <r>
    <x v="412"/>
    <x v="13"/>
    <x v="3"/>
    <x v="3"/>
    <x v="0"/>
    <n v="46"/>
    <n v="80"/>
    <n v="24"/>
    <n v="102"/>
    <n v="50"/>
    <n v="6481"/>
    <n v="661062"/>
    <n v="0"/>
    <n v="518480"/>
    <x v="0"/>
    <x v="1"/>
    <x v="1"/>
  </r>
  <r>
    <x v="412"/>
    <x v="19"/>
    <x v="0"/>
    <x v="3"/>
    <x v="3"/>
    <n v="83"/>
    <n v="74"/>
    <n v="5"/>
    <n v="152"/>
    <n v="24"/>
    <n v="10604"/>
    <n v="1611808"/>
    <n v="0"/>
    <n v="784696"/>
    <x v="0"/>
    <x v="1"/>
    <x v="1"/>
  </r>
  <r>
    <x v="413"/>
    <x v="13"/>
    <x v="3"/>
    <x v="0"/>
    <x v="3"/>
    <n v="131"/>
    <n v="44"/>
    <n v="41"/>
    <n v="134"/>
    <n v="55"/>
    <n v="54478"/>
    <n v="7300052"/>
    <n v="0"/>
    <n v="2397032"/>
    <x v="0"/>
    <x v="1"/>
    <x v="1"/>
  </r>
  <r>
    <x v="413"/>
    <x v="6"/>
    <x v="3"/>
    <x v="0"/>
    <x v="0"/>
    <n v="121"/>
    <n v="116"/>
    <n v="91"/>
    <n v="146"/>
    <n v="35"/>
    <n v="62947"/>
    <n v="9190262"/>
    <n v="0"/>
    <n v="7301852"/>
    <x v="0"/>
    <x v="1"/>
    <x v="1"/>
  </r>
  <r>
    <x v="413"/>
    <x v="14"/>
    <x v="3"/>
    <x v="3"/>
    <x v="3"/>
    <n v="86"/>
    <n v="65"/>
    <n v="67"/>
    <n v="84"/>
    <n v="34"/>
    <n v="6122"/>
    <n v="514248"/>
    <n v="0"/>
    <n v="397930"/>
    <x v="0"/>
    <x v="1"/>
    <x v="1"/>
  </r>
  <r>
    <x v="413"/>
    <x v="7"/>
    <x v="2"/>
    <x v="2"/>
    <x v="3"/>
    <n v="183"/>
    <n v="296"/>
    <n v="277"/>
    <n v="202"/>
    <n v="102"/>
    <n v="469"/>
    <n v="94738"/>
    <n v="0"/>
    <n v="138824"/>
    <x v="0"/>
    <x v="1"/>
    <x v="1"/>
  </r>
  <r>
    <x v="414"/>
    <x v="9"/>
    <x v="0"/>
    <x v="3"/>
    <x v="5"/>
    <n v="65"/>
    <n v="46"/>
    <n v="27"/>
    <n v="84"/>
    <n v="17"/>
    <n v="6520"/>
    <n v="547680"/>
    <n v="0"/>
    <n v="299920"/>
    <x v="0"/>
    <x v="1"/>
    <x v="1"/>
  </r>
  <r>
    <x v="414"/>
    <x v="4"/>
    <x v="1"/>
    <x v="2"/>
    <x v="3"/>
    <n v="29"/>
    <n v="14"/>
    <n v="30"/>
    <n v="13"/>
    <n v="29"/>
    <n v="2884"/>
    <n v="37492"/>
    <n v="0"/>
    <n v="40376"/>
    <x v="1"/>
    <x v="1"/>
    <x v="1"/>
  </r>
  <r>
    <x v="414"/>
    <x v="16"/>
    <x v="1"/>
    <x v="3"/>
    <x v="2"/>
    <n v="95"/>
    <n v="10"/>
    <n v="36"/>
    <n v="69"/>
    <n v="10"/>
    <n v="9201"/>
    <n v="634869"/>
    <n v="0"/>
    <n v="92010"/>
    <x v="0"/>
    <x v="1"/>
    <x v="1"/>
  </r>
  <r>
    <x v="414"/>
    <x v="6"/>
    <x v="3"/>
    <x v="2"/>
    <x v="0"/>
    <n v="179"/>
    <n v="108"/>
    <n v="90"/>
    <n v="197"/>
    <n v="58"/>
    <n v="2039"/>
    <n v="401683"/>
    <n v="0"/>
    <n v="220212"/>
    <x v="0"/>
    <x v="1"/>
    <x v="1"/>
  </r>
  <r>
    <x v="414"/>
    <x v="15"/>
    <x v="2"/>
    <x v="2"/>
    <x v="4"/>
    <n v="296"/>
    <n v="232"/>
    <n v="193"/>
    <n v="335"/>
    <n v="66"/>
    <n v="142"/>
    <n v="47570"/>
    <n v="0"/>
    <n v="32944"/>
    <x v="0"/>
    <x v="1"/>
    <x v="1"/>
  </r>
  <r>
    <x v="414"/>
    <x v="17"/>
    <x v="2"/>
    <x v="3"/>
    <x v="1"/>
    <n v="137"/>
    <n v="150"/>
    <n v="12"/>
    <n v="275"/>
    <n v="148"/>
    <n v="479"/>
    <n v="131725"/>
    <n v="0"/>
    <n v="71850"/>
    <x v="0"/>
    <x v="1"/>
    <x v="1"/>
  </r>
  <r>
    <x v="415"/>
    <x v="4"/>
    <x v="1"/>
    <x v="1"/>
    <x v="0"/>
    <n v="80"/>
    <n v="21"/>
    <n v="11"/>
    <n v="90"/>
    <n v="15"/>
    <n v="17658"/>
    <n v="1589220"/>
    <n v="0"/>
    <n v="370818"/>
    <x v="0"/>
    <x v="1"/>
    <x v="1"/>
  </r>
  <r>
    <x v="415"/>
    <x v="5"/>
    <x v="3"/>
    <x v="0"/>
    <x v="4"/>
    <n v="169"/>
    <n v="57"/>
    <n v="7"/>
    <n v="219"/>
    <n v="40"/>
    <n v="43254"/>
    <n v="9472626"/>
    <n v="0"/>
    <n v="2465478"/>
    <x v="0"/>
    <x v="1"/>
    <x v="1"/>
  </r>
  <r>
    <x v="415"/>
    <x v="5"/>
    <x v="3"/>
    <x v="2"/>
    <x v="3"/>
    <n v="170"/>
    <n v="24"/>
    <n v="31"/>
    <n v="163"/>
    <n v="36"/>
    <n v="62954"/>
    <n v="10261502"/>
    <n v="0"/>
    <n v="1510896"/>
    <x v="0"/>
    <x v="1"/>
    <x v="1"/>
  </r>
  <r>
    <x v="416"/>
    <x v="4"/>
    <x v="1"/>
    <x v="2"/>
    <x v="4"/>
    <n v="16"/>
    <n v="8"/>
    <n v="12"/>
    <n v="12"/>
    <n v="13"/>
    <n v="1912"/>
    <n v="22944"/>
    <n v="0"/>
    <n v="15296"/>
    <x v="1"/>
    <x v="1"/>
    <x v="1"/>
  </r>
  <r>
    <x v="416"/>
    <x v="12"/>
    <x v="1"/>
    <x v="2"/>
    <x v="2"/>
    <n v="93"/>
    <n v="19"/>
    <n v="34"/>
    <n v="78"/>
    <n v="26"/>
    <n v="18192"/>
    <n v="1418976"/>
    <n v="0"/>
    <n v="345648"/>
    <x v="0"/>
    <x v="1"/>
    <x v="1"/>
  </r>
  <r>
    <x v="416"/>
    <x v="7"/>
    <x v="2"/>
    <x v="2"/>
    <x v="1"/>
    <n v="411"/>
    <n v="64"/>
    <n v="112"/>
    <n v="363"/>
    <n v="57"/>
    <n v="884"/>
    <n v="320892"/>
    <n v="0"/>
    <n v="56576"/>
    <x v="0"/>
    <x v="1"/>
    <x v="1"/>
  </r>
  <r>
    <x v="417"/>
    <x v="11"/>
    <x v="2"/>
    <x v="3"/>
    <x v="4"/>
    <n v="143"/>
    <n v="124"/>
    <n v="78"/>
    <n v="189"/>
    <n v="109"/>
    <n v="337"/>
    <n v="63693"/>
    <n v="0"/>
    <n v="41788"/>
    <x v="0"/>
    <x v="1"/>
    <x v="1"/>
  </r>
  <r>
    <x v="417"/>
    <x v="5"/>
    <x v="3"/>
    <x v="3"/>
    <x v="1"/>
    <n v="160"/>
    <n v="88"/>
    <n v="50"/>
    <n v="198"/>
    <n v="28"/>
    <n v="37335"/>
    <n v="7392330"/>
    <n v="0"/>
    <n v="3285480"/>
    <x v="0"/>
    <x v="1"/>
    <x v="1"/>
  </r>
  <r>
    <x v="417"/>
    <x v="18"/>
    <x v="3"/>
    <x v="1"/>
    <x v="3"/>
    <n v="159"/>
    <n v="27"/>
    <n v="82"/>
    <n v="104"/>
    <n v="29"/>
    <n v="10793"/>
    <n v="1122472"/>
    <n v="0"/>
    <n v="291411"/>
    <x v="0"/>
    <x v="1"/>
    <x v="1"/>
  </r>
  <r>
    <x v="417"/>
    <x v="9"/>
    <x v="0"/>
    <x v="3"/>
    <x v="4"/>
    <n v="36"/>
    <n v="47"/>
    <n v="17"/>
    <n v="66"/>
    <n v="19"/>
    <n v="5137"/>
    <n v="339042"/>
    <n v="0"/>
    <n v="241439"/>
    <x v="0"/>
    <x v="1"/>
    <x v="1"/>
  </r>
  <r>
    <x v="418"/>
    <x v="19"/>
    <x v="0"/>
    <x v="0"/>
    <x v="0"/>
    <n v="33"/>
    <n v="28"/>
    <n v="43"/>
    <n v="18"/>
    <n v="28"/>
    <n v="3484"/>
    <n v="62712"/>
    <n v="0"/>
    <n v="97552"/>
    <x v="1"/>
    <x v="1"/>
    <x v="1"/>
  </r>
  <r>
    <x v="418"/>
    <x v="2"/>
    <x v="0"/>
    <x v="3"/>
    <x v="1"/>
    <n v="52"/>
    <n v="29"/>
    <n v="31"/>
    <n v="50"/>
    <n v="28"/>
    <n v="3661"/>
    <n v="183050"/>
    <n v="0"/>
    <n v="106169"/>
    <x v="0"/>
    <x v="1"/>
    <x v="1"/>
  </r>
  <r>
    <x v="418"/>
    <x v="12"/>
    <x v="1"/>
    <x v="1"/>
    <x v="1"/>
    <n v="22"/>
    <n v="36"/>
    <n v="37"/>
    <n v="21"/>
    <n v="13"/>
    <n v="20032"/>
    <n v="420672"/>
    <n v="0"/>
    <n v="721152"/>
    <x v="0"/>
    <x v="1"/>
    <x v="1"/>
  </r>
  <r>
    <x v="418"/>
    <x v="6"/>
    <x v="3"/>
    <x v="1"/>
    <x v="5"/>
    <n v="177"/>
    <n v="27"/>
    <n v="6"/>
    <n v="198"/>
    <n v="32"/>
    <n v="45776"/>
    <n v="9063648"/>
    <n v="0"/>
    <n v="1235952"/>
    <x v="0"/>
    <x v="1"/>
    <x v="1"/>
  </r>
  <r>
    <x v="418"/>
    <x v="8"/>
    <x v="3"/>
    <x v="1"/>
    <x v="3"/>
    <n v="73"/>
    <n v="97"/>
    <n v="40"/>
    <n v="130"/>
    <n v="58"/>
    <n v="54756"/>
    <n v="7118280"/>
    <n v="0"/>
    <n v="5311332"/>
    <x v="0"/>
    <x v="1"/>
    <x v="1"/>
  </r>
  <r>
    <x v="419"/>
    <x v="4"/>
    <x v="1"/>
    <x v="3"/>
    <x v="4"/>
    <n v="15"/>
    <n v="11"/>
    <n v="26"/>
    <n v="0"/>
    <n v="10"/>
    <n v="19408"/>
    <n v="0"/>
    <n v="0"/>
    <n v="213488"/>
    <x v="1"/>
    <x v="1"/>
    <x v="1"/>
  </r>
  <r>
    <x v="419"/>
    <x v="17"/>
    <x v="2"/>
    <x v="1"/>
    <x v="4"/>
    <n v="262"/>
    <n v="195"/>
    <n v="80"/>
    <n v="377"/>
    <n v="100"/>
    <n v="745"/>
    <n v="280865"/>
    <n v="0"/>
    <n v="145275"/>
    <x v="0"/>
    <x v="1"/>
    <x v="1"/>
  </r>
  <r>
    <x v="420"/>
    <x v="13"/>
    <x v="3"/>
    <x v="3"/>
    <x v="2"/>
    <n v="129"/>
    <n v="106"/>
    <n v="22"/>
    <n v="213"/>
    <n v="20"/>
    <n v="27750"/>
    <n v="5910750"/>
    <n v="0"/>
    <n v="2941500"/>
    <x v="0"/>
    <x v="1"/>
    <x v="1"/>
  </r>
  <r>
    <x v="420"/>
    <x v="5"/>
    <x v="3"/>
    <x v="2"/>
    <x v="3"/>
    <n v="86"/>
    <n v="50"/>
    <n v="54"/>
    <n v="82"/>
    <n v="41"/>
    <n v="7815"/>
    <n v="640830"/>
    <n v="0"/>
    <n v="390750"/>
    <x v="0"/>
    <x v="1"/>
    <x v="1"/>
  </r>
  <r>
    <x v="420"/>
    <x v="9"/>
    <x v="0"/>
    <x v="1"/>
    <x v="4"/>
    <n v="111"/>
    <n v="27"/>
    <n v="17"/>
    <n v="121"/>
    <n v="39"/>
    <n v="9884"/>
    <n v="1195964"/>
    <n v="0"/>
    <n v="266868"/>
    <x v="0"/>
    <x v="1"/>
    <x v="1"/>
  </r>
  <r>
    <x v="420"/>
    <x v="18"/>
    <x v="3"/>
    <x v="2"/>
    <x v="1"/>
    <n v="149"/>
    <n v="15"/>
    <n v="50"/>
    <n v="114"/>
    <n v="57"/>
    <n v="15185"/>
    <n v="1731090"/>
    <n v="0"/>
    <n v="227775"/>
    <x v="0"/>
    <x v="1"/>
    <x v="1"/>
  </r>
  <r>
    <x v="420"/>
    <x v="2"/>
    <x v="0"/>
    <x v="1"/>
    <x v="0"/>
    <n v="117"/>
    <n v="54"/>
    <n v="39"/>
    <n v="132"/>
    <n v="17"/>
    <n v="6393"/>
    <n v="843876"/>
    <n v="0"/>
    <n v="345222"/>
    <x v="0"/>
    <x v="1"/>
    <x v="1"/>
  </r>
  <r>
    <x v="420"/>
    <x v="14"/>
    <x v="3"/>
    <x v="3"/>
    <x v="5"/>
    <n v="130"/>
    <n v="56"/>
    <n v="37"/>
    <n v="149"/>
    <n v="46"/>
    <n v="37194"/>
    <n v="5541906"/>
    <n v="0"/>
    <n v="2082864"/>
    <x v="0"/>
    <x v="1"/>
    <x v="1"/>
  </r>
  <r>
    <x v="420"/>
    <x v="2"/>
    <x v="0"/>
    <x v="2"/>
    <x v="0"/>
    <n v="36"/>
    <n v="65"/>
    <n v="52"/>
    <n v="49"/>
    <n v="18"/>
    <n v="719"/>
    <n v="35231"/>
    <n v="0"/>
    <n v="46735"/>
    <x v="0"/>
    <x v="1"/>
    <x v="1"/>
  </r>
  <r>
    <x v="421"/>
    <x v="5"/>
    <x v="3"/>
    <x v="1"/>
    <x v="5"/>
    <n v="43"/>
    <n v="97"/>
    <n v="59"/>
    <n v="81"/>
    <n v="44"/>
    <n v="44857"/>
    <n v="3633417"/>
    <n v="0"/>
    <n v="4351129"/>
    <x v="0"/>
    <x v="1"/>
    <x v="1"/>
  </r>
  <r>
    <x v="421"/>
    <x v="5"/>
    <x v="3"/>
    <x v="1"/>
    <x v="0"/>
    <n v="111"/>
    <n v="63"/>
    <n v="43"/>
    <n v="131"/>
    <n v="38"/>
    <n v="50864"/>
    <n v="6663184"/>
    <n v="0"/>
    <n v="3204432"/>
    <x v="0"/>
    <x v="1"/>
    <x v="1"/>
  </r>
  <r>
    <x v="421"/>
    <x v="12"/>
    <x v="1"/>
    <x v="1"/>
    <x v="0"/>
    <n v="41"/>
    <n v="17"/>
    <n v="16"/>
    <n v="42"/>
    <n v="16"/>
    <n v="5613"/>
    <n v="235746"/>
    <n v="0"/>
    <n v="95421"/>
    <x v="0"/>
    <x v="1"/>
    <x v="1"/>
  </r>
  <r>
    <x v="421"/>
    <x v="17"/>
    <x v="2"/>
    <x v="1"/>
    <x v="4"/>
    <n v="294"/>
    <n v="136"/>
    <n v="97"/>
    <n v="333"/>
    <n v="60"/>
    <n v="148"/>
    <n v="49284"/>
    <n v="0"/>
    <n v="20128"/>
    <x v="0"/>
    <x v="1"/>
    <x v="1"/>
  </r>
  <r>
    <x v="421"/>
    <x v="19"/>
    <x v="0"/>
    <x v="0"/>
    <x v="2"/>
    <n v="96"/>
    <n v="75"/>
    <n v="19"/>
    <n v="152"/>
    <n v="18"/>
    <n v="6370"/>
    <n v="968240"/>
    <n v="0"/>
    <n v="477750"/>
    <x v="0"/>
    <x v="1"/>
    <x v="1"/>
  </r>
  <r>
    <x v="421"/>
    <x v="7"/>
    <x v="2"/>
    <x v="1"/>
    <x v="3"/>
    <n v="75"/>
    <n v="218"/>
    <n v="131"/>
    <n v="162"/>
    <n v="145"/>
    <n v="1102"/>
    <n v="178524"/>
    <n v="0"/>
    <n v="240236"/>
    <x v="0"/>
    <x v="1"/>
    <x v="1"/>
  </r>
  <r>
    <x v="422"/>
    <x v="3"/>
    <x v="2"/>
    <x v="0"/>
    <x v="3"/>
    <n v="191"/>
    <n v="266"/>
    <n v="186"/>
    <n v="271"/>
    <n v="110"/>
    <n v="672"/>
    <n v="182112"/>
    <n v="0"/>
    <n v="178752"/>
    <x v="0"/>
    <x v="1"/>
    <x v="1"/>
  </r>
  <r>
    <x v="422"/>
    <x v="18"/>
    <x v="3"/>
    <x v="1"/>
    <x v="5"/>
    <n v="36"/>
    <n v="49"/>
    <n v="11"/>
    <n v="74"/>
    <n v="27"/>
    <n v="64088"/>
    <n v="4742512"/>
    <n v="0"/>
    <n v="3140312"/>
    <x v="0"/>
    <x v="1"/>
    <x v="1"/>
  </r>
  <r>
    <x v="423"/>
    <x v="18"/>
    <x v="3"/>
    <x v="1"/>
    <x v="2"/>
    <n v="96"/>
    <n v="56"/>
    <n v="80"/>
    <n v="72"/>
    <n v="56"/>
    <n v="19556"/>
    <n v="1408032"/>
    <n v="0"/>
    <n v="1095136"/>
    <x v="0"/>
    <x v="2"/>
    <x v="1"/>
  </r>
  <r>
    <x v="423"/>
    <x v="4"/>
    <x v="1"/>
    <x v="1"/>
    <x v="5"/>
    <n v="81"/>
    <n v="32"/>
    <n v="11"/>
    <n v="102"/>
    <n v="15"/>
    <n v="3282"/>
    <n v="334764"/>
    <n v="0"/>
    <n v="105024"/>
    <x v="0"/>
    <x v="2"/>
    <x v="1"/>
  </r>
  <r>
    <x v="423"/>
    <x v="16"/>
    <x v="1"/>
    <x v="0"/>
    <x v="2"/>
    <n v="54"/>
    <n v="41"/>
    <n v="8"/>
    <n v="87"/>
    <n v="25"/>
    <n v="17113"/>
    <n v="1488831"/>
    <n v="0"/>
    <n v="701633"/>
    <x v="0"/>
    <x v="2"/>
    <x v="1"/>
  </r>
  <r>
    <x v="423"/>
    <x v="5"/>
    <x v="3"/>
    <x v="2"/>
    <x v="4"/>
    <n v="164"/>
    <n v="118"/>
    <n v="28"/>
    <n v="254"/>
    <n v="26"/>
    <n v="23226"/>
    <n v="5899404"/>
    <n v="0"/>
    <n v="2740668"/>
    <x v="0"/>
    <x v="2"/>
    <x v="1"/>
  </r>
  <r>
    <x v="423"/>
    <x v="13"/>
    <x v="3"/>
    <x v="0"/>
    <x v="4"/>
    <n v="47"/>
    <n v="51"/>
    <n v="84"/>
    <n v="14"/>
    <n v="24"/>
    <n v="7531"/>
    <n v="105434"/>
    <n v="0"/>
    <n v="384081"/>
    <x v="1"/>
    <x v="2"/>
    <x v="1"/>
  </r>
  <r>
    <x v="424"/>
    <x v="18"/>
    <x v="3"/>
    <x v="3"/>
    <x v="5"/>
    <n v="172"/>
    <n v="63"/>
    <n v="71"/>
    <n v="164"/>
    <n v="25"/>
    <n v="31525"/>
    <n v="5170100"/>
    <n v="0"/>
    <n v="1986075"/>
    <x v="0"/>
    <x v="2"/>
    <x v="1"/>
  </r>
  <r>
    <x v="424"/>
    <x v="18"/>
    <x v="3"/>
    <x v="0"/>
    <x v="5"/>
    <n v="168"/>
    <n v="88"/>
    <n v="85"/>
    <n v="171"/>
    <n v="57"/>
    <n v="37685"/>
    <n v="6444135"/>
    <n v="0"/>
    <n v="3316280"/>
    <x v="0"/>
    <x v="2"/>
    <x v="1"/>
  </r>
  <r>
    <x v="424"/>
    <x v="2"/>
    <x v="0"/>
    <x v="1"/>
    <x v="2"/>
    <n v="40"/>
    <n v="18"/>
    <n v="58"/>
    <n v="0"/>
    <n v="19"/>
    <n v="2453"/>
    <n v="0"/>
    <n v="0"/>
    <n v="44154"/>
    <x v="1"/>
    <x v="2"/>
    <x v="1"/>
  </r>
  <r>
    <x v="424"/>
    <x v="11"/>
    <x v="2"/>
    <x v="3"/>
    <x v="2"/>
    <n v="128"/>
    <n v="175"/>
    <n v="191"/>
    <n v="112"/>
    <n v="79"/>
    <n v="518"/>
    <n v="58016"/>
    <n v="0"/>
    <n v="90650"/>
    <x v="0"/>
    <x v="2"/>
    <x v="1"/>
  </r>
  <r>
    <x v="425"/>
    <x v="10"/>
    <x v="2"/>
    <x v="2"/>
    <x v="5"/>
    <n v="467"/>
    <n v="298"/>
    <n v="208"/>
    <n v="557"/>
    <n v="91"/>
    <n v="282"/>
    <n v="157074"/>
    <n v="0"/>
    <n v="84036"/>
    <x v="0"/>
    <x v="2"/>
    <x v="1"/>
  </r>
  <r>
    <x v="425"/>
    <x v="0"/>
    <x v="0"/>
    <x v="3"/>
    <x v="2"/>
    <n v="100"/>
    <n v="68"/>
    <n v="26"/>
    <n v="142"/>
    <n v="16"/>
    <n v="17026"/>
    <n v="2417692"/>
    <n v="0"/>
    <n v="1157768"/>
    <x v="0"/>
    <x v="2"/>
    <x v="1"/>
  </r>
  <r>
    <x v="425"/>
    <x v="18"/>
    <x v="3"/>
    <x v="1"/>
    <x v="0"/>
    <n v="85"/>
    <n v="26"/>
    <n v="44"/>
    <n v="67"/>
    <n v="40"/>
    <n v="34757"/>
    <n v="2328719"/>
    <n v="0"/>
    <n v="903682"/>
    <x v="0"/>
    <x v="2"/>
    <x v="1"/>
  </r>
  <r>
    <x v="425"/>
    <x v="14"/>
    <x v="3"/>
    <x v="2"/>
    <x v="3"/>
    <n v="162"/>
    <n v="99"/>
    <n v="60"/>
    <n v="201"/>
    <n v="50"/>
    <n v="12424"/>
    <n v="2497224"/>
    <n v="0"/>
    <n v="1229976"/>
    <x v="0"/>
    <x v="2"/>
    <x v="1"/>
  </r>
  <r>
    <x v="425"/>
    <x v="9"/>
    <x v="0"/>
    <x v="2"/>
    <x v="4"/>
    <n v="70"/>
    <n v="19"/>
    <n v="50"/>
    <n v="39"/>
    <n v="26"/>
    <n v="5516"/>
    <n v="215124"/>
    <n v="0"/>
    <n v="104804"/>
    <x v="0"/>
    <x v="2"/>
    <x v="1"/>
  </r>
  <r>
    <x v="425"/>
    <x v="18"/>
    <x v="3"/>
    <x v="0"/>
    <x v="2"/>
    <n v="120"/>
    <n v="21"/>
    <n v="71"/>
    <n v="70"/>
    <n v="52"/>
    <n v="33120"/>
    <n v="2318400"/>
    <n v="0"/>
    <n v="695520"/>
    <x v="0"/>
    <x v="2"/>
    <x v="1"/>
  </r>
  <r>
    <x v="425"/>
    <x v="11"/>
    <x v="2"/>
    <x v="2"/>
    <x v="5"/>
    <n v="324"/>
    <n v="259"/>
    <n v="229"/>
    <n v="354"/>
    <n v="108"/>
    <n v="347"/>
    <n v="122838"/>
    <n v="0"/>
    <n v="89873"/>
    <x v="0"/>
    <x v="2"/>
    <x v="1"/>
  </r>
  <r>
    <x v="426"/>
    <x v="1"/>
    <x v="1"/>
    <x v="2"/>
    <x v="2"/>
    <n v="71"/>
    <n v="46"/>
    <n v="36"/>
    <n v="81"/>
    <n v="10"/>
    <n v="7839"/>
    <n v="634959"/>
    <n v="0"/>
    <n v="360594"/>
    <x v="0"/>
    <x v="2"/>
    <x v="1"/>
  </r>
  <r>
    <x v="426"/>
    <x v="10"/>
    <x v="2"/>
    <x v="0"/>
    <x v="4"/>
    <n v="345"/>
    <n v="72"/>
    <n v="24"/>
    <n v="393"/>
    <n v="93"/>
    <n v="779"/>
    <n v="306147"/>
    <n v="0"/>
    <n v="56088"/>
    <x v="0"/>
    <x v="2"/>
    <x v="1"/>
  </r>
  <r>
    <x v="426"/>
    <x v="0"/>
    <x v="0"/>
    <x v="1"/>
    <x v="5"/>
    <n v="55"/>
    <n v="7"/>
    <n v="49"/>
    <n v="13"/>
    <n v="29"/>
    <n v="3751"/>
    <n v="48763"/>
    <n v="0"/>
    <n v="26257"/>
    <x v="1"/>
    <x v="2"/>
    <x v="1"/>
  </r>
  <r>
    <x v="426"/>
    <x v="0"/>
    <x v="0"/>
    <x v="1"/>
    <x v="5"/>
    <n v="106"/>
    <n v="46"/>
    <n v="47"/>
    <n v="105"/>
    <n v="25"/>
    <n v="10009"/>
    <n v="1050945"/>
    <n v="0"/>
    <n v="460414"/>
    <x v="0"/>
    <x v="2"/>
    <x v="1"/>
  </r>
  <r>
    <x v="426"/>
    <x v="17"/>
    <x v="2"/>
    <x v="2"/>
    <x v="2"/>
    <n v="234"/>
    <n v="163"/>
    <n v="229"/>
    <n v="168"/>
    <n v="123"/>
    <n v="819"/>
    <n v="137592"/>
    <n v="0"/>
    <n v="133497"/>
    <x v="0"/>
    <x v="2"/>
    <x v="1"/>
  </r>
  <r>
    <x v="427"/>
    <x v="14"/>
    <x v="3"/>
    <x v="3"/>
    <x v="2"/>
    <n v="48"/>
    <n v="97"/>
    <n v="63"/>
    <n v="82"/>
    <n v="25"/>
    <n v="53678"/>
    <n v="4401596"/>
    <n v="0"/>
    <n v="5206766"/>
    <x v="0"/>
    <x v="2"/>
    <x v="1"/>
  </r>
  <r>
    <x v="427"/>
    <x v="1"/>
    <x v="1"/>
    <x v="2"/>
    <x v="4"/>
    <n v="22"/>
    <n v="9"/>
    <n v="26"/>
    <n v="5"/>
    <n v="27"/>
    <n v="13935"/>
    <n v="69675"/>
    <n v="0"/>
    <n v="125415"/>
    <x v="1"/>
    <x v="2"/>
    <x v="1"/>
  </r>
  <r>
    <x v="427"/>
    <x v="10"/>
    <x v="2"/>
    <x v="3"/>
    <x v="3"/>
    <n v="214"/>
    <n v="35"/>
    <n v="23"/>
    <n v="226"/>
    <n v="135"/>
    <n v="151"/>
    <n v="34126"/>
    <n v="0"/>
    <n v="5285"/>
    <x v="0"/>
    <x v="2"/>
    <x v="1"/>
  </r>
  <r>
    <x v="427"/>
    <x v="10"/>
    <x v="2"/>
    <x v="2"/>
    <x v="3"/>
    <n v="399"/>
    <n v="149"/>
    <n v="84"/>
    <n v="464"/>
    <n v="70"/>
    <n v="693"/>
    <n v="321552"/>
    <n v="0"/>
    <n v="103257"/>
    <x v="0"/>
    <x v="2"/>
    <x v="1"/>
  </r>
  <r>
    <x v="427"/>
    <x v="0"/>
    <x v="0"/>
    <x v="0"/>
    <x v="5"/>
    <n v="36"/>
    <n v="36"/>
    <n v="7"/>
    <n v="65"/>
    <n v="24"/>
    <n v="3824"/>
    <n v="248560"/>
    <n v="0"/>
    <n v="137664"/>
    <x v="0"/>
    <x v="2"/>
    <x v="1"/>
  </r>
  <r>
    <x v="427"/>
    <x v="4"/>
    <x v="1"/>
    <x v="3"/>
    <x v="2"/>
    <n v="95"/>
    <n v="20"/>
    <n v="25"/>
    <n v="90"/>
    <n v="23"/>
    <n v="6223"/>
    <n v="560070"/>
    <n v="0"/>
    <n v="124460"/>
    <x v="0"/>
    <x v="2"/>
    <x v="1"/>
  </r>
  <r>
    <x v="427"/>
    <x v="19"/>
    <x v="0"/>
    <x v="2"/>
    <x v="1"/>
    <n v="29"/>
    <n v="7"/>
    <n v="13"/>
    <n v="23"/>
    <n v="28"/>
    <n v="4464"/>
    <n v="102672"/>
    <n v="0"/>
    <n v="31248"/>
    <x v="1"/>
    <x v="2"/>
    <x v="1"/>
  </r>
  <r>
    <x v="428"/>
    <x v="14"/>
    <x v="3"/>
    <x v="3"/>
    <x v="4"/>
    <n v="173"/>
    <n v="118"/>
    <n v="82"/>
    <n v="209"/>
    <n v="55"/>
    <n v="18914"/>
    <n v="3953026"/>
    <n v="0"/>
    <n v="2231852"/>
    <x v="0"/>
    <x v="2"/>
    <x v="1"/>
  </r>
  <r>
    <x v="429"/>
    <x v="7"/>
    <x v="2"/>
    <x v="0"/>
    <x v="3"/>
    <n v="381"/>
    <n v="213"/>
    <n v="188"/>
    <n v="406"/>
    <n v="69"/>
    <n v="1171"/>
    <n v="475426"/>
    <n v="0"/>
    <n v="249423"/>
    <x v="0"/>
    <x v="2"/>
    <x v="1"/>
  </r>
  <r>
    <x v="429"/>
    <x v="11"/>
    <x v="2"/>
    <x v="0"/>
    <x v="0"/>
    <n v="330"/>
    <n v="123"/>
    <n v="210"/>
    <n v="243"/>
    <n v="133"/>
    <n v="552"/>
    <n v="134136"/>
    <n v="0"/>
    <n v="67896"/>
    <x v="0"/>
    <x v="2"/>
    <x v="1"/>
  </r>
  <r>
    <x v="429"/>
    <x v="8"/>
    <x v="3"/>
    <x v="3"/>
    <x v="3"/>
    <n v="141"/>
    <n v="78"/>
    <n v="62"/>
    <n v="157"/>
    <n v="51"/>
    <n v="13891"/>
    <n v="2180887"/>
    <n v="0"/>
    <n v="1083498"/>
    <x v="0"/>
    <x v="2"/>
    <x v="1"/>
  </r>
  <r>
    <x v="429"/>
    <x v="10"/>
    <x v="2"/>
    <x v="1"/>
    <x v="2"/>
    <n v="79"/>
    <n v="144"/>
    <n v="99"/>
    <n v="124"/>
    <n v="136"/>
    <n v="379"/>
    <n v="46996"/>
    <n v="0"/>
    <n v="54576"/>
    <x v="1"/>
    <x v="2"/>
    <x v="1"/>
  </r>
  <r>
    <x v="429"/>
    <x v="12"/>
    <x v="1"/>
    <x v="2"/>
    <x v="3"/>
    <n v="77"/>
    <n v="36"/>
    <n v="20"/>
    <n v="93"/>
    <n v="23"/>
    <n v="21468"/>
    <n v="1996524"/>
    <n v="0"/>
    <n v="772848"/>
    <x v="0"/>
    <x v="2"/>
    <x v="1"/>
  </r>
  <r>
    <x v="430"/>
    <x v="5"/>
    <x v="3"/>
    <x v="1"/>
    <x v="3"/>
    <n v="113"/>
    <n v="64"/>
    <n v="59"/>
    <n v="118"/>
    <n v="37"/>
    <n v="11520"/>
    <n v="1359360"/>
    <n v="0"/>
    <n v="737280"/>
    <x v="0"/>
    <x v="2"/>
    <x v="1"/>
  </r>
  <r>
    <x v="430"/>
    <x v="0"/>
    <x v="0"/>
    <x v="2"/>
    <x v="0"/>
    <n v="33"/>
    <n v="55"/>
    <n v="9"/>
    <n v="79"/>
    <n v="25"/>
    <n v="10930"/>
    <n v="863470"/>
    <n v="0"/>
    <n v="601150"/>
    <x v="0"/>
    <x v="2"/>
    <x v="1"/>
  </r>
  <r>
    <x v="430"/>
    <x v="18"/>
    <x v="3"/>
    <x v="3"/>
    <x v="2"/>
    <n v="56"/>
    <n v="24"/>
    <n v="39"/>
    <n v="41"/>
    <n v="26"/>
    <n v="34555"/>
    <n v="1416755"/>
    <n v="0"/>
    <n v="829320"/>
    <x v="0"/>
    <x v="2"/>
    <x v="1"/>
  </r>
  <r>
    <x v="431"/>
    <x v="9"/>
    <x v="0"/>
    <x v="1"/>
    <x v="5"/>
    <n v="42"/>
    <n v="17"/>
    <n v="35"/>
    <n v="24"/>
    <n v="19"/>
    <n v="7091"/>
    <n v="170184"/>
    <n v="0"/>
    <n v="120547"/>
    <x v="0"/>
    <x v="2"/>
    <x v="1"/>
  </r>
  <r>
    <x v="431"/>
    <x v="0"/>
    <x v="0"/>
    <x v="3"/>
    <x v="5"/>
    <n v="100"/>
    <n v="25"/>
    <n v="38"/>
    <n v="87"/>
    <n v="39"/>
    <n v="10375"/>
    <n v="902625"/>
    <n v="0"/>
    <n v="259375"/>
    <x v="0"/>
    <x v="2"/>
    <x v="1"/>
  </r>
  <r>
    <x v="431"/>
    <x v="3"/>
    <x v="2"/>
    <x v="2"/>
    <x v="1"/>
    <n v="466"/>
    <n v="129"/>
    <n v="155"/>
    <n v="440"/>
    <n v="111"/>
    <n v="28"/>
    <n v="12320"/>
    <n v="0"/>
    <n v="3612"/>
    <x v="0"/>
    <x v="2"/>
    <x v="1"/>
  </r>
  <r>
    <x v="431"/>
    <x v="10"/>
    <x v="2"/>
    <x v="1"/>
    <x v="2"/>
    <n v="109"/>
    <n v="278"/>
    <n v="178"/>
    <n v="209"/>
    <n v="116"/>
    <n v="996"/>
    <n v="208164"/>
    <n v="0"/>
    <n v="276888"/>
    <x v="0"/>
    <x v="2"/>
    <x v="1"/>
  </r>
  <r>
    <x v="432"/>
    <x v="16"/>
    <x v="1"/>
    <x v="1"/>
    <x v="4"/>
    <n v="15"/>
    <n v="23"/>
    <n v="12"/>
    <n v="26"/>
    <n v="24"/>
    <n v="23453"/>
    <n v="609778"/>
    <n v="0"/>
    <n v="539419"/>
    <x v="0"/>
    <x v="2"/>
    <x v="1"/>
  </r>
  <r>
    <x v="432"/>
    <x v="7"/>
    <x v="2"/>
    <x v="2"/>
    <x v="0"/>
    <n v="161"/>
    <n v="88"/>
    <n v="52"/>
    <n v="197"/>
    <n v="61"/>
    <n v="226"/>
    <n v="44522"/>
    <n v="0"/>
    <n v="19888"/>
    <x v="0"/>
    <x v="2"/>
    <x v="1"/>
  </r>
  <r>
    <x v="432"/>
    <x v="5"/>
    <x v="3"/>
    <x v="0"/>
    <x v="2"/>
    <n v="88"/>
    <n v="39"/>
    <n v="92"/>
    <n v="35"/>
    <n v="22"/>
    <n v="34010"/>
    <n v="1190350"/>
    <n v="0"/>
    <n v="1326390"/>
    <x v="0"/>
    <x v="2"/>
    <x v="1"/>
  </r>
  <r>
    <x v="433"/>
    <x v="4"/>
    <x v="1"/>
    <x v="3"/>
    <x v="3"/>
    <n v="28"/>
    <n v="16"/>
    <n v="23"/>
    <n v="21"/>
    <n v="23"/>
    <n v="20928"/>
    <n v="439488"/>
    <n v="0"/>
    <n v="334848"/>
    <x v="1"/>
    <x v="2"/>
    <x v="1"/>
  </r>
  <r>
    <x v="433"/>
    <x v="10"/>
    <x v="2"/>
    <x v="3"/>
    <x v="5"/>
    <n v="222"/>
    <n v="162"/>
    <n v="127"/>
    <n v="257"/>
    <n v="68"/>
    <n v="855"/>
    <n v="219735"/>
    <n v="0"/>
    <n v="138510"/>
    <x v="0"/>
    <x v="2"/>
    <x v="1"/>
  </r>
  <r>
    <x v="433"/>
    <x v="3"/>
    <x v="2"/>
    <x v="1"/>
    <x v="1"/>
    <n v="375"/>
    <n v="165"/>
    <n v="205"/>
    <n v="335"/>
    <n v="138"/>
    <n v="152"/>
    <n v="50920"/>
    <n v="0"/>
    <n v="25080"/>
    <x v="0"/>
    <x v="2"/>
    <x v="1"/>
  </r>
  <r>
    <x v="433"/>
    <x v="13"/>
    <x v="3"/>
    <x v="3"/>
    <x v="5"/>
    <n v="132"/>
    <n v="33"/>
    <n v="17"/>
    <n v="148"/>
    <n v="46"/>
    <n v="31164"/>
    <n v="4612272"/>
    <n v="0"/>
    <n v="1028412"/>
    <x v="0"/>
    <x v="2"/>
    <x v="1"/>
  </r>
  <r>
    <x v="433"/>
    <x v="10"/>
    <x v="2"/>
    <x v="2"/>
    <x v="3"/>
    <n v="322"/>
    <n v="128"/>
    <n v="261"/>
    <n v="189"/>
    <n v="135"/>
    <n v="123"/>
    <n v="23247"/>
    <n v="0"/>
    <n v="15744"/>
    <x v="0"/>
    <x v="2"/>
    <x v="1"/>
  </r>
  <r>
    <x v="433"/>
    <x v="6"/>
    <x v="3"/>
    <x v="1"/>
    <x v="5"/>
    <n v="105"/>
    <n v="66"/>
    <n v="33"/>
    <n v="138"/>
    <n v="47"/>
    <n v="62189"/>
    <n v="8582082"/>
    <n v="0"/>
    <n v="4104474"/>
    <x v="0"/>
    <x v="2"/>
    <x v="1"/>
  </r>
  <r>
    <x v="434"/>
    <x v="17"/>
    <x v="2"/>
    <x v="1"/>
    <x v="5"/>
    <n v="291"/>
    <n v="172"/>
    <n v="59"/>
    <n v="404"/>
    <n v="82"/>
    <n v="281"/>
    <n v="113524"/>
    <n v="0"/>
    <n v="48332"/>
    <x v="0"/>
    <x v="2"/>
    <x v="1"/>
  </r>
  <r>
    <x v="434"/>
    <x v="2"/>
    <x v="0"/>
    <x v="3"/>
    <x v="3"/>
    <n v="82"/>
    <n v="30"/>
    <n v="13"/>
    <n v="99"/>
    <n v="28"/>
    <n v="2237"/>
    <n v="221463"/>
    <n v="0"/>
    <n v="67110"/>
    <x v="0"/>
    <x v="2"/>
    <x v="1"/>
  </r>
  <r>
    <x v="434"/>
    <x v="14"/>
    <x v="3"/>
    <x v="1"/>
    <x v="3"/>
    <n v="165"/>
    <n v="100"/>
    <n v="86"/>
    <n v="179"/>
    <n v="51"/>
    <n v="34943"/>
    <n v="6254797"/>
    <n v="0"/>
    <n v="3494300"/>
    <x v="0"/>
    <x v="2"/>
    <x v="1"/>
  </r>
  <r>
    <x v="434"/>
    <x v="7"/>
    <x v="2"/>
    <x v="1"/>
    <x v="3"/>
    <n v="353"/>
    <n v="245"/>
    <n v="184"/>
    <n v="414"/>
    <n v="122"/>
    <n v="847"/>
    <n v="350658"/>
    <n v="0"/>
    <n v="207515"/>
    <x v="0"/>
    <x v="2"/>
    <x v="1"/>
  </r>
  <r>
    <x v="434"/>
    <x v="4"/>
    <x v="1"/>
    <x v="1"/>
    <x v="3"/>
    <n v="32"/>
    <n v="29"/>
    <n v="44"/>
    <n v="17"/>
    <n v="28"/>
    <n v="8352"/>
    <n v="141984"/>
    <n v="0"/>
    <n v="242208"/>
    <x v="1"/>
    <x v="2"/>
    <x v="1"/>
  </r>
  <r>
    <x v="434"/>
    <x v="17"/>
    <x v="2"/>
    <x v="3"/>
    <x v="2"/>
    <n v="456"/>
    <n v="78"/>
    <n v="81"/>
    <n v="453"/>
    <n v="126"/>
    <n v="241"/>
    <n v="109173"/>
    <n v="0"/>
    <n v="18798"/>
    <x v="0"/>
    <x v="2"/>
    <x v="1"/>
  </r>
  <r>
    <x v="435"/>
    <x v="0"/>
    <x v="0"/>
    <x v="0"/>
    <x v="2"/>
    <n v="37"/>
    <n v="57"/>
    <n v="39"/>
    <n v="55"/>
    <n v="24"/>
    <n v="5509"/>
    <n v="302995"/>
    <n v="0"/>
    <n v="314013"/>
    <x v="0"/>
    <x v="2"/>
    <x v="1"/>
  </r>
  <r>
    <x v="435"/>
    <x v="10"/>
    <x v="2"/>
    <x v="2"/>
    <x v="1"/>
    <n v="368"/>
    <n v="189"/>
    <n v="47"/>
    <n v="510"/>
    <n v="78"/>
    <n v="839"/>
    <n v="427890"/>
    <n v="0"/>
    <n v="158571"/>
    <x v="0"/>
    <x v="2"/>
    <x v="1"/>
  </r>
  <r>
    <x v="435"/>
    <x v="4"/>
    <x v="1"/>
    <x v="3"/>
    <x v="2"/>
    <n v="71"/>
    <n v="52"/>
    <n v="31"/>
    <n v="92"/>
    <n v="24"/>
    <n v="8917"/>
    <n v="820364"/>
    <n v="0"/>
    <n v="463684"/>
    <x v="0"/>
    <x v="2"/>
    <x v="1"/>
  </r>
  <r>
    <x v="435"/>
    <x v="2"/>
    <x v="0"/>
    <x v="2"/>
    <x v="5"/>
    <n v="78"/>
    <n v="27"/>
    <n v="47"/>
    <n v="58"/>
    <n v="31"/>
    <n v="9814"/>
    <n v="569212"/>
    <n v="0"/>
    <n v="264978"/>
    <x v="0"/>
    <x v="2"/>
    <x v="1"/>
  </r>
  <r>
    <x v="436"/>
    <x v="14"/>
    <x v="3"/>
    <x v="1"/>
    <x v="5"/>
    <n v="132"/>
    <n v="107"/>
    <n v="55"/>
    <n v="184"/>
    <n v="25"/>
    <n v="3155"/>
    <n v="580520"/>
    <n v="0"/>
    <n v="337585"/>
    <x v="0"/>
    <x v="2"/>
    <x v="1"/>
  </r>
  <r>
    <x v="436"/>
    <x v="19"/>
    <x v="0"/>
    <x v="1"/>
    <x v="2"/>
    <n v="103"/>
    <n v="15"/>
    <n v="62"/>
    <n v="56"/>
    <n v="28"/>
    <n v="7167"/>
    <n v="401352"/>
    <n v="0"/>
    <n v="107505"/>
    <x v="0"/>
    <x v="2"/>
    <x v="1"/>
  </r>
  <r>
    <x v="436"/>
    <x v="2"/>
    <x v="0"/>
    <x v="2"/>
    <x v="5"/>
    <n v="22"/>
    <n v="59"/>
    <n v="7"/>
    <n v="74"/>
    <n v="27"/>
    <n v="5991"/>
    <n v="443334"/>
    <n v="0"/>
    <n v="353469"/>
    <x v="0"/>
    <x v="2"/>
    <x v="1"/>
  </r>
  <r>
    <x v="436"/>
    <x v="11"/>
    <x v="2"/>
    <x v="0"/>
    <x v="5"/>
    <n v="204"/>
    <n v="195"/>
    <n v="99"/>
    <n v="300"/>
    <n v="95"/>
    <n v="377"/>
    <n v="113100"/>
    <n v="0"/>
    <n v="73515"/>
    <x v="0"/>
    <x v="2"/>
    <x v="1"/>
  </r>
  <r>
    <x v="436"/>
    <x v="14"/>
    <x v="3"/>
    <x v="1"/>
    <x v="2"/>
    <n v="126"/>
    <n v="27"/>
    <n v="40"/>
    <n v="113"/>
    <n v="28"/>
    <n v="36226"/>
    <n v="4093538"/>
    <n v="0"/>
    <n v="978102"/>
    <x v="0"/>
    <x v="2"/>
    <x v="1"/>
  </r>
  <r>
    <x v="436"/>
    <x v="3"/>
    <x v="2"/>
    <x v="3"/>
    <x v="2"/>
    <n v="269"/>
    <n v="123"/>
    <n v="112"/>
    <n v="280"/>
    <n v="134"/>
    <n v="717"/>
    <n v="200760"/>
    <n v="0"/>
    <n v="88191"/>
    <x v="0"/>
    <x v="2"/>
    <x v="1"/>
  </r>
  <r>
    <x v="436"/>
    <x v="3"/>
    <x v="2"/>
    <x v="2"/>
    <x v="2"/>
    <n v="75"/>
    <n v="104"/>
    <n v="159"/>
    <n v="20"/>
    <n v="57"/>
    <n v="679"/>
    <n v="13580"/>
    <n v="0"/>
    <n v="70616"/>
    <x v="1"/>
    <x v="2"/>
    <x v="1"/>
  </r>
  <r>
    <x v="436"/>
    <x v="15"/>
    <x v="2"/>
    <x v="0"/>
    <x v="5"/>
    <n v="229"/>
    <n v="236"/>
    <n v="184"/>
    <n v="281"/>
    <n v="100"/>
    <n v="48"/>
    <n v="13488"/>
    <n v="0"/>
    <n v="11328"/>
    <x v="0"/>
    <x v="2"/>
    <x v="1"/>
  </r>
  <r>
    <x v="436"/>
    <x v="3"/>
    <x v="2"/>
    <x v="3"/>
    <x v="4"/>
    <n v="78"/>
    <n v="51"/>
    <n v="57"/>
    <n v="72"/>
    <n v="84"/>
    <n v="781"/>
    <n v="56232"/>
    <n v="0"/>
    <n v="39831"/>
    <x v="1"/>
    <x v="2"/>
    <x v="1"/>
  </r>
  <r>
    <x v="436"/>
    <x v="6"/>
    <x v="3"/>
    <x v="2"/>
    <x v="1"/>
    <n v="163"/>
    <n v="94"/>
    <n v="16"/>
    <n v="241"/>
    <n v="43"/>
    <n v="60443"/>
    <n v="14566763"/>
    <n v="0"/>
    <n v="5681642"/>
    <x v="0"/>
    <x v="2"/>
    <x v="1"/>
  </r>
  <r>
    <x v="436"/>
    <x v="3"/>
    <x v="2"/>
    <x v="1"/>
    <x v="2"/>
    <n v="75"/>
    <n v="223"/>
    <n v="247"/>
    <n v="51"/>
    <n v="124"/>
    <n v="340"/>
    <n v="17340"/>
    <n v="0"/>
    <n v="75820"/>
    <x v="1"/>
    <x v="2"/>
    <x v="1"/>
  </r>
  <r>
    <x v="437"/>
    <x v="0"/>
    <x v="0"/>
    <x v="0"/>
    <x v="5"/>
    <n v="67"/>
    <n v="60"/>
    <n v="36"/>
    <n v="91"/>
    <n v="36"/>
    <n v="17860"/>
    <n v="1625260"/>
    <n v="0"/>
    <n v="1071600"/>
    <x v="0"/>
    <x v="2"/>
    <x v="1"/>
  </r>
  <r>
    <x v="437"/>
    <x v="3"/>
    <x v="2"/>
    <x v="1"/>
    <x v="4"/>
    <n v="68"/>
    <n v="156"/>
    <n v="214"/>
    <n v="10"/>
    <n v="110"/>
    <n v="48"/>
    <n v="480"/>
    <n v="0"/>
    <n v="7488"/>
    <x v="1"/>
    <x v="2"/>
    <x v="1"/>
  </r>
  <r>
    <x v="437"/>
    <x v="4"/>
    <x v="1"/>
    <x v="0"/>
    <x v="5"/>
    <n v="78"/>
    <n v="51"/>
    <n v="36"/>
    <n v="93"/>
    <n v="11"/>
    <n v="21063"/>
    <n v="1958859"/>
    <n v="0"/>
    <n v="1074213"/>
    <x v="0"/>
    <x v="2"/>
    <x v="1"/>
  </r>
  <r>
    <x v="437"/>
    <x v="11"/>
    <x v="2"/>
    <x v="0"/>
    <x v="5"/>
    <n v="99"/>
    <n v="147"/>
    <n v="211"/>
    <n v="35"/>
    <n v="148"/>
    <n v="924"/>
    <n v="32340"/>
    <n v="0"/>
    <n v="135828"/>
    <x v="1"/>
    <x v="2"/>
    <x v="1"/>
  </r>
  <r>
    <x v="438"/>
    <x v="12"/>
    <x v="1"/>
    <x v="2"/>
    <x v="2"/>
    <n v="67"/>
    <n v="33"/>
    <n v="40"/>
    <n v="60"/>
    <n v="16"/>
    <n v="10087"/>
    <n v="605220"/>
    <n v="0"/>
    <n v="332871"/>
    <x v="0"/>
    <x v="2"/>
    <x v="1"/>
  </r>
  <r>
    <x v="439"/>
    <x v="11"/>
    <x v="2"/>
    <x v="2"/>
    <x v="1"/>
    <n v="484"/>
    <n v="298"/>
    <n v="148"/>
    <n v="634"/>
    <n v="66"/>
    <n v="583"/>
    <n v="369622"/>
    <n v="0"/>
    <n v="173734"/>
    <x v="0"/>
    <x v="2"/>
    <x v="1"/>
  </r>
  <r>
    <x v="439"/>
    <x v="16"/>
    <x v="1"/>
    <x v="1"/>
    <x v="3"/>
    <n v="78"/>
    <n v="45"/>
    <n v="23"/>
    <n v="100"/>
    <n v="18"/>
    <n v="3867"/>
    <n v="386700"/>
    <n v="0"/>
    <n v="174015"/>
    <x v="0"/>
    <x v="2"/>
    <x v="1"/>
  </r>
  <r>
    <x v="439"/>
    <x v="1"/>
    <x v="1"/>
    <x v="3"/>
    <x v="1"/>
    <n v="89"/>
    <n v="13"/>
    <n v="32"/>
    <n v="70"/>
    <n v="25"/>
    <n v="21356"/>
    <n v="1494920"/>
    <n v="0"/>
    <n v="277628"/>
    <x v="0"/>
    <x v="2"/>
    <x v="1"/>
  </r>
  <r>
    <x v="439"/>
    <x v="12"/>
    <x v="1"/>
    <x v="0"/>
    <x v="3"/>
    <n v="46"/>
    <n v="11"/>
    <n v="6"/>
    <n v="51"/>
    <n v="28"/>
    <n v="4266"/>
    <n v="217566"/>
    <n v="0"/>
    <n v="46926"/>
    <x v="0"/>
    <x v="2"/>
    <x v="1"/>
  </r>
  <r>
    <x v="439"/>
    <x v="2"/>
    <x v="0"/>
    <x v="3"/>
    <x v="0"/>
    <n v="70"/>
    <n v="11"/>
    <n v="53"/>
    <n v="28"/>
    <n v="31"/>
    <n v="17909"/>
    <n v="501452"/>
    <n v="0"/>
    <n v="196999"/>
    <x v="1"/>
    <x v="2"/>
    <x v="1"/>
  </r>
  <r>
    <x v="439"/>
    <x v="9"/>
    <x v="0"/>
    <x v="0"/>
    <x v="1"/>
    <n v="16"/>
    <n v="74"/>
    <n v="33"/>
    <n v="57"/>
    <n v="33"/>
    <n v="17777"/>
    <n v="1013289"/>
    <n v="0"/>
    <n v="1315498"/>
    <x v="0"/>
    <x v="2"/>
    <x v="1"/>
  </r>
  <r>
    <x v="439"/>
    <x v="13"/>
    <x v="3"/>
    <x v="3"/>
    <x v="5"/>
    <n v="149"/>
    <n v="65"/>
    <n v="88"/>
    <n v="126"/>
    <n v="53"/>
    <n v="63453"/>
    <n v="7995078"/>
    <n v="0"/>
    <n v="4124445"/>
    <x v="0"/>
    <x v="2"/>
    <x v="1"/>
  </r>
  <r>
    <x v="440"/>
    <x v="14"/>
    <x v="3"/>
    <x v="1"/>
    <x v="4"/>
    <n v="166"/>
    <n v="111"/>
    <n v="33"/>
    <n v="244"/>
    <n v="51"/>
    <n v="49590"/>
    <n v="12099960"/>
    <n v="0"/>
    <n v="5504490"/>
    <x v="0"/>
    <x v="2"/>
    <x v="1"/>
  </r>
  <r>
    <x v="440"/>
    <x v="5"/>
    <x v="3"/>
    <x v="2"/>
    <x v="4"/>
    <n v="57"/>
    <n v="98"/>
    <n v="84"/>
    <n v="71"/>
    <n v="20"/>
    <n v="13297"/>
    <n v="944087"/>
    <n v="0"/>
    <n v="1303106"/>
    <x v="0"/>
    <x v="2"/>
    <x v="1"/>
  </r>
  <r>
    <x v="440"/>
    <x v="7"/>
    <x v="2"/>
    <x v="0"/>
    <x v="2"/>
    <n v="240"/>
    <n v="208"/>
    <n v="121"/>
    <n v="327"/>
    <n v="59"/>
    <n v="233"/>
    <n v="76191"/>
    <n v="0"/>
    <n v="48464"/>
    <x v="0"/>
    <x v="2"/>
    <x v="1"/>
  </r>
  <r>
    <x v="440"/>
    <x v="4"/>
    <x v="1"/>
    <x v="2"/>
    <x v="3"/>
    <n v="10"/>
    <n v="9"/>
    <n v="5"/>
    <n v="14"/>
    <n v="25"/>
    <n v="20723"/>
    <n v="290122"/>
    <n v="0"/>
    <n v="186507"/>
    <x v="1"/>
    <x v="2"/>
    <x v="1"/>
  </r>
  <r>
    <x v="441"/>
    <x v="16"/>
    <x v="1"/>
    <x v="2"/>
    <x v="2"/>
    <n v="95"/>
    <n v="32"/>
    <n v="31"/>
    <n v="96"/>
    <n v="13"/>
    <n v="13519"/>
    <n v="1297824"/>
    <n v="0"/>
    <n v="432608"/>
    <x v="0"/>
    <x v="2"/>
    <x v="1"/>
  </r>
  <r>
    <x v="441"/>
    <x v="13"/>
    <x v="3"/>
    <x v="3"/>
    <x v="1"/>
    <n v="163"/>
    <n v="65"/>
    <n v="49"/>
    <n v="179"/>
    <n v="40"/>
    <n v="23058"/>
    <n v="4127382"/>
    <n v="0"/>
    <n v="1498770"/>
    <x v="0"/>
    <x v="2"/>
    <x v="1"/>
  </r>
  <r>
    <x v="441"/>
    <x v="9"/>
    <x v="0"/>
    <x v="3"/>
    <x v="3"/>
    <n v="50"/>
    <n v="77"/>
    <n v="57"/>
    <n v="70"/>
    <n v="33"/>
    <n v="5648"/>
    <n v="395360"/>
    <n v="0"/>
    <n v="434896"/>
    <x v="0"/>
    <x v="2"/>
    <x v="1"/>
  </r>
  <r>
    <x v="441"/>
    <x v="0"/>
    <x v="0"/>
    <x v="3"/>
    <x v="4"/>
    <n v="22"/>
    <n v="76"/>
    <n v="21"/>
    <n v="77"/>
    <n v="23"/>
    <n v="9179"/>
    <n v="706783"/>
    <n v="0"/>
    <n v="697604"/>
    <x v="0"/>
    <x v="2"/>
    <x v="1"/>
  </r>
  <r>
    <x v="441"/>
    <x v="17"/>
    <x v="2"/>
    <x v="2"/>
    <x v="1"/>
    <n v="149"/>
    <n v="88"/>
    <n v="237"/>
    <n v="0"/>
    <n v="117"/>
    <n v="432"/>
    <n v="0"/>
    <n v="0"/>
    <n v="38016"/>
    <x v="1"/>
    <x v="2"/>
    <x v="1"/>
  </r>
  <r>
    <x v="442"/>
    <x v="17"/>
    <x v="2"/>
    <x v="1"/>
    <x v="3"/>
    <n v="222"/>
    <n v="75"/>
    <n v="245"/>
    <n v="52"/>
    <n v="134"/>
    <n v="233"/>
    <n v="12116"/>
    <n v="0"/>
    <n v="17475"/>
    <x v="1"/>
    <x v="2"/>
    <x v="1"/>
  </r>
  <r>
    <x v="442"/>
    <x v="7"/>
    <x v="2"/>
    <x v="1"/>
    <x v="1"/>
    <n v="205"/>
    <n v="269"/>
    <n v="268"/>
    <n v="206"/>
    <n v="110"/>
    <n v="647"/>
    <n v="133282"/>
    <n v="0"/>
    <n v="174043"/>
    <x v="0"/>
    <x v="2"/>
    <x v="1"/>
  </r>
  <r>
    <x v="442"/>
    <x v="5"/>
    <x v="3"/>
    <x v="2"/>
    <x v="1"/>
    <n v="100"/>
    <n v="55"/>
    <n v="53"/>
    <n v="102"/>
    <n v="42"/>
    <n v="12512"/>
    <n v="1276224"/>
    <n v="0"/>
    <n v="688160"/>
    <x v="0"/>
    <x v="2"/>
    <x v="1"/>
  </r>
  <r>
    <x v="442"/>
    <x v="8"/>
    <x v="3"/>
    <x v="0"/>
    <x v="2"/>
    <n v="136"/>
    <n v="79"/>
    <n v="6"/>
    <n v="209"/>
    <n v="23"/>
    <n v="32613"/>
    <n v="6816117"/>
    <n v="0"/>
    <n v="2576427"/>
    <x v="0"/>
    <x v="2"/>
    <x v="1"/>
  </r>
  <r>
    <x v="443"/>
    <x v="12"/>
    <x v="1"/>
    <x v="3"/>
    <x v="1"/>
    <n v="51"/>
    <n v="40"/>
    <n v="21"/>
    <n v="70"/>
    <n v="16"/>
    <n v="11167"/>
    <n v="781690"/>
    <n v="0"/>
    <n v="446680"/>
    <x v="0"/>
    <x v="2"/>
    <x v="1"/>
  </r>
  <r>
    <x v="443"/>
    <x v="4"/>
    <x v="1"/>
    <x v="3"/>
    <x v="0"/>
    <n v="70"/>
    <n v="10"/>
    <n v="15"/>
    <n v="65"/>
    <n v="24"/>
    <n v="24629"/>
    <n v="1600885"/>
    <n v="0"/>
    <n v="246290"/>
    <x v="0"/>
    <x v="2"/>
    <x v="1"/>
  </r>
  <r>
    <x v="443"/>
    <x v="14"/>
    <x v="3"/>
    <x v="1"/>
    <x v="3"/>
    <n v="127"/>
    <n v="63"/>
    <n v="43"/>
    <n v="147"/>
    <n v="29"/>
    <n v="54138"/>
    <n v="7958286"/>
    <n v="0"/>
    <n v="3410694"/>
    <x v="0"/>
    <x v="2"/>
    <x v="1"/>
  </r>
  <r>
    <x v="443"/>
    <x v="16"/>
    <x v="1"/>
    <x v="1"/>
    <x v="5"/>
    <n v="58"/>
    <n v="51"/>
    <n v="40"/>
    <n v="69"/>
    <n v="27"/>
    <n v="13492"/>
    <n v="930948"/>
    <n v="0"/>
    <n v="688092"/>
    <x v="0"/>
    <x v="2"/>
    <x v="1"/>
  </r>
  <r>
    <x v="443"/>
    <x v="6"/>
    <x v="3"/>
    <x v="1"/>
    <x v="1"/>
    <n v="125"/>
    <n v="78"/>
    <n v="15"/>
    <n v="188"/>
    <n v="23"/>
    <n v="7109"/>
    <n v="1336492"/>
    <n v="0"/>
    <n v="554502"/>
    <x v="0"/>
    <x v="2"/>
    <x v="1"/>
  </r>
  <r>
    <x v="444"/>
    <x v="14"/>
    <x v="3"/>
    <x v="2"/>
    <x v="4"/>
    <n v="97"/>
    <n v="83"/>
    <n v="50"/>
    <n v="130"/>
    <n v="50"/>
    <n v="2732"/>
    <n v="355160"/>
    <n v="0"/>
    <n v="226756"/>
    <x v="0"/>
    <x v="2"/>
    <x v="1"/>
  </r>
  <r>
    <x v="444"/>
    <x v="13"/>
    <x v="3"/>
    <x v="1"/>
    <x v="0"/>
    <n v="21"/>
    <n v="117"/>
    <n v="84"/>
    <n v="54"/>
    <n v="53"/>
    <n v="58162"/>
    <n v="3140748"/>
    <n v="0"/>
    <n v="6804954"/>
    <x v="0"/>
    <x v="2"/>
    <x v="1"/>
  </r>
  <r>
    <x v="444"/>
    <x v="3"/>
    <x v="2"/>
    <x v="2"/>
    <x v="3"/>
    <n v="162"/>
    <n v="272"/>
    <n v="66"/>
    <n v="368"/>
    <n v="109"/>
    <n v="386"/>
    <n v="142048"/>
    <n v="0"/>
    <n v="104992"/>
    <x v="0"/>
    <x v="2"/>
    <x v="1"/>
  </r>
  <r>
    <x v="444"/>
    <x v="8"/>
    <x v="3"/>
    <x v="2"/>
    <x v="4"/>
    <n v="44"/>
    <n v="107"/>
    <n v="16"/>
    <n v="135"/>
    <n v="28"/>
    <n v="56757"/>
    <n v="7662195"/>
    <n v="0"/>
    <n v="6072999"/>
    <x v="0"/>
    <x v="2"/>
    <x v="1"/>
  </r>
  <r>
    <x v="444"/>
    <x v="2"/>
    <x v="0"/>
    <x v="2"/>
    <x v="5"/>
    <n v="72"/>
    <n v="26"/>
    <n v="50"/>
    <n v="48"/>
    <n v="39"/>
    <n v="16902"/>
    <n v="811296"/>
    <n v="0"/>
    <n v="439452"/>
    <x v="0"/>
    <x v="2"/>
    <x v="1"/>
  </r>
  <r>
    <x v="445"/>
    <x v="7"/>
    <x v="2"/>
    <x v="1"/>
    <x v="5"/>
    <n v="439"/>
    <n v="189"/>
    <n v="52"/>
    <n v="576"/>
    <n v="51"/>
    <n v="273"/>
    <n v="157248"/>
    <n v="0"/>
    <n v="51597"/>
    <x v="0"/>
    <x v="2"/>
    <x v="1"/>
  </r>
  <r>
    <x v="445"/>
    <x v="16"/>
    <x v="1"/>
    <x v="1"/>
    <x v="3"/>
    <n v="77"/>
    <n v="40"/>
    <n v="29"/>
    <n v="88"/>
    <n v="22"/>
    <n v="3988"/>
    <n v="350944"/>
    <n v="0"/>
    <n v="159520"/>
    <x v="0"/>
    <x v="2"/>
    <x v="1"/>
  </r>
  <r>
    <x v="445"/>
    <x v="4"/>
    <x v="1"/>
    <x v="3"/>
    <x v="2"/>
    <n v="35"/>
    <n v="22"/>
    <n v="19"/>
    <n v="38"/>
    <n v="16"/>
    <n v="6676"/>
    <n v="253688"/>
    <n v="0"/>
    <n v="146872"/>
    <x v="0"/>
    <x v="2"/>
    <x v="1"/>
  </r>
  <r>
    <x v="445"/>
    <x v="11"/>
    <x v="2"/>
    <x v="0"/>
    <x v="0"/>
    <n v="111"/>
    <n v="239"/>
    <n v="61"/>
    <n v="289"/>
    <n v="51"/>
    <n v="596"/>
    <n v="172244"/>
    <n v="0"/>
    <n v="142444"/>
    <x v="0"/>
    <x v="2"/>
    <x v="1"/>
  </r>
  <r>
    <x v="445"/>
    <x v="12"/>
    <x v="1"/>
    <x v="3"/>
    <x v="5"/>
    <n v="99"/>
    <n v="50"/>
    <n v="28"/>
    <n v="121"/>
    <n v="29"/>
    <n v="13894"/>
    <n v="1681174"/>
    <n v="0"/>
    <n v="694700"/>
    <x v="0"/>
    <x v="2"/>
    <x v="1"/>
  </r>
  <r>
    <x v="445"/>
    <x v="4"/>
    <x v="1"/>
    <x v="0"/>
    <x v="0"/>
    <n v="70"/>
    <n v="44"/>
    <n v="23"/>
    <n v="91"/>
    <n v="10"/>
    <n v="15246"/>
    <n v="1387386"/>
    <n v="0"/>
    <n v="670824"/>
    <x v="0"/>
    <x v="2"/>
    <x v="1"/>
  </r>
  <r>
    <x v="446"/>
    <x v="1"/>
    <x v="1"/>
    <x v="3"/>
    <x v="5"/>
    <n v="97"/>
    <n v="49"/>
    <n v="36"/>
    <n v="110"/>
    <n v="15"/>
    <n v="2507"/>
    <n v="275770"/>
    <n v="0"/>
    <n v="122843"/>
    <x v="0"/>
    <x v="2"/>
    <x v="1"/>
  </r>
  <r>
    <x v="446"/>
    <x v="14"/>
    <x v="3"/>
    <x v="2"/>
    <x v="3"/>
    <n v="165"/>
    <n v="13"/>
    <n v="21"/>
    <n v="157"/>
    <n v="33"/>
    <n v="6168"/>
    <n v="968376"/>
    <n v="0"/>
    <n v="80184"/>
    <x v="0"/>
    <x v="2"/>
    <x v="1"/>
  </r>
  <r>
    <x v="447"/>
    <x v="4"/>
    <x v="1"/>
    <x v="0"/>
    <x v="4"/>
    <n v="68"/>
    <n v="18"/>
    <n v="37"/>
    <n v="49"/>
    <n v="18"/>
    <n v="19958"/>
    <n v="977942"/>
    <n v="0"/>
    <n v="359244"/>
    <x v="0"/>
    <x v="2"/>
    <x v="1"/>
  </r>
  <r>
    <x v="447"/>
    <x v="16"/>
    <x v="1"/>
    <x v="0"/>
    <x v="5"/>
    <n v="84"/>
    <n v="7"/>
    <n v="24"/>
    <n v="67"/>
    <n v="13"/>
    <n v="19573"/>
    <n v="1311391"/>
    <n v="0"/>
    <n v="137011"/>
    <x v="0"/>
    <x v="2"/>
    <x v="1"/>
  </r>
  <r>
    <x v="447"/>
    <x v="19"/>
    <x v="0"/>
    <x v="2"/>
    <x v="1"/>
    <n v="83"/>
    <n v="53"/>
    <n v="35"/>
    <n v="101"/>
    <n v="29"/>
    <n v="13367"/>
    <n v="1350067"/>
    <n v="0"/>
    <n v="708451"/>
    <x v="0"/>
    <x v="2"/>
    <x v="1"/>
  </r>
  <r>
    <x v="447"/>
    <x v="14"/>
    <x v="3"/>
    <x v="0"/>
    <x v="4"/>
    <n v="136"/>
    <n v="35"/>
    <n v="12"/>
    <n v="159"/>
    <n v="35"/>
    <n v="42321"/>
    <n v="6729039"/>
    <n v="0"/>
    <n v="1481235"/>
    <x v="0"/>
    <x v="2"/>
    <x v="1"/>
  </r>
  <r>
    <x v="447"/>
    <x v="4"/>
    <x v="1"/>
    <x v="3"/>
    <x v="1"/>
    <n v="38"/>
    <n v="49"/>
    <n v="4"/>
    <n v="83"/>
    <n v="24"/>
    <n v="22286"/>
    <n v="1849738"/>
    <n v="0"/>
    <n v="1092014"/>
    <x v="0"/>
    <x v="2"/>
    <x v="1"/>
  </r>
  <r>
    <x v="448"/>
    <x v="19"/>
    <x v="0"/>
    <x v="0"/>
    <x v="0"/>
    <n v="89"/>
    <n v="66"/>
    <n v="32"/>
    <n v="123"/>
    <n v="32"/>
    <n v="13685"/>
    <n v="1683255"/>
    <n v="0"/>
    <n v="903210"/>
    <x v="0"/>
    <x v="2"/>
    <x v="1"/>
  </r>
  <r>
    <x v="448"/>
    <x v="13"/>
    <x v="3"/>
    <x v="0"/>
    <x v="5"/>
    <n v="92"/>
    <n v="82"/>
    <n v="44"/>
    <n v="130"/>
    <n v="20"/>
    <n v="38704"/>
    <n v="5031520"/>
    <n v="0"/>
    <n v="3173728"/>
    <x v="0"/>
    <x v="2"/>
    <x v="1"/>
  </r>
  <r>
    <x v="449"/>
    <x v="19"/>
    <x v="0"/>
    <x v="3"/>
    <x v="4"/>
    <n v="59"/>
    <n v="17"/>
    <n v="52"/>
    <n v="24"/>
    <n v="34"/>
    <n v="10135"/>
    <n v="243240"/>
    <n v="0"/>
    <n v="172295"/>
    <x v="1"/>
    <x v="2"/>
    <x v="1"/>
  </r>
  <r>
    <x v="449"/>
    <x v="8"/>
    <x v="3"/>
    <x v="2"/>
    <x v="1"/>
    <n v="26"/>
    <n v="67"/>
    <n v="53"/>
    <n v="40"/>
    <n v="20"/>
    <n v="46982"/>
    <n v="1879280"/>
    <n v="0"/>
    <n v="3147794"/>
    <x v="0"/>
    <x v="2"/>
    <x v="1"/>
  </r>
  <r>
    <x v="449"/>
    <x v="2"/>
    <x v="0"/>
    <x v="1"/>
    <x v="2"/>
    <n v="101"/>
    <n v="30"/>
    <n v="63"/>
    <n v="68"/>
    <n v="15"/>
    <n v="3559"/>
    <n v="242012"/>
    <n v="0"/>
    <n v="106770"/>
    <x v="0"/>
    <x v="2"/>
    <x v="1"/>
  </r>
  <r>
    <x v="450"/>
    <x v="1"/>
    <x v="1"/>
    <x v="3"/>
    <x v="4"/>
    <n v="88"/>
    <n v="24"/>
    <n v="21"/>
    <n v="91"/>
    <n v="19"/>
    <n v="12625"/>
    <n v="1148875"/>
    <n v="0"/>
    <n v="303000"/>
    <x v="0"/>
    <x v="2"/>
    <x v="1"/>
  </r>
  <r>
    <x v="450"/>
    <x v="3"/>
    <x v="2"/>
    <x v="3"/>
    <x v="3"/>
    <n v="198"/>
    <n v="133"/>
    <n v="252"/>
    <n v="79"/>
    <n v="61"/>
    <n v="729"/>
    <n v="57591"/>
    <n v="0"/>
    <n v="96957"/>
    <x v="0"/>
    <x v="2"/>
    <x v="1"/>
  </r>
  <r>
    <x v="451"/>
    <x v="15"/>
    <x v="2"/>
    <x v="2"/>
    <x v="0"/>
    <n v="382"/>
    <n v="237"/>
    <n v="115"/>
    <n v="504"/>
    <n v="79"/>
    <n v="465"/>
    <n v="234360"/>
    <n v="0"/>
    <n v="110205"/>
    <x v="0"/>
    <x v="2"/>
    <x v="1"/>
  </r>
  <r>
    <x v="451"/>
    <x v="12"/>
    <x v="1"/>
    <x v="1"/>
    <x v="5"/>
    <n v="56"/>
    <n v="16"/>
    <n v="33"/>
    <n v="39"/>
    <n v="26"/>
    <n v="19962"/>
    <n v="778518"/>
    <n v="0"/>
    <n v="319392"/>
    <x v="0"/>
    <x v="2"/>
    <x v="1"/>
  </r>
  <r>
    <x v="451"/>
    <x v="10"/>
    <x v="2"/>
    <x v="1"/>
    <x v="1"/>
    <n v="432"/>
    <n v="299"/>
    <n v="57"/>
    <n v="674"/>
    <n v="130"/>
    <n v="336"/>
    <n v="226464"/>
    <n v="0"/>
    <n v="100464"/>
    <x v="0"/>
    <x v="2"/>
    <x v="1"/>
  </r>
  <r>
    <x v="451"/>
    <x v="17"/>
    <x v="2"/>
    <x v="1"/>
    <x v="1"/>
    <n v="453"/>
    <n v="269"/>
    <n v="235"/>
    <n v="487"/>
    <n v="131"/>
    <n v="67"/>
    <n v="32629"/>
    <n v="0"/>
    <n v="18023"/>
    <x v="0"/>
    <x v="2"/>
    <x v="1"/>
  </r>
  <r>
    <x v="452"/>
    <x v="12"/>
    <x v="1"/>
    <x v="0"/>
    <x v="5"/>
    <n v="68"/>
    <n v="36"/>
    <n v="22"/>
    <n v="82"/>
    <n v="11"/>
    <n v="11139"/>
    <n v="913398"/>
    <n v="0"/>
    <n v="401004"/>
    <x v="0"/>
    <x v="2"/>
    <x v="1"/>
  </r>
  <r>
    <x v="452"/>
    <x v="7"/>
    <x v="2"/>
    <x v="1"/>
    <x v="3"/>
    <n v="210"/>
    <n v="258"/>
    <n v="243"/>
    <n v="225"/>
    <n v="126"/>
    <n v="1132"/>
    <n v="254700"/>
    <n v="0"/>
    <n v="292056"/>
    <x v="0"/>
    <x v="2"/>
    <x v="1"/>
  </r>
  <r>
    <x v="452"/>
    <x v="18"/>
    <x v="3"/>
    <x v="3"/>
    <x v="3"/>
    <n v="170"/>
    <n v="49"/>
    <n v="67"/>
    <n v="152"/>
    <n v="34"/>
    <n v="64929"/>
    <n v="9869208"/>
    <n v="0"/>
    <n v="3181521"/>
    <x v="0"/>
    <x v="2"/>
    <x v="1"/>
  </r>
  <r>
    <x v="453"/>
    <x v="12"/>
    <x v="1"/>
    <x v="3"/>
    <x v="2"/>
    <n v="43"/>
    <n v="46"/>
    <n v="20"/>
    <n v="69"/>
    <n v="18"/>
    <n v="3605"/>
    <n v="248745"/>
    <n v="0"/>
    <n v="165830"/>
    <x v="0"/>
    <x v="2"/>
    <x v="1"/>
  </r>
  <r>
    <x v="453"/>
    <x v="18"/>
    <x v="3"/>
    <x v="1"/>
    <x v="4"/>
    <n v="108"/>
    <n v="94"/>
    <n v="19"/>
    <n v="183"/>
    <n v="31"/>
    <n v="24416"/>
    <n v="4468128"/>
    <n v="0"/>
    <n v="2295104"/>
    <x v="0"/>
    <x v="2"/>
    <x v="1"/>
  </r>
  <r>
    <x v="453"/>
    <x v="7"/>
    <x v="2"/>
    <x v="0"/>
    <x v="3"/>
    <n v="443"/>
    <n v="144"/>
    <n v="237"/>
    <n v="350"/>
    <n v="139"/>
    <n v="853"/>
    <n v="298550"/>
    <n v="0"/>
    <n v="122832"/>
    <x v="0"/>
    <x v="2"/>
    <x v="1"/>
  </r>
  <r>
    <x v="453"/>
    <x v="8"/>
    <x v="3"/>
    <x v="1"/>
    <x v="5"/>
    <n v="179"/>
    <n v="13"/>
    <n v="24"/>
    <n v="168"/>
    <n v="55"/>
    <n v="11537"/>
    <n v="1938216"/>
    <n v="0"/>
    <n v="149981"/>
    <x v="0"/>
    <x v="2"/>
    <x v="1"/>
  </r>
  <r>
    <x v="454"/>
    <x v="9"/>
    <x v="0"/>
    <x v="3"/>
    <x v="5"/>
    <n v="36"/>
    <n v="30"/>
    <n v="28"/>
    <n v="38"/>
    <n v="34"/>
    <n v="4890"/>
    <n v="185820"/>
    <n v="0"/>
    <n v="146700"/>
    <x v="0"/>
    <x v="3"/>
    <x v="1"/>
  </r>
  <r>
    <x v="454"/>
    <x v="2"/>
    <x v="0"/>
    <x v="2"/>
    <x v="4"/>
    <n v="117"/>
    <n v="36"/>
    <n v="35"/>
    <n v="118"/>
    <n v="26"/>
    <n v="11723"/>
    <n v="1383314"/>
    <n v="0"/>
    <n v="422028"/>
    <x v="0"/>
    <x v="3"/>
    <x v="1"/>
  </r>
  <r>
    <x v="454"/>
    <x v="2"/>
    <x v="0"/>
    <x v="1"/>
    <x v="0"/>
    <n v="58"/>
    <n v="51"/>
    <n v="62"/>
    <n v="47"/>
    <n v="26"/>
    <n v="5387"/>
    <n v="253189"/>
    <n v="0"/>
    <n v="274737"/>
    <x v="0"/>
    <x v="3"/>
    <x v="1"/>
  </r>
  <r>
    <x v="454"/>
    <x v="18"/>
    <x v="3"/>
    <x v="0"/>
    <x v="3"/>
    <n v="162"/>
    <n v="88"/>
    <n v="54"/>
    <n v="196"/>
    <n v="41"/>
    <n v="6150"/>
    <n v="1205400"/>
    <n v="0"/>
    <n v="541200"/>
    <x v="0"/>
    <x v="3"/>
    <x v="1"/>
  </r>
  <r>
    <x v="454"/>
    <x v="9"/>
    <x v="0"/>
    <x v="0"/>
    <x v="1"/>
    <n v="36"/>
    <n v="58"/>
    <n v="7"/>
    <n v="87"/>
    <n v="19"/>
    <n v="9548"/>
    <n v="830676"/>
    <n v="0"/>
    <n v="553784"/>
    <x v="0"/>
    <x v="3"/>
    <x v="1"/>
  </r>
  <r>
    <x v="454"/>
    <x v="16"/>
    <x v="1"/>
    <x v="3"/>
    <x v="4"/>
    <n v="36"/>
    <n v="13"/>
    <n v="38"/>
    <n v="11"/>
    <n v="21"/>
    <n v="15045"/>
    <n v="165495"/>
    <n v="0"/>
    <n v="195585"/>
    <x v="1"/>
    <x v="3"/>
    <x v="1"/>
  </r>
  <r>
    <x v="455"/>
    <x v="4"/>
    <x v="1"/>
    <x v="2"/>
    <x v="5"/>
    <n v="48"/>
    <n v="40"/>
    <n v="37"/>
    <n v="51"/>
    <n v="28"/>
    <n v="4123"/>
    <n v="210273"/>
    <n v="0"/>
    <n v="164920"/>
    <x v="0"/>
    <x v="3"/>
    <x v="1"/>
  </r>
  <r>
    <x v="455"/>
    <x v="13"/>
    <x v="3"/>
    <x v="1"/>
    <x v="3"/>
    <n v="113"/>
    <n v="88"/>
    <n v="55"/>
    <n v="146"/>
    <n v="34"/>
    <n v="64724"/>
    <n v="9449704"/>
    <n v="0"/>
    <n v="5695712"/>
    <x v="0"/>
    <x v="3"/>
    <x v="1"/>
  </r>
  <r>
    <x v="455"/>
    <x v="9"/>
    <x v="0"/>
    <x v="2"/>
    <x v="0"/>
    <n v="21"/>
    <n v="12"/>
    <n v="33"/>
    <n v="0"/>
    <n v="22"/>
    <n v="8932"/>
    <n v="0"/>
    <n v="0"/>
    <n v="107184"/>
    <x v="1"/>
    <x v="3"/>
    <x v="1"/>
  </r>
  <r>
    <x v="455"/>
    <x v="2"/>
    <x v="0"/>
    <x v="0"/>
    <x v="2"/>
    <n v="106"/>
    <n v="76"/>
    <n v="33"/>
    <n v="149"/>
    <n v="36"/>
    <n v="8643"/>
    <n v="1287807"/>
    <n v="0"/>
    <n v="656868"/>
    <x v="0"/>
    <x v="3"/>
    <x v="1"/>
  </r>
  <r>
    <x v="455"/>
    <x v="14"/>
    <x v="3"/>
    <x v="3"/>
    <x v="5"/>
    <n v="91"/>
    <n v="98"/>
    <n v="99"/>
    <n v="90"/>
    <n v="23"/>
    <n v="17737"/>
    <n v="1596330"/>
    <n v="0"/>
    <n v="1738226"/>
    <x v="0"/>
    <x v="3"/>
    <x v="1"/>
  </r>
  <r>
    <x v="455"/>
    <x v="5"/>
    <x v="3"/>
    <x v="2"/>
    <x v="2"/>
    <n v="171"/>
    <n v="73"/>
    <n v="53"/>
    <n v="191"/>
    <n v="55"/>
    <n v="18306"/>
    <n v="3496446"/>
    <n v="0"/>
    <n v="1336338"/>
    <x v="0"/>
    <x v="3"/>
    <x v="1"/>
  </r>
  <r>
    <x v="456"/>
    <x v="7"/>
    <x v="2"/>
    <x v="2"/>
    <x v="5"/>
    <n v="236"/>
    <n v="37"/>
    <n v="62"/>
    <n v="211"/>
    <n v="58"/>
    <n v="410"/>
    <n v="86510"/>
    <n v="0"/>
    <n v="15170"/>
    <x v="0"/>
    <x v="3"/>
    <x v="1"/>
  </r>
  <r>
    <x v="456"/>
    <x v="6"/>
    <x v="3"/>
    <x v="1"/>
    <x v="5"/>
    <n v="129"/>
    <n v="43"/>
    <n v="91"/>
    <n v="81"/>
    <n v="47"/>
    <n v="17238"/>
    <n v="1396278"/>
    <n v="0"/>
    <n v="741234"/>
    <x v="0"/>
    <x v="3"/>
    <x v="1"/>
  </r>
  <r>
    <x v="456"/>
    <x v="15"/>
    <x v="2"/>
    <x v="2"/>
    <x v="3"/>
    <n v="228"/>
    <n v="235"/>
    <n v="49"/>
    <n v="414"/>
    <n v="109"/>
    <n v="127"/>
    <n v="52578"/>
    <n v="0"/>
    <n v="29845"/>
    <x v="0"/>
    <x v="3"/>
    <x v="1"/>
  </r>
  <r>
    <x v="456"/>
    <x v="0"/>
    <x v="0"/>
    <x v="3"/>
    <x v="1"/>
    <n v="69"/>
    <n v="32"/>
    <n v="40"/>
    <n v="61"/>
    <n v="32"/>
    <n v="3371"/>
    <n v="205631"/>
    <n v="0"/>
    <n v="107872"/>
    <x v="0"/>
    <x v="3"/>
    <x v="1"/>
  </r>
  <r>
    <x v="457"/>
    <x v="14"/>
    <x v="3"/>
    <x v="3"/>
    <x v="3"/>
    <n v="77"/>
    <n v="96"/>
    <n v="30"/>
    <n v="143"/>
    <n v="53"/>
    <n v="12545"/>
    <n v="1793935"/>
    <n v="0"/>
    <n v="1204320"/>
    <x v="0"/>
    <x v="3"/>
    <x v="1"/>
  </r>
  <r>
    <x v="457"/>
    <x v="1"/>
    <x v="1"/>
    <x v="3"/>
    <x v="2"/>
    <n v="11"/>
    <n v="53"/>
    <n v="7"/>
    <n v="57"/>
    <n v="18"/>
    <n v="9056"/>
    <n v="516192"/>
    <n v="0"/>
    <n v="479968"/>
    <x v="0"/>
    <x v="3"/>
    <x v="1"/>
  </r>
  <r>
    <x v="457"/>
    <x v="6"/>
    <x v="3"/>
    <x v="2"/>
    <x v="5"/>
    <n v="57"/>
    <n v="106"/>
    <n v="74"/>
    <n v="89"/>
    <n v="56"/>
    <n v="37343"/>
    <n v="3323527"/>
    <n v="0"/>
    <n v="3958358"/>
    <x v="0"/>
    <x v="3"/>
    <x v="1"/>
  </r>
  <r>
    <x v="458"/>
    <x v="10"/>
    <x v="2"/>
    <x v="0"/>
    <x v="3"/>
    <n v="127"/>
    <n v="169"/>
    <n v="178"/>
    <n v="118"/>
    <n v="118"/>
    <n v="728"/>
    <n v="85904"/>
    <n v="0"/>
    <n v="123032"/>
    <x v="1"/>
    <x v="3"/>
    <x v="1"/>
  </r>
  <r>
    <x v="458"/>
    <x v="5"/>
    <x v="3"/>
    <x v="0"/>
    <x v="5"/>
    <n v="33"/>
    <n v="63"/>
    <n v="89"/>
    <n v="7"/>
    <n v="40"/>
    <n v="9845"/>
    <n v="68915"/>
    <n v="0"/>
    <n v="620235"/>
    <x v="1"/>
    <x v="3"/>
    <x v="1"/>
  </r>
  <r>
    <x v="458"/>
    <x v="11"/>
    <x v="2"/>
    <x v="3"/>
    <x v="0"/>
    <n v="372"/>
    <n v="210"/>
    <n v="87"/>
    <n v="495"/>
    <n v="77"/>
    <n v="971"/>
    <n v="480645"/>
    <n v="0"/>
    <n v="203910"/>
    <x v="0"/>
    <x v="3"/>
    <x v="1"/>
  </r>
  <r>
    <x v="458"/>
    <x v="18"/>
    <x v="3"/>
    <x v="3"/>
    <x v="0"/>
    <n v="119"/>
    <n v="77"/>
    <n v="9"/>
    <n v="187"/>
    <n v="56"/>
    <n v="61079"/>
    <n v="11421773"/>
    <n v="0"/>
    <n v="4703083"/>
    <x v="0"/>
    <x v="3"/>
    <x v="1"/>
  </r>
  <r>
    <x v="459"/>
    <x v="0"/>
    <x v="0"/>
    <x v="0"/>
    <x v="1"/>
    <n v="106"/>
    <n v="33"/>
    <n v="15"/>
    <n v="124"/>
    <n v="17"/>
    <n v="2281"/>
    <n v="282844"/>
    <n v="0"/>
    <n v="75273"/>
    <x v="0"/>
    <x v="3"/>
    <x v="1"/>
  </r>
  <r>
    <x v="459"/>
    <x v="7"/>
    <x v="2"/>
    <x v="1"/>
    <x v="3"/>
    <n v="155"/>
    <n v="50"/>
    <n v="73"/>
    <n v="132"/>
    <n v="76"/>
    <n v="184"/>
    <n v="24288"/>
    <n v="0"/>
    <n v="9200"/>
    <x v="0"/>
    <x v="3"/>
    <x v="1"/>
  </r>
  <r>
    <x v="459"/>
    <x v="7"/>
    <x v="2"/>
    <x v="2"/>
    <x v="5"/>
    <n v="244"/>
    <n v="187"/>
    <n v="155"/>
    <n v="276"/>
    <n v="149"/>
    <n v="73"/>
    <n v="20148"/>
    <n v="0"/>
    <n v="13651"/>
    <x v="0"/>
    <x v="3"/>
    <x v="1"/>
  </r>
  <r>
    <x v="459"/>
    <x v="3"/>
    <x v="2"/>
    <x v="3"/>
    <x v="3"/>
    <n v="230"/>
    <n v="97"/>
    <n v="58"/>
    <n v="269"/>
    <n v="137"/>
    <n v="583"/>
    <n v="156827"/>
    <n v="0"/>
    <n v="56551"/>
    <x v="0"/>
    <x v="3"/>
    <x v="1"/>
  </r>
  <r>
    <x v="460"/>
    <x v="14"/>
    <x v="3"/>
    <x v="0"/>
    <x v="0"/>
    <n v="116"/>
    <n v="101"/>
    <n v="56"/>
    <n v="161"/>
    <n v="27"/>
    <n v="53828"/>
    <n v="8666308"/>
    <n v="0"/>
    <n v="5436628"/>
    <x v="0"/>
    <x v="3"/>
    <x v="1"/>
  </r>
  <r>
    <x v="460"/>
    <x v="1"/>
    <x v="1"/>
    <x v="0"/>
    <x v="2"/>
    <n v="13"/>
    <n v="27"/>
    <n v="40"/>
    <n v="0"/>
    <n v="24"/>
    <n v="9775"/>
    <n v="0"/>
    <n v="0"/>
    <n v="263925"/>
    <x v="1"/>
    <x v="3"/>
    <x v="1"/>
  </r>
  <r>
    <x v="460"/>
    <x v="9"/>
    <x v="0"/>
    <x v="3"/>
    <x v="1"/>
    <n v="94"/>
    <n v="15"/>
    <n v="35"/>
    <n v="74"/>
    <n v="21"/>
    <n v="1465"/>
    <n v="108410"/>
    <n v="0"/>
    <n v="21975"/>
    <x v="0"/>
    <x v="3"/>
    <x v="1"/>
  </r>
  <r>
    <x v="460"/>
    <x v="6"/>
    <x v="3"/>
    <x v="2"/>
    <x v="5"/>
    <n v="135"/>
    <n v="77"/>
    <n v="40"/>
    <n v="172"/>
    <n v="24"/>
    <n v="39778"/>
    <n v="6841816"/>
    <n v="0"/>
    <n v="3062906"/>
    <x v="0"/>
    <x v="3"/>
    <x v="1"/>
  </r>
  <r>
    <x v="460"/>
    <x v="16"/>
    <x v="1"/>
    <x v="1"/>
    <x v="2"/>
    <n v="13"/>
    <n v="48"/>
    <n v="43"/>
    <n v="18"/>
    <n v="27"/>
    <n v="20671"/>
    <n v="372078"/>
    <n v="0"/>
    <n v="992208"/>
    <x v="1"/>
    <x v="3"/>
    <x v="1"/>
  </r>
  <r>
    <x v="460"/>
    <x v="16"/>
    <x v="1"/>
    <x v="2"/>
    <x v="5"/>
    <n v="28"/>
    <n v="18"/>
    <n v="41"/>
    <n v="5"/>
    <n v="12"/>
    <n v="23703"/>
    <n v="118515"/>
    <n v="0"/>
    <n v="426654"/>
    <x v="1"/>
    <x v="3"/>
    <x v="1"/>
  </r>
  <r>
    <x v="461"/>
    <x v="15"/>
    <x v="2"/>
    <x v="0"/>
    <x v="2"/>
    <n v="123"/>
    <n v="256"/>
    <n v="102"/>
    <n v="277"/>
    <n v="59"/>
    <n v="340"/>
    <n v="94180"/>
    <n v="0"/>
    <n v="87040"/>
    <x v="0"/>
    <x v="3"/>
    <x v="1"/>
  </r>
  <r>
    <x v="461"/>
    <x v="19"/>
    <x v="0"/>
    <x v="0"/>
    <x v="5"/>
    <n v="52"/>
    <n v="7"/>
    <n v="40"/>
    <n v="19"/>
    <n v="30"/>
    <n v="5050"/>
    <n v="95950"/>
    <n v="0"/>
    <n v="35350"/>
    <x v="1"/>
    <x v="3"/>
    <x v="1"/>
  </r>
  <r>
    <x v="461"/>
    <x v="3"/>
    <x v="2"/>
    <x v="2"/>
    <x v="0"/>
    <n v="131"/>
    <n v="42"/>
    <n v="33"/>
    <n v="140"/>
    <n v="141"/>
    <n v="289"/>
    <n v="40460"/>
    <n v="0"/>
    <n v="12138"/>
    <x v="1"/>
    <x v="3"/>
    <x v="1"/>
  </r>
  <r>
    <x v="461"/>
    <x v="5"/>
    <x v="3"/>
    <x v="0"/>
    <x v="5"/>
    <n v="34"/>
    <n v="26"/>
    <n v="38"/>
    <n v="22"/>
    <n v="54"/>
    <n v="61451"/>
    <n v="1351922"/>
    <n v="0"/>
    <n v="1597726"/>
    <x v="1"/>
    <x v="3"/>
    <x v="1"/>
  </r>
  <r>
    <x v="461"/>
    <x v="10"/>
    <x v="2"/>
    <x v="3"/>
    <x v="3"/>
    <n v="169"/>
    <n v="157"/>
    <n v="220"/>
    <n v="106"/>
    <n v="97"/>
    <n v="542"/>
    <n v="57452"/>
    <n v="0"/>
    <n v="85094"/>
    <x v="0"/>
    <x v="3"/>
    <x v="1"/>
  </r>
  <r>
    <x v="461"/>
    <x v="15"/>
    <x v="2"/>
    <x v="3"/>
    <x v="1"/>
    <n v="55"/>
    <n v="212"/>
    <n v="47"/>
    <n v="220"/>
    <n v="57"/>
    <n v="948"/>
    <n v="208560"/>
    <n v="0"/>
    <n v="200976"/>
    <x v="0"/>
    <x v="3"/>
    <x v="1"/>
  </r>
  <r>
    <x v="461"/>
    <x v="6"/>
    <x v="3"/>
    <x v="0"/>
    <x v="0"/>
    <n v="61"/>
    <n v="111"/>
    <n v="49"/>
    <n v="123"/>
    <n v="20"/>
    <n v="40390"/>
    <n v="4967970"/>
    <n v="0"/>
    <n v="4483290"/>
    <x v="0"/>
    <x v="3"/>
    <x v="1"/>
  </r>
  <r>
    <x v="462"/>
    <x v="2"/>
    <x v="0"/>
    <x v="1"/>
    <x v="1"/>
    <n v="52"/>
    <n v="76"/>
    <n v="21"/>
    <n v="107"/>
    <n v="16"/>
    <n v="16308"/>
    <n v="1744956"/>
    <n v="0"/>
    <n v="1239408"/>
    <x v="0"/>
    <x v="3"/>
    <x v="1"/>
  </r>
  <r>
    <x v="462"/>
    <x v="4"/>
    <x v="1"/>
    <x v="2"/>
    <x v="3"/>
    <n v="58"/>
    <n v="11"/>
    <n v="31"/>
    <n v="38"/>
    <n v="17"/>
    <n v="21998"/>
    <n v="835924"/>
    <n v="0"/>
    <n v="241978"/>
    <x v="0"/>
    <x v="3"/>
    <x v="1"/>
  </r>
  <r>
    <x v="462"/>
    <x v="16"/>
    <x v="1"/>
    <x v="1"/>
    <x v="1"/>
    <n v="69"/>
    <n v="52"/>
    <n v="5"/>
    <n v="116"/>
    <n v="17"/>
    <n v="17610"/>
    <n v="2042760"/>
    <n v="0"/>
    <n v="915720"/>
    <x v="0"/>
    <x v="3"/>
    <x v="1"/>
  </r>
  <r>
    <x v="462"/>
    <x v="10"/>
    <x v="2"/>
    <x v="2"/>
    <x v="5"/>
    <n v="64"/>
    <n v="263"/>
    <n v="72"/>
    <n v="255"/>
    <n v="136"/>
    <n v="46"/>
    <n v="11730"/>
    <n v="0"/>
    <n v="12098"/>
    <x v="0"/>
    <x v="3"/>
    <x v="1"/>
  </r>
  <r>
    <x v="462"/>
    <x v="18"/>
    <x v="3"/>
    <x v="3"/>
    <x v="5"/>
    <n v="77"/>
    <n v="56"/>
    <n v="70"/>
    <n v="63"/>
    <n v="55"/>
    <n v="12243"/>
    <n v="771309"/>
    <n v="0"/>
    <n v="685608"/>
    <x v="0"/>
    <x v="3"/>
    <x v="1"/>
  </r>
  <r>
    <x v="462"/>
    <x v="4"/>
    <x v="1"/>
    <x v="2"/>
    <x v="0"/>
    <n v="74"/>
    <n v="21"/>
    <n v="31"/>
    <n v="64"/>
    <n v="23"/>
    <n v="18677"/>
    <n v="1195328"/>
    <n v="0"/>
    <n v="392217"/>
    <x v="0"/>
    <x v="3"/>
    <x v="1"/>
  </r>
  <r>
    <x v="462"/>
    <x v="9"/>
    <x v="0"/>
    <x v="1"/>
    <x v="1"/>
    <n v="50"/>
    <n v="52"/>
    <n v="53"/>
    <n v="49"/>
    <n v="20"/>
    <n v="12850"/>
    <n v="629650"/>
    <n v="0"/>
    <n v="668200"/>
    <x v="0"/>
    <x v="3"/>
    <x v="1"/>
  </r>
  <r>
    <x v="463"/>
    <x v="0"/>
    <x v="0"/>
    <x v="2"/>
    <x v="0"/>
    <n v="94"/>
    <n v="44"/>
    <n v="41"/>
    <n v="97"/>
    <n v="26"/>
    <n v="8815"/>
    <n v="855055"/>
    <n v="0"/>
    <n v="387860"/>
    <x v="0"/>
    <x v="3"/>
    <x v="1"/>
  </r>
  <r>
    <x v="463"/>
    <x v="13"/>
    <x v="3"/>
    <x v="3"/>
    <x v="2"/>
    <n v="39"/>
    <n v="117"/>
    <n v="6"/>
    <n v="150"/>
    <n v="51"/>
    <n v="7718"/>
    <n v="1157700"/>
    <n v="0"/>
    <n v="903006"/>
    <x v="0"/>
    <x v="3"/>
    <x v="1"/>
  </r>
  <r>
    <x v="463"/>
    <x v="18"/>
    <x v="3"/>
    <x v="1"/>
    <x v="0"/>
    <n v="123"/>
    <n v="101"/>
    <n v="62"/>
    <n v="162"/>
    <n v="46"/>
    <n v="56043"/>
    <n v="9078966"/>
    <n v="0"/>
    <n v="5660343"/>
    <x v="0"/>
    <x v="3"/>
    <x v="1"/>
  </r>
  <r>
    <x v="463"/>
    <x v="1"/>
    <x v="1"/>
    <x v="3"/>
    <x v="1"/>
    <n v="21"/>
    <n v="8"/>
    <n v="14"/>
    <n v="15"/>
    <n v="18"/>
    <n v="20026"/>
    <n v="300390"/>
    <n v="0"/>
    <n v="160208"/>
    <x v="1"/>
    <x v="3"/>
    <x v="1"/>
  </r>
  <r>
    <x v="464"/>
    <x v="19"/>
    <x v="0"/>
    <x v="0"/>
    <x v="5"/>
    <n v="101"/>
    <n v="44"/>
    <n v="52"/>
    <n v="93"/>
    <n v="33"/>
    <n v="10244"/>
    <n v="952692"/>
    <n v="0"/>
    <n v="450736"/>
    <x v="0"/>
    <x v="3"/>
    <x v="1"/>
  </r>
  <r>
    <x v="464"/>
    <x v="19"/>
    <x v="0"/>
    <x v="1"/>
    <x v="2"/>
    <n v="43"/>
    <n v="29"/>
    <n v="58"/>
    <n v="14"/>
    <n v="33"/>
    <n v="11705"/>
    <n v="163870"/>
    <n v="0"/>
    <n v="339445"/>
    <x v="1"/>
    <x v="3"/>
    <x v="1"/>
  </r>
  <r>
    <x v="464"/>
    <x v="18"/>
    <x v="3"/>
    <x v="0"/>
    <x v="0"/>
    <n v="118"/>
    <n v="39"/>
    <n v="46"/>
    <n v="111"/>
    <n v="46"/>
    <n v="13738"/>
    <n v="1524918"/>
    <n v="0"/>
    <n v="535782"/>
    <x v="0"/>
    <x v="3"/>
    <x v="1"/>
  </r>
  <r>
    <x v="465"/>
    <x v="16"/>
    <x v="1"/>
    <x v="0"/>
    <x v="0"/>
    <n v="12"/>
    <n v="12"/>
    <n v="24"/>
    <n v="0"/>
    <n v="18"/>
    <n v="13702"/>
    <n v="0"/>
    <n v="0"/>
    <n v="164424"/>
    <x v="1"/>
    <x v="3"/>
    <x v="1"/>
  </r>
  <r>
    <x v="465"/>
    <x v="14"/>
    <x v="3"/>
    <x v="2"/>
    <x v="3"/>
    <n v="143"/>
    <n v="115"/>
    <n v="69"/>
    <n v="189"/>
    <n v="48"/>
    <n v="46296"/>
    <n v="8749944"/>
    <n v="0"/>
    <n v="5324040"/>
    <x v="0"/>
    <x v="3"/>
    <x v="1"/>
  </r>
  <r>
    <x v="465"/>
    <x v="19"/>
    <x v="0"/>
    <x v="2"/>
    <x v="3"/>
    <n v="76"/>
    <n v="20"/>
    <n v="26"/>
    <n v="70"/>
    <n v="18"/>
    <n v="4132"/>
    <n v="289240"/>
    <n v="0"/>
    <n v="82640"/>
    <x v="0"/>
    <x v="3"/>
    <x v="1"/>
  </r>
  <r>
    <x v="466"/>
    <x v="3"/>
    <x v="2"/>
    <x v="2"/>
    <x v="1"/>
    <n v="291"/>
    <n v="70"/>
    <n v="171"/>
    <n v="190"/>
    <n v="89"/>
    <n v="31"/>
    <n v="5890"/>
    <n v="0"/>
    <n v="2170"/>
    <x v="0"/>
    <x v="3"/>
    <x v="1"/>
  </r>
  <r>
    <x v="466"/>
    <x v="2"/>
    <x v="0"/>
    <x v="1"/>
    <x v="5"/>
    <n v="96"/>
    <n v="5"/>
    <n v="60"/>
    <n v="41"/>
    <n v="33"/>
    <n v="16280"/>
    <n v="667480"/>
    <n v="0"/>
    <n v="81400"/>
    <x v="0"/>
    <x v="3"/>
    <x v="1"/>
  </r>
  <r>
    <x v="466"/>
    <x v="5"/>
    <x v="3"/>
    <x v="0"/>
    <x v="2"/>
    <n v="152"/>
    <n v="64"/>
    <n v="24"/>
    <n v="192"/>
    <n v="55"/>
    <n v="6071"/>
    <n v="1165632"/>
    <n v="0"/>
    <n v="388544"/>
    <x v="0"/>
    <x v="3"/>
    <x v="1"/>
  </r>
  <r>
    <x v="466"/>
    <x v="10"/>
    <x v="2"/>
    <x v="2"/>
    <x v="3"/>
    <n v="464"/>
    <n v="98"/>
    <n v="113"/>
    <n v="449"/>
    <n v="137"/>
    <n v="219"/>
    <n v="98331"/>
    <n v="0"/>
    <n v="21462"/>
    <x v="0"/>
    <x v="3"/>
    <x v="1"/>
  </r>
  <r>
    <x v="467"/>
    <x v="1"/>
    <x v="1"/>
    <x v="3"/>
    <x v="4"/>
    <n v="10"/>
    <n v="49"/>
    <n v="16"/>
    <n v="43"/>
    <n v="24"/>
    <n v="10338"/>
    <n v="444534"/>
    <n v="0"/>
    <n v="506562"/>
    <x v="0"/>
    <x v="3"/>
    <x v="1"/>
  </r>
  <r>
    <x v="467"/>
    <x v="15"/>
    <x v="2"/>
    <x v="3"/>
    <x v="1"/>
    <n v="331"/>
    <n v="267"/>
    <n v="173"/>
    <n v="425"/>
    <n v="146"/>
    <n v="472"/>
    <n v="200600"/>
    <n v="0"/>
    <n v="126024"/>
    <x v="0"/>
    <x v="3"/>
    <x v="1"/>
  </r>
  <r>
    <x v="467"/>
    <x v="17"/>
    <x v="2"/>
    <x v="3"/>
    <x v="4"/>
    <n v="139"/>
    <n v="88"/>
    <n v="37"/>
    <n v="190"/>
    <n v="63"/>
    <n v="1115"/>
    <n v="211850"/>
    <n v="0"/>
    <n v="98120"/>
    <x v="0"/>
    <x v="3"/>
    <x v="1"/>
  </r>
  <r>
    <x v="468"/>
    <x v="17"/>
    <x v="2"/>
    <x v="1"/>
    <x v="3"/>
    <n v="424"/>
    <n v="51"/>
    <n v="247"/>
    <n v="228"/>
    <n v="100"/>
    <n v="57"/>
    <n v="12996"/>
    <n v="0"/>
    <n v="2907"/>
    <x v="0"/>
    <x v="3"/>
    <x v="1"/>
  </r>
  <r>
    <x v="468"/>
    <x v="11"/>
    <x v="2"/>
    <x v="1"/>
    <x v="0"/>
    <n v="283"/>
    <n v="192"/>
    <n v="125"/>
    <n v="350"/>
    <n v="91"/>
    <n v="624"/>
    <n v="218400"/>
    <n v="0"/>
    <n v="119808"/>
    <x v="0"/>
    <x v="3"/>
    <x v="1"/>
  </r>
  <r>
    <x v="468"/>
    <x v="5"/>
    <x v="3"/>
    <x v="2"/>
    <x v="2"/>
    <n v="81"/>
    <n v="51"/>
    <n v="80"/>
    <n v="52"/>
    <n v="32"/>
    <n v="59849"/>
    <n v="3112148"/>
    <n v="0"/>
    <n v="3052299"/>
    <x v="0"/>
    <x v="3"/>
    <x v="1"/>
  </r>
  <r>
    <x v="469"/>
    <x v="14"/>
    <x v="3"/>
    <x v="3"/>
    <x v="2"/>
    <n v="77"/>
    <n v="48"/>
    <n v="9"/>
    <n v="116"/>
    <n v="32"/>
    <n v="31584"/>
    <n v="3663744"/>
    <n v="0"/>
    <n v="1516032"/>
    <x v="0"/>
    <x v="3"/>
    <x v="1"/>
  </r>
  <r>
    <x v="469"/>
    <x v="19"/>
    <x v="0"/>
    <x v="0"/>
    <x v="1"/>
    <n v="104"/>
    <n v="33"/>
    <n v="35"/>
    <n v="102"/>
    <n v="39"/>
    <n v="12791"/>
    <n v="1304682"/>
    <n v="0"/>
    <n v="422103"/>
    <x v="0"/>
    <x v="3"/>
    <x v="1"/>
  </r>
  <r>
    <x v="469"/>
    <x v="9"/>
    <x v="0"/>
    <x v="1"/>
    <x v="0"/>
    <n v="18"/>
    <n v="52"/>
    <n v="57"/>
    <n v="13"/>
    <n v="15"/>
    <n v="7211"/>
    <n v="93743"/>
    <n v="0"/>
    <n v="374972"/>
    <x v="1"/>
    <x v="3"/>
    <x v="1"/>
  </r>
  <r>
    <x v="469"/>
    <x v="1"/>
    <x v="1"/>
    <x v="2"/>
    <x v="4"/>
    <n v="77"/>
    <n v="46"/>
    <n v="15"/>
    <n v="108"/>
    <n v="24"/>
    <n v="6608"/>
    <n v="713664"/>
    <n v="0"/>
    <n v="303968"/>
    <x v="0"/>
    <x v="3"/>
    <x v="1"/>
  </r>
  <r>
    <x v="470"/>
    <x v="17"/>
    <x v="2"/>
    <x v="1"/>
    <x v="5"/>
    <n v="446"/>
    <n v="98"/>
    <n v="32"/>
    <n v="512"/>
    <n v="80"/>
    <n v="721"/>
    <n v="369152"/>
    <n v="0"/>
    <n v="70658"/>
    <x v="0"/>
    <x v="3"/>
    <x v="1"/>
  </r>
  <r>
    <x v="470"/>
    <x v="12"/>
    <x v="1"/>
    <x v="1"/>
    <x v="3"/>
    <n v="48"/>
    <n v="40"/>
    <n v="21"/>
    <n v="67"/>
    <n v="16"/>
    <n v="23564"/>
    <n v="1578788"/>
    <n v="0"/>
    <n v="942560"/>
    <x v="0"/>
    <x v="3"/>
    <x v="1"/>
  </r>
  <r>
    <x v="470"/>
    <x v="7"/>
    <x v="2"/>
    <x v="2"/>
    <x v="1"/>
    <n v="107"/>
    <n v="187"/>
    <n v="85"/>
    <n v="209"/>
    <n v="111"/>
    <n v="1062"/>
    <n v="221958"/>
    <n v="0"/>
    <n v="198594"/>
    <x v="0"/>
    <x v="3"/>
    <x v="1"/>
  </r>
  <r>
    <x v="470"/>
    <x v="2"/>
    <x v="0"/>
    <x v="2"/>
    <x v="0"/>
    <n v="113"/>
    <n v="48"/>
    <n v="53"/>
    <n v="108"/>
    <n v="38"/>
    <n v="13518"/>
    <n v="1459944"/>
    <n v="0"/>
    <n v="648864"/>
    <x v="0"/>
    <x v="3"/>
    <x v="1"/>
  </r>
  <r>
    <x v="470"/>
    <x v="12"/>
    <x v="1"/>
    <x v="3"/>
    <x v="0"/>
    <n v="32"/>
    <n v="52"/>
    <n v="41"/>
    <n v="43"/>
    <n v="15"/>
    <n v="11745"/>
    <n v="505035"/>
    <n v="0"/>
    <n v="610740"/>
    <x v="0"/>
    <x v="3"/>
    <x v="1"/>
  </r>
  <r>
    <x v="471"/>
    <x v="2"/>
    <x v="0"/>
    <x v="0"/>
    <x v="3"/>
    <n v="82"/>
    <n v="66"/>
    <n v="60"/>
    <n v="88"/>
    <n v="25"/>
    <n v="10346"/>
    <n v="910448"/>
    <n v="0"/>
    <n v="682836"/>
    <x v="0"/>
    <x v="3"/>
    <x v="1"/>
  </r>
  <r>
    <x v="471"/>
    <x v="12"/>
    <x v="1"/>
    <x v="1"/>
    <x v="3"/>
    <n v="40"/>
    <n v="15"/>
    <n v="21"/>
    <n v="34"/>
    <n v="26"/>
    <n v="3345"/>
    <n v="113730"/>
    <n v="0"/>
    <n v="50175"/>
    <x v="0"/>
    <x v="3"/>
    <x v="1"/>
  </r>
  <r>
    <x v="471"/>
    <x v="9"/>
    <x v="0"/>
    <x v="1"/>
    <x v="0"/>
    <n v="104"/>
    <n v="51"/>
    <n v="4"/>
    <n v="151"/>
    <n v="35"/>
    <n v="1629"/>
    <n v="245979"/>
    <n v="0"/>
    <n v="83079"/>
    <x v="0"/>
    <x v="3"/>
    <x v="1"/>
  </r>
  <r>
    <x v="471"/>
    <x v="11"/>
    <x v="2"/>
    <x v="0"/>
    <x v="1"/>
    <n v="434"/>
    <n v="160"/>
    <n v="37"/>
    <n v="557"/>
    <n v="146"/>
    <n v="830"/>
    <n v="462310"/>
    <n v="0"/>
    <n v="132800"/>
    <x v="0"/>
    <x v="3"/>
    <x v="1"/>
  </r>
  <r>
    <x v="471"/>
    <x v="14"/>
    <x v="3"/>
    <x v="2"/>
    <x v="4"/>
    <n v="139"/>
    <n v="55"/>
    <n v="45"/>
    <n v="149"/>
    <n v="44"/>
    <n v="36590"/>
    <n v="5451910"/>
    <n v="0"/>
    <n v="2012450"/>
    <x v="0"/>
    <x v="3"/>
    <x v="1"/>
  </r>
  <r>
    <x v="472"/>
    <x v="14"/>
    <x v="3"/>
    <x v="2"/>
    <x v="3"/>
    <n v="36"/>
    <n v="97"/>
    <n v="96"/>
    <n v="37"/>
    <n v="50"/>
    <n v="5378"/>
    <n v="198986"/>
    <n v="0"/>
    <n v="521666"/>
    <x v="1"/>
    <x v="3"/>
    <x v="1"/>
  </r>
  <r>
    <x v="472"/>
    <x v="11"/>
    <x v="2"/>
    <x v="0"/>
    <x v="3"/>
    <n v="145"/>
    <n v="232"/>
    <n v="77"/>
    <n v="300"/>
    <n v="59"/>
    <n v="1135"/>
    <n v="340500"/>
    <n v="0"/>
    <n v="263320"/>
    <x v="0"/>
    <x v="3"/>
    <x v="1"/>
  </r>
  <r>
    <x v="472"/>
    <x v="7"/>
    <x v="2"/>
    <x v="0"/>
    <x v="0"/>
    <n v="85"/>
    <n v="207"/>
    <n v="266"/>
    <n v="26"/>
    <n v="120"/>
    <n v="1060"/>
    <n v="27560"/>
    <n v="0"/>
    <n v="219420"/>
    <x v="1"/>
    <x v="3"/>
    <x v="1"/>
  </r>
  <r>
    <x v="472"/>
    <x v="4"/>
    <x v="1"/>
    <x v="0"/>
    <x v="0"/>
    <n v="30"/>
    <n v="22"/>
    <n v="19"/>
    <n v="33"/>
    <n v="23"/>
    <n v="20188"/>
    <n v="666204"/>
    <n v="0"/>
    <n v="444136"/>
    <x v="0"/>
    <x v="3"/>
    <x v="1"/>
  </r>
  <r>
    <x v="472"/>
    <x v="18"/>
    <x v="3"/>
    <x v="0"/>
    <x v="3"/>
    <n v="34"/>
    <n v="109"/>
    <n v="36"/>
    <n v="107"/>
    <n v="23"/>
    <n v="34719"/>
    <n v="3714933"/>
    <n v="0"/>
    <n v="3784371"/>
    <x v="0"/>
    <x v="3"/>
    <x v="1"/>
  </r>
  <r>
    <x v="472"/>
    <x v="0"/>
    <x v="0"/>
    <x v="1"/>
    <x v="1"/>
    <n v="76"/>
    <n v="39"/>
    <n v="8"/>
    <n v="107"/>
    <n v="35"/>
    <n v="5660"/>
    <n v="605620"/>
    <n v="0"/>
    <n v="220740"/>
    <x v="0"/>
    <x v="3"/>
    <x v="1"/>
  </r>
  <r>
    <x v="472"/>
    <x v="10"/>
    <x v="2"/>
    <x v="0"/>
    <x v="5"/>
    <n v="483"/>
    <n v="296"/>
    <n v="278"/>
    <n v="501"/>
    <n v="99"/>
    <n v="628"/>
    <n v="314628"/>
    <n v="0"/>
    <n v="185888"/>
    <x v="0"/>
    <x v="3"/>
    <x v="1"/>
  </r>
  <r>
    <x v="472"/>
    <x v="16"/>
    <x v="1"/>
    <x v="2"/>
    <x v="0"/>
    <n v="46"/>
    <n v="18"/>
    <n v="38"/>
    <n v="26"/>
    <n v="22"/>
    <n v="17602"/>
    <n v="457652"/>
    <n v="0"/>
    <n v="316836"/>
    <x v="0"/>
    <x v="3"/>
    <x v="1"/>
  </r>
  <r>
    <x v="472"/>
    <x v="19"/>
    <x v="0"/>
    <x v="0"/>
    <x v="0"/>
    <n v="29"/>
    <n v="20"/>
    <n v="15"/>
    <n v="34"/>
    <n v="21"/>
    <n v="1139"/>
    <n v="38726"/>
    <n v="0"/>
    <n v="22780"/>
    <x v="0"/>
    <x v="3"/>
    <x v="1"/>
  </r>
  <r>
    <x v="473"/>
    <x v="14"/>
    <x v="3"/>
    <x v="2"/>
    <x v="5"/>
    <n v="110"/>
    <n v="26"/>
    <n v="47"/>
    <n v="89"/>
    <n v="43"/>
    <n v="42714"/>
    <n v="3801546"/>
    <n v="0"/>
    <n v="1110564"/>
    <x v="0"/>
    <x v="3"/>
    <x v="1"/>
  </r>
  <r>
    <x v="473"/>
    <x v="19"/>
    <x v="0"/>
    <x v="2"/>
    <x v="2"/>
    <n v="92"/>
    <n v="49"/>
    <n v="55"/>
    <n v="86"/>
    <n v="16"/>
    <n v="3933"/>
    <n v="338238"/>
    <n v="0"/>
    <n v="192717"/>
    <x v="0"/>
    <x v="3"/>
    <x v="1"/>
  </r>
  <r>
    <x v="473"/>
    <x v="12"/>
    <x v="1"/>
    <x v="0"/>
    <x v="4"/>
    <n v="78"/>
    <n v="40"/>
    <n v="27"/>
    <n v="91"/>
    <n v="22"/>
    <n v="6661"/>
    <n v="606151"/>
    <n v="0"/>
    <n v="266440"/>
    <x v="0"/>
    <x v="3"/>
    <x v="1"/>
  </r>
  <r>
    <x v="474"/>
    <x v="2"/>
    <x v="0"/>
    <x v="0"/>
    <x v="3"/>
    <n v="61"/>
    <n v="79"/>
    <n v="59"/>
    <n v="81"/>
    <n v="36"/>
    <n v="1719"/>
    <n v="139239"/>
    <n v="0"/>
    <n v="135801"/>
    <x v="0"/>
    <x v="3"/>
    <x v="1"/>
  </r>
  <r>
    <x v="475"/>
    <x v="1"/>
    <x v="1"/>
    <x v="0"/>
    <x v="2"/>
    <n v="36"/>
    <n v="5"/>
    <n v="35"/>
    <n v="6"/>
    <n v="10"/>
    <n v="11807"/>
    <n v="70842"/>
    <n v="0"/>
    <n v="59035"/>
    <x v="1"/>
    <x v="3"/>
    <x v="1"/>
  </r>
  <r>
    <x v="475"/>
    <x v="15"/>
    <x v="2"/>
    <x v="1"/>
    <x v="4"/>
    <n v="95"/>
    <n v="35"/>
    <n v="108"/>
    <n v="22"/>
    <n v="73"/>
    <n v="1080"/>
    <n v="23760"/>
    <n v="0"/>
    <n v="37800"/>
    <x v="1"/>
    <x v="3"/>
    <x v="1"/>
  </r>
  <r>
    <x v="475"/>
    <x v="15"/>
    <x v="2"/>
    <x v="1"/>
    <x v="0"/>
    <n v="476"/>
    <n v="206"/>
    <n v="66"/>
    <n v="616"/>
    <n v="124"/>
    <n v="467"/>
    <n v="287672"/>
    <n v="0"/>
    <n v="96202"/>
    <x v="0"/>
    <x v="3"/>
    <x v="1"/>
  </r>
  <r>
    <x v="475"/>
    <x v="13"/>
    <x v="3"/>
    <x v="3"/>
    <x v="1"/>
    <n v="92"/>
    <n v="22"/>
    <n v="74"/>
    <n v="40"/>
    <n v="39"/>
    <n v="37925"/>
    <n v="1517000"/>
    <n v="0"/>
    <n v="834350"/>
    <x v="0"/>
    <x v="3"/>
    <x v="1"/>
  </r>
  <r>
    <x v="475"/>
    <x v="16"/>
    <x v="1"/>
    <x v="3"/>
    <x v="5"/>
    <n v="91"/>
    <n v="35"/>
    <n v="31"/>
    <n v="95"/>
    <n v="16"/>
    <n v="20303"/>
    <n v="1928785"/>
    <n v="0"/>
    <n v="710605"/>
    <x v="0"/>
    <x v="3"/>
    <x v="1"/>
  </r>
  <r>
    <x v="475"/>
    <x v="19"/>
    <x v="0"/>
    <x v="1"/>
    <x v="4"/>
    <n v="34"/>
    <n v="33"/>
    <n v="26"/>
    <n v="41"/>
    <n v="24"/>
    <n v="15866"/>
    <n v="650506"/>
    <n v="0"/>
    <n v="523578"/>
    <x v="0"/>
    <x v="3"/>
    <x v="1"/>
  </r>
  <r>
    <x v="476"/>
    <x v="7"/>
    <x v="2"/>
    <x v="3"/>
    <x v="1"/>
    <n v="304"/>
    <n v="92"/>
    <n v="255"/>
    <n v="141"/>
    <n v="132"/>
    <n v="211"/>
    <n v="29751"/>
    <n v="0"/>
    <n v="19412"/>
    <x v="0"/>
    <x v="3"/>
    <x v="1"/>
  </r>
  <r>
    <x v="476"/>
    <x v="13"/>
    <x v="3"/>
    <x v="3"/>
    <x v="0"/>
    <n v="43"/>
    <n v="48"/>
    <n v="72"/>
    <n v="19"/>
    <n v="48"/>
    <n v="43423"/>
    <n v="825037"/>
    <n v="0"/>
    <n v="2084304"/>
    <x v="1"/>
    <x v="3"/>
    <x v="1"/>
  </r>
  <r>
    <x v="476"/>
    <x v="14"/>
    <x v="3"/>
    <x v="3"/>
    <x v="0"/>
    <n v="25"/>
    <n v="77"/>
    <n v="55"/>
    <n v="47"/>
    <n v="54"/>
    <n v="60548"/>
    <n v="2845756"/>
    <n v="0"/>
    <n v="4662196"/>
    <x v="1"/>
    <x v="3"/>
    <x v="1"/>
  </r>
  <r>
    <x v="476"/>
    <x v="1"/>
    <x v="1"/>
    <x v="2"/>
    <x v="4"/>
    <n v="39"/>
    <n v="23"/>
    <n v="40"/>
    <n v="22"/>
    <n v="17"/>
    <n v="13054"/>
    <n v="287188"/>
    <n v="0"/>
    <n v="300242"/>
    <x v="0"/>
    <x v="3"/>
    <x v="1"/>
  </r>
  <r>
    <x v="477"/>
    <x v="9"/>
    <x v="0"/>
    <x v="1"/>
    <x v="4"/>
    <n v="48"/>
    <n v="75"/>
    <n v="38"/>
    <n v="85"/>
    <n v="20"/>
    <n v="16567"/>
    <n v="1408195"/>
    <n v="0"/>
    <n v="1242525"/>
    <x v="0"/>
    <x v="3"/>
    <x v="1"/>
  </r>
  <r>
    <x v="477"/>
    <x v="17"/>
    <x v="2"/>
    <x v="0"/>
    <x v="0"/>
    <n v="250"/>
    <n v="208"/>
    <n v="38"/>
    <n v="420"/>
    <n v="85"/>
    <n v="386"/>
    <n v="162120"/>
    <n v="0"/>
    <n v="80288"/>
    <x v="0"/>
    <x v="3"/>
    <x v="1"/>
  </r>
  <r>
    <x v="477"/>
    <x v="2"/>
    <x v="0"/>
    <x v="3"/>
    <x v="5"/>
    <n v="110"/>
    <n v="34"/>
    <n v="45"/>
    <n v="99"/>
    <n v="31"/>
    <n v="1597"/>
    <n v="158103"/>
    <n v="0"/>
    <n v="54298"/>
    <x v="0"/>
    <x v="3"/>
    <x v="1"/>
  </r>
  <r>
    <x v="477"/>
    <x v="8"/>
    <x v="3"/>
    <x v="2"/>
    <x v="4"/>
    <n v="164"/>
    <n v="84"/>
    <n v="24"/>
    <n v="224"/>
    <n v="28"/>
    <n v="46415"/>
    <n v="10396960"/>
    <n v="0"/>
    <n v="3898860"/>
    <x v="0"/>
    <x v="3"/>
    <x v="1"/>
  </r>
  <r>
    <x v="477"/>
    <x v="8"/>
    <x v="3"/>
    <x v="0"/>
    <x v="5"/>
    <n v="167"/>
    <n v="90"/>
    <n v="88"/>
    <n v="169"/>
    <n v="40"/>
    <n v="44539"/>
    <n v="7527091"/>
    <n v="0"/>
    <n v="4008510"/>
    <x v="0"/>
    <x v="3"/>
    <x v="1"/>
  </r>
  <r>
    <x v="477"/>
    <x v="8"/>
    <x v="3"/>
    <x v="2"/>
    <x v="3"/>
    <n v="83"/>
    <n v="19"/>
    <n v="83"/>
    <n v="19"/>
    <n v="37"/>
    <n v="38345"/>
    <n v="728555"/>
    <n v="0"/>
    <n v="728555"/>
    <x v="1"/>
    <x v="3"/>
    <x v="1"/>
  </r>
  <r>
    <x v="477"/>
    <x v="16"/>
    <x v="1"/>
    <x v="0"/>
    <x v="1"/>
    <n v="98"/>
    <n v="56"/>
    <n v="9"/>
    <n v="145"/>
    <n v="22"/>
    <n v="23242"/>
    <n v="3370090"/>
    <n v="0"/>
    <n v="1301552"/>
    <x v="0"/>
    <x v="3"/>
    <x v="1"/>
  </r>
  <r>
    <x v="477"/>
    <x v="14"/>
    <x v="3"/>
    <x v="3"/>
    <x v="1"/>
    <n v="87"/>
    <n v="65"/>
    <n v="43"/>
    <n v="109"/>
    <n v="26"/>
    <n v="56926"/>
    <n v="6204934"/>
    <n v="0"/>
    <n v="3700190"/>
    <x v="0"/>
    <x v="3"/>
    <x v="1"/>
  </r>
  <r>
    <x v="478"/>
    <x v="8"/>
    <x v="3"/>
    <x v="1"/>
    <x v="2"/>
    <n v="77"/>
    <n v="90"/>
    <n v="87"/>
    <n v="80"/>
    <n v="48"/>
    <n v="25055"/>
    <n v="2004400"/>
    <n v="0"/>
    <n v="2254950"/>
    <x v="0"/>
    <x v="3"/>
    <x v="1"/>
  </r>
  <r>
    <x v="478"/>
    <x v="7"/>
    <x v="2"/>
    <x v="0"/>
    <x v="3"/>
    <n v="181"/>
    <n v="31"/>
    <n v="124"/>
    <n v="88"/>
    <n v="134"/>
    <n v="500"/>
    <n v="44000"/>
    <n v="0"/>
    <n v="15500"/>
    <x v="1"/>
    <x v="3"/>
    <x v="1"/>
  </r>
  <r>
    <x v="478"/>
    <x v="5"/>
    <x v="3"/>
    <x v="1"/>
    <x v="3"/>
    <n v="115"/>
    <n v="105"/>
    <n v="94"/>
    <n v="126"/>
    <n v="37"/>
    <n v="22378"/>
    <n v="2819628"/>
    <n v="0"/>
    <n v="2349690"/>
    <x v="0"/>
    <x v="3"/>
    <x v="1"/>
  </r>
  <r>
    <x v="479"/>
    <x v="14"/>
    <x v="3"/>
    <x v="2"/>
    <x v="2"/>
    <n v="168"/>
    <n v="51"/>
    <n v="85"/>
    <n v="134"/>
    <n v="22"/>
    <n v="60090"/>
    <n v="8052060"/>
    <n v="0"/>
    <n v="3064590"/>
    <x v="0"/>
    <x v="3"/>
    <x v="1"/>
  </r>
  <r>
    <x v="479"/>
    <x v="10"/>
    <x v="2"/>
    <x v="0"/>
    <x v="4"/>
    <n v="68"/>
    <n v="224"/>
    <n v="184"/>
    <n v="108"/>
    <n v="114"/>
    <n v="1021"/>
    <n v="110268"/>
    <n v="0"/>
    <n v="228704"/>
    <x v="1"/>
    <x v="3"/>
    <x v="1"/>
  </r>
  <r>
    <x v="480"/>
    <x v="15"/>
    <x v="2"/>
    <x v="0"/>
    <x v="2"/>
    <n v="312"/>
    <n v="203"/>
    <n v="63"/>
    <n v="452"/>
    <n v="95"/>
    <n v="239"/>
    <n v="108028"/>
    <n v="0"/>
    <n v="48517"/>
    <x v="0"/>
    <x v="3"/>
    <x v="1"/>
  </r>
  <r>
    <x v="480"/>
    <x v="16"/>
    <x v="1"/>
    <x v="1"/>
    <x v="0"/>
    <n v="70"/>
    <n v="19"/>
    <n v="26"/>
    <n v="63"/>
    <n v="18"/>
    <n v="23139"/>
    <n v="1457757"/>
    <n v="0"/>
    <n v="439641"/>
    <x v="0"/>
    <x v="3"/>
    <x v="1"/>
  </r>
  <r>
    <x v="480"/>
    <x v="16"/>
    <x v="1"/>
    <x v="1"/>
    <x v="0"/>
    <n v="92"/>
    <n v="41"/>
    <n v="10"/>
    <n v="123"/>
    <n v="22"/>
    <n v="10227"/>
    <n v="1257921"/>
    <n v="0"/>
    <n v="419307"/>
    <x v="0"/>
    <x v="3"/>
    <x v="1"/>
  </r>
  <r>
    <x v="480"/>
    <x v="16"/>
    <x v="1"/>
    <x v="3"/>
    <x v="0"/>
    <n v="22"/>
    <n v="23"/>
    <n v="13"/>
    <n v="32"/>
    <n v="19"/>
    <n v="21887"/>
    <n v="700384"/>
    <n v="0"/>
    <n v="503401"/>
    <x v="0"/>
    <x v="3"/>
    <x v="1"/>
  </r>
  <r>
    <x v="480"/>
    <x v="0"/>
    <x v="0"/>
    <x v="0"/>
    <x v="2"/>
    <n v="105"/>
    <n v="67"/>
    <n v="48"/>
    <n v="124"/>
    <n v="19"/>
    <n v="16604"/>
    <n v="2058896"/>
    <n v="0"/>
    <n v="1112468"/>
    <x v="0"/>
    <x v="3"/>
    <x v="1"/>
  </r>
  <r>
    <x v="480"/>
    <x v="14"/>
    <x v="3"/>
    <x v="1"/>
    <x v="4"/>
    <n v="38"/>
    <n v="93"/>
    <n v="60"/>
    <n v="71"/>
    <n v="52"/>
    <n v="61997"/>
    <n v="4401787"/>
    <n v="0"/>
    <n v="5765721"/>
    <x v="0"/>
    <x v="3"/>
    <x v="1"/>
  </r>
  <r>
    <x v="480"/>
    <x v="14"/>
    <x v="3"/>
    <x v="3"/>
    <x v="4"/>
    <n v="101"/>
    <n v="22"/>
    <n v="27"/>
    <n v="96"/>
    <n v="30"/>
    <n v="26226"/>
    <n v="2517696"/>
    <n v="0"/>
    <n v="576972"/>
    <x v="0"/>
    <x v="3"/>
    <x v="1"/>
  </r>
  <r>
    <x v="480"/>
    <x v="10"/>
    <x v="2"/>
    <x v="1"/>
    <x v="1"/>
    <n v="258"/>
    <n v="215"/>
    <n v="178"/>
    <n v="295"/>
    <n v="58"/>
    <n v="526"/>
    <n v="155170"/>
    <n v="0"/>
    <n v="113090"/>
    <x v="0"/>
    <x v="3"/>
    <x v="1"/>
  </r>
  <r>
    <x v="480"/>
    <x v="2"/>
    <x v="0"/>
    <x v="1"/>
    <x v="1"/>
    <n v="75"/>
    <n v="17"/>
    <n v="27"/>
    <n v="65"/>
    <n v="38"/>
    <n v="17209"/>
    <n v="1118585"/>
    <n v="0"/>
    <n v="292553"/>
    <x v="0"/>
    <x v="3"/>
    <x v="1"/>
  </r>
  <r>
    <x v="481"/>
    <x v="6"/>
    <x v="3"/>
    <x v="2"/>
    <x v="5"/>
    <n v="164"/>
    <n v="82"/>
    <n v="40"/>
    <n v="206"/>
    <n v="50"/>
    <n v="19573"/>
    <n v="4032038"/>
    <n v="0"/>
    <n v="1604986"/>
    <x v="0"/>
    <x v="3"/>
    <x v="1"/>
  </r>
  <r>
    <x v="481"/>
    <x v="19"/>
    <x v="0"/>
    <x v="1"/>
    <x v="3"/>
    <n v="27"/>
    <n v="14"/>
    <n v="13"/>
    <n v="28"/>
    <n v="23"/>
    <n v="10018"/>
    <n v="280504"/>
    <n v="0"/>
    <n v="140252"/>
    <x v="0"/>
    <x v="3"/>
    <x v="1"/>
  </r>
  <r>
    <x v="481"/>
    <x v="16"/>
    <x v="1"/>
    <x v="2"/>
    <x v="5"/>
    <n v="69"/>
    <n v="35"/>
    <n v="20"/>
    <n v="84"/>
    <n v="15"/>
    <n v="20550"/>
    <n v="1726200"/>
    <n v="0"/>
    <n v="719250"/>
    <x v="0"/>
    <x v="3"/>
    <x v="1"/>
  </r>
  <r>
    <x v="481"/>
    <x v="15"/>
    <x v="2"/>
    <x v="3"/>
    <x v="0"/>
    <n v="416"/>
    <n v="163"/>
    <n v="216"/>
    <n v="363"/>
    <n v="146"/>
    <n v="92"/>
    <n v="33396"/>
    <n v="0"/>
    <n v="14996"/>
    <x v="0"/>
    <x v="3"/>
    <x v="1"/>
  </r>
  <r>
    <x v="481"/>
    <x v="7"/>
    <x v="2"/>
    <x v="0"/>
    <x v="0"/>
    <n v="474"/>
    <n v="54"/>
    <n v="150"/>
    <n v="378"/>
    <n v="147"/>
    <n v="1160"/>
    <n v="438480"/>
    <n v="0"/>
    <n v="62640"/>
    <x v="0"/>
    <x v="3"/>
    <x v="1"/>
  </r>
  <r>
    <x v="481"/>
    <x v="2"/>
    <x v="0"/>
    <x v="1"/>
    <x v="5"/>
    <n v="56"/>
    <n v="74"/>
    <n v="49"/>
    <n v="81"/>
    <n v="27"/>
    <n v="15088"/>
    <n v="1222128"/>
    <n v="0"/>
    <n v="1116512"/>
    <x v="0"/>
    <x v="3"/>
    <x v="1"/>
  </r>
  <r>
    <x v="481"/>
    <x v="19"/>
    <x v="0"/>
    <x v="0"/>
    <x v="5"/>
    <n v="116"/>
    <n v="28"/>
    <n v="56"/>
    <n v="88"/>
    <n v="32"/>
    <n v="1869"/>
    <n v="164472"/>
    <n v="0"/>
    <n v="52332"/>
    <x v="0"/>
    <x v="3"/>
    <x v="1"/>
  </r>
  <r>
    <x v="482"/>
    <x v="6"/>
    <x v="3"/>
    <x v="2"/>
    <x v="3"/>
    <n v="100"/>
    <n v="12"/>
    <n v="78"/>
    <n v="34"/>
    <n v="59"/>
    <n v="58516"/>
    <n v="1989544"/>
    <n v="0"/>
    <n v="702192"/>
    <x v="1"/>
    <x v="3"/>
    <x v="1"/>
  </r>
  <r>
    <x v="482"/>
    <x v="2"/>
    <x v="0"/>
    <x v="3"/>
    <x v="2"/>
    <n v="67"/>
    <n v="27"/>
    <n v="18"/>
    <n v="76"/>
    <n v="27"/>
    <n v="1762"/>
    <n v="133912"/>
    <n v="0"/>
    <n v="47574"/>
    <x v="0"/>
    <x v="3"/>
    <x v="1"/>
  </r>
  <r>
    <x v="482"/>
    <x v="14"/>
    <x v="3"/>
    <x v="1"/>
    <x v="2"/>
    <n v="57"/>
    <n v="110"/>
    <n v="66"/>
    <n v="101"/>
    <n v="29"/>
    <n v="31128"/>
    <n v="3143928"/>
    <n v="0"/>
    <n v="3424080"/>
    <x v="0"/>
    <x v="3"/>
    <x v="1"/>
  </r>
  <r>
    <x v="482"/>
    <x v="14"/>
    <x v="3"/>
    <x v="3"/>
    <x v="0"/>
    <n v="30"/>
    <n v="112"/>
    <n v="94"/>
    <n v="48"/>
    <n v="40"/>
    <n v="52657"/>
    <n v="2527536"/>
    <n v="0"/>
    <n v="5897584"/>
    <x v="0"/>
    <x v="3"/>
    <x v="1"/>
  </r>
  <r>
    <x v="483"/>
    <x v="10"/>
    <x v="2"/>
    <x v="0"/>
    <x v="4"/>
    <n v="171"/>
    <n v="154"/>
    <n v="46"/>
    <n v="279"/>
    <n v="84"/>
    <n v="189"/>
    <n v="52731"/>
    <n v="0"/>
    <n v="29106"/>
    <x v="0"/>
    <x v="3"/>
    <x v="1"/>
  </r>
  <r>
    <x v="483"/>
    <x v="3"/>
    <x v="2"/>
    <x v="2"/>
    <x v="4"/>
    <n v="270"/>
    <n v="291"/>
    <n v="48"/>
    <n v="513"/>
    <n v="74"/>
    <n v="30"/>
    <n v="15390"/>
    <n v="0"/>
    <n v="8730"/>
    <x v="0"/>
    <x v="3"/>
    <x v="1"/>
  </r>
  <r>
    <x v="483"/>
    <x v="17"/>
    <x v="2"/>
    <x v="1"/>
    <x v="2"/>
    <n v="425"/>
    <n v="178"/>
    <n v="213"/>
    <n v="390"/>
    <n v="70"/>
    <n v="326"/>
    <n v="127140"/>
    <n v="0"/>
    <n v="58028"/>
    <x v="0"/>
    <x v="3"/>
    <x v="1"/>
  </r>
  <r>
    <x v="483"/>
    <x v="3"/>
    <x v="2"/>
    <x v="0"/>
    <x v="2"/>
    <n v="127"/>
    <n v="120"/>
    <n v="96"/>
    <n v="151"/>
    <n v="117"/>
    <n v="801"/>
    <n v="120951"/>
    <n v="0"/>
    <n v="96120"/>
    <x v="0"/>
    <x v="3"/>
    <x v="1"/>
  </r>
  <r>
    <x v="484"/>
    <x v="3"/>
    <x v="2"/>
    <x v="3"/>
    <x v="4"/>
    <n v="455"/>
    <n v="146"/>
    <n v="52"/>
    <n v="549"/>
    <n v="76"/>
    <n v="899"/>
    <n v="493551"/>
    <n v="0"/>
    <n v="131254"/>
    <x v="0"/>
    <x v="4"/>
    <x v="1"/>
  </r>
  <r>
    <x v="484"/>
    <x v="18"/>
    <x v="3"/>
    <x v="0"/>
    <x v="3"/>
    <n v="103"/>
    <n v="76"/>
    <n v="67"/>
    <n v="112"/>
    <n v="21"/>
    <n v="18258"/>
    <n v="2044896"/>
    <n v="0"/>
    <n v="1387608"/>
    <x v="0"/>
    <x v="4"/>
    <x v="1"/>
  </r>
  <r>
    <x v="484"/>
    <x v="7"/>
    <x v="2"/>
    <x v="3"/>
    <x v="0"/>
    <n v="231"/>
    <n v="54"/>
    <n v="165"/>
    <n v="120"/>
    <n v="70"/>
    <n v="651"/>
    <n v="78120"/>
    <n v="0"/>
    <n v="35154"/>
    <x v="0"/>
    <x v="4"/>
    <x v="1"/>
  </r>
  <r>
    <x v="484"/>
    <x v="19"/>
    <x v="0"/>
    <x v="2"/>
    <x v="1"/>
    <n v="16"/>
    <n v="55"/>
    <n v="28"/>
    <n v="43"/>
    <n v="34"/>
    <n v="9473"/>
    <n v="407339"/>
    <n v="0"/>
    <n v="521015"/>
    <x v="0"/>
    <x v="4"/>
    <x v="1"/>
  </r>
  <r>
    <x v="485"/>
    <x v="12"/>
    <x v="1"/>
    <x v="0"/>
    <x v="3"/>
    <n v="32"/>
    <n v="43"/>
    <n v="16"/>
    <n v="59"/>
    <n v="12"/>
    <n v="16285"/>
    <n v="960815"/>
    <n v="0"/>
    <n v="700255"/>
    <x v="0"/>
    <x v="4"/>
    <x v="1"/>
  </r>
  <r>
    <x v="485"/>
    <x v="12"/>
    <x v="1"/>
    <x v="0"/>
    <x v="2"/>
    <n v="94"/>
    <n v="32"/>
    <n v="39"/>
    <n v="87"/>
    <n v="10"/>
    <n v="11603"/>
    <n v="1009461"/>
    <n v="0"/>
    <n v="371296"/>
    <x v="0"/>
    <x v="4"/>
    <x v="1"/>
  </r>
  <r>
    <x v="485"/>
    <x v="6"/>
    <x v="3"/>
    <x v="2"/>
    <x v="1"/>
    <n v="130"/>
    <n v="74"/>
    <n v="95"/>
    <n v="109"/>
    <n v="46"/>
    <n v="16728"/>
    <n v="1823352"/>
    <n v="0"/>
    <n v="1237872"/>
    <x v="0"/>
    <x v="4"/>
    <x v="1"/>
  </r>
  <r>
    <x v="485"/>
    <x v="17"/>
    <x v="2"/>
    <x v="2"/>
    <x v="2"/>
    <n v="397"/>
    <n v="163"/>
    <n v="157"/>
    <n v="403"/>
    <n v="127"/>
    <n v="1114"/>
    <n v="448942"/>
    <n v="0"/>
    <n v="181582"/>
    <x v="0"/>
    <x v="4"/>
    <x v="1"/>
  </r>
  <r>
    <x v="486"/>
    <x v="9"/>
    <x v="0"/>
    <x v="2"/>
    <x v="2"/>
    <n v="16"/>
    <n v="17"/>
    <n v="33"/>
    <n v="0"/>
    <n v="30"/>
    <n v="7003"/>
    <n v="0"/>
    <n v="0"/>
    <n v="119051"/>
    <x v="1"/>
    <x v="4"/>
    <x v="1"/>
  </r>
  <r>
    <x v="486"/>
    <x v="8"/>
    <x v="3"/>
    <x v="0"/>
    <x v="1"/>
    <n v="150"/>
    <n v="76"/>
    <n v="75"/>
    <n v="151"/>
    <n v="54"/>
    <n v="52739"/>
    <n v="7963589"/>
    <n v="0"/>
    <n v="4008164"/>
    <x v="0"/>
    <x v="4"/>
    <x v="1"/>
  </r>
  <r>
    <x v="486"/>
    <x v="17"/>
    <x v="2"/>
    <x v="2"/>
    <x v="4"/>
    <n v="316"/>
    <n v="48"/>
    <n v="109"/>
    <n v="255"/>
    <n v="139"/>
    <n v="135"/>
    <n v="34425"/>
    <n v="0"/>
    <n v="6480"/>
    <x v="0"/>
    <x v="4"/>
    <x v="1"/>
  </r>
  <r>
    <x v="486"/>
    <x v="19"/>
    <x v="0"/>
    <x v="0"/>
    <x v="2"/>
    <n v="87"/>
    <n v="73"/>
    <n v="44"/>
    <n v="116"/>
    <n v="36"/>
    <n v="3359"/>
    <n v="389644"/>
    <n v="0"/>
    <n v="245207"/>
    <x v="0"/>
    <x v="4"/>
    <x v="1"/>
  </r>
  <r>
    <x v="486"/>
    <x v="7"/>
    <x v="2"/>
    <x v="1"/>
    <x v="1"/>
    <n v="481"/>
    <n v="265"/>
    <n v="69"/>
    <n v="677"/>
    <n v="118"/>
    <n v="536"/>
    <n v="362872"/>
    <n v="0"/>
    <n v="142040"/>
    <x v="0"/>
    <x v="4"/>
    <x v="1"/>
  </r>
  <r>
    <x v="487"/>
    <x v="18"/>
    <x v="3"/>
    <x v="1"/>
    <x v="4"/>
    <n v="140"/>
    <n v="68"/>
    <n v="44"/>
    <n v="164"/>
    <n v="51"/>
    <n v="60692"/>
    <n v="9953488"/>
    <n v="0"/>
    <n v="4127056"/>
    <x v="0"/>
    <x v="4"/>
    <x v="1"/>
  </r>
  <r>
    <x v="487"/>
    <x v="11"/>
    <x v="2"/>
    <x v="1"/>
    <x v="4"/>
    <n v="230"/>
    <n v="106"/>
    <n v="125"/>
    <n v="211"/>
    <n v="116"/>
    <n v="976"/>
    <n v="205936"/>
    <n v="0"/>
    <n v="103456"/>
    <x v="0"/>
    <x v="4"/>
    <x v="1"/>
  </r>
  <r>
    <x v="487"/>
    <x v="1"/>
    <x v="1"/>
    <x v="0"/>
    <x v="1"/>
    <n v="74"/>
    <n v="10"/>
    <n v="24"/>
    <n v="60"/>
    <n v="20"/>
    <n v="18510"/>
    <n v="1110600"/>
    <n v="0"/>
    <n v="185100"/>
    <x v="0"/>
    <x v="4"/>
    <x v="1"/>
  </r>
  <r>
    <x v="487"/>
    <x v="15"/>
    <x v="2"/>
    <x v="3"/>
    <x v="3"/>
    <n v="414"/>
    <n v="55"/>
    <n v="56"/>
    <n v="413"/>
    <n v="65"/>
    <n v="797"/>
    <n v="329161"/>
    <n v="0"/>
    <n v="43835"/>
    <x v="0"/>
    <x v="4"/>
    <x v="1"/>
  </r>
  <r>
    <x v="487"/>
    <x v="6"/>
    <x v="3"/>
    <x v="1"/>
    <x v="1"/>
    <n v="125"/>
    <n v="107"/>
    <n v="73"/>
    <n v="159"/>
    <n v="32"/>
    <n v="44414"/>
    <n v="7061826"/>
    <n v="0"/>
    <n v="4752298"/>
    <x v="0"/>
    <x v="4"/>
    <x v="1"/>
  </r>
  <r>
    <x v="488"/>
    <x v="6"/>
    <x v="3"/>
    <x v="2"/>
    <x v="3"/>
    <n v="122"/>
    <n v="26"/>
    <n v="18"/>
    <n v="130"/>
    <n v="43"/>
    <n v="10174"/>
    <n v="1322620"/>
    <n v="0"/>
    <n v="264524"/>
    <x v="0"/>
    <x v="4"/>
    <x v="1"/>
  </r>
  <r>
    <x v="488"/>
    <x v="8"/>
    <x v="3"/>
    <x v="2"/>
    <x v="5"/>
    <n v="27"/>
    <n v="82"/>
    <n v="95"/>
    <n v="14"/>
    <n v="40"/>
    <n v="63779"/>
    <n v="892906"/>
    <n v="0"/>
    <n v="5229878"/>
    <x v="1"/>
    <x v="4"/>
    <x v="1"/>
  </r>
  <r>
    <x v="488"/>
    <x v="2"/>
    <x v="0"/>
    <x v="2"/>
    <x v="1"/>
    <n v="107"/>
    <n v="74"/>
    <n v="19"/>
    <n v="162"/>
    <n v="20"/>
    <n v="4884"/>
    <n v="791208"/>
    <n v="0"/>
    <n v="361416"/>
    <x v="0"/>
    <x v="4"/>
    <x v="1"/>
  </r>
  <r>
    <x v="488"/>
    <x v="13"/>
    <x v="3"/>
    <x v="2"/>
    <x v="0"/>
    <n v="156"/>
    <n v="74"/>
    <n v="81"/>
    <n v="149"/>
    <n v="34"/>
    <n v="46417"/>
    <n v="6916133"/>
    <n v="0"/>
    <n v="3434858"/>
    <x v="0"/>
    <x v="4"/>
    <x v="1"/>
  </r>
  <r>
    <x v="489"/>
    <x v="0"/>
    <x v="0"/>
    <x v="1"/>
    <x v="4"/>
    <n v="112"/>
    <n v="20"/>
    <n v="36"/>
    <n v="96"/>
    <n v="33"/>
    <n v="920"/>
    <n v="88320"/>
    <n v="0"/>
    <n v="18400"/>
    <x v="0"/>
    <x v="4"/>
    <x v="1"/>
  </r>
  <r>
    <x v="489"/>
    <x v="7"/>
    <x v="2"/>
    <x v="3"/>
    <x v="2"/>
    <n v="462"/>
    <n v="179"/>
    <n v="198"/>
    <n v="443"/>
    <n v="98"/>
    <n v="1086"/>
    <n v="481098"/>
    <n v="0"/>
    <n v="194394"/>
    <x v="0"/>
    <x v="4"/>
    <x v="1"/>
  </r>
  <r>
    <x v="489"/>
    <x v="19"/>
    <x v="0"/>
    <x v="3"/>
    <x v="0"/>
    <n v="95"/>
    <n v="66"/>
    <n v="61"/>
    <n v="100"/>
    <n v="25"/>
    <n v="13352"/>
    <n v="1335200"/>
    <n v="0"/>
    <n v="881232"/>
    <x v="0"/>
    <x v="4"/>
    <x v="1"/>
  </r>
  <r>
    <x v="489"/>
    <x v="19"/>
    <x v="0"/>
    <x v="3"/>
    <x v="1"/>
    <n v="63"/>
    <n v="40"/>
    <n v="44"/>
    <n v="59"/>
    <n v="33"/>
    <n v="5300"/>
    <n v="312700"/>
    <n v="0"/>
    <n v="212000"/>
    <x v="0"/>
    <x v="4"/>
    <x v="1"/>
  </r>
  <r>
    <x v="489"/>
    <x v="14"/>
    <x v="3"/>
    <x v="0"/>
    <x v="0"/>
    <n v="100"/>
    <n v="82"/>
    <n v="96"/>
    <n v="86"/>
    <n v="26"/>
    <n v="35029"/>
    <n v="3012494"/>
    <n v="0"/>
    <n v="2872378"/>
    <x v="0"/>
    <x v="4"/>
    <x v="1"/>
  </r>
  <r>
    <x v="489"/>
    <x v="3"/>
    <x v="2"/>
    <x v="3"/>
    <x v="2"/>
    <n v="117"/>
    <n v="283"/>
    <n v="26"/>
    <n v="374"/>
    <n v="134"/>
    <n v="280"/>
    <n v="104720"/>
    <n v="0"/>
    <n v="79240"/>
    <x v="0"/>
    <x v="4"/>
    <x v="1"/>
  </r>
  <r>
    <x v="490"/>
    <x v="3"/>
    <x v="2"/>
    <x v="2"/>
    <x v="3"/>
    <n v="119"/>
    <n v="198"/>
    <n v="77"/>
    <n v="240"/>
    <n v="105"/>
    <n v="579"/>
    <n v="138960"/>
    <n v="0"/>
    <n v="114642"/>
    <x v="0"/>
    <x v="4"/>
    <x v="1"/>
  </r>
  <r>
    <x v="490"/>
    <x v="16"/>
    <x v="1"/>
    <x v="0"/>
    <x v="0"/>
    <n v="66"/>
    <n v="35"/>
    <n v="4"/>
    <n v="97"/>
    <n v="26"/>
    <n v="8333"/>
    <n v="808301"/>
    <n v="0"/>
    <n v="291655"/>
    <x v="0"/>
    <x v="4"/>
    <x v="1"/>
  </r>
  <r>
    <x v="490"/>
    <x v="16"/>
    <x v="1"/>
    <x v="2"/>
    <x v="1"/>
    <n v="70"/>
    <n v="6"/>
    <n v="43"/>
    <n v="33"/>
    <n v="13"/>
    <n v="14748"/>
    <n v="486684"/>
    <n v="0"/>
    <n v="88488"/>
    <x v="0"/>
    <x v="4"/>
    <x v="1"/>
  </r>
  <r>
    <x v="490"/>
    <x v="17"/>
    <x v="2"/>
    <x v="2"/>
    <x v="0"/>
    <n v="460"/>
    <n v="166"/>
    <n v="193"/>
    <n v="433"/>
    <n v="63"/>
    <n v="491"/>
    <n v="212603"/>
    <n v="0"/>
    <n v="81506"/>
    <x v="0"/>
    <x v="4"/>
    <x v="1"/>
  </r>
  <r>
    <x v="490"/>
    <x v="15"/>
    <x v="2"/>
    <x v="3"/>
    <x v="2"/>
    <n v="445"/>
    <n v="111"/>
    <n v="18"/>
    <n v="538"/>
    <n v="102"/>
    <n v="580"/>
    <n v="312040"/>
    <n v="0"/>
    <n v="64380"/>
    <x v="0"/>
    <x v="4"/>
    <x v="1"/>
  </r>
  <r>
    <x v="490"/>
    <x v="0"/>
    <x v="0"/>
    <x v="3"/>
    <x v="5"/>
    <n v="85"/>
    <n v="61"/>
    <n v="28"/>
    <n v="118"/>
    <n v="24"/>
    <n v="16084"/>
    <n v="1897912"/>
    <n v="0"/>
    <n v="981124"/>
    <x v="0"/>
    <x v="4"/>
    <x v="1"/>
  </r>
  <r>
    <x v="491"/>
    <x v="4"/>
    <x v="1"/>
    <x v="3"/>
    <x v="4"/>
    <n v="48"/>
    <n v="11"/>
    <n v="5"/>
    <n v="54"/>
    <n v="21"/>
    <n v="18538"/>
    <n v="1001052"/>
    <n v="0"/>
    <n v="203918"/>
    <x v="0"/>
    <x v="4"/>
    <x v="1"/>
  </r>
  <r>
    <x v="491"/>
    <x v="2"/>
    <x v="0"/>
    <x v="1"/>
    <x v="1"/>
    <n v="16"/>
    <n v="29"/>
    <n v="15"/>
    <n v="30"/>
    <n v="24"/>
    <n v="11810"/>
    <n v="354300"/>
    <n v="0"/>
    <n v="342490"/>
    <x v="0"/>
    <x v="4"/>
    <x v="1"/>
  </r>
  <r>
    <x v="491"/>
    <x v="8"/>
    <x v="3"/>
    <x v="0"/>
    <x v="0"/>
    <n v="101"/>
    <n v="58"/>
    <n v="31"/>
    <n v="128"/>
    <n v="29"/>
    <n v="57765"/>
    <n v="7393920"/>
    <n v="0"/>
    <n v="3350370"/>
    <x v="0"/>
    <x v="4"/>
    <x v="1"/>
  </r>
  <r>
    <x v="491"/>
    <x v="12"/>
    <x v="1"/>
    <x v="1"/>
    <x v="3"/>
    <n v="19"/>
    <n v="54"/>
    <n v="8"/>
    <n v="65"/>
    <n v="14"/>
    <n v="8880"/>
    <n v="577200"/>
    <n v="0"/>
    <n v="479520"/>
    <x v="0"/>
    <x v="4"/>
    <x v="1"/>
  </r>
  <r>
    <x v="491"/>
    <x v="8"/>
    <x v="3"/>
    <x v="3"/>
    <x v="2"/>
    <n v="98"/>
    <n v="79"/>
    <n v="52"/>
    <n v="125"/>
    <n v="39"/>
    <n v="36654"/>
    <n v="4581750"/>
    <n v="0"/>
    <n v="2895666"/>
    <x v="0"/>
    <x v="4"/>
    <x v="1"/>
  </r>
  <r>
    <x v="491"/>
    <x v="3"/>
    <x v="2"/>
    <x v="0"/>
    <x v="1"/>
    <n v="317"/>
    <n v="42"/>
    <n v="129"/>
    <n v="230"/>
    <n v="146"/>
    <n v="989"/>
    <n v="227470"/>
    <n v="0"/>
    <n v="41538"/>
    <x v="0"/>
    <x v="4"/>
    <x v="1"/>
  </r>
  <r>
    <x v="491"/>
    <x v="1"/>
    <x v="1"/>
    <x v="0"/>
    <x v="2"/>
    <n v="36"/>
    <n v="49"/>
    <n v="5"/>
    <n v="80"/>
    <n v="23"/>
    <n v="20785"/>
    <n v="1662800"/>
    <n v="0"/>
    <n v="1018465"/>
    <x v="0"/>
    <x v="4"/>
    <x v="1"/>
  </r>
  <r>
    <x v="492"/>
    <x v="7"/>
    <x v="2"/>
    <x v="1"/>
    <x v="3"/>
    <n v="258"/>
    <n v="102"/>
    <n v="116"/>
    <n v="244"/>
    <n v="109"/>
    <n v="314"/>
    <n v="76616"/>
    <n v="0"/>
    <n v="32028"/>
    <x v="0"/>
    <x v="4"/>
    <x v="1"/>
  </r>
  <r>
    <x v="492"/>
    <x v="15"/>
    <x v="2"/>
    <x v="0"/>
    <x v="1"/>
    <n v="417"/>
    <n v="200"/>
    <n v="143"/>
    <n v="474"/>
    <n v="92"/>
    <n v="984"/>
    <n v="466416"/>
    <n v="0"/>
    <n v="196800"/>
    <x v="0"/>
    <x v="4"/>
    <x v="1"/>
  </r>
  <r>
    <x v="492"/>
    <x v="16"/>
    <x v="1"/>
    <x v="3"/>
    <x v="1"/>
    <n v="81"/>
    <n v="55"/>
    <n v="36"/>
    <n v="100"/>
    <n v="14"/>
    <n v="22573"/>
    <n v="2257300"/>
    <n v="0"/>
    <n v="1241515"/>
    <x v="0"/>
    <x v="4"/>
    <x v="1"/>
  </r>
  <r>
    <x v="492"/>
    <x v="1"/>
    <x v="1"/>
    <x v="3"/>
    <x v="3"/>
    <n v="76"/>
    <n v="40"/>
    <n v="26"/>
    <n v="90"/>
    <n v="13"/>
    <n v="23703"/>
    <n v="2133270"/>
    <n v="0"/>
    <n v="948120"/>
    <x v="0"/>
    <x v="4"/>
    <x v="1"/>
  </r>
  <r>
    <x v="492"/>
    <x v="4"/>
    <x v="1"/>
    <x v="2"/>
    <x v="5"/>
    <n v="67"/>
    <n v="34"/>
    <n v="42"/>
    <n v="59"/>
    <n v="23"/>
    <n v="2548"/>
    <n v="150332"/>
    <n v="0"/>
    <n v="86632"/>
    <x v="0"/>
    <x v="4"/>
    <x v="1"/>
  </r>
  <r>
    <x v="492"/>
    <x v="2"/>
    <x v="0"/>
    <x v="3"/>
    <x v="3"/>
    <n v="29"/>
    <n v="74"/>
    <n v="63"/>
    <n v="40"/>
    <n v="24"/>
    <n v="3571"/>
    <n v="142840"/>
    <n v="0"/>
    <n v="264254"/>
    <x v="0"/>
    <x v="4"/>
    <x v="1"/>
  </r>
  <r>
    <x v="493"/>
    <x v="11"/>
    <x v="2"/>
    <x v="3"/>
    <x v="3"/>
    <n v="279"/>
    <n v="49"/>
    <n v="50"/>
    <n v="278"/>
    <n v="69"/>
    <n v="969"/>
    <n v="269382"/>
    <n v="0"/>
    <n v="47481"/>
    <x v="0"/>
    <x v="4"/>
    <x v="1"/>
  </r>
  <r>
    <x v="493"/>
    <x v="7"/>
    <x v="2"/>
    <x v="0"/>
    <x v="5"/>
    <n v="375"/>
    <n v="267"/>
    <n v="188"/>
    <n v="454"/>
    <n v="131"/>
    <n v="758"/>
    <n v="344132"/>
    <n v="0"/>
    <n v="202386"/>
    <x v="0"/>
    <x v="4"/>
    <x v="1"/>
  </r>
  <r>
    <x v="493"/>
    <x v="15"/>
    <x v="2"/>
    <x v="3"/>
    <x v="5"/>
    <n v="218"/>
    <n v="159"/>
    <n v="28"/>
    <n v="349"/>
    <n v="51"/>
    <n v="532"/>
    <n v="185668"/>
    <n v="0"/>
    <n v="84588"/>
    <x v="0"/>
    <x v="4"/>
    <x v="1"/>
  </r>
  <r>
    <x v="493"/>
    <x v="3"/>
    <x v="2"/>
    <x v="3"/>
    <x v="1"/>
    <n v="106"/>
    <n v="96"/>
    <n v="55"/>
    <n v="147"/>
    <n v="59"/>
    <n v="625"/>
    <n v="91875"/>
    <n v="0"/>
    <n v="60000"/>
    <x v="0"/>
    <x v="4"/>
    <x v="1"/>
  </r>
  <r>
    <x v="493"/>
    <x v="18"/>
    <x v="3"/>
    <x v="3"/>
    <x v="5"/>
    <n v="21"/>
    <n v="50"/>
    <n v="71"/>
    <n v="0"/>
    <n v="56"/>
    <n v="47002"/>
    <n v="0"/>
    <n v="0"/>
    <n v="2350100"/>
    <x v="1"/>
    <x v="4"/>
    <x v="1"/>
  </r>
  <r>
    <x v="494"/>
    <x v="16"/>
    <x v="1"/>
    <x v="2"/>
    <x v="5"/>
    <n v="48"/>
    <n v="32"/>
    <n v="31"/>
    <n v="49"/>
    <n v="12"/>
    <n v="6144"/>
    <n v="301056"/>
    <n v="0"/>
    <n v="196608"/>
    <x v="0"/>
    <x v="4"/>
    <x v="1"/>
  </r>
  <r>
    <x v="494"/>
    <x v="17"/>
    <x v="2"/>
    <x v="0"/>
    <x v="3"/>
    <n v="58"/>
    <n v="44"/>
    <n v="102"/>
    <n v="0"/>
    <n v="90"/>
    <n v="245"/>
    <n v="0"/>
    <n v="0"/>
    <n v="10780"/>
    <x v="1"/>
    <x v="4"/>
    <x v="1"/>
  </r>
  <r>
    <x v="494"/>
    <x v="10"/>
    <x v="2"/>
    <x v="2"/>
    <x v="1"/>
    <n v="411"/>
    <n v="192"/>
    <n v="17"/>
    <n v="586"/>
    <n v="71"/>
    <n v="878"/>
    <n v="514508"/>
    <n v="0"/>
    <n v="168576"/>
    <x v="0"/>
    <x v="4"/>
    <x v="1"/>
  </r>
  <r>
    <x v="494"/>
    <x v="8"/>
    <x v="3"/>
    <x v="2"/>
    <x v="3"/>
    <n v="175"/>
    <n v="27"/>
    <n v="92"/>
    <n v="110"/>
    <n v="52"/>
    <n v="49260"/>
    <n v="5418600"/>
    <n v="0"/>
    <n v="1330020"/>
    <x v="0"/>
    <x v="4"/>
    <x v="1"/>
  </r>
  <r>
    <x v="494"/>
    <x v="0"/>
    <x v="0"/>
    <x v="0"/>
    <x v="1"/>
    <n v="98"/>
    <n v="29"/>
    <n v="42"/>
    <n v="85"/>
    <n v="33"/>
    <n v="7644"/>
    <n v="649740"/>
    <n v="0"/>
    <n v="221676"/>
    <x v="0"/>
    <x v="4"/>
    <x v="1"/>
  </r>
  <r>
    <x v="494"/>
    <x v="3"/>
    <x v="2"/>
    <x v="1"/>
    <x v="0"/>
    <n v="475"/>
    <n v="274"/>
    <n v="96"/>
    <n v="653"/>
    <n v="113"/>
    <n v="730"/>
    <n v="476690"/>
    <n v="0"/>
    <n v="200020"/>
    <x v="0"/>
    <x v="4"/>
    <x v="1"/>
  </r>
  <r>
    <x v="495"/>
    <x v="6"/>
    <x v="3"/>
    <x v="0"/>
    <x v="0"/>
    <n v="59"/>
    <n v="90"/>
    <n v="93"/>
    <n v="56"/>
    <n v="31"/>
    <n v="57053"/>
    <n v="3194968"/>
    <n v="0"/>
    <n v="5134770"/>
    <x v="0"/>
    <x v="4"/>
    <x v="1"/>
  </r>
  <r>
    <x v="495"/>
    <x v="7"/>
    <x v="2"/>
    <x v="1"/>
    <x v="1"/>
    <n v="138"/>
    <n v="270"/>
    <n v="275"/>
    <n v="133"/>
    <n v="74"/>
    <n v="242"/>
    <n v="32186"/>
    <n v="0"/>
    <n v="65340"/>
    <x v="0"/>
    <x v="4"/>
    <x v="1"/>
  </r>
  <r>
    <x v="495"/>
    <x v="0"/>
    <x v="0"/>
    <x v="2"/>
    <x v="1"/>
    <n v="61"/>
    <n v="16"/>
    <n v="64"/>
    <n v="13"/>
    <n v="38"/>
    <n v="12555"/>
    <n v="163215"/>
    <n v="0"/>
    <n v="200880"/>
    <x v="1"/>
    <x v="4"/>
    <x v="1"/>
  </r>
  <r>
    <x v="496"/>
    <x v="18"/>
    <x v="3"/>
    <x v="0"/>
    <x v="3"/>
    <n v="44"/>
    <n v="115"/>
    <n v="20"/>
    <n v="139"/>
    <n v="32"/>
    <n v="7924"/>
    <n v="1101436"/>
    <n v="0"/>
    <n v="911260"/>
    <x v="0"/>
    <x v="4"/>
    <x v="1"/>
  </r>
  <r>
    <x v="496"/>
    <x v="6"/>
    <x v="3"/>
    <x v="2"/>
    <x v="1"/>
    <n v="105"/>
    <n v="55"/>
    <n v="94"/>
    <n v="66"/>
    <n v="47"/>
    <n v="6105"/>
    <n v="402930"/>
    <n v="0"/>
    <n v="335775"/>
    <x v="0"/>
    <x v="4"/>
    <x v="1"/>
  </r>
  <r>
    <x v="496"/>
    <x v="14"/>
    <x v="3"/>
    <x v="1"/>
    <x v="4"/>
    <n v="44"/>
    <n v="90"/>
    <n v="57"/>
    <n v="77"/>
    <n v="42"/>
    <n v="43328"/>
    <n v="3336256"/>
    <n v="0"/>
    <n v="3899520"/>
    <x v="0"/>
    <x v="4"/>
    <x v="1"/>
  </r>
  <r>
    <x v="496"/>
    <x v="10"/>
    <x v="2"/>
    <x v="3"/>
    <x v="2"/>
    <n v="479"/>
    <n v="45"/>
    <n v="274"/>
    <n v="250"/>
    <n v="121"/>
    <n v="455"/>
    <n v="113750"/>
    <n v="0"/>
    <n v="20475"/>
    <x v="0"/>
    <x v="4"/>
    <x v="1"/>
  </r>
  <r>
    <x v="496"/>
    <x v="16"/>
    <x v="1"/>
    <x v="3"/>
    <x v="2"/>
    <n v="37"/>
    <n v="47"/>
    <n v="27"/>
    <n v="57"/>
    <n v="28"/>
    <n v="18804"/>
    <n v="1071828"/>
    <n v="0"/>
    <n v="883788"/>
    <x v="0"/>
    <x v="4"/>
    <x v="1"/>
  </r>
  <r>
    <x v="496"/>
    <x v="17"/>
    <x v="2"/>
    <x v="3"/>
    <x v="0"/>
    <n v="433"/>
    <n v="207"/>
    <n v="86"/>
    <n v="554"/>
    <n v="145"/>
    <n v="719"/>
    <n v="398326"/>
    <n v="0"/>
    <n v="148833"/>
    <x v="0"/>
    <x v="4"/>
    <x v="1"/>
  </r>
  <r>
    <x v="496"/>
    <x v="12"/>
    <x v="1"/>
    <x v="2"/>
    <x v="2"/>
    <n v="52"/>
    <n v="40"/>
    <n v="15"/>
    <n v="77"/>
    <n v="17"/>
    <n v="18605"/>
    <n v="1432585"/>
    <n v="0"/>
    <n v="744200"/>
    <x v="0"/>
    <x v="4"/>
    <x v="1"/>
  </r>
  <r>
    <x v="496"/>
    <x v="11"/>
    <x v="2"/>
    <x v="0"/>
    <x v="0"/>
    <n v="484"/>
    <n v="298"/>
    <n v="179"/>
    <n v="603"/>
    <n v="103"/>
    <n v="1040"/>
    <n v="627120"/>
    <n v="0"/>
    <n v="309920"/>
    <x v="0"/>
    <x v="4"/>
    <x v="1"/>
  </r>
  <r>
    <x v="496"/>
    <x v="10"/>
    <x v="2"/>
    <x v="3"/>
    <x v="0"/>
    <n v="97"/>
    <n v="287"/>
    <n v="148"/>
    <n v="236"/>
    <n v="108"/>
    <n v="632"/>
    <n v="149152"/>
    <n v="0"/>
    <n v="181384"/>
    <x v="0"/>
    <x v="4"/>
    <x v="1"/>
  </r>
  <r>
    <x v="497"/>
    <x v="0"/>
    <x v="0"/>
    <x v="1"/>
    <x v="1"/>
    <n v="23"/>
    <n v="66"/>
    <n v="32"/>
    <n v="57"/>
    <n v="26"/>
    <n v="7760"/>
    <n v="442320"/>
    <n v="0"/>
    <n v="512160"/>
    <x v="0"/>
    <x v="4"/>
    <x v="1"/>
  </r>
  <r>
    <x v="497"/>
    <x v="15"/>
    <x v="2"/>
    <x v="1"/>
    <x v="3"/>
    <n v="130"/>
    <n v="192"/>
    <n v="270"/>
    <n v="52"/>
    <n v="90"/>
    <n v="250"/>
    <n v="13000"/>
    <n v="0"/>
    <n v="48000"/>
    <x v="1"/>
    <x v="4"/>
    <x v="1"/>
  </r>
  <r>
    <x v="497"/>
    <x v="11"/>
    <x v="2"/>
    <x v="3"/>
    <x v="2"/>
    <n v="487"/>
    <n v="115"/>
    <n v="175"/>
    <n v="427"/>
    <n v="73"/>
    <n v="481"/>
    <n v="205387"/>
    <n v="0"/>
    <n v="55315"/>
    <x v="0"/>
    <x v="4"/>
    <x v="1"/>
  </r>
  <r>
    <x v="497"/>
    <x v="19"/>
    <x v="0"/>
    <x v="0"/>
    <x v="4"/>
    <n v="87"/>
    <n v="5"/>
    <n v="44"/>
    <n v="48"/>
    <n v="16"/>
    <n v="5276"/>
    <n v="253248"/>
    <n v="0"/>
    <n v="26380"/>
    <x v="0"/>
    <x v="4"/>
    <x v="1"/>
  </r>
  <r>
    <x v="498"/>
    <x v="9"/>
    <x v="0"/>
    <x v="0"/>
    <x v="0"/>
    <n v="91"/>
    <n v="58"/>
    <n v="38"/>
    <n v="111"/>
    <n v="15"/>
    <n v="13468"/>
    <n v="1494948"/>
    <n v="0"/>
    <n v="781144"/>
    <x v="0"/>
    <x v="4"/>
    <x v="1"/>
  </r>
  <r>
    <x v="498"/>
    <x v="15"/>
    <x v="2"/>
    <x v="3"/>
    <x v="0"/>
    <n v="375"/>
    <n v="281"/>
    <n v="208"/>
    <n v="448"/>
    <n v="60"/>
    <n v="362"/>
    <n v="162176"/>
    <n v="0"/>
    <n v="101722"/>
    <x v="0"/>
    <x v="4"/>
    <x v="1"/>
  </r>
  <r>
    <x v="498"/>
    <x v="10"/>
    <x v="2"/>
    <x v="3"/>
    <x v="4"/>
    <n v="399"/>
    <n v="254"/>
    <n v="92"/>
    <n v="561"/>
    <n v="138"/>
    <n v="1089"/>
    <n v="610929"/>
    <n v="0"/>
    <n v="276606"/>
    <x v="0"/>
    <x v="4"/>
    <x v="1"/>
  </r>
  <r>
    <x v="498"/>
    <x v="7"/>
    <x v="2"/>
    <x v="3"/>
    <x v="2"/>
    <n v="183"/>
    <n v="66"/>
    <n v="62"/>
    <n v="187"/>
    <n v="136"/>
    <n v="549"/>
    <n v="102663"/>
    <n v="0"/>
    <n v="36234"/>
    <x v="0"/>
    <x v="4"/>
    <x v="1"/>
  </r>
  <r>
    <x v="498"/>
    <x v="9"/>
    <x v="0"/>
    <x v="2"/>
    <x v="3"/>
    <n v="98"/>
    <n v="20"/>
    <n v="39"/>
    <n v="79"/>
    <n v="16"/>
    <n v="15882"/>
    <n v="1254678"/>
    <n v="0"/>
    <n v="317640"/>
    <x v="0"/>
    <x v="4"/>
    <x v="1"/>
  </r>
  <r>
    <x v="498"/>
    <x v="0"/>
    <x v="0"/>
    <x v="0"/>
    <x v="5"/>
    <n v="84"/>
    <n v="58"/>
    <n v="35"/>
    <n v="107"/>
    <n v="32"/>
    <n v="15811"/>
    <n v="1691777"/>
    <n v="0"/>
    <n v="917038"/>
    <x v="0"/>
    <x v="4"/>
    <x v="1"/>
  </r>
  <r>
    <x v="498"/>
    <x v="17"/>
    <x v="2"/>
    <x v="2"/>
    <x v="4"/>
    <n v="142"/>
    <n v="202"/>
    <n v="88"/>
    <n v="256"/>
    <n v="138"/>
    <n v="641"/>
    <n v="164096"/>
    <n v="0"/>
    <n v="129482"/>
    <x v="0"/>
    <x v="4"/>
    <x v="1"/>
  </r>
  <r>
    <x v="499"/>
    <x v="12"/>
    <x v="1"/>
    <x v="1"/>
    <x v="4"/>
    <n v="97"/>
    <n v="37"/>
    <n v="30"/>
    <n v="104"/>
    <n v="27"/>
    <n v="6257"/>
    <n v="650728"/>
    <n v="0"/>
    <n v="231509"/>
    <x v="0"/>
    <x v="4"/>
    <x v="1"/>
  </r>
  <r>
    <x v="499"/>
    <x v="7"/>
    <x v="2"/>
    <x v="1"/>
    <x v="5"/>
    <n v="112"/>
    <n v="105"/>
    <n v="90"/>
    <n v="127"/>
    <n v="141"/>
    <n v="716"/>
    <n v="90932"/>
    <n v="0"/>
    <n v="75180"/>
    <x v="1"/>
    <x v="4"/>
    <x v="1"/>
  </r>
  <r>
    <x v="499"/>
    <x v="14"/>
    <x v="3"/>
    <x v="2"/>
    <x v="0"/>
    <n v="91"/>
    <n v="71"/>
    <n v="39"/>
    <n v="123"/>
    <n v="49"/>
    <n v="47538"/>
    <n v="5847174"/>
    <n v="0"/>
    <n v="3375198"/>
    <x v="0"/>
    <x v="4"/>
    <x v="1"/>
  </r>
  <r>
    <x v="500"/>
    <x v="14"/>
    <x v="3"/>
    <x v="3"/>
    <x v="2"/>
    <n v="152"/>
    <n v="87"/>
    <n v="57"/>
    <n v="182"/>
    <n v="42"/>
    <n v="54497"/>
    <n v="9918454"/>
    <n v="0"/>
    <n v="4741239"/>
    <x v="0"/>
    <x v="4"/>
    <x v="1"/>
  </r>
  <r>
    <x v="500"/>
    <x v="1"/>
    <x v="1"/>
    <x v="1"/>
    <x v="3"/>
    <n v="92"/>
    <n v="29"/>
    <n v="33"/>
    <n v="88"/>
    <n v="21"/>
    <n v="11546"/>
    <n v="1016048"/>
    <n v="0"/>
    <n v="334834"/>
    <x v="0"/>
    <x v="4"/>
    <x v="1"/>
  </r>
  <r>
    <x v="500"/>
    <x v="18"/>
    <x v="3"/>
    <x v="0"/>
    <x v="0"/>
    <n v="125"/>
    <n v="43"/>
    <n v="95"/>
    <n v="73"/>
    <n v="43"/>
    <n v="29300"/>
    <n v="2138900"/>
    <n v="0"/>
    <n v="1259900"/>
    <x v="0"/>
    <x v="4"/>
    <x v="1"/>
  </r>
  <r>
    <x v="500"/>
    <x v="3"/>
    <x v="2"/>
    <x v="1"/>
    <x v="4"/>
    <n v="114"/>
    <n v="278"/>
    <n v="269"/>
    <n v="123"/>
    <n v="79"/>
    <n v="150"/>
    <n v="18450"/>
    <n v="0"/>
    <n v="41700"/>
    <x v="0"/>
    <x v="4"/>
    <x v="1"/>
  </r>
  <r>
    <x v="500"/>
    <x v="17"/>
    <x v="2"/>
    <x v="1"/>
    <x v="4"/>
    <n v="190"/>
    <n v="137"/>
    <n v="274"/>
    <n v="53"/>
    <n v="83"/>
    <n v="466"/>
    <n v="24698"/>
    <n v="0"/>
    <n v="63842"/>
    <x v="1"/>
    <x v="4"/>
    <x v="1"/>
  </r>
  <r>
    <x v="501"/>
    <x v="0"/>
    <x v="0"/>
    <x v="3"/>
    <x v="3"/>
    <n v="53"/>
    <n v="69"/>
    <n v="9"/>
    <n v="113"/>
    <n v="34"/>
    <n v="17154"/>
    <n v="1938402"/>
    <n v="0"/>
    <n v="1183626"/>
    <x v="0"/>
    <x v="4"/>
    <x v="1"/>
  </r>
  <r>
    <x v="501"/>
    <x v="6"/>
    <x v="3"/>
    <x v="1"/>
    <x v="2"/>
    <n v="33"/>
    <n v="119"/>
    <n v="8"/>
    <n v="144"/>
    <n v="24"/>
    <n v="23216"/>
    <n v="3343104"/>
    <n v="0"/>
    <n v="2762704"/>
    <x v="0"/>
    <x v="4"/>
    <x v="1"/>
  </r>
  <r>
    <x v="501"/>
    <x v="6"/>
    <x v="3"/>
    <x v="3"/>
    <x v="0"/>
    <n v="179"/>
    <n v="71"/>
    <n v="41"/>
    <n v="209"/>
    <n v="56"/>
    <n v="9087"/>
    <n v="1899183"/>
    <n v="0"/>
    <n v="645177"/>
    <x v="0"/>
    <x v="4"/>
    <x v="1"/>
  </r>
  <r>
    <x v="501"/>
    <x v="12"/>
    <x v="1"/>
    <x v="1"/>
    <x v="0"/>
    <n v="36"/>
    <n v="50"/>
    <n v="35"/>
    <n v="51"/>
    <n v="27"/>
    <n v="18684"/>
    <n v="952884"/>
    <n v="0"/>
    <n v="934200"/>
    <x v="0"/>
    <x v="4"/>
    <x v="1"/>
  </r>
  <r>
    <x v="502"/>
    <x v="7"/>
    <x v="2"/>
    <x v="0"/>
    <x v="0"/>
    <n v="433"/>
    <n v="164"/>
    <n v="204"/>
    <n v="393"/>
    <n v="82"/>
    <n v="420"/>
    <n v="165060"/>
    <n v="0"/>
    <n v="68880"/>
    <x v="0"/>
    <x v="4"/>
    <x v="1"/>
  </r>
  <r>
    <x v="502"/>
    <x v="5"/>
    <x v="3"/>
    <x v="3"/>
    <x v="2"/>
    <n v="150"/>
    <n v="83"/>
    <n v="69"/>
    <n v="164"/>
    <n v="46"/>
    <n v="1814"/>
    <n v="297496"/>
    <n v="0"/>
    <n v="150562"/>
    <x v="0"/>
    <x v="4"/>
    <x v="1"/>
  </r>
  <r>
    <x v="502"/>
    <x v="11"/>
    <x v="2"/>
    <x v="0"/>
    <x v="5"/>
    <n v="181"/>
    <n v="66"/>
    <n v="141"/>
    <n v="106"/>
    <n v="137"/>
    <n v="784"/>
    <n v="83104"/>
    <n v="0"/>
    <n v="51744"/>
    <x v="1"/>
    <x v="4"/>
    <x v="1"/>
  </r>
  <r>
    <x v="502"/>
    <x v="18"/>
    <x v="3"/>
    <x v="2"/>
    <x v="0"/>
    <n v="94"/>
    <n v="104"/>
    <n v="86"/>
    <n v="112"/>
    <n v="41"/>
    <n v="60214"/>
    <n v="6743968"/>
    <n v="0"/>
    <n v="6262256"/>
    <x v="0"/>
    <x v="4"/>
    <x v="1"/>
  </r>
  <r>
    <x v="503"/>
    <x v="3"/>
    <x v="2"/>
    <x v="0"/>
    <x v="0"/>
    <n v="447"/>
    <n v="42"/>
    <n v="12"/>
    <n v="477"/>
    <n v="145"/>
    <n v="997"/>
    <n v="475569"/>
    <n v="0"/>
    <n v="41874"/>
    <x v="0"/>
    <x v="4"/>
    <x v="1"/>
  </r>
  <r>
    <x v="503"/>
    <x v="18"/>
    <x v="3"/>
    <x v="2"/>
    <x v="0"/>
    <n v="117"/>
    <n v="56"/>
    <n v="85"/>
    <n v="88"/>
    <n v="57"/>
    <n v="63302"/>
    <n v="5570576"/>
    <n v="0"/>
    <n v="3544912"/>
    <x v="0"/>
    <x v="4"/>
    <x v="1"/>
  </r>
  <r>
    <x v="503"/>
    <x v="19"/>
    <x v="0"/>
    <x v="1"/>
    <x v="0"/>
    <n v="17"/>
    <n v="55"/>
    <n v="9"/>
    <n v="63"/>
    <n v="32"/>
    <n v="15202"/>
    <n v="957726"/>
    <n v="0"/>
    <n v="836110"/>
    <x v="0"/>
    <x v="4"/>
    <x v="1"/>
  </r>
  <r>
    <x v="504"/>
    <x v="8"/>
    <x v="3"/>
    <x v="1"/>
    <x v="0"/>
    <n v="86"/>
    <n v="93"/>
    <n v="78"/>
    <n v="101"/>
    <n v="37"/>
    <n v="4051"/>
    <n v="409151"/>
    <n v="0"/>
    <n v="376743"/>
    <x v="0"/>
    <x v="4"/>
    <x v="1"/>
  </r>
  <r>
    <x v="504"/>
    <x v="10"/>
    <x v="2"/>
    <x v="1"/>
    <x v="3"/>
    <n v="63"/>
    <n v="287"/>
    <n v="198"/>
    <n v="152"/>
    <n v="66"/>
    <n v="383"/>
    <n v="58216"/>
    <n v="0"/>
    <n v="109921"/>
    <x v="0"/>
    <x v="4"/>
    <x v="1"/>
  </r>
  <r>
    <x v="504"/>
    <x v="5"/>
    <x v="3"/>
    <x v="1"/>
    <x v="0"/>
    <n v="120"/>
    <n v="116"/>
    <n v="93"/>
    <n v="143"/>
    <n v="54"/>
    <n v="52936"/>
    <n v="7569848"/>
    <n v="0"/>
    <n v="6140576"/>
    <x v="0"/>
    <x v="4"/>
    <x v="1"/>
  </r>
  <r>
    <x v="504"/>
    <x v="7"/>
    <x v="2"/>
    <x v="3"/>
    <x v="0"/>
    <n v="416"/>
    <n v="173"/>
    <n v="78"/>
    <n v="511"/>
    <n v="61"/>
    <n v="1142"/>
    <n v="583562"/>
    <n v="0"/>
    <n v="197566"/>
    <x v="0"/>
    <x v="4"/>
    <x v="1"/>
  </r>
  <r>
    <x v="505"/>
    <x v="19"/>
    <x v="0"/>
    <x v="2"/>
    <x v="5"/>
    <n v="61"/>
    <n v="57"/>
    <n v="56"/>
    <n v="62"/>
    <n v="20"/>
    <n v="9135"/>
    <n v="566370"/>
    <n v="0"/>
    <n v="520695"/>
    <x v="0"/>
    <x v="4"/>
    <x v="1"/>
  </r>
  <r>
    <x v="505"/>
    <x v="14"/>
    <x v="3"/>
    <x v="0"/>
    <x v="4"/>
    <n v="85"/>
    <n v="47"/>
    <n v="37"/>
    <n v="95"/>
    <n v="55"/>
    <n v="12642"/>
    <n v="1200990"/>
    <n v="0"/>
    <n v="594174"/>
    <x v="0"/>
    <x v="4"/>
    <x v="1"/>
  </r>
  <r>
    <x v="506"/>
    <x v="1"/>
    <x v="1"/>
    <x v="2"/>
    <x v="4"/>
    <n v="55"/>
    <n v="15"/>
    <n v="15"/>
    <n v="55"/>
    <n v="17"/>
    <n v="16432"/>
    <n v="903760"/>
    <n v="0"/>
    <n v="246480"/>
    <x v="0"/>
    <x v="4"/>
    <x v="1"/>
  </r>
  <r>
    <x v="507"/>
    <x v="10"/>
    <x v="2"/>
    <x v="1"/>
    <x v="0"/>
    <n v="496"/>
    <n v="45"/>
    <n v="211"/>
    <n v="330"/>
    <n v="139"/>
    <n v="894"/>
    <n v="295020"/>
    <n v="0"/>
    <n v="40230"/>
    <x v="0"/>
    <x v="4"/>
    <x v="1"/>
  </r>
  <r>
    <x v="507"/>
    <x v="19"/>
    <x v="0"/>
    <x v="2"/>
    <x v="5"/>
    <n v="111"/>
    <n v="9"/>
    <n v="39"/>
    <n v="81"/>
    <n v="36"/>
    <n v="12561"/>
    <n v="1017441"/>
    <n v="0"/>
    <n v="113049"/>
    <x v="0"/>
    <x v="4"/>
    <x v="1"/>
  </r>
  <r>
    <x v="507"/>
    <x v="7"/>
    <x v="2"/>
    <x v="1"/>
    <x v="4"/>
    <n v="293"/>
    <n v="89"/>
    <n v="113"/>
    <n v="269"/>
    <n v="96"/>
    <n v="670"/>
    <n v="180230"/>
    <n v="0"/>
    <n v="59630"/>
    <x v="0"/>
    <x v="4"/>
    <x v="1"/>
  </r>
  <r>
    <x v="507"/>
    <x v="10"/>
    <x v="2"/>
    <x v="1"/>
    <x v="0"/>
    <n v="313"/>
    <n v="64"/>
    <n v="215"/>
    <n v="162"/>
    <n v="85"/>
    <n v="1124"/>
    <n v="182088"/>
    <n v="0"/>
    <n v="71936"/>
    <x v="0"/>
    <x v="4"/>
    <x v="1"/>
  </r>
  <r>
    <x v="507"/>
    <x v="11"/>
    <x v="2"/>
    <x v="0"/>
    <x v="3"/>
    <n v="201"/>
    <n v="86"/>
    <n v="166"/>
    <n v="121"/>
    <n v="103"/>
    <n v="971"/>
    <n v="117491"/>
    <n v="0"/>
    <n v="83506"/>
    <x v="0"/>
    <x v="4"/>
    <x v="1"/>
  </r>
  <r>
    <x v="507"/>
    <x v="7"/>
    <x v="2"/>
    <x v="2"/>
    <x v="3"/>
    <n v="109"/>
    <n v="103"/>
    <n v="58"/>
    <n v="154"/>
    <n v="132"/>
    <n v="802"/>
    <n v="123508"/>
    <n v="0"/>
    <n v="82606"/>
    <x v="0"/>
    <x v="4"/>
    <x v="1"/>
  </r>
  <r>
    <x v="507"/>
    <x v="4"/>
    <x v="1"/>
    <x v="0"/>
    <x v="5"/>
    <n v="63"/>
    <n v="38"/>
    <n v="8"/>
    <n v="93"/>
    <n v="12"/>
    <n v="22344"/>
    <n v="2077992"/>
    <n v="0"/>
    <n v="849072"/>
    <x v="0"/>
    <x v="4"/>
    <x v="1"/>
  </r>
  <r>
    <x v="507"/>
    <x v="9"/>
    <x v="0"/>
    <x v="2"/>
    <x v="0"/>
    <n v="78"/>
    <n v="78"/>
    <n v="7"/>
    <n v="149"/>
    <n v="16"/>
    <n v="3524"/>
    <n v="525076"/>
    <n v="0"/>
    <n v="274872"/>
    <x v="0"/>
    <x v="4"/>
    <x v="1"/>
  </r>
  <r>
    <x v="507"/>
    <x v="14"/>
    <x v="3"/>
    <x v="1"/>
    <x v="5"/>
    <n v="161"/>
    <n v="45"/>
    <n v="27"/>
    <n v="179"/>
    <n v="21"/>
    <n v="23441"/>
    <n v="4195939"/>
    <n v="0"/>
    <n v="1054845"/>
    <x v="0"/>
    <x v="4"/>
    <x v="1"/>
  </r>
  <r>
    <x v="508"/>
    <x v="10"/>
    <x v="2"/>
    <x v="2"/>
    <x v="0"/>
    <n v="328"/>
    <n v="235"/>
    <n v="103"/>
    <n v="460"/>
    <n v="128"/>
    <n v="849"/>
    <n v="390540"/>
    <n v="0"/>
    <n v="199515"/>
    <x v="0"/>
    <x v="4"/>
    <x v="1"/>
  </r>
  <r>
    <x v="508"/>
    <x v="4"/>
    <x v="1"/>
    <x v="2"/>
    <x v="0"/>
    <n v="57"/>
    <n v="27"/>
    <n v="7"/>
    <n v="77"/>
    <n v="19"/>
    <n v="24755"/>
    <n v="1906135"/>
    <n v="0"/>
    <n v="668385"/>
    <x v="0"/>
    <x v="4"/>
    <x v="1"/>
  </r>
  <r>
    <x v="508"/>
    <x v="15"/>
    <x v="2"/>
    <x v="0"/>
    <x v="2"/>
    <n v="207"/>
    <n v="58"/>
    <n v="220"/>
    <n v="45"/>
    <n v="143"/>
    <n v="1006"/>
    <n v="45270"/>
    <n v="0"/>
    <n v="58348"/>
    <x v="1"/>
    <x v="4"/>
    <x v="1"/>
  </r>
  <r>
    <x v="509"/>
    <x v="10"/>
    <x v="2"/>
    <x v="1"/>
    <x v="3"/>
    <n v="335"/>
    <n v="279"/>
    <n v="87"/>
    <n v="527"/>
    <n v="100"/>
    <n v="357"/>
    <n v="188139"/>
    <n v="0"/>
    <n v="99603"/>
    <x v="0"/>
    <x v="4"/>
    <x v="1"/>
  </r>
  <r>
    <x v="509"/>
    <x v="0"/>
    <x v="0"/>
    <x v="3"/>
    <x v="3"/>
    <n v="56"/>
    <n v="64"/>
    <n v="18"/>
    <n v="102"/>
    <n v="29"/>
    <n v="889"/>
    <n v="90678"/>
    <n v="0"/>
    <n v="56896"/>
    <x v="0"/>
    <x v="4"/>
    <x v="1"/>
  </r>
  <r>
    <x v="509"/>
    <x v="18"/>
    <x v="3"/>
    <x v="2"/>
    <x v="0"/>
    <n v="90"/>
    <n v="98"/>
    <n v="49"/>
    <n v="139"/>
    <n v="55"/>
    <n v="26531"/>
    <n v="3687809"/>
    <n v="0"/>
    <n v="2600038"/>
    <x v="0"/>
    <x v="4"/>
    <x v="1"/>
  </r>
  <r>
    <x v="509"/>
    <x v="15"/>
    <x v="2"/>
    <x v="2"/>
    <x v="4"/>
    <n v="395"/>
    <n v="169"/>
    <n v="123"/>
    <n v="441"/>
    <n v="100"/>
    <n v="599"/>
    <n v="264159"/>
    <n v="0"/>
    <n v="101231"/>
    <x v="0"/>
    <x v="4"/>
    <x v="1"/>
  </r>
  <r>
    <x v="509"/>
    <x v="2"/>
    <x v="0"/>
    <x v="3"/>
    <x v="0"/>
    <n v="93"/>
    <n v="66"/>
    <n v="45"/>
    <n v="114"/>
    <n v="20"/>
    <n v="7354"/>
    <n v="838356"/>
    <n v="0"/>
    <n v="485364"/>
    <x v="0"/>
    <x v="4"/>
    <x v="1"/>
  </r>
  <r>
    <x v="509"/>
    <x v="13"/>
    <x v="3"/>
    <x v="0"/>
    <x v="3"/>
    <n v="148"/>
    <n v="30"/>
    <n v="59"/>
    <n v="119"/>
    <n v="47"/>
    <n v="29989"/>
    <n v="3568691"/>
    <n v="0"/>
    <n v="899670"/>
    <x v="0"/>
    <x v="4"/>
    <x v="1"/>
  </r>
  <r>
    <x v="510"/>
    <x v="15"/>
    <x v="2"/>
    <x v="1"/>
    <x v="5"/>
    <n v="149"/>
    <n v="107"/>
    <n v="171"/>
    <n v="85"/>
    <n v="55"/>
    <n v="257"/>
    <n v="21845"/>
    <n v="0"/>
    <n v="27499"/>
    <x v="0"/>
    <x v="4"/>
    <x v="1"/>
  </r>
  <r>
    <x v="510"/>
    <x v="0"/>
    <x v="0"/>
    <x v="3"/>
    <x v="5"/>
    <n v="32"/>
    <n v="49"/>
    <n v="46"/>
    <n v="35"/>
    <n v="31"/>
    <n v="15254"/>
    <n v="533890"/>
    <n v="0"/>
    <n v="747446"/>
    <x v="0"/>
    <x v="4"/>
    <x v="1"/>
  </r>
  <r>
    <x v="510"/>
    <x v="15"/>
    <x v="2"/>
    <x v="3"/>
    <x v="1"/>
    <n v="351"/>
    <n v="266"/>
    <n v="43"/>
    <n v="574"/>
    <n v="133"/>
    <n v="1038"/>
    <n v="595812"/>
    <n v="0"/>
    <n v="276108"/>
    <x v="0"/>
    <x v="4"/>
    <x v="1"/>
  </r>
  <r>
    <x v="510"/>
    <x v="9"/>
    <x v="0"/>
    <x v="0"/>
    <x v="3"/>
    <n v="95"/>
    <n v="47"/>
    <n v="33"/>
    <n v="109"/>
    <n v="36"/>
    <n v="2241"/>
    <n v="244269"/>
    <n v="0"/>
    <n v="105327"/>
    <x v="0"/>
    <x v="4"/>
    <x v="1"/>
  </r>
  <r>
    <x v="510"/>
    <x v="17"/>
    <x v="2"/>
    <x v="1"/>
    <x v="5"/>
    <n v="391"/>
    <n v="243"/>
    <n v="73"/>
    <n v="561"/>
    <n v="105"/>
    <n v="741"/>
    <n v="415701"/>
    <n v="0"/>
    <n v="180063"/>
    <x v="0"/>
    <x v="4"/>
    <x v="1"/>
  </r>
  <r>
    <x v="511"/>
    <x v="16"/>
    <x v="1"/>
    <x v="0"/>
    <x v="3"/>
    <n v="60"/>
    <n v="9"/>
    <n v="14"/>
    <n v="55"/>
    <n v="25"/>
    <n v="13671"/>
    <n v="751905"/>
    <n v="0"/>
    <n v="123039"/>
    <x v="0"/>
    <x v="4"/>
    <x v="1"/>
  </r>
  <r>
    <x v="511"/>
    <x v="14"/>
    <x v="3"/>
    <x v="3"/>
    <x v="0"/>
    <n v="23"/>
    <n v="26"/>
    <n v="8"/>
    <n v="41"/>
    <n v="45"/>
    <n v="62666"/>
    <n v="2569306"/>
    <n v="0"/>
    <n v="1629316"/>
    <x v="1"/>
    <x v="4"/>
    <x v="1"/>
  </r>
  <r>
    <x v="512"/>
    <x v="7"/>
    <x v="2"/>
    <x v="0"/>
    <x v="2"/>
    <n v="293"/>
    <n v="205"/>
    <n v="247"/>
    <n v="251"/>
    <n v="108"/>
    <n v="929"/>
    <n v="233179"/>
    <n v="0"/>
    <n v="190445"/>
    <x v="0"/>
    <x v="4"/>
    <x v="1"/>
  </r>
  <r>
    <x v="512"/>
    <x v="18"/>
    <x v="3"/>
    <x v="0"/>
    <x v="3"/>
    <n v="52"/>
    <n v="85"/>
    <n v="90"/>
    <n v="47"/>
    <n v="29"/>
    <n v="49388"/>
    <n v="2321236"/>
    <n v="0"/>
    <n v="4197980"/>
    <x v="0"/>
    <x v="4"/>
    <x v="1"/>
  </r>
  <r>
    <x v="512"/>
    <x v="6"/>
    <x v="3"/>
    <x v="3"/>
    <x v="5"/>
    <n v="171"/>
    <n v="26"/>
    <n v="69"/>
    <n v="128"/>
    <n v="24"/>
    <n v="6245"/>
    <n v="799360"/>
    <n v="0"/>
    <n v="162370"/>
    <x v="0"/>
    <x v="4"/>
    <x v="1"/>
  </r>
  <r>
    <x v="512"/>
    <x v="15"/>
    <x v="2"/>
    <x v="3"/>
    <x v="1"/>
    <n v="227"/>
    <n v="175"/>
    <n v="233"/>
    <n v="169"/>
    <n v="111"/>
    <n v="403"/>
    <n v="68107"/>
    <n v="0"/>
    <n v="70525"/>
    <x v="0"/>
    <x v="4"/>
    <x v="1"/>
  </r>
  <r>
    <x v="512"/>
    <x v="4"/>
    <x v="1"/>
    <x v="0"/>
    <x v="2"/>
    <n v="31"/>
    <n v="52"/>
    <n v="3"/>
    <n v="80"/>
    <n v="11"/>
    <n v="24869"/>
    <n v="1989520"/>
    <n v="0"/>
    <n v="1293188"/>
    <x v="0"/>
    <x v="4"/>
    <x v="1"/>
  </r>
  <r>
    <x v="512"/>
    <x v="16"/>
    <x v="1"/>
    <x v="2"/>
    <x v="4"/>
    <n v="59"/>
    <n v="45"/>
    <n v="3"/>
    <n v="101"/>
    <n v="12"/>
    <n v="20413"/>
    <n v="2061713"/>
    <n v="0"/>
    <n v="918585"/>
    <x v="0"/>
    <x v="4"/>
    <x v="1"/>
  </r>
  <r>
    <x v="512"/>
    <x v="2"/>
    <x v="0"/>
    <x v="1"/>
    <x v="0"/>
    <n v="102"/>
    <n v="35"/>
    <n v="29"/>
    <n v="108"/>
    <n v="39"/>
    <n v="13629"/>
    <n v="1471932"/>
    <n v="0"/>
    <n v="477015"/>
    <x v="0"/>
    <x v="4"/>
    <x v="1"/>
  </r>
  <r>
    <x v="513"/>
    <x v="0"/>
    <x v="0"/>
    <x v="2"/>
    <x v="3"/>
    <n v="96"/>
    <n v="11"/>
    <n v="35"/>
    <n v="72"/>
    <n v="32"/>
    <n v="16961"/>
    <n v="1221192"/>
    <n v="0"/>
    <n v="186571"/>
    <x v="0"/>
    <x v="4"/>
    <x v="1"/>
  </r>
  <r>
    <x v="513"/>
    <x v="2"/>
    <x v="0"/>
    <x v="2"/>
    <x v="3"/>
    <n v="23"/>
    <n v="64"/>
    <n v="14"/>
    <n v="73"/>
    <n v="15"/>
    <n v="12233"/>
    <n v="893009"/>
    <n v="0"/>
    <n v="782912"/>
    <x v="0"/>
    <x v="4"/>
    <x v="1"/>
  </r>
  <r>
    <x v="513"/>
    <x v="10"/>
    <x v="2"/>
    <x v="3"/>
    <x v="2"/>
    <n v="242"/>
    <n v="102"/>
    <n v="127"/>
    <n v="217"/>
    <n v="130"/>
    <n v="685"/>
    <n v="148645"/>
    <n v="0"/>
    <n v="69870"/>
    <x v="0"/>
    <x v="4"/>
    <x v="1"/>
  </r>
  <r>
    <x v="513"/>
    <x v="19"/>
    <x v="0"/>
    <x v="3"/>
    <x v="2"/>
    <n v="84"/>
    <n v="36"/>
    <n v="4"/>
    <n v="116"/>
    <n v="23"/>
    <n v="11816"/>
    <n v="1370656"/>
    <n v="0"/>
    <n v="425376"/>
    <x v="0"/>
    <x v="4"/>
    <x v="1"/>
  </r>
  <r>
    <x v="514"/>
    <x v="16"/>
    <x v="1"/>
    <x v="2"/>
    <x v="3"/>
    <n v="47"/>
    <n v="24"/>
    <n v="24"/>
    <n v="47"/>
    <n v="24"/>
    <n v="22400"/>
    <n v="1052800"/>
    <n v="0"/>
    <n v="537600"/>
    <x v="0"/>
    <x v="4"/>
    <x v="1"/>
  </r>
  <r>
    <x v="514"/>
    <x v="12"/>
    <x v="1"/>
    <x v="0"/>
    <x v="4"/>
    <n v="97"/>
    <n v="27"/>
    <n v="20"/>
    <n v="104"/>
    <n v="12"/>
    <n v="21726"/>
    <n v="2259504"/>
    <n v="0"/>
    <n v="586602"/>
    <x v="0"/>
    <x v="4"/>
    <x v="1"/>
  </r>
  <r>
    <x v="514"/>
    <x v="16"/>
    <x v="1"/>
    <x v="3"/>
    <x v="5"/>
    <n v="42"/>
    <n v="47"/>
    <n v="38"/>
    <n v="51"/>
    <n v="22"/>
    <n v="22429"/>
    <n v="1143879"/>
    <n v="0"/>
    <n v="1054163"/>
    <x v="0"/>
    <x v="4"/>
    <x v="1"/>
  </r>
  <r>
    <x v="514"/>
    <x v="19"/>
    <x v="0"/>
    <x v="0"/>
    <x v="0"/>
    <n v="56"/>
    <n v="17"/>
    <n v="36"/>
    <n v="37"/>
    <n v="36"/>
    <n v="5904"/>
    <n v="218448"/>
    <n v="0"/>
    <n v="100368"/>
    <x v="0"/>
    <x v="4"/>
    <x v="1"/>
  </r>
  <r>
    <x v="514"/>
    <x v="15"/>
    <x v="2"/>
    <x v="3"/>
    <x v="1"/>
    <n v="398"/>
    <n v="239"/>
    <n v="170"/>
    <n v="467"/>
    <n v="91"/>
    <n v="35"/>
    <n v="16345"/>
    <n v="0"/>
    <n v="8365"/>
    <x v="0"/>
    <x v="4"/>
    <x v="1"/>
  </r>
  <r>
    <x v="514"/>
    <x v="8"/>
    <x v="3"/>
    <x v="1"/>
    <x v="2"/>
    <n v="54"/>
    <n v="73"/>
    <n v="53"/>
    <n v="74"/>
    <n v="36"/>
    <n v="41247"/>
    <n v="3052278"/>
    <n v="0"/>
    <n v="3011031"/>
    <x v="0"/>
    <x v="4"/>
    <x v="1"/>
  </r>
  <r>
    <x v="514"/>
    <x v="19"/>
    <x v="0"/>
    <x v="1"/>
    <x v="0"/>
    <n v="69"/>
    <n v="19"/>
    <n v="3"/>
    <n v="85"/>
    <n v="29"/>
    <n v="6955"/>
    <n v="591175"/>
    <n v="0"/>
    <n v="132145"/>
    <x v="0"/>
    <x v="4"/>
    <x v="1"/>
  </r>
  <r>
    <x v="514"/>
    <x v="7"/>
    <x v="2"/>
    <x v="1"/>
    <x v="1"/>
    <n v="462"/>
    <n v="156"/>
    <n v="15"/>
    <n v="603"/>
    <n v="88"/>
    <n v="148"/>
    <n v="89244"/>
    <n v="0"/>
    <n v="23088"/>
    <x v="0"/>
    <x v="4"/>
    <x v="1"/>
  </r>
  <r>
    <x v="515"/>
    <x v="18"/>
    <x v="3"/>
    <x v="1"/>
    <x v="4"/>
    <n v="99"/>
    <n v="27"/>
    <n v="53"/>
    <n v="73"/>
    <n v="20"/>
    <n v="15985"/>
    <n v="1166905"/>
    <n v="0"/>
    <n v="431595"/>
    <x v="0"/>
    <x v="5"/>
    <x v="1"/>
  </r>
  <r>
    <x v="515"/>
    <x v="19"/>
    <x v="0"/>
    <x v="3"/>
    <x v="3"/>
    <n v="97"/>
    <n v="38"/>
    <n v="12"/>
    <n v="123"/>
    <n v="16"/>
    <n v="7188"/>
    <n v="884124"/>
    <n v="0"/>
    <n v="273144"/>
    <x v="0"/>
    <x v="5"/>
    <x v="1"/>
  </r>
  <r>
    <x v="515"/>
    <x v="19"/>
    <x v="0"/>
    <x v="1"/>
    <x v="4"/>
    <n v="98"/>
    <n v="69"/>
    <n v="59"/>
    <n v="108"/>
    <n v="35"/>
    <n v="17369"/>
    <n v="1875852"/>
    <n v="0"/>
    <n v="1198461"/>
    <x v="0"/>
    <x v="5"/>
    <x v="1"/>
  </r>
  <r>
    <x v="516"/>
    <x v="16"/>
    <x v="1"/>
    <x v="2"/>
    <x v="3"/>
    <n v="24"/>
    <n v="46"/>
    <n v="32"/>
    <n v="38"/>
    <n v="15"/>
    <n v="8625"/>
    <n v="327750"/>
    <n v="0"/>
    <n v="396750"/>
    <x v="0"/>
    <x v="5"/>
    <x v="1"/>
  </r>
  <r>
    <x v="516"/>
    <x v="14"/>
    <x v="3"/>
    <x v="0"/>
    <x v="1"/>
    <n v="136"/>
    <n v="78"/>
    <n v="11"/>
    <n v="203"/>
    <n v="32"/>
    <n v="41600"/>
    <n v="8444800"/>
    <n v="0"/>
    <n v="3244800"/>
    <x v="0"/>
    <x v="5"/>
    <x v="1"/>
  </r>
  <r>
    <x v="516"/>
    <x v="14"/>
    <x v="3"/>
    <x v="2"/>
    <x v="5"/>
    <n v="149"/>
    <n v="24"/>
    <n v="21"/>
    <n v="152"/>
    <n v="47"/>
    <n v="11823"/>
    <n v="1797096"/>
    <n v="0"/>
    <n v="283752"/>
    <x v="0"/>
    <x v="5"/>
    <x v="1"/>
  </r>
  <r>
    <x v="516"/>
    <x v="2"/>
    <x v="0"/>
    <x v="2"/>
    <x v="3"/>
    <n v="35"/>
    <n v="66"/>
    <n v="35"/>
    <n v="66"/>
    <n v="21"/>
    <n v="11854"/>
    <n v="782364"/>
    <n v="0"/>
    <n v="782364"/>
    <x v="0"/>
    <x v="5"/>
    <x v="1"/>
  </r>
  <r>
    <x v="517"/>
    <x v="5"/>
    <x v="3"/>
    <x v="2"/>
    <x v="1"/>
    <n v="89"/>
    <n v="24"/>
    <n v="86"/>
    <n v="27"/>
    <n v="30"/>
    <n v="50623"/>
    <n v="1366821"/>
    <n v="0"/>
    <n v="1214952"/>
    <x v="1"/>
    <x v="5"/>
    <x v="1"/>
  </r>
  <r>
    <x v="517"/>
    <x v="3"/>
    <x v="2"/>
    <x v="2"/>
    <x v="1"/>
    <n v="100"/>
    <n v="288"/>
    <n v="187"/>
    <n v="201"/>
    <n v="80"/>
    <n v="941"/>
    <n v="189141"/>
    <n v="0"/>
    <n v="271008"/>
    <x v="0"/>
    <x v="5"/>
    <x v="1"/>
  </r>
  <r>
    <x v="517"/>
    <x v="6"/>
    <x v="3"/>
    <x v="3"/>
    <x v="0"/>
    <n v="129"/>
    <n v="60"/>
    <n v="50"/>
    <n v="139"/>
    <n v="51"/>
    <n v="8243"/>
    <n v="1145777"/>
    <n v="0"/>
    <n v="494580"/>
    <x v="0"/>
    <x v="5"/>
    <x v="1"/>
  </r>
  <r>
    <x v="517"/>
    <x v="2"/>
    <x v="0"/>
    <x v="0"/>
    <x v="0"/>
    <n v="59"/>
    <n v="63"/>
    <n v="60"/>
    <n v="62"/>
    <n v="32"/>
    <n v="4029"/>
    <n v="249798"/>
    <n v="0"/>
    <n v="253827"/>
    <x v="0"/>
    <x v="5"/>
    <x v="1"/>
  </r>
  <r>
    <x v="518"/>
    <x v="19"/>
    <x v="0"/>
    <x v="0"/>
    <x v="2"/>
    <n v="42"/>
    <n v="9"/>
    <n v="19"/>
    <n v="32"/>
    <n v="18"/>
    <n v="3360"/>
    <n v="107520"/>
    <n v="0"/>
    <n v="30240"/>
    <x v="0"/>
    <x v="5"/>
    <x v="1"/>
  </r>
  <r>
    <x v="518"/>
    <x v="10"/>
    <x v="2"/>
    <x v="1"/>
    <x v="0"/>
    <n v="129"/>
    <n v="191"/>
    <n v="225"/>
    <n v="95"/>
    <n v="54"/>
    <n v="152"/>
    <n v="14440"/>
    <n v="0"/>
    <n v="29032"/>
    <x v="0"/>
    <x v="5"/>
    <x v="1"/>
  </r>
  <r>
    <x v="518"/>
    <x v="0"/>
    <x v="0"/>
    <x v="1"/>
    <x v="0"/>
    <n v="83"/>
    <n v="40"/>
    <n v="30"/>
    <n v="93"/>
    <n v="37"/>
    <n v="16672"/>
    <n v="1550496"/>
    <n v="0"/>
    <n v="666880"/>
    <x v="0"/>
    <x v="5"/>
    <x v="1"/>
  </r>
  <r>
    <x v="518"/>
    <x v="5"/>
    <x v="3"/>
    <x v="1"/>
    <x v="2"/>
    <n v="173"/>
    <n v="45"/>
    <n v="52"/>
    <n v="166"/>
    <n v="47"/>
    <n v="8564"/>
    <n v="1421624"/>
    <n v="0"/>
    <n v="385380"/>
    <x v="0"/>
    <x v="5"/>
    <x v="1"/>
  </r>
  <r>
    <x v="518"/>
    <x v="6"/>
    <x v="3"/>
    <x v="1"/>
    <x v="4"/>
    <n v="105"/>
    <n v="98"/>
    <n v="14"/>
    <n v="189"/>
    <n v="48"/>
    <n v="19088"/>
    <n v="3607632"/>
    <n v="0"/>
    <n v="1870624"/>
    <x v="0"/>
    <x v="5"/>
    <x v="1"/>
  </r>
  <r>
    <x v="518"/>
    <x v="4"/>
    <x v="1"/>
    <x v="1"/>
    <x v="4"/>
    <n v="54"/>
    <n v="38"/>
    <n v="33"/>
    <n v="59"/>
    <n v="19"/>
    <n v="8334"/>
    <n v="491706"/>
    <n v="0"/>
    <n v="316692"/>
    <x v="0"/>
    <x v="5"/>
    <x v="1"/>
  </r>
  <r>
    <x v="518"/>
    <x v="13"/>
    <x v="3"/>
    <x v="0"/>
    <x v="3"/>
    <n v="32"/>
    <n v="94"/>
    <n v="96"/>
    <n v="30"/>
    <n v="42"/>
    <n v="50754"/>
    <n v="1522620"/>
    <n v="0"/>
    <n v="4770876"/>
    <x v="1"/>
    <x v="5"/>
    <x v="1"/>
  </r>
  <r>
    <x v="518"/>
    <x v="0"/>
    <x v="0"/>
    <x v="0"/>
    <x v="2"/>
    <n v="93"/>
    <n v="31"/>
    <n v="48"/>
    <n v="76"/>
    <n v="17"/>
    <n v="7042"/>
    <n v="535192"/>
    <n v="0"/>
    <n v="218302"/>
    <x v="0"/>
    <x v="5"/>
    <x v="1"/>
  </r>
  <r>
    <x v="519"/>
    <x v="13"/>
    <x v="3"/>
    <x v="1"/>
    <x v="2"/>
    <n v="80"/>
    <n v="62"/>
    <n v="22"/>
    <n v="120"/>
    <n v="54"/>
    <n v="40650"/>
    <n v="4878000"/>
    <n v="0"/>
    <n v="2520300"/>
    <x v="0"/>
    <x v="5"/>
    <x v="1"/>
  </r>
  <r>
    <x v="519"/>
    <x v="13"/>
    <x v="3"/>
    <x v="1"/>
    <x v="5"/>
    <n v="59"/>
    <n v="34"/>
    <n v="9"/>
    <n v="84"/>
    <n v="53"/>
    <n v="59562"/>
    <n v="5003208"/>
    <n v="0"/>
    <n v="2025108"/>
    <x v="0"/>
    <x v="5"/>
    <x v="1"/>
  </r>
  <r>
    <x v="519"/>
    <x v="15"/>
    <x v="2"/>
    <x v="2"/>
    <x v="5"/>
    <n v="435"/>
    <n v="276"/>
    <n v="247"/>
    <n v="464"/>
    <n v="130"/>
    <n v="734"/>
    <n v="340576"/>
    <n v="0"/>
    <n v="202584"/>
    <x v="0"/>
    <x v="5"/>
    <x v="1"/>
  </r>
  <r>
    <x v="519"/>
    <x v="1"/>
    <x v="1"/>
    <x v="2"/>
    <x v="2"/>
    <n v="34"/>
    <n v="29"/>
    <n v="34"/>
    <n v="29"/>
    <n v="23"/>
    <n v="5870"/>
    <n v="170230"/>
    <n v="0"/>
    <n v="170230"/>
    <x v="0"/>
    <x v="5"/>
    <x v="1"/>
  </r>
  <r>
    <x v="519"/>
    <x v="11"/>
    <x v="2"/>
    <x v="0"/>
    <x v="1"/>
    <n v="450"/>
    <n v="94"/>
    <n v="190"/>
    <n v="354"/>
    <n v="59"/>
    <n v="1073"/>
    <n v="379842"/>
    <n v="0"/>
    <n v="100862"/>
    <x v="0"/>
    <x v="5"/>
    <x v="1"/>
  </r>
  <r>
    <x v="520"/>
    <x v="9"/>
    <x v="0"/>
    <x v="2"/>
    <x v="5"/>
    <n v="47"/>
    <n v="11"/>
    <n v="5"/>
    <n v="53"/>
    <n v="26"/>
    <n v="1993"/>
    <n v="105629"/>
    <n v="0"/>
    <n v="21923"/>
    <x v="0"/>
    <x v="5"/>
    <x v="1"/>
  </r>
  <r>
    <x v="520"/>
    <x v="0"/>
    <x v="0"/>
    <x v="0"/>
    <x v="2"/>
    <n v="94"/>
    <n v="10"/>
    <n v="50"/>
    <n v="54"/>
    <n v="34"/>
    <n v="16262"/>
    <n v="878148"/>
    <n v="0"/>
    <n v="162620"/>
    <x v="0"/>
    <x v="5"/>
    <x v="1"/>
  </r>
  <r>
    <x v="520"/>
    <x v="5"/>
    <x v="3"/>
    <x v="2"/>
    <x v="5"/>
    <n v="24"/>
    <n v="83"/>
    <n v="42"/>
    <n v="65"/>
    <n v="50"/>
    <n v="55980"/>
    <n v="3638700"/>
    <n v="0"/>
    <n v="4646340"/>
    <x v="0"/>
    <x v="5"/>
    <x v="1"/>
  </r>
  <r>
    <x v="520"/>
    <x v="13"/>
    <x v="3"/>
    <x v="0"/>
    <x v="3"/>
    <n v="131"/>
    <n v="95"/>
    <n v="47"/>
    <n v="179"/>
    <n v="34"/>
    <n v="47412"/>
    <n v="8486748"/>
    <n v="0"/>
    <n v="4504140"/>
    <x v="0"/>
    <x v="5"/>
    <x v="1"/>
  </r>
  <r>
    <x v="520"/>
    <x v="15"/>
    <x v="2"/>
    <x v="2"/>
    <x v="2"/>
    <n v="466"/>
    <n v="141"/>
    <n v="33"/>
    <n v="574"/>
    <n v="119"/>
    <n v="870"/>
    <n v="499380"/>
    <n v="0"/>
    <n v="122670"/>
    <x v="0"/>
    <x v="5"/>
    <x v="1"/>
  </r>
  <r>
    <x v="520"/>
    <x v="19"/>
    <x v="0"/>
    <x v="1"/>
    <x v="4"/>
    <n v="81"/>
    <n v="42"/>
    <n v="31"/>
    <n v="92"/>
    <n v="37"/>
    <n v="7954"/>
    <n v="731768"/>
    <n v="0"/>
    <n v="334068"/>
    <x v="0"/>
    <x v="5"/>
    <x v="1"/>
  </r>
  <r>
    <x v="520"/>
    <x v="9"/>
    <x v="0"/>
    <x v="1"/>
    <x v="4"/>
    <n v="41"/>
    <n v="16"/>
    <n v="9"/>
    <n v="48"/>
    <n v="32"/>
    <n v="16251"/>
    <n v="780048"/>
    <n v="0"/>
    <n v="260016"/>
    <x v="0"/>
    <x v="5"/>
    <x v="1"/>
  </r>
  <r>
    <x v="520"/>
    <x v="0"/>
    <x v="0"/>
    <x v="3"/>
    <x v="1"/>
    <n v="22"/>
    <n v="25"/>
    <n v="15"/>
    <n v="32"/>
    <n v="32"/>
    <n v="7158"/>
    <n v="229056"/>
    <n v="0"/>
    <n v="178950"/>
    <x v="1"/>
    <x v="5"/>
    <x v="1"/>
  </r>
  <r>
    <x v="520"/>
    <x v="18"/>
    <x v="3"/>
    <x v="0"/>
    <x v="0"/>
    <n v="47"/>
    <n v="15"/>
    <n v="31"/>
    <n v="31"/>
    <n v="31"/>
    <n v="62487"/>
    <n v="1937097"/>
    <n v="0"/>
    <n v="937305"/>
    <x v="1"/>
    <x v="5"/>
    <x v="1"/>
  </r>
  <r>
    <x v="520"/>
    <x v="0"/>
    <x v="0"/>
    <x v="0"/>
    <x v="1"/>
    <n v="61"/>
    <n v="63"/>
    <n v="34"/>
    <n v="90"/>
    <n v="36"/>
    <n v="13090"/>
    <n v="1178100"/>
    <n v="0"/>
    <n v="824670"/>
    <x v="0"/>
    <x v="5"/>
    <x v="1"/>
  </r>
  <r>
    <x v="520"/>
    <x v="17"/>
    <x v="2"/>
    <x v="2"/>
    <x v="1"/>
    <n v="248"/>
    <n v="88"/>
    <n v="243"/>
    <n v="93"/>
    <n v="58"/>
    <n v="263"/>
    <n v="24459"/>
    <n v="0"/>
    <n v="23144"/>
    <x v="0"/>
    <x v="5"/>
    <x v="1"/>
  </r>
  <r>
    <x v="520"/>
    <x v="5"/>
    <x v="3"/>
    <x v="0"/>
    <x v="3"/>
    <n v="70"/>
    <n v="102"/>
    <n v="42"/>
    <n v="130"/>
    <n v="59"/>
    <n v="28064"/>
    <n v="3648320"/>
    <n v="0"/>
    <n v="2862528"/>
    <x v="0"/>
    <x v="5"/>
    <x v="1"/>
  </r>
  <r>
    <x v="521"/>
    <x v="13"/>
    <x v="3"/>
    <x v="0"/>
    <x v="2"/>
    <n v="149"/>
    <n v="76"/>
    <n v="91"/>
    <n v="134"/>
    <n v="31"/>
    <n v="12182"/>
    <n v="1632388"/>
    <n v="0"/>
    <n v="925832"/>
    <x v="0"/>
    <x v="5"/>
    <x v="1"/>
  </r>
  <r>
    <x v="521"/>
    <x v="19"/>
    <x v="0"/>
    <x v="1"/>
    <x v="3"/>
    <n v="50"/>
    <n v="24"/>
    <n v="18"/>
    <n v="56"/>
    <n v="19"/>
    <n v="12154"/>
    <n v="680624"/>
    <n v="0"/>
    <n v="291696"/>
    <x v="0"/>
    <x v="5"/>
    <x v="1"/>
  </r>
  <r>
    <x v="521"/>
    <x v="4"/>
    <x v="1"/>
    <x v="0"/>
    <x v="4"/>
    <n v="43"/>
    <n v="43"/>
    <n v="21"/>
    <n v="65"/>
    <n v="27"/>
    <n v="11920"/>
    <n v="774800"/>
    <n v="0"/>
    <n v="512560"/>
    <x v="0"/>
    <x v="5"/>
    <x v="1"/>
  </r>
  <r>
    <x v="521"/>
    <x v="1"/>
    <x v="1"/>
    <x v="3"/>
    <x v="1"/>
    <n v="90"/>
    <n v="37"/>
    <n v="12"/>
    <n v="115"/>
    <n v="17"/>
    <n v="1730"/>
    <n v="198950"/>
    <n v="0"/>
    <n v="64010"/>
    <x v="0"/>
    <x v="5"/>
    <x v="1"/>
  </r>
  <r>
    <x v="521"/>
    <x v="4"/>
    <x v="1"/>
    <x v="1"/>
    <x v="1"/>
    <n v="31"/>
    <n v="38"/>
    <n v="36"/>
    <n v="33"/>
    <n v="19"/>
    <n v="14743"/>
    <n v="486519"/>
    <n v="0"/>
    <n v="560234"/>
    <x v="0"/>
    <x v="5"/>
    <x v="1"/>
  </r>
  <r>
    <x v="522"/>
    <x v="18"/>
    <x v="3"/>
    <x v="3"/>
    <x v="5"/>
    <n v="91"/>
    <n v="14"/>
    <n v="96"/>
    <n v="9"/>
    <n v="24"/>
    <n v="10900"/>
    <n v="98100"/>
    <n v="0"/>
    <n v="152600"/>
    <x v="1"/>
    <x v="5"/>
    <x v="1"/>
  </r>
  <r>
    <x v="522"/>
    <x v="18"/>
    <x v="3"/>
    <x v="3"/>
    <x v="3"/>
    <n v="125"/>
    <n v="62"/>
    <n v="94"/>
    <n v="93"/>
    <n v="49"/>
    <n v="63253"/>
    <n v="5882529"/>
    <n v="0"/>
    <n v="3921686"/>
    <x v="0"/>
    <x v="5"/>
    <x v="1"/>
  </r>
  <r>
    <x v="522"/>
    <x v="19"/>
    <x v="0"/>
    <x v="2"/>
    <x v="4"/>
    <n v="33"/>
    <n v="48"/>
    <n v="61"/>
    <n v="20"/>
    <n v="31"/>
    <n v="4790"/>
    <n v="95800"/>
    <n v="0"/>
    <n v="229920"/>
    <x v="1"/>
    <x v="5"/>
    <x v="1"/>
  </r>
  <r>
    <x v="522"/>
    <x v="5"/>
    <x v="3"/>
    <x v="2"/>
    <x v="5"/>
    <n v="54"/>
    <n v="79"/>
    <n v="76"/>
    <n v="57"/>
    <n v="54"/>
    <n v="61620"/>
    <n v="3512340"/>
    <n v="0"/>
    <n v="4867980"/>
    <x v="0"/>
    <x v="5"/>
    <x v="1"/>
  </r>
  <r>
    <x v="523"/>
    <x v="15"/>
    <x v="2"/>
    <x v="3"/>
    <x v="4"/>
    <n v="442"/>
    <n v="270"/>
    <n v="101"/>
    <n v="611"/>
    <n v="106"/>
    <n v="639"/>
    <n v="390429"/>
    <n v="0"/>
    <n v="172530"/>
    <x v="0"/>
    <x v="5"/>
    <x v="1"/>
  </r>
  <r>
    <x v="523"/>
    <x v="10"/>
    <x v="2"/>
    <x v="3"/>
    <x v="3"/>
    <n v="496"/>
    <n v="154"/>
    <n v="242"/>
    <n v="408"/>
    <n v="59"/>
    <n v="657"/>
    <n v="268056"/>
    <n v="0"/>
    <n v="101178"/>
    <x v="0"/>
    <x v="5"/>
    <x v="1"/>
  </r>
  <r>
    <x v="523"/>
    <x v="7"/>
    <x v="2"/>
    <x v="0"/>
    <x v="0"/>
    <n v="321"/>
    <n v="237"/>
    <n v="255"/>
    <n v="303"/>
    <n v="138"/>
    <n v="152"/>
    <n v="46056"/>
    <n v="0"/>
    <n v="36024"/>
    <x v="0"/>
    <x v="5"/>
    <x v="1"/>
  </r>
  <r>
    <x v="523"/>
    <x v="1"/>
    <x v="1"/>
    <x v="0"/>
    <x v="4"/>
    <n v="82"/>
    <n v="32"/>
    <n v="7"/>
    <n v="107"/>
    <n v="25"/>
    <n v="22730"/>
    <n v="2432110"/>
    <n v="0"/>
    <n v="727360"/>
    <x v="0"/>
    <x v="5"/>
    <x v="1"/>
  </r>
  <r>
    <x v="524"/>
    <x v="17"/>
    <x v="2"/>
    <x v="3"/>
    <x v="4"/>
    <n v="353"/>
    <n v="58"/>
    <n v="59"/>
    <n v="352"/>
    <n v="147"/>
    <n v="483"/>
    <n v="170016"/>
    <n v="0"/>
    <n v="28014"/>
    <x v="0"/>
    <x v="5"/>
    <x v="1"/>
  </r>
  <r>
    <x v="524"/>
    <x v="1"/>
    <x v="1"/>
    <x v="3"/>
    <x v="2"/>
    <n v="19"/>
    <n v="35"/>
    <n v="14"/>
    <n v="40"/>
    <n v="14"/>
    <n v="24922"/>
    <n v="996880"/>
    <n v="0"/>
    <n v="872270"/>
    <x v="0"/>
    <x v="5"/>
    <x v="1"/>
  </r>
  <r>
    <x v="524"/>
    <x v="11"/>
    <x v="2"/>
    <x v="2"/>
    <x v="5"/>
    <n v="404"/>
    <n v="138"/>
    <n v="105"/>
    <n v="437"/>
    <n v="128"/>
    <n v="589"/>
    <n v="257393"/>
    <n v="0"/>
    <n v="81282"/>
    <x v="0"/>
    <x v="5"/>
    <x v="1"/>
  </r>
  <r>
    <x v="524"/>
    <x v="7"/>
    <x v="2"/>
    <x v="0"/>
    <x v="2"/>
    <n v="396"/>
    <n v="261"/>
    <n v="133"/>
    <n v="524"/>
    <n v="144"/>
    <n v="298"/>
    <n v="156152"/>
    <n v="0"/>
    <n v="77778"/>
    <x v="0"/>
    <x v="5"/>
    <x v="1"/>
  </r>
  <r>
    <x v="524"/>
    <x v="17"/>
    <x v="2"/>
    <x v="2"/>
    <x v="5"/>
    <n v="383"/>
    <n v="31"/>
    <n v="50"/>
    <n v="364"/>
    <n v="109"/>
    <n v="337"/>
    <n v="122668"/>
    <n v="0"/>
    <n v="10447"/>
    <x v="0"/>
    <x v="5"/>
    <x v="1"/>
  </r>
  <r>
    <x v="524"/>
    <x v="12"/>
    <x v="1"/>
    <x v="3"/>
    <x v="0"/>
    <n v="80"/>
    <n v="41"/>
    <n v="23"/>
    <n v="98"/>
    <n v="11"/>
    <n v="5216"/>
    <n v="511168"/>
    <n v="0"/>
    <n v="213856"/>
    <x v="0"/>
    <x v="5"/>
    <x v="1"/>
  </r>
  <r>
    <x v="524"/>
    <x v="3"/>
    <x v="2"/>
    <x v="0"/>
    <x v="1"/>
    <n v="398"/>
    <n v="160"/>
    <n v="247"/>
    <n v="311"/>
    <n v="62"/>
    <n v="157"/>
    <n v="48827"/>
    <n v="0"/>
    <n v="25120"/>
    <x v="0"/>
    <x v="5"/>
    <x v="1"/>
  </r>
  <r>
    <x v="524"/>
    <x v="8"/>
    <x v="3"/>
    <x v="0"/>
    <x v="5"/>
    <n v="69"/>
    <n v="35"/>
    <n v="76"/>
    <n v="28"/>
    <n v="26"/>
    <n v="15204"/>
    <n v="425712"/>
    <n v="0"/>
    <n v="532140"/>
    <x v="0"/>
    <x v="5"/>
    <x v="1"/>
  </r>
  <r>
    <x v="524"/>
    <x v="15"/>
    <x v="2"/>
    <x v="3"/>
    <x v="4"/>
    <n v="115"/>
    <n v="224"/>
    <n v="123"/>
    <n v="216"/>
    <n v="82"/>
    <n v="178"/>
    <n v="38448"/>
    <n v="0"/>
    <n v="39872"/>
    <x v="0"/>
    <x v="5"/>
    <x v="1"/>
  </r>
  <r>
    <x v="525"/>
    <x v="18"/>
    <x v="3"/>
    <x v="0"/>
    <x v="0"/>
    <n v="150"/>
    <n v="76"/>
    <n v="41"/>
    <n v="185"/>
    <n v="57"/>
    <n v="40432"/>
    <n v="7479920"/>
    <n v="0"/>
    <n v="3072832"/>
    <x v="0"/>
    <x v="5"/>
    <x v="1"/>
  </r>
  <r>
    <x v="525"/>
    <x v="0"/>
    <x v="0"/>
    <x v="1"/>
    <x v="5"/>
    <n v="119"/>
    <n v="21"/>
    <n v="25"/>
    <n v="115"/>
    <n v="20"/>
    <n v="3453"/>
    <n v="397095"/>
    <n v="0"/>
    <n v="72513"/>
    <x v="0"/>
    <x v="5"/>
    <x v="1"/>
  </r>
  <r>
    <x v="525"/>
    <x v="7"/>
    <x v="2"/>
    <x v="2"/>
    <x v="2"/>
    <n v="61"/>
    <n v="130"/>
    <n v="165"/>
    <n v="26"/>
    <n v="73"/>
    <n v="144"/>
    <n v="3744"/>
    <n v="0"/>
    <n v="18720"/>
    <x v="1"/>
    <x v="5"/>
    <x v="1"/>
  </r>
  <r>
    <x v="525"/>
    <x v="9"/>
    <x v="0"/>
    <x v="3"/>
    <x v="0"/>
    <n v="83"/>
    <n v="55"/>
    <n v="14"/>
    <n v="124"/>
    <n v="37"/>
    <n v="17657"/>
    <n v="2189468"/>
    <n v="0"/>
    <n v="971135"/>
    <x v="0"/>
    <x v="5"/>
    <x v="1"/>
  </r>
  <r>
    <x v="525"/>
    <x v="19"/>
    <x v="0"/>
    <x v="2"/>
    <x v="0"/>
    <n v="99"/>
    <n v="39"/>
    <n v="7"/>
    <n v="131"/>
    <n v="28"/>
    <n v="16065"/>
    <n v="2104515"/>
    <n v="0"/>
    <n v="626535"/>
    <x v="0"/>
    <x v="5"/>
    <x v="1"/>
  </r>
  <r>
    <x v="526"/>
    <x v="5"/>
    <x v="3"/>
    <x v="1"/>
    <x v="1"/>
    <n v="72"/>
    <n v="63"/>
    <n v="53"/>
    <n v="82"/>
    <n v="39"/>
    <n v="1987"/>
    <n v="162934"/>
    <n v="0"/>
    <n v="125181"/>
    <x v="0"/>
    <x v="5"/>
    <x v="1"/>
  </r>
  <r>
    <x v="526"/>
    <x v="9"/>
    <x v="0"/>
    <x v="2"/>
    <x v="5"/>
    <n v="68"/>
    <n v="47"/>
    <n v="44"/>
    <n v="71"/>
    <n v="28"/>
    <n v="9356"/>
    <n v="664276"/>
    <n v="0"/>
    <n v="439732"/>
    <x v="0"/>
    <x v="5"/>
    <x v="1"/>
  </r>
  <r>
    <x v="526"/>
    <x v="3"/>
    <x v="2"/>
    <x v="1"/>
    <x v="5"/>
    <n v="186"/>
    <n v="195"/>
    <n v="109"/>
    <n v="272"/>
    <n v="136"/>
    <n v="640"/>
    <n v="174080"/>
    <n v="0"/>
    <n v="124800"/>
    <x v="0"/>
    <x v="5"/>
    <x v="1"/>
  </r>
  <r>
    <x v="526"/>
    <x v="13"/>
    <x v="3"/>
    <x v="3"/>
    <x v="1"/>
    <n v="164"/>
    <n v="93"/>
    <n v="91"/>
    <n v="166"/>
    <n v="30"/>
    <n v="51329"/>
    <n v="8520614"/>
    <n v="0"/>
    <n v="4773597"/>
    <x v="0"/>
    <x v="5"/>
    <x v="1"/>
  </r>
  <r>
    <x v="526"/>
    <x v="13"/>
    <x v="3"/>
    <x v="1"/>
    <x v="0"/>
    <n v="127"/>
    <n v="32"/>
    <n v="46"/>
    <n v="113"/>
    <n v="27"/>
    <n v="14660"/>
    <n v="1656580"/>
    <n v="0"/>
    <n v="469120"/>
    <x v="0"/>
    <x v="5"/>
    <x v="1"/>
  </r>
  <r>
    <x v="527"/>
    <x v="10"/>
    <x v="2"/>
    <x v="3"/>
    <x v="2"/>
    <n v="203"/>
    <n v="178"/>
    <n v="276"/>
    <n v="105"/>
    <n v="121"/>
    <n v="441"/>
    <n v="46305"/>
    <n v="0"/>
    <n v="78498"/>
    <x v="1"/>
    <x v="5"/>
    <x v="1"/>
  </r>
  <r>
    <x v="527"/>
    <x v="6"/>
    <x v="3"/>
    <x v="0"/>
    <x v="4"/>
    <n v="109"/>
    <n v="22"/>
    <n v="21"/>
    <n v="110"/>
    <n v="36"/>
    <n v="50117"/>
    <n v="5512870"/>
    <n v="0"/>
    <n v="1102574"/>
    <x v="0"/>
    <x v="5"/>
    <x v="1"/>
  </r>
  <r>
    <x v="527"/>
    <x v="7"/>
    <x v="2"/>
    <x v="2"/>
    <x v="2"/>
    <n v="371"/>
    <n v="103"/>
    <n v="272"/>
    <n v="202"/>
    <n v="65"/>
    <n v="503"/>
    <n v="101606"/>
    <n v="0"/>
    <n v="51809"/>
    <x v="0"/>
    <x v="5"/>
    <x v="1"/>
  </r>
  <r>
    <x v="528"/>
    <x v="11"/>
    <x v="2"/>
    <x v="0"/>
    <x v="2"/>
    <n v="363"/>
    <n v="89"/>
    <n v="97"/>
    <n v="355"/>
    <n v="117"/>
    <n v="46"/>
    <n v="16330"/>
    <n v="0"/>
    <n v="4094"/>
    <x v="0"/>
    <x v="5"/>
    <x v="1"/>
  </r>
  <r>
    <x v="528"/>
    <x v="3"/>
    <x v="2"/>
    <x v="1"/>
    <x v="3"/>
    <n v="362"/>
    <n v="112"/>
    <n v="203"/>
    <n v="271"/>
    <n v="74"/>
    <n v="234"/>
    <n v="63414"/>
    <n v="0"/>
    <n v="26208"/>
    <x v="0"/>
    <x v="5"/>
    <x v="1"/>
  </r>
  <r>
    <x v="528"/>
    <x v="17"/>
    <x v="2"/>
    <x v="0"/>
    <x v="3"/>
    <n v="236"/>
    <n v="173"/>
    <n v="271"/>
    <n v="138"/>
    <n v="96"/>
    <n v="972"/>
    <n v="134136"/>
    <n v="0"/>
    <n v="168156"/>
    <x v="0"/>
    <x v="5"/>
    <x v="1"/>
  </r>
  <r>
    <x v="528"/>
    <x v="6"/>
    <x v="3"/>
    <x v="3"/>
    <x v="3"/>
    <n v="96"/>
    <n v="54"/>
    <n v="92"/>
    <n v="58"/>
    <n v="42"/>
    <n v="15506"/>
    <n v="899348"/>
    <n v="0"/>
    <n v="837324"/>
    <x v="0"/>
    <x v="5"/>
    <x v="1"/>
  </r>
  <r>
    <x v="528"/>
    <x v="17"/>
    <x v="2"/>
    <x v="2"/>
    <x v="5"/>
    <n v="257"/>
    <n v="164"/>
    <n v="19"/>
    <n v="402"/>
    <n v="134"/>
    <n v="600"/>
    <n v="241200"/>
    <n v="0"/>
    <n v="98400"/>
    <x v="0"/>
    <x v="5"/>
    <x v="1"/>
  </r>
  <r>
    <x v="529"/>
    <x v="7"/>
    <x v="2"/>
    <x v="2"/>
    <x v="2"/>
    <n v="496"/>
    <n v="249"/>
    <n v="242"/>
    <n v="503"/>
    <n v="75"/>
    <n v="986"/>
    <n v="495958"/>
    <n v="0"/>
    <n v="245514"/>
    <x v="0"/>
    <x v="5"/>
    <x v="1"/>
  </r>
  <r>
    <x v="529"/>
    <x v="12"/>
    <x v="1"/>
    <x v="3"/>
    <x v="5"/>
    <n v="37"/>
    <n v="21"/>
    <n v="29"/>
    <n v="29"/>
    <n v="29"/>
    <n v="23488"/>
    <n v="681152"/>
    <n v="0"/>
    <n v="493248"/>
    <x v="1"/>
    <x v="5"/>
    <x v="1"/>
  </r>
  <r>
    <x v="530"/>
    <x v="9"/>
    <x v="0"/>
    <x v="2"/>
    <x v="5"/>
    <n v="106"/>
    <n v="76"/>
    <n v="21"/>
    <n v="161"/>
    <n v="35"/>
    <n v="4267"/>
    <n v="686987"/>
    <n v="0"/>
    <n v="324292"/>
    <x v="0"/>
    <x v="5"/>
    <x v="1"/>
  </r>
  <r>
    <x v="530"/>
    <x v="5"/>
    <x v="3"/>
    <x v="2"/>
    <x v="3"/>
    <n v="141"/>
    <n v="18"/>
    <n v="84"/>
    <n v="75"/>
    <n v="57"/>
    <n v="24505"/>
    <n v="1837875"/>
    <n v="0"/>
    <n v="441090"/>
    <x v="0"/>
    <x v="5"/>
    <x v="1"/>
  </r>
  <r>
    <x v="530"/>
    <x v="17"/>
    <x v="2"/>
    <x v="0"/>
    <x v="1"/>
    <n v="364"/>
    <n v="98"/>
    <n v="224"/>
    <n v="238"/>
    <n v="127"/>
    <n v="180"/>
    <n v="42840"/>
    <n v="0"/>
    <n v="17640"/>
    <x v="0"/>
    <x v="5"/>
    <x v="1"/>
  </r>
  <r>
    <x v="530"/>
    <x v="18"/>
    <x v="3"/>
    <x v="2"/>
    <x v="4"/>
    <n v="52"/>
    <n v="114"/>
    <n v="90"/>
    <n v="76"/>
    <n v="26"/>
    <n v="42860"/>
    <n v="3257360"/>
    <n v="0"/>
    <n v="4886040"/>
    <x v="0"/>
    <x v="5"/>
    <x v="1"/>
  </r>
  <r>
    <x v="531"/>
    <x v="11"/>
    <x v="2"/>
    <x v="1"/>
    <x v="5"/>
    <n v="197"/>
    <n v="274"/>
    <n v="275"/>
    <n v="196"/>
    <n v="149"/>
    <n v="450"/>
    <n v="88200"/>
    <n v="0"/>
    <n v="123300"/>
    <x v="0"/>
    <x v="5"/>
    <x v="1"/>
  </r>
  <r>
    <x v="531"/>
    <x v="15"/>
    <x v="2"/>
    <x v="2"/>
    <x v="5"/>
    <n v="448"/>
    <n v="157"/>
    <n v="204"/>
    <n v="401"/>
    <n v="117"/>
    <n v="203"/>
    <n v="81403"/>
    <n v="0"/>
    <n v="31871"/>
    <x v="0"/>
    <x v="5"/>
    <x v="1"/>
  </r>
  <r>
    <x v="531"/>
    <x v="6"/>
    <x v="3"/>
    <x v="2"/>
    <x v="2"/>
    <n v="77"/>
    <n v="14"/>
    <n v="56"/>
    <n v="35"/>
    <n v="40"/>
    <n v="34508"/>
    <n v="1207780"/>
    <n v="0"/>
    <n v="483112"/>
    <x v="1"/>
    <x v="5"/>
    <x v="1"/>
  </r>
  <r>
    <x v="531"/>
    <x v="8"/>
    <x v="3"/>
    <x v="2"/>
    <x v="5"/>
    <n v="171"/>
    <n v="111"/>
    <n v="7"/>
    <n v="275"/>
    <n v="50"/>
    <n v="41735"/>
    <n v="11477125"/>
    <n v="0"/>
    <n v="4632585"/>
    <x v="0"/>
    <x v="5"/>
    <x v="1"/>
  </r>
  <r>
    <x v="531"/>
    <x v="3"/>
    <x v="2"/>
    <x v="1"/>
    <x v="1"/>
    <n v="70"/>
    <n v="81"/>
    <n v="151"/>
    <n v="0"/>
    <n v="93"/>
    <n v="1110"/>
    <n v="0"/>
    <n v="0"/>
    <n v="89910"/>
    <x v="1"/>
    <x v="5"/>
    <x v="1"/>
  </r>
  <r>
    <x v="531"/>
    <x v="14"/>
    <x v="3"/>
    <x v="0"/>
    <x v="3"/>
    <n v="61"/>
    <n v="45"/>
    <n v="13"/>
    <n v="93"/>
    <n v="29"/>
    <n v="47275"/>
    <n v="4396575"/>
    <n v="0"/>
    <n v="2127375"/>
    <x v="0"/>
    <x v="5"/>
    <x v="1"/>
  </r>
  <r>
    <x v="531"/>
    <x v="0"/>
    <x v="0"/>
    <x v="3"/>
    <x v="5"/>
    <n v="24"/>
    <n v="61"/>
    <n v="27"/>
    <n v="58"/>
    <n v="20"/>
    <n v="2035"/>
    <n v="118030"/>
    <n v="0"/>
    <n v="124135"/>
    <x v="0"/>
    <x v="5"/>
    <x v="1"/>
  </r>
  <r>
    <x v="531"/>
    <x v="17"/>
    <x v="2"/>
    <x v="3"/>
    <x v="4"/>
    <n v="207"/>
    <n v="188"/>
    <n v="244"/>
    <n v="151"/>
    <n v="70"/>
    <n v="681"/>
    <n v="102831"/>
    <n v="0"/>
    <n v="128028"/>
    <x v="0"/>
    <x v="5"/>
    <x v="1"/>
  </r>
  <r>
    <x v="532"/>
    <x v="6"/>
    <x v="3"/>
    <x v="2"/>
    <x v="4"/>
    <n v="145"/>
    <n v="38"/>
    <n v="45"/>
    <n v="138"/>
    <n v="53"/>
    <n v="36169"/>
    <n v="4991322"/>
    <n v="0"/>
    <n v="1374422"/>
    <x v="0"/>
    <x v="5"/>
    <x v="1"/>
  </r>
  <r>
    <x v="532"/>
    <x v="0"/>
    <x v="0"/>
    <x v="0"/>
    <x v="1"/>
    <n v="107"/>
    <n v="18"/>
    <n v="50"/>
    <n v="75"/>
    <n v="35"/>
    <n v="5015"/>
    <n v="376125"/>
    <n v="0"/>
    <n v="90270"/>
    <x v="0"/>
    <x v="5"/>
    <x v="1"/>
  </r>
  <r>
    <x v="532"/>
    <x v="0"/>
    <x v="0"/>
    <x v="2"/>
    <x v="2"/>
    <n v="93"/>
    <n v="17"/>
    <n v="30"/>
    <n v="80"/>
    <n v="25"/>
    <n v="11612"/>
    <n v="928960"/>
    <n v="0"/>
    <n v="197404"/>
    <x v="0"/>
    <x v="5"/>
    <x v="1"/>
  </r>
  <r>
    <x v="532"/>
    <x v="8"/>
    <x v="3"/>
    <x v="2"/>
    <x v="0"/>
    <n v="168"/>
    <n v="79"/>
    <n v="5"/>
    <n v="242"/>
    <n v="31"/>
    <n v="64932"/>
    <n v="15713544"/>
    <n v="0"/>
    <n v="5129628"/>
    <x v="0"/>
    <x v="5"/>
    <x v="1"/>
  </r>
  <r>
    <x v="533"/>
    <x v="11"/>
    <x v="2"/>
    <x v="0"/>
    <x v="1"/>
    <n v="440"/>
    <n v="210"/>
    <n v="117"/>
    <n v="533"/>
    <n v="117"/>
    <n v="833"/>
    <n v="443989"/>
    <n v="0"/>
    <n v="174930"/>
    <x v="0"/>
    <x v="5"/>
    <x v="1"/>
  </r>
  <r>
    <x v="533"/>
    <x v="3"/>
    <x v="2"/>
    <x v="0"/>
    <x v="5"/>
    <n v="427"/>
    <n v="117"/>
    <n v="121"/>
    <n v="423"/>
    <n v="121"/>
    <n v="130"/>
    <n v="54990"/>
    <n v="0"/>
    <n v="15210"/>
    <x v="0"/>
    <x v="5"/>
    <x v="1"/>
  </r>
  <r>
    <x v="533"/>
    <x v="0"/>
    <x v="0"/>
    <x v="2"/>
    <x v="5"/>
    <n v="113"/>
    <n v="41"/>
    <n v="45"/>
    <n v="109"/>
    <n v="15"/>
    <n v="14836"/>
    <n v="1617124"/>
    <n v="0"/>
    <n v="608276"/>
    <x v="0"/>
    <x v="5"/>
    <x v="1"/>
  </r>
  <r>
    <x v="534"/>
    <x v="4"/>
    <x v="1"/>
    <x v="2"/>
    <x v="3"/>
    <n v="96"/>
    <n v="36"/>
    <n v="24"/>
    <n v="108"/>
    <n v="18"/>
    <n v="15805"/>
    <n v="1706940"/>
    <n v="0"/>
    <n v="568980"/>
    <x v="0"/>
    <x v="5"/>
    <x v="1"/>
  </r>
  <r>
    <x v="534"/>
    <x v="2"/>
    <x v="0"/>
    <x v="1"/>
    <x v="4"/>
    <n v="48"/>
    <n v="34"/>
    <n v="20"/>
    <n v="62"/>
    <n v="33"/>
    <n v="14926"/>
    <n v="925412"/>
    <n v="0"/>
    <n v="507484"/>
    <x v="0"/>
    <x v="5"/>
    <x v="1"/>
  </r>
  <r>
    <x v="534"/>
    <x v="0"/>
    <x v="0"/>
    <x v="3"/>
    <x v="4"/>
    <n v="16"/>
    <n v="37"/>
    <n v="23"/>
    <n v="30"/>
    <n v="24"/>
    <n v="2864"/>
    <n v="85920"/>
    <n v="0"/>
    <n v="105968"/>
    <x v="0"/>
    <x v="5"/>
    <x v="1"/>
  </r>
  <r>
    <x v="534"/>
    <x v="10"/>
    <x v="2"/>
    <x v="0"/>
    <x v="5"/>
    <n v="189"/>
    <n v="107"/>
    <n v="223"/>
    <n v="73"/>
    <n v="78"/>
    <n v="547"/>
    <n v="39931"/>
    <n v="0"/>
    <n v="58529"/>
    <x v="1"/>
    <x v="5"/>
    <x v="1"/>
  </r>
  <r>
    <x v="534"/>
    <x v="0"/>
    <x v="0"/>
    <x v="0"/>
    <x v="1"/>
    <n v="100"/>
    <n v="21"/>
    <n v="16"/>
    <n v="105"/>
    <n v="33"/>
    <n v="7581"/>
    <n v="796005"/>
    <n v="0"/>
    <n v="159201"/>
    <x v="0"/>
    <x v="5"/>
    <x v="1"/>
  </r>
  <r>
    <x v="534"/>
    <x v="0"/>
    <x v="0"/>
    <x v="1"/>
    <x v="4"/>
    <n v="43"/>
    <n v="47"/>
    <n v="27"/>
    <n v="63"/>
    <n v="20"/>
    <n v="2101"/>
    <n v="132363"/>
    <n v="0"/>
    <n v="98747"/>
    <x v="0"/>
    <x v="5"/>
    <x v="1"/>
  </r>
  <r>
    <x v="534"/>
    <x v="12"/>
    <x v="1"/>
    <x v="2"/>
    <x v="3"/>
    <n v="19"/>
    <n v="41"/>
    <n v="14"/>
    <n v="46"/>
    <n v="21"/>
    <n v="5208"/>
    <n v="239568"/>
    <n v="0"/>
    <n v="213528"/>
    <x v="0"/>
    <x v="5"/>
    <x v="1"/>
  </r>
  <r>
    <x v="535"/>
    <x v="15"/>
    <x v="2"/>
    <x v="2"/>
    <x v="2"/>
    <n v="277"/>
    <n v="118"/>
    <n v="101"/>
    <n v="294"/>
    <n v="91"/>
    <n v="530"/>
    <n v="155820"/>
    <n v="0"/>
    <n v="62540"/>
    <x v="0"/>
    <x v="5"/>
    <x v="1"/>
  </r>
  <r>
    <x v="535"/>
    <x v="10"/>
    <x v="2"/>
    <x v="0"/>
    <x v="5"/>
    <n v="283"/>
    <n v="88"/>
    <n v="260"/>
    <n v="111"/>
    <n v="55"/>
    <n v="105"/>
    <n v="11655"/>
    <n v="0"/>
    <n v="9240"/>
    <x v="0"/>
    <x v="5"/>
    <x v="1"/>
  </r>
  <r>
    <x v="535"/>
    <x v="9"/>
    <x v="0"/>
    <x v="1"/>
    <x v="1"/>
    <n v="50"/>
    <n v="28"/>
    <n v="33"/>
    <n v="45"/>
    <n v="28"/>
    <n v="8802"/>
    <n v="396090"/>
    <n v="0"/>
    <n v="246456"/>
    <x v="0"/>
    <x v="5"/>
    <x v="1"/>
  </r>
  <r>
    <x v="535"/>
    <x v="8"/>
    <x v="3"/>
    <x v="3"/>
    <x v="5"/>
    <n v="27"/>
    <n v="104"/>
    <n v="25"/>
    <n v="106"/>
    <n v="41"/>
    <n v="16673"/>
    <n v="1767338"/>
    <n v="0"/>
    <n v="1733992"/>
    <x v="0"/>
    <x v="5"/>
    <x v="1"/>
  </r>
  <r>
    <x v="535"/>
    <x v="1"/>
    <x v="1"/>
    <x v="0"/>
    <x v="5"/>
    <n v="88"/>
    <n v="8"/>
    <n v="13"/>
    <n v="83"/>
    <n v="22"/>
    <n v="9467"/>
    <n v="785761"/>
    <n v="0"/>
    <n v="75736"/>
    <x v="0"/>
    <x v="5"/>
    <x v="1"/>
  </r>
  <r>
    <x v="535"/>
    <x v="7"/>
    <x v="2"/>
    <x v="2"/>
    <x v="5"/>
    <n v="417"/>
    <n v="284"/>
    <n v="277"/>
    <n v="424"/>
    <n v="58"/>
    <n v="145"/>
    <n v="61480"/>
    <n v="0"/>
    <n v="41180"/>
    <x v="0"/>
    <x v="5"/>
    <x v="1"/>
  </r>
  <r>
    <x v="536"/>
    <x v="8"/>
    <x v="3"/>
    <x v="3"/>
    <x v="3"/>
    <n v="173"/>
    <n v="35"/>
    <n v="50"/>
    <n v="158"/>
    <n v="37"/>
    <n v="13179"/>
    <n v="2082282"/>
    <n v="0"/>
    <n v="461265"/>
    <x v="0"/>
    <x v="5"/>
    <x v="1"/>
  </r>
  <r>
    <x v="536"/>
    <x v="7"/>
    <x v="2"/>
    <x v="2"/>
    <x v="4"/>
    <n v="472"/>
    <n v="169"/>
    <n v="108"/>
    <n v="533"/>
    <n v="120"/>
    <n v="963"/>
    <n v="513279"/>
    <n v="0"/>
    <n v="162747"/>
    <x v="0"/>
    <x v="5"/>
    <x v="1"/>
  </r>
  <r>
    <x v="536"/>
    <x v="1"/>
    <x v="1"/>
    <x v="3"/>
    <x v="1"/>
    <n v="37"/>
    <n v="8"/>
    <n v="32"/>
    <n v="13"/>
    <n v="28"/>
    <n v="1579"/>
    <n v="20527"/>
    <n v="0"/>
    <n v="12632"/>
    <x v="1"/>
    <x v="5"/>
    <x v="1"/>
  </r>
  <r>
    <x v="536"/>
    <x v="7"/>
    <x v="2"/>
    <x v="1"/>
    <x v="3"/>
    <n v="432"/>
    <n v="144"/>
    <n v="84"/>
    <n v="492"/>
    <n v="100"/>
    <n v="97"/>
    <n v="47724"/>
    <n v="0"/>
    <n v="13968"/>
    <x v="0"/>
    <x v="5"/>
    <x v="1"/>
  </r>
  <r>
    <x v="537"/>
    <x v="14"/>
    <x v="3"/>
    <x v="2"/>
    <x v="3"/>
    <n v="108"/>
    <n v="27"/>
    <n v="58"/>
    <n v="77"/>
    <n v="58"/>
    <n v="46112"/>
    <n v="3550624"/>
    <n v="0"/>
    <n v="1245024"/>
    <x v="0"/>
    <x v="5"/>
    <x v="1"/>
  </r>
  <r>
    <x v="537"/>
    <x v="2"/>
    <x v="0"/>
    <x v="2"/>
    <x v="0"/>
    <n v="39"/>
    <n v="56"/>
    <n v="6"/>
    <n v="89"/>
    <n v="29"/>
    <n v="11234"/>
    <n v="999826"/>
    <n v="0"/>
    <n v="629104"/>
    <x v="0"/>
    <x v="5"/>
    <x v="1"/>
  </r>
  <r>
    <x v="537"/>
    <x v="17"/>
    <x v="2"/>
    <x v="1"/>
    <x v="5"/>
    <n v="103"/>
    <n v="84"/>
    <n v="187"/>
    <n v="0"/>
    <n v="108"/>
    <n v="296"/>
    <n v="0"/>
    <n v="0"/>
    <n v="24864"/>
    <x v="1"/>
    <x v="5"/>
    <x v="1"/>
  </r>
  <r>
    <x v="537"/>
    <x v="17"/>
    <x v="2"/>
    <x v="0"/>
    <x v="2"/>
    <n v="497"/>
    <n v="224"/>
    <n v="223"/>
    <n v="498"/>
    <n v="98"/>
    <n v="873"/>
    <n v="434754"/>
    <n v="0"/>
    <n v="195552"/>
    <x v="0"/>
    <x v="5"/>
    <x v="1"/>
  </r>
  <r>
    <x v="538"/>
    <x v="5"/>
    <x v="3"/>
    <x v="1"/>
    <x v="2"/>
    <n v="173"/>
    <n v="32"/>
    <n v="83"/>
    <n v="122"/>
    <n v="46"/>
    <n v="26307"/>
    <n v="3209454"/>
    <n v="0"/>
    <n v="841824"/>
    <x v="0"/>
    <x v="5"/>
    <x v="1"/>
  </r>
  <r>
    <x v="538"/>
    <x v="7"/>
    <x v="2"/>
    <x v="2"/>
    <x v="0"/>
    <n v="136"/>
    <n v="186"/>
    <n v="274"/>
    <n v="48"/>
    <n v="112"/>
    <n v="1065"/>
    <n v="51120"/>
    <n v="0"/>
    <n v="198090"/>
    <x v="1"/>
    <x v="5"/>
    <x v="1"/>
  </r>
  <r>
    <x v="538"/>
    <x v="13"/>
    <x v="3"/>
    <x v="1"/>
    <x v="4"/>
    <n v="175"/>
    <n v="118"/>
    <n v="70"/>
    <n v="223"/>
    <n v="24"/>
    <n v="31836"/>
    <n v="7099428"/>
    <n v="0"/>
    <n v="3756648"/>
    <x v="0"/>
    <x v="5"/>
    <x v="1"/>
  </r>
  <r>
    <x v="538"/>
    <x v="9"/>
    <x v="0"/>
    <x v="2"/>
    <x v="3"/>
    <n v="40"/>
    <n v="14"/>
    <n v="49"/>
    <n v="5"/>
    <n v="17"/>
    <n v="17405"/>
    <n v="87025"/>
    <n v="0"/>
    <n v="243670"/>
    <x v="1"/>
    <x v="5"/>
    <x v="1"/>
  </r>
  <r>
    <x v="538"/>
    <x v="5"/>
    <x v="3"/>
    <x v="2"/>
    <x v="1"/>
    <n v="96"/>
    <n v="12"/>
    <n v="41"/>
    <n v="67"/>
    <n v="38"/>
    <n v="24271"/>
    <n v="1626157"/>
    <n v="0"/>
    <n v="291252"/>
    <x v="0"/>
    <x v="5"/>
    <x v="1"/>
  </r>
  <r>
    <x v="538"/>
    <x v="0"/>
    <x v="0"/>
    <x v="0"/>
    <x v="5"/>
    <n v="53"/>
    <n v="37"/>
    <n v="42"/>
    <n v="48"/>
    <n v="34"/>
    <n v="15758"/>
    <n v="756384"/>
    <n v="0"/>
    <n v="583046"/>
    <x v="0"/>
    <x v="5"/>
    <x v="1"/>
  </r>
  <r>
    <x v="539"/>
    <x v="2"/>
    <x v="0"/>
    <x v="0"/>
    <x v="1"/>
    <n v="62"/>
    <n v="17"/>
    <n v="5"/>
    <n v="74"/>
    <n v="20"/>
    <n v="715"/>
    <n v="52910"/>
    <n v="0"/>
    <n v="12155"/>
    <x v="0"/>
    <x v="5"/>
    <x v="1"/>
  </r>
  <r>
    <x v="539"/>
    <x v="19"/>
    <x v="0"/>
    <x v="3"/>
    <x v="3"/>
    <n v="51"/>
    <n v="62"/>
    <n v="56"/>
    <n v="57"/>
    <n v="25"/>
    <n v="10839"/>
    <n v="617823"/>
    <n v="0"/>
    <n v="672018"/>
    <x v="0"/>
    <x v="5"/>
    <x v="1"/>
  </r>
  <r>
    <x v="539"/>
    <x v="12"/>
    <x v="1"/>
    <x v="0"/>
    <x v="3"/>
    <n v="45"/>
    <n v="17"/>
    <n v="33"/>
    <n v="29"/>
    <n v="28"/>
    <n v="17698"/>
    <n v="513242"/>
    <n v="0"/>
    <n v="300866"/>
    <x v="0"/>
    <x v="5"/>
    <x v="1"/>
  </r>
  <r>
    <x v="539"/>
    <x v="6"/>
    <x v="3"/>
    <x v="2"/>
    <x v="3"/>
    <n v="79"/>
    <n v="76"/>
    <n v="69"/>
    <n v="86"/>
    <n v="38"/>
    <n v="27155"/>
    <n v="2335330"/>
    <n v="0"/>
    <n v="2063780"/>
    <x v="0"/>
    <x v="5"/>
    <x v="1"/>
  </r>
  <r>
    <x v="540"/>
    <x v="12"/>
    <x v="1"/>
    <x v="3"/>
    <x v="5"/>
    <n v="27"/>
    <n v="46"/>
    <n v="19"/>
    <n v="54"/>
    <n v="16"/>
    <n v="14629"/>
    <n v="789966"/>
    <n v="0"/>
    <n v="672934"/>
    <x v="0"/>
    <x v="5"/>
    <x v="1"/>
  </r>
  <r>
    <x v="540"/>
    <x v="10"/>
    <x v="2"/>
    <x v="1"/>
    <x v="3"/>
    <n v="408"/>
    <n v="249"/>
    <n v="156"/>
    <n v="501"/>
    <n v="85"/>
    <n v="278"/>
    <n v="139278"/>
    <n v="0"/>
    <n v="69222"/>
    <x v="0"/>
    <x v="5"/>
    <x v="1"/>
  </r>
  <r>
    <x v="540"/>
    <x v="15"/>
    <x v="2"/>
    <x v="0"/>
    <x v="5"/>
    <n v="315"/>
    <n v="256"/>
    <n v="63"/>
    <n v="508"/>
    <n v="53"/>
    <n v="997"/>
    <n v="506476"/>
    <n v="0"/>
    <n v="255232"/>
    <x v="0"/>
    <x v="5"/>
    <x v="1"/>
  </r>
  <r>
    <x v="540"/>
    <x v="18"/>
    <x v="3"/>
    <x v="2"/>
    <x v="3"/>
    <n v="133"/>
    <n v="85"/>
    <n v="33"/>
    <n v="185"/>
    <n v="45"/>
    <n v="32162"/>
    <n v="5949970"/>
    <n v="0"/>
    <n v="2733770"/>
    <x v="0"/>
    <x v="5"/>
    <x v="1"/>
  </r>
  <r>
    <x v="540"/>
    <x v="4"/>
    <x v="1"/>
    <x v="3"/>
    <x v="4"/>
    <n v="25"/>
    <n v="19"/>
    <n v="6"/>
    <n v="38"/>
    <n v="19"/>
    <n v="19442"/>
    <n v="738796"/>
    <n v="0"/>
    <n v="369398"/>
    <x v="0"/>
    <x v="5"/>
    <x v="1"/>
  </r>
  <r>
    <x v="540"/>
    <x v="9"/>
    <x v="0"/>
    <x v="1"/>
    <x v="4"/>
    <n v="69"/>
    <n v="72"/>
    <n v="7"/>
    <n v="134"/>
    <n v="30"/>
    <n v="7173"/>
    <n v="961182"/>
    <n v="0"/>
    <n v="516456"/>
    <x v="0"/>
    <x v="5"/>
    <x v="1"/>
  </r>
  <r>
    <x v="540"/>
    <x v="9"/>
    <x v="0"/>
    <x v="3"/>
    <x v="2"/>
    <n v="22"/>
    <n v="61"/>
    <n v="49"/>
    <n v="34"/>
    <n v="34"/>
    <n v="7982"/>
    <n v="271388"/>
    <n v="0"/>
    <n v="486902"/>
    <x v="1"/>
    <x v="5"/>
    <x v="1"/>
  </r>
  <r>
    <x v="540"/>
    <x v="18"/>
    <x v="3"/>
    <x v="1"/>
    <x v="0"/>
    <n v="125"/>
    <n v="60"/>
    <n v="85"/>
    <n v="100"/>
    <n v="48"/>
    <n v="52132"/>
    <n v="5213200"/>
    <n v="0"/>
    <n v="3127920"/>
    <x v="0"/>
    <x v="5"/>
    <x v="1"/>
  </r>
  <r>
    <x v="541"/>
    <x v="0"/>
    <x v="0"/>
    <x v="3"/>
    <x v="0"/>
    <n v="80"/>
    <n v="68"/>
    <n v="33"/>
    <n v="115"/>
    <n v="16"/>
    <n v="17968"/>
    <n v="2066320"/>
    <n v="0"/>
    <n v="1221824"/>
    <x v="0"/>
    <x v="5"/>
    <x v="1"/>
  </r>
  <r>
    <x v="541"/>
    <x v="1"/>
    <x v="1"/>
    <x v="0"/>
    <x v="5"/>
    <n v="45"/>
    <n v="21"/>
    <n v="38"/>
    <n v="28"/>
    <n v="13"/>
    <n v="17054"/>
    <n v="477512"/>
    <n v="0"/>
    <n v="358134"/>
    <x v="0"/>
    <x v="5"/>
    <x v="1"/>
  </r>
  <r>
    <x v="541"/>
    <x v="10"/>
    <x v="2"/>
    <x v="3"/>
    <x v="3"/>
    <n v="397"/>
    <n v="253"/>
    <n v="162"/>
    <n v="488"/>
    <n v="74"/>
    <n v="111"/>
    <n v="54168"/>
    <n v="0"/>
    <n v="28083"/>
    <x v="0"/>
    <x v="5"/>
    <x v="1"/>
  </r>
  <r>
    <x v="541"/>
    <x v="14"/>
    <x v="3"/>
    <x v="1"/>
    <x v="2"/>
    <n v="56"/>
    <n v="117"/>
    <n v="32"/>
    <n v="141"/>
    <n v="25"/>
    <n v="11710"/>
    <n v="1651110"/>
    <n v="0"/>
    <n v="1370070"/>
    <x v="0"/>
    <x v="5"/>
    <x v="1"/>
  </r>
  <r>
    <x v="542"/>
    <x v="13"/>
    <x v="3"/>
    <x v="2"/>
    <x v="2"/>
    <n v="151"/>
    <n v="115"/>
    <n v="37"/>
    <n v="229"/>
    <n v="28"/>
    <n v="50506"/>
    <n v="11565874"/>
    <n v="0"/>
    <n v="5808190"/>
    <x v="0"/>
    <x v="5"/>
    <x v="1"/>
  </r>
  <r>
    <x v="542"/>
    <x v="7"/>
    <x v="2"/>
    <x v="3"/>
    <x v="4"/>
    <n v="60"/>
    <n v="246"/>
    <n v="111"/>
    <n v="195"/>
    <n v="135"/>
    <n v="798"/>
    <n v="155610"/>
    <n v="0"/>
    <n v="196308"/>
    <x v="0"/>
    <x v="5"/>
    <x v="1"/>
  </r>
  <r>
    <x v="542"/>
    <x v="13"/>
    <x v="3"/>
    <x v="3"/>
    <x v="5"/>
    <n v="136"/>
    <n v="48"/>
    <n v="47"/>
    <n v="137"/>
    <n v="33"/>
    <n v="30410"/>
    <n v="4166170"/>
    <n v="0"/>
    <n v="1459680"/>
    <x v="0"/>
    <x v="5"/>
    <x v="1"/>
  </r>
  <r>
    <x v="542"/>
    <x v="7"/>
    <x v="2"/>
    <x v="2"/>
    <x v="4"/>
    <n v="352"/>
    <n v="117"/>
    <n v="72"/>
    <n v="397"/>
    <n v="52"/>
    <n v="941"/>
    <n v="373577"/>
    <n v="0"/>
    <n v="110097"/>
    <x v="0"/>
    <x v="5"/>
    <x v="1"/>
  </r>
  <r>
    <x v="542"/>
    <x v="10"/>
    <x v="2"/>
    <x v="0"/>
    <x v="5"/>
    <n v="312"/>
    <n v="240"/>
    <n v="80"/>
    <n v="472"/>
    <n v="118"/>
    <n v="915"/>
    <n v="431880"/>
    <n v="0"/>
    <n v="219600"/>
    <x v="0"/>
    <x v="5"/>
    <x v="1"/>
  </r>
  <r>
    <x v="542"/>
    <x v="14"/>
    <x v="3"/>
    <x v="1"/>
    <x v="3"/>
    <n v="145"/>
    <n v="28"/>
    <n v="28"/>
    <n v="145"/>
    <n v="36"/>
    <n v="62263"/>
    <n v="9028135"/>
    <n v="0"/>
    <n v="1743364"/>
    <x v="0"/>
    <x v="5"/>
    <x v="1"/>
  </r>
  <r>
    <x v="543"/>
    <x v="14"/>
    <x v="3"/>
    <x v="1"/>
    <x v="2"/>
    <n v="90"/>
    <n v="65"/>
    <n v="76"/>
    <n v="79"/>
    <n v="29"/>
    <n v="20356"/>
    <n v="1608124"/>
    <n v="0"/>
    <n v="1323140"/>
    <x v="0"/>
    <x v="5"/>
    <x v="1"/>
  </r>
  <r>
    <x v="543"/>
    <x v="10"/>
    <x v="2"/>
    <x v="3"/>
    <x v="0"/>
    <n v="111"/>
    <n v="258"/>
    <n v="104"/>
    <n v="265"/>
    <n v="114"/>
    <n v="1078"/>
    <n v="285670"/>
    <n v="0"/>
    <n v="278124"/>
    <x v="0"/>
    <x v="5"/>
    <x v="1"/>
  </r>
  <r>
    <x v="543"/>
    <x v="13"/>
    <x v="3"/>
    <x v="1"/>
    <x v="4"/>
    <n v="117"/>
    <n v="112"/>
    <n v="65"/>
    <n v="164"/>
    <n v="39"/>
    <n v="43049"/>
    <n v="7060036"/>
    <n v="0"/>
    <n v="4821488"/>
    <x v="0"/>
    <x v="5"/>
    <x v="1"/>
  </r>
  <r>
    <x v="544"/>
    <x v="12"/>
    <x v="1"/>
    <x v="0"/>
    <x v="3"/>
    <n v="50"/>
    <n v="26"/>
    <n v="39"/>
    <n v="37"/>
    <n v="18"/>
    <n v="8950"/>
    <n v="331150"/>
    <n v="0"/>
    <n v="232700"/>
    <x v="0"/>
    <x v="5"/>
    <x v="1"/>
  </r>
  <r>
    <x v="544"/>
    <x v="17"/>
    <x v="2"/>
    <x v="1"/>
    <x v="5"/>
    <n v="394"/>
    <n v="74"/>
    <n v="143"/>
    <n v="325"/>
    <n v="119"/>
    <n v="40"/>
    <n v="13000"/>
    <n v="0"/>
    <n v="2960"/>
    <x v="0"/>
    <x v="5"/>
    <x v="1"/>
  </r>
  <r>
    <x v="544"/>
    <x v="17"/>
    <x v="2"/>
    <x v="0"/>
    <x v="0"/>
    <n v="358"/>
    <n v="47"/>
    <n v="66"/>
    <n v="339"/>
    <n v="54"/>
    <n v="131"/>
    <n v="44409"/>
    <n v="0"/>
    <n v="6157"/>
    <x v="0"/>
    <x v="5"/>
    <x v="1"/>
  </r>
  <r>
    <x v="544"/>
    <x v="14"/>
    <x v="3"/>
    <x v="1"/>
    <x v="4"/>
    <n v="29"/>
    <n v="26"/>
    <n v="21"/>
    <n v="34"/>
    <n v="50"/>
    <n v="26338"/>
    <n v="895492"/>
    <n v="0"/>
    <n v="684788"/>
    <x v="1"/>
    <x v="5"/>
    <x v="1"/>
  </r>
  <r>
    <x v="544"/>
    <x v="5"/>
    <x v="3"/>
    <x v="0"/>
    <x v="0"/>
    <n v="95"/>
    <n v="106"/>
    <n v="28"/>
    <n v="173"/>
    <n v="24"/>
    <n v="9907"/>
    <n v="1713911"/>
    <n v="0"/>
    <n v="1050142"/>
    <x v="0"/>
    <x v="5"/>
    <x v="1"/>
  </r>
  <r>
    <x v="544"/>
    <x v="1"/>
    <x v="1"/>
    <x v="1"/>
    <x v="1"/>
    <n v="88"/>
    <n v="40"/>
    <n v="36"/>
    <n v="92"/>
    <n v="17"/>
    <n v="3977"/>
    <n v="365884"/>
    <n v="0"/>
    <n v="159080"/>
    <x v="0"/>
    <x v="5"/>
    <x v="1"/>
  </r>
  <r>
    <x v="545"/>
    <x v="7"/>
    <x v="2"/>
    <x v="0"/>
    <x v="5"/>
    <n v="128"/>
    <n v="96"/>
    <n v="43"/>
    <n v="181"/>
    <n v="90"/>
    <n v="188"/>
    <n v="34028"/>
    <n v="0"/>
    <n v="18048"/>
    <x v="0"/>
    <x v="6"/>
    <x v="1"/>
  </r>
  <r>
    <x v="545"/>
    <x v="18"/>
    <x v="3"/>
    <x v="0"/>
    <x v="5"/>
    <n v="102"/>
    <n v="62"/>
    <n v="56"/>
    <n v="108"/>
    <n v="31"/>
    <n v="9173"/>
    <n v="990684"/>
    <n v="0"/>
    <n v="568726"/>
    <x v="0"/>
    <x v="6"/>
    <x v="1"/>
  </r>
  <r>
    <x v="545"/>
    <x v="10"/>
    <x v="2"/>
    <x v="0"/>
    <x v="0"/>
    <n v="232"/>
    <n v="299"/>
    <n v="109"/>
    <n v="422"/>
    <n v="98"/>
    <n v="486"/>
    <n v="205092"/>
    <n v="0"/>
    <n v="145314"/>
    <x v="0"/>
    <x v="6"/>
    <x v="1"/>
  </r>
  <r>
    <x v="545"/>
    <x v="1"/>
    <x v="1"/>
    <x v="2"/>
    <x v="2"/>
    <n v="12"/>
    <n v="9"/>
    <n v="21"/>
    <n v="0"/>
    <n v="16"/>
    <n v="11609"/>
    <n v="0"/>
    <n v="0"/>
    <n v="104481"/>
    <x v="1"/>
    <x v="6"/>
    <x v="1"/>
  </r>
  <r>
    <x v="545"/>
    <x v="17"/>
    <x v="2"/>
    <x v="3"/>
    <x v="4"/>
    <n v="338"/>
    <n v="47"/>
    <n v="174"/>
    <n v="211"/>
    <n v="139"/>
    <n v="221"/>
    <n v="46631"/>
    <n v="0"/>
    <n v="10387"/>
    <x v="0"/>
    <x v="6"/>
    <x v="1"/>
  </r>
  <r>
    <x v="545"/>
    <x v="6"/>
    <x v="3"/>
    <x v="1"/>
    <x v="4"/>
    <n v="120"/>
    <n v="56"/>
    <n v="82"/>
    <n v="94"/>
    <n v="20"/>
    <n v="28066"/>
    <n v="2638204"/>
    <n v="0"/>
    <n v="1571696"/>
    <x v="0"/>
    <x v="6"/>
    <x v="1"/>
  </r>
  <r>
    <x v="545"/>
    <x v="8"/>
    <x v="3"/>
    <x v="2"/>
    <x v="1"/>
    <n v="151"/>
    <n v="89"/>
    <n v="84"/>
    <n v="156"/>
    <n v="45"/>
    <n v="25332"/>
    <n v="3951792"/>
    <n v="0"/>
    <n v="2254548"/>
    <x v="0"/>
    <x v="6"/>
    <x v="1"/>
  </r>
  <r>
    <x v="545"/>
    <x v="4"/>
    <x v="1"/>
    <x v="1"/>
    <x v="2"/>
    <n v="23"/>
    <n v="59"/>
    <n v="15"/>
    <n v="67"/>
    <n v="21"/>
    <n v="12517"/>
    <n v="838639"/>
    <n v="0"/>
    <n v="738503"/>
    <x v="0"/>
    <x v="6"/>
    <x v="1"/>
  </r>
  <r>
    <x v="546"/>
    <x v="0"/>
    <x v="0"/>
    <x v="2"/>
    <x v="5"/>
    <n v="57"/>
    <n v="47"/>
    <n v="37"/>
    <n v="67"/>
    <n v="15"/>
    <n v="16263"/>
    <n v="1089621"/>
    <n v="0"/>
    <n v="764361"/>
    <x v="0"/>
    <x v="6"/>
    <x v="1"/>
  </r>
  <r>
    <x v="546"/>
    <x v="19"/>
    <x v="0"/>
    <x v="3"/>
    <x v="2"/>
    <n v="38"/>
    <n v="10"/>
    <n v="4"/>
    <n v="44"/>
    <n v="25"/>
    <n v="9359"/>
    <n v="411796"/>
    <n v="0"/>
    <n v="93590"/>
    <x v="0"/>
    <x v="6"/>
    <x v="1"/>
  </r>
  <r>
    <x v="546"/>
    <x v="13"/>
    <x v="3"/>
    <x v="3"/>
    <x v="3"/>
    <n v="137"/>
    <n v="101"/>
    <n v="43"/>
    <n v="195"/>
    <n v="23"/>
    <n v="57867"/>
    <n v="11284065"/>
    <n v="0"/>
    <n v="5844567"/>
    <x v="0"/>
    <x v="6"/>
    <x v="1"/>
  </r>
  <r>
    <x v="546"/>
    <x v="15"/>
    <x v="2"/>
    <x v="1"/>
    <x v="1"/>
    <n v="466"/>
    <n v="188"/>
    <n v="158"/>
    <n v="496"/>
    <n v="140"/>
    <n v="1070"/>
    <n v="530720"/>
    <n v="0"/>
    <n v="201160"/>
    <x v="0"/>
    <x v="6"/>
    <x v="1"/>
  </r>
  <r>
    <x v="546"/>
    <x v="6"/>
    <x v="3"/>
    <x v="2"/>
    <x v="2"/>
    <n v="106"/>
    <n v="81"/>
    <n v="68"/>
    <n v="119"/>
    <n v="23"/>
    <n v="15829"/>
    <n v="1883651"/>
    <n v="0"/>
    <n v="1282149"/>
    <x v="0"/>
    <x v="6"/>
    <x v="1"/>
  </r>
  <r>
    <x v="546"/>
    <x v="2"/>
    <x v="0"/>
    <x v="1"/>
    <x v="1"/>
    <n v="99"/>
    <n v="34"/>
    <n v="26"/>
    <n v="107"/>
    <n v="24"/>
    <n v="9767"/>
    <n v="1045069"/>
    <n v="0"/>
    <n v="332078"/>
    <x v="0"/>
    <x v="6"/>
    <x v="1"/>
  </r>
  <r>
    <x v="547"/>
    <x v="18"/>
    <x v="3"/>
    <x v="1"/>
    <x v="1"/>
    <n v="20"/>
    <n v="24"/>
    <n v="41"/>
    <n v="3"/>
    <n v="59"/>
    <n v="21420"/>
    <n v="64260"/>
    <n v="0"/>
    <n v="514080"/>
    <x v="1"/>
    <x v="6"/>
    <x v="1"/>
  </r>
  <r>
    <x v="548"/>
    <x v="1"/>
    <x v="1"/>
    <x v="1"/>
    <x v="5"/>
    <n v="90"/>
    <n v="35"/>
    <n v="9"/>
    <n v="116"/>
    <n v="17"/>
    <n v="21723"/>
    <n v="2519868"/>
    <n v="0"/>
    <n v="760305"/>
    <x v="0"/>
    <x v="6"/>
    <x v="1"/>
  </r>
  <r>
    <x v="548"/>
    <x v="9"/>
    <x v="0"/>
    <x v="2"/>
    <x v="2"/>
    <n v="28"/>
    <n v="12"/>
    <n v="29"/>
    <n v="11"/>
    <n v="16"/>
    <n v="15345"/>
    <n v="168795"/>
    <n v="0"/>
    <n v="184140"/>
    <x v="1"/>
    <x v="6"/>
    <x v="1"/>
  </r>
  <r>
    <x v="549"/>
    <x v="9"/>
    <x v="0"/>
    <x v="1"/>
    <x v="3"/>
    <n v="75"/>
    <n v="29"/>
    <n v="54"/>
    <n v="50"/>
    <n v="20"/>
    <n v="7578"/>
    <n v="378900"/>
    <n v="0"/>
    <n v="219762"/>
    <x v="0"/>
    <x v="6"/>
    <x v="1"/>
  </r>
  <r>
    <x v="549"/>
    <x v="16"/>
    <x v="1"/>
    <x v="1"/>
    <x v="3"/>
    <n v="40"/>
    <n v="46"/>
    <n v="11"/>
    <n v="75"/>
    <n v="29"/>
    <n v="16377"/>
    <n v="1228275"/>
    <n v="0"/>
    <n v="753342"/>
    <x v="0"/>
    <x v="6"/>
    <x v="1"/>
  </r>
  <r>
    <x v="549"/>
    <x v="14"/>
    <x v="3"/>
    <x v="2"/>
    <x v="2"/>
    <n v="77"/>
    <n v="28"/>
    <n v="92"/>
    <n v="13"/>
    <n v="32"/>
    <n v="31218"/>
    <n v="405834"/>
    <n v="0"/>
    <n v="874104"/>
    <x v="1"/>
    <x v="6"/>
    <x v="1"/>
  </r>
  <r>
    <x v="549"/>
    <x v="11"/>
    <x v="2"/>
    <x v="0"/>
    <x v="4"/>
    <n v="464"/>
    <n v="111"/>
    <n v="267"/>
    <n v="308"/>
    <n v="142"/>
    <n v="608"/>
    <n v="187264"/>
    <n v="0"/>
    <n v="67488"/>
    <x v="0"/>
    <x v="6"/>
    <x v="1"/>
  </r>
  <r>
    <x v="549"/>
    <x v="5"/>
    <x v="3"/>
    <x v="1"/>
    <x v="1"/>
    <n v="156"/>
    <n v="108"/>
    <n v="81"/>
    <n v="183"/>
    <n v="37"/>
    <n v="57326"/>
    <n v="10490658"/>
    <n v="0"/>
    <n v="6191208"/>
    <x v="0"/>
    <x v="6"/>
    <x v="1"/>
  </r>
  <r>
    <x v="549"/>
    <x v="1"/>
    <x v="1"/>
    <x v="0"/>
    <x v="5"/>
    <n v="12"/>
    <n v="14"/>
    <n v="4"/>
    <n v="22"/>
    <n v="12"/>
    <n v="6257"/>
    <n v="137654"/>
    <n v="0"/>
    <n v="87598"/>
    <x v="0"/>
    <x v="6"/>
    <x v="1"/>
  </r>
  <r>
    <x v="549"/>
    <x v="2"/>
    <x v="0"/>
    <x v="0"/>
    <x v="1"/>
    <n v="96"/>
    <n v="5"/>
    <n v="13"/>
    <n v="88"/>
    <n v="39"/>
    <n v="8855"/>
    <n v="779240"/>
    <n v="0"/>
    <n v="44275"/>
    <x v="0"/>
    <x v="6"/>
    <x v="1"/>
  </r>
  <r>
    <x v="550"/>
    <x v="4"/>
    <x v="1"/>
    <x v="0"/>
    <x v="3"/>
    <n v="76"/>
    <n v="29"/>
    <n v="39"/>
    <n v="66"/>
    <n v="29"/>
    <n v="21960"/>
    <n v="1449360"/>
    <n v="0"/>
    <n v="636840"/>
    <x v="0"/>
    <x v="6"/>
    <x v="1"/>
  </r>
  <r>
    <x v="550"/>
    <x v="17"/>
    <x v="2"/>
    <x v="0"/>
    <x v="5"/>
    <n v="87"/>
    <n v="77"/>
    <n v="164"/>
    <n v="0"/>
    <n v="130"/>
    <n v="606"/>
    <n v="0"/>
    <n v="0"/>
    <n v="46662"/>
    <x v="1"/>
    <x v="6"/>
    <x v="1"/>
  </r>
  <r>
    <x v="550"/>
    <x v="9"/>
    <x v="0"/>
    <x v="2"/>
    <x v="0"/>
    <n v="79"/>
    <n v="46"/>
    <n v="32"/>
    <n v="93"/>
    <n v="19"/>
    <n v="3494"/>
    <n v="324942"/>
    <n v="0"/>
    <n v="160724"/>
    <x v="0"/>
    <x v="6"/>
    <x v="1"/>
  </r>
  <r>
    <x v="550"/>
    <x v="6"/>
    <x v="3"/>
    <x v="0"/>
    <x v="5"/>
    <n v="40"/>
    <n v="24"/>
    <n v="30"/>
    <n v="34"/>
    <n v="55"/>
    <n v="20775"/>
    <n v="706350"/>
    <n v="0"/>
    <n v="498600"/>
    <x v="1"/>
    <x v="6"/>
    <x v="1"/>
  </r>
  <r>
    <x v="550"/>
    <x v="2"/>
    <x v="0"/>
    <x v="1"/>
    <x v="3"/>
    <n v="116"/>
    <n v="34"/>
    <n v="12"/>
    <n v="138"/>
    <n v="21"/>
    <n v="4249"/>
    <n v="586362"/>
    <n v="0"/>
    <n v="144466"/>
    <x v="0"/>
    <x v="6"/>
    <x v="1"/>
  </r>
  <r>
    <x v="551"/>
    <x v="13"/>
    <x v="3"/>
    <x v="3"/>
    <x v="1"/>
    <n v="67"/>
    <n v="40"/>
    <n v="40"/>
    <n v="67"/>
    <n v="52"/>
    <n v="63883"/>
    <n v="4280161"/>
    <n v="0"/>
    <n v="2555320"/>
    <x v="0"/>
    <x v="6"/>
    <x v="1"/>
  </r>
  <r>
    <x v="551"/>
    <x v="7"/>
    <x v="2"/>
    <x v="1"/>
    <x v="0"/>
    <n v="448"/>
    <n v="201"/>
    <n v="195"/>
    <n v="454"/>
    <n v="99"/>
    <n v="745"/>
    <n v="338230"/>
    <n v="0"/>
    <n v="149745"/>
    <x v="0"/>
    <x v="6"/>
    <x v="1"/>
  </r>
  <r>
    <x v="551"/>
    <x v="4"/>
    <x v="1"/>
    <x v="0"/>
    <x v="2"/>
    <n v="64"/>
    <n v="41"/>
    <n v="23"/>
    <n v="82"/>
    <n v="26"/>
    <n v="14555"/>
    <n v="1193510"/>
    <n v="0"/>
    <n v="596755"/>
    <x v="0"/>
    <x v="6"/>
    <x v="1"/>
  </r>
  <r>
    <x v="551"/>
    <x v="14"/>
    <x v="3"/>
    <x v="1"/>
    <x v="3"/>
    <n v="55"/>
    <n v="112"/>
    <n v="40"/>
    <n v="127"/>
    <n v="42"/>
    <n v="2442"/>
    <n v="310134"/>
    <n v="0"/>
    <n v="273504"/>
    <x v="0"/>
    <x v="6"/>
    <x v="1"/>
  </r>
  <r>
    <x v="551"/>
    <x v="18"/>
    <x v="3"/>
    <x v="3"/>
    <x v="2"/>
    <n v="152"/>
    <n v="75"/>
    <n v="17"/>
    <n v="210"/>
    <n v="37"/>
    <n v="41694"/>
    <n v="8755740"/>
    <n v="0"/>
    <n v="3127050"/>
    <x v="0"/>
    <x v="6"/>
    <x v="1"/>
  </r>
  <r>
    <x v="552"/>
    <x v="14"/>
    <x v="3"/>
    <x v="3"/>
    <x v="3"/>
    <n v="34"/>
    <n v="38"/>
    <n v="37"/>
    <n v="35"/>
    <n v="49"/>
    <n v="60179"/>
    <n v="2106265"/>
    <n v="0"/>
    <n v="2286802"/>
    <x v="1"/>
    <x v="6"/>
    <x v="1"/>
  </r>
  <r>
    <x v="552"/>
    <x v="11"/>
    <x v="2"/>
    <x v="3"/>
    <x v="0"/>
    <n v="415"/>
    <n v="257"/>
    <n v="203"/>
    <n v="469"/>
    <n v="126"/>
    <n v="549"/>
    <n v="257481"/>
    <n v="0"/>
    <n v="141093"/>
    <x v="0"/>
    <x v="6"/>
    <x v="1"/>
  </r>
  <r>
    <x v="552"/>
    <x v="15"/>
    <x v="2"/>
    <x v="2"/>
    <x v="0"/>
    <n v="168"/>
    <n v="198"/>
    <n v="117"/>
    <n v="249"/>
    <n v="97"/>
    <n v="166"/>
    <n v="41334"/>
    <n v="0"/>
    <n v="32868"/>
    <x v="0"/>
    <x v="6"/>
    <x v="1"/>
  </r>
  <r>
    <x v="552"/>
    <x v="18"/>
    <x v="3"/>
    <x v="2"/>
    <x v="1"/>
    <n v="113"/>
    <n v="81"/>
    <n v="44"/>
    <n v="150"/>
    <n v="25"/>
    <n v="40678"/>
    <n v="6101700"/>
    <n v="0"/>
    <n v="3294918"/>
    <x v="0"/>
    <x v="6"/>
    <x v="1"/>
  </r>
  <r>
    <x v="552"/>
    <x v="3"/>
    <x v="2"/>
    <x v="2"/>
    <x v="1"/>
    <n v="346"/>
    <n v="118"/>
    <n v="227"/>
    <n v="237"/>
    <n v="107"/>
    <n v="1040"/>
    <n v="246480"/>
    <n v="0"/>
    <n v="122720"/>
    <x v="0"/>
    <x v="6"/>
    <x v="1"/>
  </r>
  <r>
    <x v="552"/>
    <x v="14"/>
    <x v="3"/>
    <x v="2"/>
    <x v="2"/>
    <n v="160"/>
    <n v="114"/>
    <n v="68"/>
    <n v="206"/>
    <n v="28"/>
    <n v="33584"/>
    <n v="6918304"/>
    <n v="0"/>
    <n v="3828576"/>
    <x v="0"/>
    <x v="6"/>
    <x v="1"/>
  </r>
  <r>
    <x v="552"/>
    <x v="0"/>
    <x v="0"/>
    <x v="1"/>
    <x v="3"/>
    <n v="55"/>
    <n v="10"/>
    <n v="54"/>
    <n v="11"/>
    <n v="16"/>
    <n v="16379"/>
    <n v="180169"/>
    <n v="0"/>
    <n v="163790"/>
    <x v="1"/>
    <x v="6"/>
    <x v="1"/>
  </r>
  <r>
    <x v="553"/>
    <x v="4"/>
    <x v="1"/>
    <x v="0"/>
    <x v="0"/>
    <n v="26"/>
    <n v="8"/>
    <n v="30"/>
    <n v="4"/>
    <n v="16"/>
    <n v="12946"/>
    <n v="51784"/>
    <n v="0"/>
    <n v="103568"/>
    <x v="1"/>
    <x v="6"/>
    <x v="1"/>
  </r>
  <r>
    <x v="553"/>
    <x v="0"/>
    <x v="0"/>
    <x v="2"/>
    <x v="5"/>
    <n v="94"/>
    <n v="37"/>
    <n v="31"/>
    <n v="100"/>
    <n v="24"/>
    <n v="12578"/>
    <n v="1257800"/>
    <n v="0"/>
    <n v="465386"/>
    <x v="0"/>
    <x v="6"/>
    <x v="1"/>
  </r>
  <r>
    <x v="553"/>
    <x v="9"/>
    <x v="0"/>
    <x v="2"/>
    <x v="2"/>
    <n v="92"/>
    <n v="32"/>
    <n v="20"/>
    <n v="104"/>
    <n v="39"/>
    <n v="16374"/>
    <n v="1702896"/>
    <n v="0"/>
    <n v="523968"/>
    <x v="0"/>
    <x v="6"/>
    <x v="1"/>
  </r>
  <r>
    <x v="553"/>
    <x v="5"/>
    <x v="3"/>
    <x v="2"/>
    <x v="0"/>
    <n v="104"/>
    <n v="36"/>
    <n v="23"/>
    <n v="117"/>
    <n v="54"/>
    <n v="53558"/>
    <n v="6266286"/>
    <n v="0"/>
    <n v="1928088"/>
    <x v="0"/>
    <x v="6"/>
    <x v="1"/>
  </r>
  <r>
    <x v="553"/>
    <x v="10"/>
    <x v="2"/>
    <x v="0"/>
    <x v="2"/>
    <n v="165"/>
    <n v="113"/>
    <n v="268"/>
    <n v="10"/>
    <n v="136"/>
    <n v="379"/>
    <n v="3790"/>
    <n v="0"/>
    <n v="42827"/>
    <x v="1"/>
    <x v="6"/>
    <x v="1"/>
  </r>
  <r>
    <x v="553"/>
    <x v="1"/>
    <x v="1"/>
    <x v="0"/>
    <x v="2"/>
    <n v="50"/>
    <n v="41"/>
    <n v="43"/>
    <n v="48"/>
    <n v="23"/>
    <n v="22410"/>
    <n v="1075680"/>
    <n v="0"/>
    <n v="918810"/>
    <x v="0"/>
    <x v="6"/>
    <x v="1"/>
  </r>
  <r>
    <x v="554"/>
    <x v="4"/>
    <x v="1"/>
    <x v="3"/>
    <x v="4"/>
    <n v="37"/>
    <n v="49"/>
    <n v="18"/>
    <n v="68"/>
    <n v="17"/>
    <n v="4186"/>
    <n v="284648"/>
    <n v="0"/>
    <n v="205114"/>
    <x v="0"/>
    <x v="6"/>
    <x v="1"/>
  </r>
  <r>
    <x v="554"/>
    <x v="19"/>
    <x v="0"/>
    <x v="2"/>
    <x v="5"/>
    <n v="29"/>
    <n v="74"/>
    <n v="52"/>
    <n v="51"/>
    <n v="32"/>
    <n v="12320"/>
    <n v="628320"/>
    <n v="0"/>
    <n v="911680"/>
    <x v="0"/>
    <x v="6"/>
    <x v="1"/>
  </r>
  <r>
    <x v="554"/>
    <x v="14"/>
    <x v="3"/>
    <x v="2"/>
    <x v="2"/>
    <n v="105"/>
    <n v="53"/>
    <n v="78"/>
    <n v="80"/>
    <n v="25"/>
    <n v="16534"/>
    <n v="1322720"/>
    <n v="0"/>
    <n v="876302"/>
    <x v="0"/>
    <x v="6"/>
    <x v="1"/>
  </r>
  <r>
    <x v="554"/>
    <x v="1"/>
    <x v="1"/>
    <x v="2"/>
    <x v="3"/>
    <n v="38"/>
    <n v="17"/>
    <n v="13"/>
    <n v="42"/>
    <n v="23"/>
    <n v="7226"/>
    <n v="303492"/>
    <n v="0"/>
    <n v="122842"/>
    <x v="0"/>
    <x v="6"/>
    <x v="1"/>
  </r>
  <r>
    <x v="555"/>
    <x v="7"/>
    <x v="2"/>
    <x v="2"/>
    <x v="0"/>
    <n v="450"/>
    <n v="192"/>
    <n v="262"/>
    <n v="380"/>
    <n v="63"/>
    <n v="39"/>
    <n v="14820"/>
    <n v="0"/>
    <n v="7488"/>
    <x v="0"/>
    <x v="6"/>
    <x v="1"/>
  </r>
  <r>
    <x v="555"/>
    <x v="2"/>
    <x v="0"/>
    <x v="3"/>
    <x v="4"/>
    <n v="119"/>
    <n v="29"/>
    <n v="44"/>
    <n v="104"/>
    <n v="26"/>
    <n v="10616"/>
    <n v="1104064"/>
    <n v="0"/>
    <n v="307864"/>
    <x v="0"/>
    <x v="6"/>
    <x v="1"/>
  </r>
  <r>
    <x v="555"/>
    <x v="3"/>
    <x v="2"/>
    <x v="1"/>
    <x v="5"/>
    <n v="67"/>
    <n v="234"/>
    <n v="92"/>
    <n v="209"/>
    <n v="74"/>
    <n v="581"/>
    <n v="121429"/>
    <n v="0"/>
    <n v="135954"/>
    <x v="0"/>
    <x v="6"/>
    <x v="1"/>
  </r>
  <r>
    <x v="555"/>
    <x v="8"/>
    <x v="3"/>
    <x v="2"/>
    <x v="5"/>
    <n v="106"/>
    <n v="83"/>
    <n v="71"/>
    <n v="118"/>
    <n v="22"/>
    <n v="56548"/>
    <n v="6672664"/>
    <n v="0"/>
    <n v="4693484"/>
    <x v="0"/>
    <x v="6"/>
    <x v="1"/>
  </r>
  <r>
    <x v="555"/>
    <x v="14"/>
    <x v="3"/>
    <x v="1"/>
    <x v="2"/>
    <n v="77"/>
    <n v="40"/>
    <n v="27"/>
    <n v="90"/>
    <n v="29"/>
    <n v="13513"/>
    <n v="1216170"/>
    <n v="0"/>
    <n v="540520"/>
    <x v="0"/>
    <x v="6"/>
    <x v="1"/>
  </r>
  <r>
    <x v="555"/>
    <x v="14"/>
    <x v="3"/>
    <x v="1"/>
    <x v="2"/>
    <n v="119"/>
    <n v="97"/>
    <n v="49"/>
    <n v="167"/>
    <n v="48"/>
    <n v="46430"/>
    <n v="7753810"/>
    <n v="0"/>
    <n v="4503710"/>
    <x v="0"/>
    <x v="6"/>
    <x v="1"/>
  </r>
  <r>
    <x v="556"/>
    <x v="4"/>
    <x v="1"/>
    <x v="2"/>
    <x v="4"/>
    <n v="22"/>
    <n v="37"/>
    <n v="6"/>
    <n v="53"/>
    <n v="23"/>
    <n v="10280"/>
    <n v="544840"/>
    <n v="0"/>
    <n v="380360"/>
    <x v="0"/>
    <x v="6"/>
    <x v="1"/>
  </r>
  <r>
    <x v="556"/>
    <x v="10"/>
    <x v="2"/>
    <x v="0"/>
    <x v="2"/>
    <n v="421"/>
    <n v="141"/>
    <n v="54"/>
    <n v="508"/>
    <n v="115"/>
    <n v="616"/>
    <n v="312928"/>
    <n v="0"/>
    <n v="86856"/>
    <x v="0"/>
    <x v="6"/>
    <x v="1"/>
  </r>
  <r>
    <x v="556"/>
    <x v="10"/>
    <x v="2"/>
    <x v="2"/>
    <x v="1"/>
    <n v="291"/>
    <n v="32"/>
    <n v="151"/>
    <n v="172"/>
    <n v="110"/>
    <n v="917"/>
    <n v="157724"/>
    <n v="0"/>
    <n v="29344"/>
    <x v="0"/>
    <x v="6"/>
    <x v="1"/>
  </r>
  <r>
    <x v="556"/>
    <x v="5"/>
    <x v="3"/>
    <x v="1"/>
    <x v="0"/>
    <n v="63"/>
    <n v="31"/>
    <n v="57"/>
    <n v="37"/>
    <n v="49"/>
    <n v="41434"/>
    <n v="1533058"/>
    <n v="0"/>
    <n v="1284454"/>
    <x v="1"/>
    <x v="6"/>
    <x v="1"/>
  </r>
  <r>
    <x v="556"/>
    <x v="12"/>
    <x v="1"/>
    <x v="3"/>
    <x v="0"/>
    <n v="73"/>
    <n v="42"/>
    <n v="12"/>
    <n v="103"/>
    <n v="29"/>
    <n v="24184"/>
    <n v="2490952"/>
    <n v="0"/>
    <n v="1015728"/>
    <x v="0"/>
    <x v="6"/>
    <x v="1"/>
  </r>
  <r>
    <x v="557"/>
    <x v="11"/>
    <x v="2"/>
    <x v="2"/>
    <x v="2"/>
    <n v="52"/>
    <n v="132"/>
    <n v="31"/>
    <n v="153"/>
    <n v="140"/>
    <n v="135"/>
    <n v="20655"/>
    <n v="0"/>
    <n v="17820"/>
    <x v="0"/>
    <x v="6"/>
    <x v="1"/>
  </r>
  <r>
    <x v="557"/>
    <x v="3"/>
    <x v="2"/>
    <x v="1"/>
    <x v="3"/>
    <n v="310"/>
    <n v="246"/>
    <n v="133"/>
    <n v="423"/>
    <n v="83"/>
    <n v="824"/>
    <n v="348552"/>
    <n v="0"/>
    <n v="202704"/>
    <x v="0"/>
    <x v="6"/>
    <x v="1"/>
  </r>
  <r>
    <x v="557"/>
    <x v="17"/>
    <x v="2"/>
    <x v="3"/>
    <x v="4"/>
    <n v="305"/>
    <n v="203"/>
    <n v="112"/>
    <n v="396"/>
    <n v="84"/>
    <n v="140"/>
    <n v="55440"/>
    <n v="0"/>
    <n v="28420"/>
    <x v="0"/>
    <x v="6"/>
    <x v="1"/>
  </r>
  <r>
    <x v="557"/>
    <x v="5"/>
    <x v="3"/>
    <x v="3"/>
    <x v="3"/>
    <n v="124"/>
    <n v="107"/>
    <n v="92"/>
    <n v="139"/>
    <n v="51"/>
    <n v="22791"/>
    <n v="3167949"/>
    <n v="0"/>
    <n v="2438637"/>
    <x v="0"/>
    <x v="6"/>
    <x v="1"/>
  </r>
  <r>
    <x v="557"/>
    <x v="15"/>
    <x v="2"/>
    <x v="3"/>
    <x v="3"/>
    <n v="148"/>
    <n v="43"/>
    <n v="191"/>
    <n v="0"/>
    <n v="61"/>
    <n v="1158"/>
    <n v="0"/>
    <n v="0"/>
    <n v="49794"/>
    <x v="1"/>
    <x v="6"/>
    <x v="1"/>
  </r>
  <r>
    <x v="558"/>
    <x v="4"/>
    <x v="1"/>
    <x v="2"/>
    <x v="1"/>
    <n v="61"/>
    <n v="51"/>
    <n v="26"/>
    <n v="86"/>
    <n v="14"/>
    <n v="23638"/>
    <n v="2032868"/>
    <n v="0"/>
    <n v="1205538"/>
    <x v="0"/>
    <x v="6"/>
    <x v="1"/>
  </r>
  <r>
    <x v="558"/>
    <x v="13"/>
    <x v="3"/>
    <x v="1"/>
    <x v="5"/>
    <n v="100"/>
    <n v="39"/>
    <n v="25"/>
    <n v="114"/>
    <n v="32"/>
    <n v="56155"/>
    <n v="6401670"/>
    <n v="0"/>
    <n v="2190045"/>
    <x v="0"/>
    <x v="6"/>
    <x v="1"/>
  </r>
  <r>
    <x v="558"/>
    <x v="0"/>
    <x v="0"/>
    <x v="2"/>
    <x v="0"/>
    <n v="110"/>
    <n v="41"/>
    <n v="12"/>
    <n v="139"/>
    <n v="23"/>
    <n v="14187"/>
    <n v="1971993"/>
    <n v="0"/>
    <n v="581667"/>
    <x v="0"/>
    <x v="6"/>
    <x v="1"/>
  </r>
  <r>
    <x v="559"/>
    <x v="10"/>
    <x v="2"/>
    <x v="0"/>
    <x v="1"/>
    <n v="145"/>
    <n v="230"/>
    <n v="35"/>
    <n v="340"/>
    <n v="142"/>
    <n v="448"/>
    <n v="152320"/>
    <n v="0"/>
    <n v="103040"/>
    <x v="0"/>
    <x v="6"/>
    <x v="1"/>
  </r>
  <r>
    <x v="559"/>
    <x v="7"/>
    <x v="2"/>
    <x v="1"/>
    <x v="2"/>
    <n v="381"/>
    <n v="160"/>
    <n v="52"/>
    <n v="489"/>
    <n v="99"/>
    <n v="76"/>
    <n v="37164"/>
    <n v="0"/>
    <n v="12160"/>
    <x v="0"/>
    <x v="6"/>
    <x v="1"/>
  </r>
  <r>
    <x v="559"/>
    <x v="8"/>
    <x v="3"/>
    <x v="2"/>
    <x v="5"/>
    <n v="94"/>
    <n v="45"/>
    <n v="79"/>
    <n v="60"/>
    <n v="25"/>
    <n v="25576"/>
    <n v="1534560"/>
    <n v="0"/>
    <n v="1150920"/>
    <x v="0"/>
    <x v="6"/>
    <x v="1"/>
  </r>
  <r>
    <x v="559"/>
    <x v="16"/>
    <x v="1"/>
    <x v="3"/>
    <x v="0"/>
    <n v="69"/>
    <n v="6"/>
    <n v="6"/>
    <n v="69"/>
    <n v="17"/>
    <n v="3975"/>
    <n v="274275"/>
    <n v="0"/>
    <n v="23850"/>
    <x v="0"/>
    <x v="6"/>
    <x v="1"/>
  </r>
  <r>
    <x v="559"/>
    <x v="0"/>
    <x v="0"/>
    <x v="0"/>
    <x v="5"/>
    <n v="37"/>
    <n v="66"/>
    <n v="13"/>
    <n v="90"/>
    <n v="39"/>
    <n v="6419"/>
    <n v="577710"/>
    <n v="0"/>
    <n v="423654"/>
    <x v="0"/>
    <x v="6"/>
    <x v="1"/>
  </r>
  <r>
    <x v="559"/>
    <x v="16"/>
    <x v="1"/>
    <x v="2"/>
    <x v="5"/>
    <n v="45"/>
    <n v="8"/>
    <n v="15"/>
    <n v="38"/>
    <n v="18"/>
    <n v="11332"/>
    <n v="430616"/>
    <n v="0"/>
    <n v="90656"/>
    <x v="0"/>
    <x v="6"/>
    <x v="1"/>
  </r>
  <r>
    <x v="559"/>
    <x v="3"/>
    <x v="2"/>
    <x v="3"/>
    <x v="0"/>
    <n v="276"/>
    <n v="98"/>
    <n v="135"/>
    <n v="239"/>
    <n v="134"/>
    <n v="968"/>
    <n v="231352"/>
    <n v="0"/>
    <n v="94864"/>
    <x v="0"/>
    <x v="6"/>
    <x v="1"/>
  </r>
  <r>
    <x v="559"/>
    <x v="1"/>
    <x v="1"/>
    <x v="3"/>
    <x v="3"/>
    <n v="55"/>
    <n v="42"/>
    <n v="9"/>
    <n v="88"/>
    <n v="14"/>
    <n v="20753"/>
    <n v="1826264"/>
    <n v="0"/>
    <n v="871626"/>
    <x v="0"/>
    <x v="6"/>
    <x v="1"/>
  </r>
  <r>
    <x v="560"/>
    <x v="16"/>
    <x v="1"/>
    <x v="1"/>
    <x v="2"/>
    <n v="78"/>
    <n v="28"/>
    <n v="30"/>
    <n v="76"/>
    <n v="17"/>
    <n v="20311"/>
    <n v="1543636"/>
    <n v="0"/>
    <n v="568708"/>
    <x v="0"/>
    <x v="6"/>
    <x v="1"/>
  </r>
  <r>
    <x v="560"/>
    <x v="19"/>
    <x v="0"/>
    <x v="2"/>
    <x v="4"/>
    <n v="61"/>
    <n v="50"/>
    <n v="58"/>
    <n v="53"/>
    <n v="33"/>
    <n v="8206"/>
    <n v="434918"/>
    <n v="0"/>
    <n v="410300"/>
    <x v="0"/>
    <x v="6"/>
    <x v="1"/>
  </r>
  <r>
    <x v="560"/>
    <x v="19"/>
    <x v="0"/>
    <x v="0"/>
    <x v="0"/>
    <n v="18"/>
    <n v="46"/>
    <n v="22"/>
    <n v="42"/>
    <n v="28"/>
    <n v="14932"/>
    <n v="627144"/>
    <n v="0"/>
    <n v="686872"/>
    <x v="0"/>
    <x v="6"/>
    <x v="1"/>
  </r>
  <r>
    <x v="560"/>
    <x v="10"/>
    <x v="2"/>
    <x v="1"/>
    <x v="3"/>
    <n v="144"/>
    <n v="117"/>
    <n v="53"/>
    <n v="208"/>
    <n v="71"/>
    <n v="480"/>
    <n v="99840"/>
    <n v="0"/>
    <n v="56160"/>
    <x v="0"/>
    <x v="6"/>
    <x v="1"/>
  </r>
  <r>
    <x v="560"/>
    <x v="6"/>
    <x v="3"/>
    <x v="2"/>
    <x v="2"/>
    <n v="31"/>
    <n v="78"/>
    <n v="77"/>
    <n v="32"/>
    <n v="28"/>
    <n v="44619"/>
    <n v="1427808"/>
    <n v="0"/>
    <n v="3480282"/>
    <x v="0"/>
    <x v="6"/>
    <x v="1"/>
  </r>
  <r>
    <x v="560"/>
    <x v="3"/>
    <x v="2"/>
    <x v="0"/>
    <x v="0"/>
    <n v="362"/>
    <n v="278"/>
    <n v="128"/>
    <n v="512"/>
    <n v="103"/>
    <n v="588"/>
    <n v="301056"/>
    <n v="0"/>
    <n v="163464"/>
    <x v="0"/>
    <x v="6"/>
    <x v="1"/>
  </r>
  <r>
    <x v="561"/>
    <x v="15"/>
    <x v="2"/>
    <x v="1"/>
    <x v="1"/>
    <n v="476"/>
    <n v="243"/>
    <n v="160"/>
    <n v="559"/>
    <n v="104"/>
    <n v="95"/>
    <n v="53105"/>
    <n v="0"/>
    <n v="23085"/>
    <x v="0"/>
    <x v="6"/>
    <x v="1"/>
  </r>
  <r>
    <x v="561"/>
    <x v="17"/>
    <x v="2"/>
    <x v="3"/>
    <x v="3"/>
    <n v="124"/>
    <n v="173"/>
    <n v="197"/>
    <n v="100"/>
    <n v="125"/>
    <n v="654"/>
    <n v="65400"/>
    <n v="0"/>
    <n v="113142"/>
    <x v="1"/>
    <x v="6"/>
    <x v="1"/>
  </r>
  <r>
    <x v="561"/>
    <x v="2"/>
    <x v="0"/>
    <x v="3"/>
    <x v="1"/>
    <n v="59"/>
    <n v="67"/>
    <n v="60"/>
    <n v="66"/>
    <n v="36"/>
    <n v="10102"/>
    <n v="666732"/>
    <n v="0"/>
    <n v="676834"/>
    <x v="0"/>
    <x v="6"/>
    <x v="1"/>
  </r>
  <r>
    <x v="561"/>
    <x v="14"/>
    <x v="3"/>
    <x v="0"/>
    <x v="1"/>
    <n v="104"/>
    <n v="97"/>
    <n v="29"/>
    <n v="172"/>
    <n v="38"/>
    <n v="47566"/>
    <n v="8181352"/>
    <n v="0"/>
    <n v="4613902"/>
    <x v="0"/>
    <x v="6"/>
    <x v="1"/>
  </r>
  <r>
    <x v="561"/>
    <x v="7"/>
    <x v="2"/>
    <x v="1"/>
    <x v="3"/>
    <n v="166"/>
    <n v="75"/>
    <n v="97"/>
    <n v="144"/>
    <n v="62"/>
    <n v="739"/>
    <n v="106416"/>
    <n v="0"/>
    <n v="55425"/>
    <x v="0"/>
    <x v="6"/>
    <x v="1"/>
  </r>
  <r>
    <x v="561"/>
    <x v="4"/>
    <x v="1"/>
    <x v="2"/>
    <x v="1"/>
    <n v="38"/>
    <n v="53"/>
    <n v="16"/>
    <n v="75"/>
    <n v="21"/>
    <n v="16731"/>
    <n v="1254825"/>
    <n v="0"/>
    <n v="886743"/>
    <x v="0"/>
    <x v="6"/>
    <x v="1"/>
  </r>
  <r>
    <x v="562"/>
    <x v="17"/>
    <x v="2"/>
    <x v="2"/>
    <x v="1"/>
    <n v="187"/>
    <n v="103"/>
    <n v="50"/>
    <n v="240"/>
    <n v="52"/>
    <n v="608"/>
    <n v="145920"/>
    <n v="0"/>
    <n v="62624"/>
    <x v="0"/>
    <x v="6"/>
    <x v="1"/>
  </r>
  <r>
    <x v="562"/>
    <x v="11"/>
    <x v="2"/>
    <x v="1"/>
    <x v="1"/>
    <n v="109"/>
    <n v="63"/>
    <n v="105"/>
    <n v="67"/>
    <n v="138"/>
    <n v="1008"/>
    <n v="67536"/>
    <n v="0"/>
    <n v="63504"/>
    <x v="1"/>
    <x v="6"/>
    <x v="1"/>
  </r>
  <r>
    <x v="562"/>
    <x v="4"/>
    <x v="1"/>
    <x v="1"/>
    <x v="4"/>
    <n v="29"/>
    <n v="36"/>
    <n v="15"/>
    <n v="50"/>
    <n v="23"/>
    <n v="8055"/>
    <n v="402750"/>
    <n v="0"/>
    <n v="289980"/>
    <x v="0"/>
    <x v="6"/>
    <x v="1"/>
  </r>
  <r>
    <x v="562"/>
    <x v="9"/>
    <x v="0"/>
    <x v="2"/>
    <x v="5"/>
    <n v="29"/>
    <n v="7"/>
    <n v="36"/>
    <n v="0"/>
    <n v="22"/>
    <n v="14819"/>
    <n v="0"/>
    <n v="0"/>
    <n v="103733"/>
    <x v="1"/>
    <x v="6"/>
    <x v="1"/>
  </r>
  <r>
    <x v="562"/>
    <x v="19"/>
    <x v="0"/>
    <x v="3"/>
    <x v="1"/>
    <n v="110"/>
    <n v="8"/>
    <n v="32"/>
    <n v="86"/>
    <n v="37"/>
    <n v="15520"/>
    <n v="1334720"/>
    <n v="0"/>
    <n v="124160"/>
    <x v="0"/>
    <x v="6"/>
    <x v="1"/>
  </r>
  <r>
    <x v="563"/>
    <x v="9"/>
    <x v="0"/>
    <x v="3"/>
    <x v="5"/>
    <n v="46"/>
    <n v="52"/>
    <n v="41"/>
    <n v="57"/>
    <n v="24"/>
    <n v="4963"/>
    <n v="282891"/>
    <n v="0"/>
    <n v="258076"/>
    <x v="0"/>
    <x v="6"/>
    <x v="1"/>
  </r>
  <r>
    <x v="563"/>
    <x v="18"/>
    <x v="3"/>
    <x v="0"/>
    <x v="2"/>
    <n v="59"/>
    <n v="83"/>
    <n v="22"/>
    <n v="120"/>
    <n v="32"/>
    <n v="59342"/>
    <n v="7121040"/>
    <n v="0"/>
    <n v="4925386"/>
    <x v="0"/>
    <x v="6"/>
    <x v="1"/>
  </r>
  <r>
    <x v="564"/>
    <x v="12"/>
    <x v="1"/>
    <x v="3"/>
    <x v="5"/>
    <n v="85"/>
    <n v="39"/>
    <n v="12"/>
    <n v="112"/>
    <n v="21"/>
    <n v="5912"/>
    <n v="662144"/>
    <n v="0"/>
    <n v="230568"/>
    <x v="0"/>
    <x v="6"/>
    <x v="1"/>
  </r>
  <r>
    <x v="564"/>
    <x v="12"/>
    <x v="1"/>
    <x v="0"/>
    <x v="3"/>
    <n v="95"/>
    <n v="22"/>
    <n v="24"/>
    <n v="93"/>
    <n v="27"/>
    <n v="6365"/>
    <n v="591945"/>
    <n v="0"/>
    <n v="140030"/>
    <x v="0"/>
    <x v="6"/>
    <x v="1"/>
  </r>
  <r>
    <x v="564"/>
    <x v="2"/>
    <x v="0"/>
    <x v="2"/>
    <x v="0"/>
    <n v="41"/>
    <n v="63"/>
    <n v="9"/>
    <n v="95"/>
    <n v="22"/>
    <n v="3619"/>
    <n v="343805"/>
    <n v="0"/>
    <n v="227997"/>
    <x v="0"/>
    <x v="6"/>
    <x v="1"/>
  </r>
  <r>
    <x v="564"/>
    <x v="12"/>
    <x v="1"/>
    <x v="1"/>
    <x v="3"/>
    <n v="13"/>
    <n v="34"/>
    <n v="20"/>
    <n v="27"/>
    <n v="18"/>
    <n v="14010"/>
    <n v="378270"/>
    <n v="0"/>
    <n v="476340"/>
    <x v="0"/>
    <x v="6"/>
    <x v="1"/>
  </r>
  <r>
    <x v="564"/>
    <x v="4"/>
    <x v="1"/>
    <x v="2"/>
    <x v="5"/>
    <n v="21"/>
    <n v="21"/>
    <n v="15"/>
    <n v="27"/>
    <n v="11"/>
    <n v="18921"/>
    <n v="510867"/>
    <n v="0"/>
    <n v="397341"/>
    <x v="0"/>
    <x v="6"/>
    <x v="1"/>
  </r>
  <r>
    <x v="565"/>
    <x v="17"/>
    <x v="2"/>
    <x v="3"/>
    <x v="5"/>
    <n v="453"/>
    <n v="238"/>
    <n v="26"/>
    <n v="665"/>
    <n v="54"/>
    <n v="87"/>
    <n v="57855"/>
    <n v="0"/>
    <n v="20706"/>
    <x v="0"/>
    <x v="6"/>
    <x v="1"/>
  </r>
  <r>
    <x v="565"/>
    <x v="16"/>
    <x v="1"/>
    <x v="1"/>
    <x v="2"/>
    <n v="89"/>
    <n v="59"/>
    <n v="26"/>
    <n v="122"/>
    <n v="26"/>
    <n v="19445"/>
    <n v="2372290"/>
    <n v="0"/>
    <n v="1147255"/>
    <x v="0"/>
    <x v="6"/>
    <x v="1"/>
  </r>
  <r>
    <x v="565"/>
    <x v="10"/>
    <x v="2"/>
    <x v="2"/>
    <x v="0"/>
    <n v="353"/>
    <n v="257"/>
    <n v="97"/>
    <n v="513"/>
    <n v="101"/>
    <n v="1053"/>
    <n v="540189"/>
    <n v="0"/>
    <n v="270621"/>
    <x v="0"/>
    <x v="6"/>
    <x v="1"/>
  </r>
  <r>
    <x v="565"/>
    <x v="18"/>
    <x v="3"/>
    <x v="3"/>
    <x v="4"/>
    <n v="134"/>
    <n v="49"/>
    <n v="19"/>
    <n v="164"/>
    <n v="28"/>
    <n v="3508"/>
    <n v="575312"/>
    <n v="0"/>
    <n v="171892"/>
    <x v="0"/>
    <x v="6"/>
    <x v="1"/>
  </r>
  <r>
    <x v="565"/>
    <x v="9"/>
    <x v="0"/>
    <x v="1"/>
    <x v="5"/>
    <n v="88"/>
    <n v="5"/>
    <n v="40"/>
    <n v="53"/>
    <n v="21"/>
    <n v="14148"/>
    <n v="749844"/>
    <n v="0"/>
    <n v="70740"/>
    <x v="0"/>
    <x v="6"/>
    <x v="1"/>
  </r>
  <r>
    <x v="566"/>
    <x v="8"/>
    <x v="3"/>
    <x v="3"/>
    <x v="5"/>
    <n v="94"/>
    <n v="105"/>
    <n v="95"/>
    <n v="104"/>
    <n v="56"/>
    <n v="15097"/>
    <n v="1570088"/>
    <n v="0"/>
    <n v="1585185"/>
    <x v="0"/>
    <x v="6"/>
    <x v="1"/>
  </r>
  <r>
    <x v="566"/>
    <x v="17"/>
    <x v="2"/>
    <x v="3"/>
    <x v="4"/>
    <n v="154"/>
    <n v="161"/>
    <n v="57"/>
    <n v="258"/>
    <n v="85"/>
    <n v="292"/>
    <n v="75336"/>
    <n v="0"/>
    <n v="47012"/>
    <x v="0"/>
    <x v="6"/>
    <x v="1"/>
  </r>
  <r>
    <x v="566"/>
    <x v="10"/>
    <x v="2"/>
    <x v="2"/>
    <x v="4"/>
    <n v="424"/>
    <n v="86"/>
    <n v="123"/>
    <n v="387"/>
    <n v="101"/>
    <n v="916"/>
    <n v="354492"/>
    <n v="0"/>
    <n v="78776"/>
    <x v="0"/>
    <x v="6"/>
    <x v="1"/>
  </r>
  <r>
    <x v="566"/>
    <x v="6"/>
    <x v="3"/>
    <x v="3"/>
    <x v="3"/>
    <n v="92"/>
    <n v="19"/>
    <n v="65"/>
    <n v="46"/>
    <n v="45"/>
    <n v="49933"/>
    <n v="2296918"/>
    <n v="0"/>
    <n v="948727"/>
    <x v="0"/>
    <x v="6"/>
    <x v="1"/>
  </r>
  <r>
    <x v="566"/>
    <x v="18"/>
    <x v="3"/>
    <x v="0"/>
    <x v="4"/>
    <n v="176"/>
    <n v="40"/>
    <n v="69"/>
    <n v="147"/>
    <n v="37"/>
    <n v="46465"/>
    <n v="6830355"/>
    <n v="0"/>
    <n v="1858600"/>
    <x v="0"/>
    <x v="6"/>
    <x v="1"/>
  </r>
  <r>
    <x v="566"/>
    <x v="18"/>
    <x v="3"/>
    <x v="2"/>
    <x v="2"/>
    <n v="104"/>
    <n v="11"/>
    <n v="65"/>
    <n v="50"/>
    <n v="57"/>
    <n v="20825"/>
    <n v="1041250"/>
    <n v="0"/>
    <n v="229075"/>
    <x v="1"/>
    <x v="6"/>
    <x v="1"/>
  </r>
  <r>
    <x v="566"/>
    <x v="3"/>
    <x v="2"/>
    <x v="0"/>
    <x v="3"/>
    <n v="323"/>
    <n v="205"/>
    <n v="125"/>
    <n v="403"/>
    <n v="80"/>
    <n v="103"/>
    <n v="41509"/>
    <n v="0"/>
    <n v="21115"/>
    <x v="0"/>
    <x v="6"/>
    <x v="1"/>
  </r>
  <r>
    <x v="567"/>
    <x v="13"/>
    <x v="3"/>
    <x v="0"/>
    <x v="1"/>
    <n v="53"/>
    <n v="96"/>
    <n v="62"/>
    <n v="87"/>
    <n v="48"/>
    <n v="12317"/>
    <n v="1071579"/>
    <n v="0"/>
    <n v="1182432"/>
    <x v="0"/>
    <x v="6"/>
    <x v="1"/>
  </r>
  <r>
    <x v="567"/>
    <x v="11"/>
    <x v="2"/>
    <x v="1"/>
    <x v="2"/>
    <n v="248"/>
    <n v="46"/>
    <n v="64"/>
    <n v="230"/>
    <n v="106"/>
    <n v="518"/>
    <n v="119140"/>
    <n v="0"/>
    <n v="23828"/>
    <x v="0"/>
    <x v="6"/>
    <x v="1"/>
  </r>
  <r>
    <x v="567"/>
    <x v="14"/>
    <x v="3"/>
    <x v="0"/>
    <x v="2"/>
    <n v="175"/>
    <n v="87"/>
    <n v="73"/>
    <n v="189"/>
    <n v="52"/>
    <n v="39829"/>
    <n v="7527681"/>
    <n v="0"/>
    <n v="3465123"/>
    <x v="0"/>
    <x v="6"/>
    <x v="1"/>
  </r>
  <r>
    <x v="567"/>
    <x v="17"/>
    <x v="2"/>
    <x v="2"/>
    <x v="1"/>
    <n v="111"/>
    <n v="271"/>
    <n v="99"/>
    <n v="283"/>
    <n v="79"/>
    <n v="857"/>
    <n v="242531"/>
    <n v="0"/>
    <n v="232247"/>
    <x v="0"/>
    <x v="6"/>
    <x v="1"/>
  </r>
  <r>
    <x v="568"/>
    <x v="6"/>
    <x v="3"/>
    <x v="0"/>
    <x v="2"/>
    <n v="44"/>
    <n v="32"/>
    <n v="63"/>
    <n v="13"/>
    <n v="52"/>
    <n v="36512"/>
    <n v="474656"/>
    <n v="0"/>
    <n v="1168384"/>
    <x v="1"/>
    <x v="6"/>
    <x v="1"/>
  </r>
  <r>
    <x v="568"/>
    <x v="19"/>
    <x v="0"/>
    <x v="1"/>
    <x v="0"/>
    <n v="29"/>
    <n v="20"/>
    <n v="35"/>
    <n v="14"/>
    <n v="25"/>
    <n v="8098"/>
    <n v="113372"/>
    <n v="0"/>
    <n v="161960"/>
    <x v="1"/>
    <x v="6"/>
    <x v="1"/>
  </r>
  <r>
    <x v="568"/>
    <x v="14"/>
    <x v="3"/>
    <x v="0"/>
    <x v="5"/>
    <n v="167"/>
    <n v="91"/>
    <n v="54"/>
    <n v="204"/>
    <n v="41"/>
    <n v="59374"/>
    <n v="12112296"/>
    <n v="0"/>
    <n v="5403034"/>
    <x v="0"/>
    <x v="6"/>
    <x v="1"/>
  </r>
  <r>
    <x v="568"/>
    <x v="19"/>
    <x v="0"/>
    <x v="2"/>
    <x v="1"/>
    <n v="62"/>
    <n v="58"/>
    <n v="20"/>
    <n v="100"/>
    <n v="38"/>
    <n v="15806"/>
    <n v="1580600"/>
    <n v="0"/>
    <n v="916748"/>
    <x v="0"/>
    <x v="6"/>
    <x v="1"/>
  </r>
  <r>
    <x v="568"/>
    <x v="10"/>
    <x v="2"/>
    <x v="1"/>
    <x v="4"/>
    <n v="135"/>
    <n v="84"/>
    <n v="210"/>
    <n v="9"/>
    <n v="97"/>
    <n v="465"/>
    <n v="4185"/>
    <n v="0"/>
    <n v="39060"/>
    <x v="1"/>
    <x v="6"/>
    <x v="1"/>
  </r>
  <r>
    <x v="568"/>
    <x v="13"/>
    <x v="3"/>
    <x v="1"/>
    <x v="1"/>
    <n v="47"/>
    <n v="44"/>
    <n v="14"/>
    <n v="77"/>
    <n v="40"/>
    <n v="50784"/>
    <n v="3910368"/>
    <n v="0"/>
    <n v="2234496"/>
    <x v="0"/>
    <x v="6"/>
    <x v="1"/>
  </r>
  <r>
    <x v="569"/>
    <x v="7"/>
    <x v="2"/>
    <x v="2"/>
    <x v="5"/>
    <n v="358"/>
    <n v="188"/>
    <n v="130"/>
    <n v="416"/>
    <n v="69"/>
    <n v="785"/>
    <n v="326560"/>
    <n v="0"/>
    <n v="147580"/>
    <x v="0"/>
    <x v="6"/>
    <x v="1"/>
  </r>
  <r>
    <x v="569"/>
    <x v="15"/>
    <x v="2"/>
    <x v="2"/>
    <x v="2"/>
    <n v="233"/>
    <n v="209"/>
    <n v="21"/>
    <n v="421"/>
    <n v="92"/>
    <n v="1111"/>
    <n v="467731"/>
    <n v="0"/>
    <n v="232199"/>
    <x v="0"/>
    <x v="6"/>
    <x v="1"/>
  </r>
  <r>
    <x v="569"/>
    <x v="1"/>
    <x v="1"/>
    <x v="1"/>
    <x v="4"/>
    <n v="76"/>
    <n v="31"/>
    <n v="24"/>
    <n v="83"/>
    <n v="10"/>
    <n v="17155"/>
    <n v="1423865"/>
    <n v="0"/>
    <n v="531805"/>
    <x v="0"/>
    <x v="6"/>
    <x v="1"/>
  </r>
  <r>
    <x v="569"/>
    <x v="12"/>
    <x v="1"/>
    <x v="1"/>
    <x v="0"/>
    <n v="81"/>
    <n v="24"/>
    <n v="30"/>
    <n v="75"/>
    <n v="28"/>
    <n v="17434"/>
    <n v="1307550"/>
    <n v="0"/>
    <n v="418416"/>
    <x v="0"/>
    <x v="6"/>
    <x v="1"/>
  </r>
  <r>
    <x v="569"/>
    <x v="0"/>
    <x v="0"/>
    <x v="2"/>
    <x v="3"/>
    <n v="23"/>
    <n v="64"/>
    <n v="54"/>
    <n v="33"/>
    <n v="25"/>
    <n v="10194"/>
    <n v="336402"/>
    <n v="0"/>
    <n v="652416"/>
    <x v="0"/>
    <x v="6"/>
    <x v="1"/>
  </r>
  <r>
    <x v="569"/>
    <x v="0"/>
    <x v="0"/>
    <x v="0"/>
    <x v="1"/>
    <n v="53"/>
    <n v="59"/>
    <n v="43"/>
    <n v="69"/>
    <n v="25"/>
    <n v="5192"/>
    <n v="358248"/>
    <n v="0"/>
    <n v="306328"/>
    <x v="0"/>
    <x v="6"/>
    <x v="1"/>
  </r>
  <r>
    <x v="570"/>
    <x v="16"/>
    <x v="1"/>
    <x v="0"/>
    <x v="5"/>
    <n v="57"/>
    <n v="33"/>
    <n v="34"/>
    <n v="56"/>
    <n v="17"/>
    <n v="21781"/>
    <n v="1219736"/>
    <n v="0"/>
    <n v="718773"/>
    <x v="0"/>
    <x v="6"/>
    <x v="1"/>
  </r>
  <r>
    <x v="570"/>
    <x v="5"/>
    <x v="3"/>
    <x v="1"/>
    <x v="1"/>
    <n v="167"/>
    <n v="31"/>
    <n v="8"/>
    <n v="190"/>
    <n v="48"/>
    <n v="53975"/>
    <n v="10255250"/>
    <n v="0"/>
    <n v="1673225"/>
    <x v="0"/>
    <x v="6"/>
    <x v="1"/>
  </r>
  <r>
    <x v="571"/>
    <x v="9"/>
    <x v="0"/>
    <x v="3"/>
    <x v="3"/>
    <n v="56"/>
    <n v="17"/>
    <n v="14"/>
    <n v="59"/>
    <n v="35"/>
    <n v="7098"/>
    <n v="418782"/>
    <n v="0"/>
    <n v="120666"/>
    <x v="0"/>
    <x v="6"/>
    <x v="1"/>
  </r>
  <r>
    <x v="571"/>
    <x v="9"/>
    <x v="0"/>
    <x v="1"/>
    <x v="0"/>
    <n v="54"/>
    <n v="7"/>
    <n v="20"/>
    <n v="41"/>
    <n v="36"/>
    <n v="9212"/>
    <n v="377692"/>
    <n v="0"/>
    <n v="64484"/>
    <x v="0"/>
    <x v="6"/>
    <x v="1"/>
  </r>
  <r>
    <x v="571"/>
    <x v="16"/>
    <x v="1"/>
    <x v="0"/>
    <x v="0"/>
    <n v="49"/>
    <n v="8"/>
    <n v="32"/>
    <n v="25"/>
    <n v="15"/>
    <n v="12832"/>
    <n v="320800"/>
    <n v="0"/>
    <n v="102656"/>
    <x v="0"/>
    <x v="6"/>
    <x v="1"/>
  </r>
  <r>
    <x v="571"/>
    <x v="7"/>
    <x v="2"/>
    <x v="0"/>
    <x v="1"/>
    <n v="154"/>
    <n v="43"/>
    <n v="86"/>
    <n v="111"/>
    <n v="81"/>
    <n v="597"/>
    <n v="66267"/>
    <n v="0"/>
    <n v="25671"/>
    <x v="0"/>
    <x v="6"/>
    <x v="1"/>
  </r>
  <r>
    <x v="571"/>
    <x v="7"/>
    <x v="2"/>
    <x v="2"/>
    <x v="5"/>
    <n v="164"/>
    <n v="96"/>
    <n v="258"/>
    <n v="2"/>
    <n v="51"/>
    <n v="870"/>
    <n v="1740"/>
    <n v="0"/>
    <n v="83520"/>
    <x v="1"/>
    <x v="6"/>
    <x v="1"/>
  </r>
  <r>
    <x v="571"/>
    <x v="2"/>
    <x v="0"/>
    <x v="2"/>
    <x v="1"/>
    <n v="49"/>
    <n v="54"/>
    <n v="20"/>
    <n v="83"/>
    <n v="17"/>
    <n v="15251"/>
    <n v="1265833"/>
    <n v="0"/>
    <n v="823554"/>
    <x v="0"/>
    <x v="6"/>
    <x v="1"/>
  </r>
  <r>
    <x v="571"/>
    <x v="6"/>
    <x v="3"/>
    <x v="0"/>
    <x v="1"/>
    <n v="37"/>
    <n v="67"/>
    <n v="80"/>
    <n v="24"/>
    <n v="52"/>
    <n v="41624"/>
    <n v="998976"/>
    <n v="0"/>
    <n v="2788808"/>
    <x v="1"/>
    <x v="6"/>
    <x v="1"/>
  </r>
  <r>
    <x v="571"/>
    <x v="4"/>
    <x v="1"/>
    <x v="1"/>
    <x v="5"/>
    <n v="60"/>
    <n v="14"/>
    <n v="7"/>
    <n v="67"/>
    <n v="26"/>
    <n v="7961"/>
    <n v="533387"/>
    <n v="0"/>
    <n v="111454"/>
    <x v="0"/>
    <x v="6"/>
    <x v="1"/>
  </r>
  <r>
    <x v="571"/>
    <x v="2"/>
    <x v="0"/>
    <x v="0"/>
    <x v="3"/>
    <n v="78"/>
    <n v="9"/>
    <n v="60"/>
    <n v="27"/>
    <n v="37"/>
    <n v="2416"/>
    <n v="65232"/>
    <n v="0"/>
    <n v="21744"/>
    <x v="1"/>
    <x v="6"/>
    <x v="1"/>
  </r>
  <r>
    <x v="572"/>
    <x v="0"/>
    <x v="0"/>
    <x v="0"/>
    <x v="5"/>
    <n v="109"/>
    <n v="56"/>
    <n v="63"/>
    <n v="102"/>
    <n v="18"/>
    <n v="11086"/>
    <n v="1130772"/>
    <n v="0"/>
    <n v="620816"/>
    <x v="0"/>
    <x v="6"/>
    <x v="1"/>
  </r>
  <r>
    <x v="572"/>
    <x v="13"/>
    <x v="3"/>
    <x v="2"/>
    <x v="2"/>
    <n v="153"/>
    <n v="37"/>
    <n v="32"/>
    <n v="158"/>
    <n v="39"/>
    <n v="47499"/>
    <n v="7504842"/>
    <n v="0"/>
    <n v="1757463"/>
    <x v="0"/>
    <x v="6"/>
    <x v="1"/>
  </r>
  <r>
    <x v="572"/>
    <x v="16"/>
    <x v="1"/>
    <x v="0"/>
    <x v="5"/>
    <n v="38"/>
    <n v="14"/>
    <n v="18"/>
    <n v="34"/>
    <n v="15"/>
    <n v="12061"/>
    <n v="410074"/>
    <n v="0"/>
    <n v="168854"/>
    <x v="0"/>
    <x v="6"/>
    <x v="1"/>
  </r>
  <r>
    <x v="572"/>
    <x v="19"/>
    <x v="0"/>
    <x v="0"/>
    <x v="2"/>
    <n v="34"/>
    <n v="7"/>
    <n v="18"/>
    <n v="23"/>
    <n v="26"/>
    <n v="802"/>
    <n v="18446"/>
    <n v="0"/>
    <n v="5614"/>
    <x v="1"/>
    <x v="6"/>
    <x v="1"/>
  </r>
  <r>
    <x v="572"/>
    <x v="6"/>
    <x v="3"/>
    <x v="0"/>
    <x v="4"/>
    <n v="83"/>
    <n v="26"/>
    <n v="82"/>
    <n v="27"/>
    <n v="54"/>
    <n v="4488"/>
    <n v="121176"/>
    <n v="0"/>
    <n v="116688"/>
    <x v="1"/>
    <x v="6"/>
    <x v="1"/>
  </r>
  <r>
    <x v="572"/>
    <x v="4"/>
    <x v="1"/>
    <x v="3"/>
    <x v="5"/>
    <n v="94"/>
    <n v="20"/>
    <n v="7"/>
    <n v="107"/>
    <n v="18"/>
    <n v="4382"/>
    <n v="468874"/>
    <n v="0"/>
    <n v="87640"/>
    <x v="0"/>
    <x v="6"/>
    <x v="1"/>
  </r>
  <r>
    <x v="572"/>
    <x v="11"/>
    <x v="2"/>
    <x v="0"/>
    <x v="4"/>
    <n v="256"/>
    <n v="183"/>
    <n v="57"/>
    <n v="382"/>
    <n v="58"/>
    <n v="1044"/>
    <n v="398808"/>
    <n v="0"/>
    <n v="191052"/>
    <x v="0"/>
    <x v="6"/>
    <x v="1"/>
  </r>
  <r>
    <x v="573"/>
    <x v="3"/>
    <x v="2"/>
    <x v="0"/>
    <x v="5"/>
    <n v="356"/>
    <n v="145"/>
    <n v="122"/>
    <n v="379"/>
    <n v="56"/>
    <n v="562"/>
    <n v="212998"/>
    <n v="0"/>
    <n v="81490"/>
    <x v="0"/>
    <x v="6"/>
    <x v="1"/>
  </r>
  <r>
    <x v="573"/>
    <x v="10"/>
    <x v="2"/>
    <x v="3"/>
    <x v="4"/>
    <n v="429"/>
    <n v="41"/>
    <n v="150"/>
    <n v="320"/>
    <n v="112"/>
    <n v="36"/>
    <n v="11520"/>
    <n v="0"/>
    <n v="1476"/>
    <x v="0"/>
    <x v="6"/>
    <x v="1"/>
  </r>
  <r>
    <x v="573"/>
    <x v="0"/>
    <x v="0"/>
    <x v="3"/>
    <x v="1"/>
    <n v="25"/>
    <n v="68"/>
    <n v="57"/>
    <n v="36"/>
    <n v="16"/>
    <n v="14050"/>
    <n v="505800"/>
    <n v="0"/>
    <n v="955400"/>
    <x v="0"/>
    <x v="6"/>
    <x v="1"/>
  </r>
  <r>
    <x v="573"/>
    <x v="3"/>
    <x v="2"/>
    <x v="1"/>
    <x v="5"/>
    <n v="343"/>
    <n v="283"/>
    <n v="189"/>
    <n v="437"/>
    <n v="57"/>
    <n v="59"/>
    <n v="25783"/>
    <n v="0"/>
    <n v="16697"/>
    <x v="0"/>
    <x v="6"/>
    <x v="1"/>
  </r>
  <r>
    <x v="573"/>
    <x v="1"/>
    <x v="1"/>
    <x v="0"/>
    <x v="2"/>
    <n v="31"/>
    <n v="10"/>
    <n v="22"/>
    <n v="19"/>
    <n v="24"/>
    <n v="17534"/>
    <n v="333146"/>
    <n v="0"/>
    <n v="175340"/>
    <x v="1"/>
    <x v="6"/>
    <x v="1"/>
  </r>
  <r>
    <x v="573"/>
    <x v="11"/>
    <x v="2"/>
    <x v="2"/>
    <x v="2"/>
    <n v="214"/>
    <n v="216"/>
    <n v="218"/>
    <n v="212"/>
    <n v="52"/>
    <n v="243"/>
    <n v="51516"/>
    <n v="0"/>
    <n v="52488"/>
    <x v="0"/>
    <x v="6"/>
    <x v="1"/>
  </r>
  <r>
    <x v="574"/>
    <x v="1"/>
    <x v="1"/>
    <x v="1"/>
    <x v="4"/>
    <n v="39"/>
    <n v="13"/>
    <n v="33"/>
    <n v="19"/>
    <n v="11"/>
    <n v="14310"/>
    <n v="271890"/>
    <n v="0"/>
    <n v="186030"/>
    <x v="0"/>
    <x v="6"/>
    <x v="1"/>
  </r>
  <r>
    <x v="574"/>
    <x v="0"/>
    <x v="0"/>
    <x v="1"/>
    <x v="4"/>
    <n v="16"/>
    <n v="46"/>
    <n v="20"/>
    <n v="42"/>
    <n v="25"/>
    <n v="6897"/>
    <n v="289674"/>
    <n v="0"/>
    <n v="317262"/>
    <x v="0"/>
    <x v="6"/>
    <x v="1"/>
  </r>
  <r>
    <x v="574"/>
    <x v="5"/>
    <x v="3"/>
    <x v="0"/>
    <x v="0"/>
    <n v="130"/>
    <n v="75"/>
    <n v="63"/>
    <n v="142"/>
    <n v="54"/>
    <n v="31885"/>
    <n v="4527670"/>
    <n v="0"/>
    <n v="2391375"/>
    <x v="0"/>
    <x v="6"/>
    <x v="1"/>
  </r>
  <r>
    <x v="574"/>
    <x v="17"/>
    <x v="2"/>
    <x v="3"/>
    <x v="3"/>
    <n v="398"/>
    <n v="211"/>
    <n v="134"/>
    <n v="475"/>
    <n v="100"/>
    <n v="1037"/>
    <n v="492575"/>
    <n v="0"/>
    <n v="218807"/>
    <x v="0"/>
    <x v="6"/>
    <x v="1"/>
  </r>
  <r>
    <x v="574"/>
    <x v="11"/>
    <x v="2"/>
    <x v="0"/>
    <x v="1"/>
    <n v="374"/>
    <n v="205"/>
    <n v="125"/>
    <n v="454"/>
    <n v="80"/>
    <n v="852"/>
    <n v="386808"/>
    <n v="0"/>
    <n v="174660"/>
    <x v="0"/>
    <x v="6"/>
    <x v="1"/>
  </r>
  <r>
    <x v="574"/>
    <x v="4"/>
    <x v="1"/>
    <x v="0"/>
    <x v="1"/>
    <n v="29"/>
    <n v="20"/>
    <n v="18"/>
    <n v="31"/>
    <n v="28"/>
    <n v="19115"/>
    <n v="592565"/>
    <n v="0"/>
    <n v="382300"/>
    <x v="0"/>
    <x v="6"/>
    <x v="1"/>
  </r>
  <r>
    <x v="574"/>
    <x v="17"/>
    <x v="2"/>
    <x v="2"/>
    <x v="0"/>
    <n v="338"/>
    <n v="110"/>
    <n v="206"/>
    <n v="242"/>
    <n v="118"/>
    <n v="401"/>
    <n v="97042"/>
    <n v="0"/>
    <n v="44110"/>
    <x v="0"/>
    <x v="6"/>
    <x v="1"/>
  </r>
  <r>
    <x v="574"/>
    <x v="17"/>
    <x v="2"/>
    <x v="1"/>
    <x v="1"/>
    <n v="396"/>
    <n v="298"/>
    <n v="193"/>
    <n v="501"/>
    <n v="90"/>
    <n v="287"/>
    <n v="143787"/>
    <n v="0"/>
    <n v="85526"/>
    <x v="0"/>
    <x v="6"/>
    <x v="1"/>
  </r>
  <r>
    <x v="574"/>
    <x v="13"/>
    <x v="3"/>
    <x v="3"/>
    <x v="4"/>
    <n v="84"/>
    <n v="23"/>
    <n v="29"/>
    <n v="78"/>
    <n v="55"/>
    <n v="23299"/>
    <n v="1817322"/>
    <n v="0"/>
    <n v="535877"/>
    <x v="0"/>
    <x v="6"/>
    <x v="1"/>
  </r>
  <r>
    <x v="575"/>
    <x v="3"/>
    <x v="2"/>
    <x v="0"/>
    <x v="1"/>
    <n v="118"/>
    <n v="38"/>
    <n v="156"/>
    <n v="0"/>
    <n v="77"/>
    <n v="729"/>
    <n v="0"/>
    <n v="0"/>
    <n v="27702"/>
    <x v="1"/>
    <x v="6"/>
    <x v="1"/>
  </r>
  <r>
    <x v="575"/>
    <x v="2"/>
    <x v="0"/>
    <x v="3"/>
    <x v="0"/>
    <n v="79"/>
    <n v="5"/>
    <n v="55"/>
    <n v="29"/>
    <n v="23"/>
    <n v="13736"/>
    <n v="398344"/>
    <n v="0"/>
    <n v="68680"/>
    <x v="0"/>
    <x v="6"/>
    <x v="1"/>
  </r>
  <r>
    <x v="575"/>
    <x v="18"/>
    <x v="3"/>
    <x v="1"/>
    <x v="3"/>
    <n v="144"/>
    <n v="16"/>
    <n v="70"/>
    <n v="90"/>
    <n v="27"/>
    <n v="43950"/>
    <n v="3955500"/>
    <n v="0"/>
    <n v="703200"/>
    <x v="0"/>
    <x v="6"/>
    <x v="1"/>
  </r>
  <r>
    <x v="575"/>
    <x v="17"/>
    <x v="2"/>
    <x v="2"/>
    <x v="3"/>
    <n v="374"/>
    <n v="157"/>
    <n v="31"/>
    <n v="500"/>
    <n v="102"/>
    <n v="638"/>
    <n v="319000"/>
    <n v="0"/>
    <n v="100166"/>
    <x v="0"/>
    <x v="6"/>
    <x v="1"/>
  </r>
  <r>
    <x v="575"/>
    <x v="11"/>
    <x v="2"/>
    <x v="0"/>
    <x v="2"/>
    <n v="183"/>
    <n v="228"/>
    <n v="164"/>
    <n v="247"/>
    <n v="101"/>
    <n v="98"/>
    <n v="24206"/>
    <n v="0"/>
    <n v="22344"/>
    <x v="0"/>
    <x v="6"/>
    <x v="1"/>
  </r>
  <r>
    <x v="576"/>
    <x v="0"/>
    <x v="0"/>
    <x v="1"/>
    <x v="2"/>
    <n v="89"/>
    <n v="55"/>
    <n v="41"/>
    <n v="103"/>
    <n v="16"/>
    <n v="16481"/>
    <n v="1697543"/>
    <n v="0"/>
    <n v="906455"/>
    <x v="0"/>
    <x v="7"/>
    <x v="1"/>
  </r>
  <r>
    <x v="576"/>
    <x v="1"/>
    <x v="1"/>
    <x v="0"/>
    <x v="2"/>
    <n v="39"/>
    <n v="51"/>
    <n v="21"/>
    <n v="69"/>
    <n v="27"/>
    <n v="8343"/>
    <n v="575667"/>
    <n v="0"/>
    <n v="425493"/>
    <x v="0"/>
    <x v="7"/>
    <x v="1"/>
  </r>
  <r>
    <x v="576"/>
    <x v="5"/>
    <x v="3"/>
    <x v="0"/>
    <x v="5"/>
    <n v="27"/>
    <n v="106"/>
    <n v="42"/>
    <n v="91"/>
    <n v="47"/>
    <n v="1802"/>
    <n v="163982"/>
    <n v="0"/>
    <n v="191012"/>
    <x v="0"/>
    <x v="7"/>
    <x v="1"/>
  </r>
  <r>
    <x v="576"/>
    <x v="10"/>
    <x v="2"/>
    <x v="0"/>
    <x v="3"/>
    <n v="396"/>
    <n v="159"/>
    <n v="215"/>
    <n v="340"/>
    <n v="74"/>
    <n v="285"/>
    <n v="96900"/>
    <n v="0"/>
    <n v="45315"/>
    <x v="0"/>
    <x v="7"/>
    <x v="1"/>
  </r>
  <r>
    <x v="576"/>
    <x v="1"/>
    <x v="1"/>
    <x v="0"/>
    <x v="5"/>
    <n v="49"/>
    <n v="10"/>
    <n v="19"/>
    <n v="40"/>
    <n v="23"/>
    <n v="1736"/>
    <n v="69440"/>
    <n v="0"/>
    <n v="17360"/>
    <x v="0"/>
    <x v="7"/>
    <x v="1"/>
  </r>
  <r>
    <x v="576"/>
    <x v="15"/>
    <x v="2"/>
    <x v="2"/>
    <x v="2"/>
    <n v="283"/>
    <n v="116"/>
    <n v="88"/>
    <n v="311"/>
    <n v="130"/>
    <n v="810"/>
    <n v="251910"/>
    <n v="0"/>
    <n v="93960"/>
    <x v="0"/>
    <x v="7"/>
    <x v="1"/>
  </r>
  <r>
    <x v="576"/>
    <x v="13"/>
    <x v="3"/>
    <x v="0"/>
    <x v="5"/>
    <n v="144"/>
    <n v="72"/>
    <n v="91"/>
    <n v="125"/>
    <n v="41"/>
    <n v="55624"/>
    <n v="6953000"/>
    <n v="0"/>
    <n v="4004928"/>
    <x v="0"/>
    <x v="7"/>
    <x v="1"/>
  </r>
  <r>
    <x v="577"/>
    <x v="4"/>
    <x v="1"/>
    <x v="0"/>
    <x v="0"/>
    <n v="99"/>
    <n v="8"/>
    <n v="43"/>
    <n v="64"/>
    <n v="24"/>
    <n v="2751"/>
    <n v="176064"/>
    <n v="0"/>
    <n v="22008"/>
    <x v="0"/>
    <x v="7"/>
    <x v="1"/>
  </r>
  <r>
    <x v="577"/>
    <x v="3"/>
    <x v="2"/>
    <x v="0"/>
    <x v="5"/>
    <n v="299"/>
    <n v="147"/>
    <n v="82"/>
    <n v="364"/>
    <n v="113"/>
    <n v="935"/>
    <n v="340340"/>
    <n v="0"/>
    <n v="137445"/>
    <x v="0"/>
    <x v="7"/>
    <x v="1"/>
  </r>
  <r>
    <x v="577"/>
    <x v="15"/>
    <x v="2"/>
    <x v="1"/>
    <x v="5"/>
    <n v="194"/>
    <n v="94"/>
    <n v="91"/>
    <n v="197"/>
    <n v="147"/>
    <n v="460"/>
    <n v="90620"/>
    <n v="0"/>
    <n v="43240"/>
    <x v="0"/>
    <x v="7"/>
    <x v="1"/>
  </r>
  <r>
    <x v="577"/>
    <x v="5"/>
    <x v="3"/>
    <x v="2"/>
    <x v="0"/>
    <n v="105"/>
    <n v="117"/>
    <n v="70"/>
    <n v="152"/>
    <n v="53"/>
    <n v="35575"/>
    <n v="5407400"/>
    <n v="0"/>
    <n v="4162275"/>
    <x v="0"/>
    <x v="7"/>
    <x v="1"/>
  </r>
  <r>
    <x v="577"/>
    <x v="15"/>
    <x v="2"/>
    <x v="3"/>
    <x v="3"/>
    <n v="142"/>
    <n v="167"/>
    <n v="198"/>
    <n v="111"/>
    <n v="118"/>
    <n v="254"/>
    <n v="28194"/>
    <n v="0"/>
    <n v="42418"/>
    <x v="1"/>
    <x v="7"/>
    <x v="1"/>
  </r>
  <r>
    <x v="578"/>
    <x v="6"/>
    <x v="3"/>
    <x v="0"/>
    <x v="3"/>
    <n v="47"/>
    <n v="27"/>
    <n v="30"/>
    <n v="44"/>
    <n v="38"/>
    <n v="11399"/>
    <n v="501556"/>
    <n v="0"/>
    <n v="307773"/>
    <x v="0"/>
    <x v="7"/>
    <x v="1"/>
  </r>
  <r>
    <x v="578"/>
    <x v="8"/>
    <x v="3"/>
    <x v="3"/>
    <x v="4"/>
    <n v="33"/>
    <n v="107"/>
    <n v="27"/>
    <n v="113"/>
    <n v="44"/>
    <n v="56011"/>
    <n v="6329243"/>
    <n v="0"/>
    <n v="5993177"/>
    <x v="0"/>
    <x v="7"/>
    <x v="1"/>
  </r>
  <r>
    <x v="578"/>
    <x v="0"/>
    <x v="0"/>
    <x v="2"/>
    <x v="5"/>
    <n v="83"/>
    <n v="15"/>
    <n v="58"/>
    <n v="40"/>
    <n v="35"/>
    <n v="13934"/>
    <n v="557360"/>
    <n v="0"/>
    <n v="209010"/>
    <x v="0"/>
    <x v="7"/>
    <x v="1"/>
  </r>
  <r>
    <x v="578"/>
    <x v="9"/>
    <x v="0"/>
    <x v="1"/>
    <x v="4"/>
    <n v="69"/>
    <n v="71"/>
    <n v="51"/>
    <n v="89"/>
    <n v="33"/>
    <n v="17457"/>
    <n v="1553673"/>
    <n v="0"/>
    <n v="1239447"/>
    <x v="0"/>
    <x v="7"/>
    <x v="1"/>
  </r>
  <r>
    <x v="578"/>
    <x v="4"/>
    <x v="1"/>
    <x v="1"/>
    <x v="4"/>
    <n v="52"/>
    <n v="20"/>
    <n v="34"/>
    <n v="38"/>
    <n v="28"/>
    <n v="16331"/>
    <n v="620578"/>
    <n v="0"/>
    <n v="326620"/>
    <x v="0"/>
    <x v="7"/>
    <x v="1"/>
  </r>
  <r>
    <x v="578"/>
    <x v="5"/>
    <x v="3"/>
    <x v="1"/>
    <x v="5"/>
    <n v="35"/>
    <n v="110"/>
    <n v="26"/>
    <n v="119"/>
    <n v="57"/>
    <n v="23107"/>
    <n v="2749733"/>
    <n v="0"/>
    <n v="2541770"/>
    <x v="0"/>
    <x v="7"/>
    <x v="1"/>
  </r>
  <r>
    <x v="579"/>
    <x v="7"/>
    <x v="2"/>
    <x v="2"/>
    <x v="3"/>
    <n v="398"/>
    <n v="78"/>
    <n v="83"/>
    <n v="393"/>
    <n v="54"/>
    <n v="723"/>
    <n v="284139"/>
    <n v="0"/>
    <n v="56394"/>
    <x v="0"/>
    <x v="7"/>
    <x v="1"/>
  </r>
  <r>
    <x v="579"/>
    <x v="2"/>
    <x v="0"/>
    <x v="3"/>
    <x v="2"/>
    <n v="109"/>
    <n v="57"/>
    <n v="64"/>
    <n v="102"/>
    <n v="39"/>
    <n v="5476"/>
    <n v="558552"/>
    <n v="0"/>
    <n v="312132"/>
    <x v="0"/>
    <x v="7"/>
    <x v="1"/>
  </r>
  <r>
    <x v="579"/>
    <x v="3"/>
    <x v="2"/>
    <x v="2"/>
    <x v="1"/>
    <n v="165"/>
    <n v="221"/>
    <n v="13"/>
    <n v="373"/>
    <n v="64"/>
    <n v="49"/>
    <n v="18277"/>
    <n v="0"/>
    <n v="10829"/>
    <x v="0"/>
    <x v="7"/>
    <x v="1"/>
  </r>
  <r>
    <x v="580"/>
    <x v="19"/>
    <x v="0"/>
    <x v="1"/>
    <x v="4"/>
    <n v="61"/>
    <n v="75"/>
    <n v="46"/>
    <n v="90"/>
    <n v="23"/>
    <n v="7787"/>
    <n v="700830"/>
    <n v="0"/>
    <n v="584025"/>
    <x v="0"/>
    <x v="7"/>
    <x v="1"/>
  </r>
  <r>
    <x v="580"/>
    <x v="0"/>
    <x v="0"/>
    <x v="0"/>
    <x v="3"/>
    <n v="51"/>
    <n v="35"/>
    <n v="36"/>
    <n v="50"/>
    <n v="28"/>
    <n v="4964"/>
    <n v="248200"/>
    <n v="0"/>
    <n v="173740"/>
    <x v="0"/>
    <x v="7"/>
    <x v="1"/>
  </r>
  <r>
    <x v="580"/>
    <x v="14"/>
    <x v="3"/>
    <x v="0"/>
    <x v="2"/>
    <n v="101"/>
    <n v="58"/>
    <n v="48"/>
    <n v="111"/>
    <n v="46"/>
    <n v="62658"/>
    <n v="6955038"/>
    <n v="0"/>
    <n v="3634164"/>
    <x v="0"/>
    <x v="7"/>
    <x v="1"/>
  </r>
  <r>
    <x v="580"/>
    <x v="3"/>
    <x v="2"/>
    <x v="2"/>
    <x v="4"/>
    <n v="413"/>
    <n v="225"/>
    <n v="142"/>
    <n v="496"/>
    <n v="89"/>
    <n v="778"/>
    <n v="385888"/>
    <n v="0"/>
    <n v="175050"/>
    <x v="0"/>
    <x v="7"/>
    <x v="1"/>
  </r>
  <r>
    <x v="580"/>
    <x v="0"/>
    <x v="0"/>
    <x v="2"/>
    <x v="0"/>
    <n v="106"/>
    <n v="38"/>
    <n v="53"/>
    <n v="91"/>
    <n v="18"/>
    <n v="13336"/>
    <n v="1213576"/>
    <n v="0"/>
    <n v="506768"/>
    <x v="0"/>
    <x v="7"/>
    <x v="1"/>
  </r>
  <r>
    <x v="580"/>
    <x v="13"/>
    <x v="3"/>
    <x v="0"/>
    <x v="2"/>
    <n v="24"/>
    <n v="76"/>
    <n v="47"/>
    <n v="53"/>
    <n v="54"/>
    <n v="41519"/>
    <n v="2200507"/>
    <n v="0"/>
    <n v="3155444"/>
    <x v="1"/>
    <x v="7"/>
    <x v="1"/>
  </r>
  <r>
    <x v="581"/>
    <x v="18"/>
    <x v="3"/>
    <x v="3"/>
    <x v="1"/>
    <n v="156"/>
    <n v="25"/>
    <n v="9"/>
    <n v="172"/>
    <n v="42"/>
    <n v="49793"/>
    <n v="8564396"/>
    <n v="0"/>
    <n v="1244825"/>
    <x v="0"/>
    <x v="7"/>
    <x v="1"/>
  </r>
  <r>
    <x v="581"/>
    <x v="10"/>
    <x v="2"/>
    <x v="0"/>
    <x v="2"/>
    <n v="186"/>
    <n v="128"/>
    <n v="160"/>
    <n v="154"/>
    <n v="96"/>
    <n v="969"/>
    <n v="149226"/>
    <n v="0"/>
    <n v="124032"/>
    <x v="0"/>
    <x v="7"/>
    <x v="1"/>
  </r>
  <r>
    <x v="581"/>
    <x v="7"/>
    <x v="2"/>
    <x v="0"/>
    <x v="5"/>
    <n v="345"/>
    <n v="117"/>
    <n v="270"/>
    <n v="192"/>
    <n v="107"/>
    <n v="361"/>
    <n v="69312"/>
    <n v="0"/>
    <n v="42237"/>
    <x v="0"/>
    <x v="7"/>
    <x v="1"/>
  </r>
  <r>
    <x v="581"/>
    <x v="4"/>
    <x v="1"/>
    <x v="3"/>
    <x v="2"/>
    <n v="55"/>
    <n v="39"/>
    <n v="14"/>
    <n v="80"/>
    <n v="11"/>
    <n v="5733"/>
    <n v="458640"/>
    <n v="0"/>
    <n v="223587"/>
    <x v="0"/>
    <x v="7"/>
    <x v="1"/>
  </r>
  <r>
    <x v="581"/>
    <x v="2"/>
    <x v="0"/>
    <x v="3"/>
    <x v="2"/>
    <n v="107"/>
    <n v="36"/>
    <n v="55"/>
    <n v="88"/>
    <n v="19"/>
    <n v="10998"/>
    <n v="967824"/>
    <n v="0"/>
    <n v="395928"/>
    <x v="0"/>
    <x v="7"/>
    <x v="1"/>
  </r>
  <r>
    <x v="581"/>
    <x v="14"/>
    <x v="3"/>
    <x v="0"/>
    <x v="0"/>
    <n v="138"/>
    <n v="109"/>
    <n v="45"/>
    <n v="202"/>
    <n v="23"/>
    <n v="35075"/>
    <n v="7085150"/>
    <n v="0"/>
    <n v="3823175"/>
    <x v="0"/>
    <x v="7"/>
    <x v="1"/>
  </r>
  <r>
    <x v="581"/>
    <x v="11"/>
    <x v="2"/>
    <x v="0"/>
    <x v="2"/>
    <n v="132"/>
    <n v="86"/>
    <n v="120"/>
    <n v="98"/>
    <n v="125"/>
    <n v="888"/>
    <n v="87024"/>
    <n v="0"/>
    <n v="76368"/>
    <x v="1"/>
    <x v="7"/>
    <x v="1"/>
  </r>
  <r>
    <x v="582"/>
    <x v="2"/>
    <x v="0"/>
    <x v="0"/>
    <x v="2"/>
    <n v="41"/>
    <n v="51"/>
    <n v="61"/>
    <n v="31"/>
    <n v="27"/>
    <n v="12865"/>
    <n v="398815"/>
    <n v="0"/>
    <n v="656115"/>
    <x v="0"/>
    <x v="7"/>
    <x v="1"/>
  </r>
  <r>
    <x v="582"/>
    <x v="15"/>
    <x v="2"/>
    <x v="3"/>
    <x v="0"/>
    <n v="494"/>
    <n v="138"/>
    <n v="277"/>
    <n v="355"/>
    <n v="82"/>
    <n v="464"/>
    <n v="164720"/>
    <n v="0"/>
    <n v="64032"/>
    <x v="0"/>
    <x v="7"/>
    <x v="1"/>
  </r>
  <r>
    <x v="582"/>
    <x v="13"/>
    <x v="3"/>
    <x v="3"/>
    <x v="4"/>
    <n v="114"/>
    <n v="57"/>
    <n v="87"/>
    <n v="84"/>
    <n v="25"/>
    <n v="57105"/>
    <n v="4796820"/>
    <n v="0"/>
    <n v="3254985"/>
    <x v="0"/>
    <x v="7"/>
    <x v="1"/>
  </r>
  <r>
    <x v="582"/>
    <x v="3"/>
    <x v="2"/>
    <x v="3"/>
    <x v="4"/>
    <n v="353"/>
    <n v="259"/>
    <n v="116"/>
    <n v="496"/>
    <n v="100"/>
    <n v="282"/>
    <n v="139872"/>
    <n v="0"/>
    <n v="73038"/>
    <x v="0"/>
    <x v="7"/>
    <x v="1"/>
  </r>
  <r>
    <x v="583"/>
    <x v="16"/>
    <x v="1"/>
    <x v="3"/>
    <x v="0"/>
    <n v="61"/>
    <n v="32"/>
    <n v="2"/>
    <n v="91"/>
    <n v="21"/>
    <n v="20972"/>
    <n v="1908452"/>
    <n v="0"/>
    <n v="671104"/>
    <x v="0"/>
    <x v="7"/>
    <x v="1"/>
  </r>
  <r>
    <x v="583"/>
    <x v="3"/>
    <x v="2"/>
    <x v="0"/>
    <x v="5"/>
    <n v="482"/>
    <n v="225"/>
    <n v="96"/>
    <n v="611"/>
    <n v="129"/>
    <n v="575"/>
    <n v="351325"/>
    <n v="0"/>
    <n v="129375"/>
    <x v="0"/>
    <x v="7"/>
    <x v="1"/>
  </r>
  <r>
    <x v="583"/>
    <x v="13"/>
    <x v="3"/>
    <x v="1"/>
    <x v="0"/>
    <n v="129"/>
    <n v="116"/>
    <n v="6"/>
    <n v="239"/>
    <n v="53"/>
    <n v="51444"/>
    <n v="12295116"/>
    <n v="0"/>
    <n v="5967504"/>
    <x v="0"/>
    <x v="7"/>
    <x v="1"/>
  </r>
  <r>
    <x v="583"/>
    <x v="4"/>
    <x v="1"/>
    <x v="3"/>
    <x v="4"/>
    <n v="78"/>
    <n v="5"/>
    <n v="2"/>
    <n v="81"/>
    <n v="29"/>
    <n v="2585"/>
    <n v="209385"/>
    <n v="0"/>
    <n v="12925"/>
    <x v="0"/>
    <x v="7"/>
    <x v="1"/>
  </r>
  <r>
    <x v="584"/>
    <x v="7"/>
    <x v="2"/>
    <x v="0"/>
    <x v="3"/>
    <n v="486"/>
    <n v="236"/>
    <n v="213"/>
    <n v="509"/>
    <n v="77"/>
    <n v="180"/>
    <n v="91620"/>
    <n v="0"/>
    <n v="42480"/>
    <x v="0"/>
    <x v="7"/>
    <x v="1"/>
  </r>
  <r>
    <x v="584"/>
    <x v="11"/>
    <x v="2"/>
    <x v="1"/>
    <x v="0"/>
    <n v="57"/>
    <n v="193"/>
    <n v="94"/>
    <n v="156"/>
    <n v="104"/>
    <n v="1115"/>
    <n v="173940"/>
    <n v="0"/>
    <n v="215195"/>
    <x v="0"/>
    <x v="7"/>
    <x v="1"/>
  </r>
  <r>
    <x v="584"/>
    <x v="2"/>
    <x v="0"/>
    <x v="1"/>
    <x v="3"/>
    <n v="109"/>
    <n v="19"/>
    <n v="9"/>
    <n v="119"/>
    <n v="28"/>
    <n v="11743"/>
    <n v="1397417"/>
    <n v="0"/>
    <n v="223117"/>
    <x v="0"/>
    <x v="7"/>
    <x v="1"/>
  </r>
  <r>
    <x v="585"/>
    <x v="8"/>
    <x v="3"/>
    <x v="2"/>
    <x v="3"/>
    <n v="47"/>
    <n v="105"/>
    <n v="84"/>
    <n v="68"/>
    <n v="30"/>
    <n v="43816"/>
    <n v="2979488"/>
    <n v="0"/>
    <n v="4600680"/>
    <x v="0"/>
    <x v="7"/>
    <x v="1"/>
  </r>
  <r>
    <x v="585"/>
    <x v="18"/>
    <x v="3"/>
    <x v="2"/>
    <x v="3"/>
    <n v="175"/>
    <n v="34"/>
    <n v="65"/>
    <n v="144"/>
    <n v="50"/>
    <n v="62600"/>
    <n v="9014400"/>
    <n v="0"/>
    <n v="2128400"/>
    <x v="0"/>
    <x v="7"/>
    <x v="1"/>
  </r>
  <r>
    <x v="585"/>
    <x v="9"/>
    <x v="0"/>
    <x v="3"/>
    <x v="5"/>
    <n v="118"/>
    <n v="42"/>
    <n v="42"/>
    <n v="118"/>
    <n v="30"/>
    <n v="13614"/>
    <n v="1606452"/>
    <n v="0"/>
    <n v="571788"/>
    <x v="0"/>
    <x v="7"/>
    <x v="1"/>
  </r>
  <r>
    <x v="585"/>
    <x v="8"/>
    <x v="3"/>
    <x v="1"/>
    <x v="4"/>
    <n v="41"/>
    <n v="67"/>
    <n v="72"/>
    <n v="36"/>
    <n v="53"/>
    <n v="61180"/>
    <n v="2202480"/>
    <n v="0"/>
    <n v="4099060"/>
    <x v="1"/>
    <x v="7"/>
    <x v="1"/>
  </r>
  <r>
    <x v="586"/>
    <x v="6"/>
    <x v="3"/>
    <x v="0"/>
    <x v="1"/>
    <n v="158"/>
    <n v="20"/>
    <n v="30"/>
    <n v="148"/>
    <n v="33"/>
    <n v="48468"/>
    <n v="7173264"/>
    <n v="0"/>
    <n v="969360"/>
    <x v="0"/>
    <x v="7"/>
    <x v="1"/>
  </r>
  <r>
    <x v="586"/>
    <x v="10"/>
    <x v="2"/>
    <x v="2"/>
    <x v="0"/>
    <n v="434"/>
    <n v="69"/>
    <n v="110"/>
    <n v="393"/>
    <n v="50"/>
    <n v="130"/>
    <n v="51090"/>
    <n v="0"/>
    <n v="8970"/>
    <x v="0"/>
    <x v="7"/>
    <x v="1"/>
  </r>
  <r>
    <x v="586"/>
    <x v="18"/>
    <x v="3"/>
    <x v="1"/>
    <x v="2"/>
    <n v="38"/>
    <n v="18"/>
    <n v="56"/>
    <n v="0"/>
    <n v="59"/>
    <n v="52400"/>
    <n v="0"/>
    <n v="0"/>
    <n v="943200"/>
    <x v="1"/>
    <x v="7"/>
    <x v="1"/>
  </r>
  <r>
    <x v="587"/>
    <x v="1"/>
    <x v="1"/>
    <x v="1"/>
    <x v="2"/>
    <n v="58"/>
    <n v="27"/>
    <n v="21"/>
    <n v="64"/>
    <n v="26"/>
    <n v="15936"/>
    <n v="1019904"/>
    <n v="0"/>
    <n v="430272"/>
    <x v="0"/>
    <x v="7"/>
    <x v="1"/>
  </r>
  <r>
    <x v="587"/>
    <x v="11"/>
    <x v="2"/>
    <x v="3"/>
    <x v="4"/>
    <n v="195"/>
    <n v="254"/>
    <n v="112"/>
    <n v="337"/>
    <n v="140"/>
    <n v="938"/>
    <n v="316106"/>
    <n v="0"/>
    <n v="238252"/>
    <x v="0"/>
    <x v="7"/>
    <x v="1"/>
  </r>
  <r>
    <x v="587"/>
    <x v="0"/>
    <x v="0"/>
    <x v="3"/>
    <x v="1"/>
    <n v="66"/>
    <n v="70"/>
    <n v="54"/>
    <n v="82"/>
    <n v="36"/>
    <n v="13158"/>
    <n v="1078956"/>
    <n v="0"/>
    <n v="921060"/>
    <x v="0"/>
    <x v="7"/>
    <x v="1"/>
  </r>
  <r>
    <x v="587"/>
    <x v="17"/>
    <x v="2"/>
    <x v="0"/>
    <x v="1"/>
    <n v="208"/>
    <n v="127"/>
    <n v="111"/>
    <n v="224"/>
    <n v="53"/>
    <n v="513"/>
    <n v="114912"/>
    <n v="0"/>
    <n v="65151"/>
    <x v="0"/>
    <x v="7"/>
    <x v="1"/>
  </r>
  <r>
    <x v="587"/>
    <x v="0"/>
    <x v="0"/>
    <x v="2"/>
    <x v="1"/>
    <n v="90"/>
    <n v="8"/>
    <n v="64"/>
    <n v="34"/>
    <n v="19"/>
    <n v="11104"/>
    <n v="377536"/>
    <n v="0"/>
    <n v="88832"/>
    <x v="0"/>
    <x v="7"/>
    <x v="1"/>
  </r>
  <r>
    <x v="587"/>
    <x v="19"/>
    <x v="0"/>
    <x v="3"/>
    <x v="2"/>
    <n v="46"/>
    <n v="5"/>
    <n v="15"/>
    <n v="36"/>
    <n v="36"/>
    <n v="4538"/>
    <n v="163368"/>
    <n v="0"/>
    <n v="22690"/>
    <x v="1"/>
    <x v="7"/>
    <x v="1"/>
  </r>
  <r>
    <x v="587"/>
    <x v="4"/>
    <x v="1"/>
    <x v="1"/>
    <x v="0"/>
    <n v="67"/>
    <n v="36"/>
    <n v="10"/>
    <n v="93"/>
    <n v="29"/>
    <n v="15390"/>
    <n v="1431270"/>
    <n v="0"/>
    <n v="554040"/>
    <x v="0"/>
    <x v="7"/>
    <x v="1"/>
  </r>
  <r>
    <x v="587"/>
    <x v="15"/>
    <x v="2"/>
    <x v="1"/>
    <x v="5"/>
    <n v="307"/>
    <n v="156"/>
    <n v="97"/>
    <n v="366"/>
    <n v="72"/>
    <n v="35"/>
    <n v="12810"/>
    <n v="0"/>
    <n v="5460"/>
    <x v="0"/>
    <x v="7"/>
    <x v="1"/>
  </r>
  <r>
    <x v="587"/>
    <x v="13"/>
    <x v="3"/>
    <x v="1"/>
    <x v="2"/>
    <n v="155"/>
    <n v="86"/>
    <n v="74"/>
    <n v="167"/>
    <n v="51"/>
    <n v="49157"/>
    <n v="8209219"/>
    <n v="0"/>
    <n v="4227502"/>
    <x v="0"/>
    <x v="7"/>
    <x v="1"/>
  </r>
  <r>
    <x v="588"/>
    <x v="11"/>
    <x v="2"/>
    <x v="2"/>
    <x v="1"/>
    <n v="126"/>
    <n v="283"/>
    <n v="267"/>
    <n v="142"/>
    <n v="134"/>
    <n v="282"/>
    <n v="40044"/>
    <n v="0"/>
    <n v="79806"/>
    <x v="0"/>
    <x v="7"/>
    <x v="1"/>
  </r>
  <r>
    <x v="589"/>
    <x v="1"/>
    <x v="1"/>
    <x v="2"/>
    <x v="3"/>
    <n v="69"/>
    <n v="38"/>
    <n v="37"/>
    <n v="70"/>
    <n v="10"/>
    <n v="22553"/>
    <n v="1578710"/>
    <n v="0"/>
    <n v="857014"/>
    <x v="0"/>
    <x v="7"/>
    <x v="1"/>
  </r>
  <r>
    <x v="590"/>
    <x v="8"/>
    <x v="3"/>
    <x v="1"/>
    <x v="3"/>
    <n v="160"/>
    <n v="99"/>
    <n v="35"/>
    <n v="224"/>
    <n v="58"/>
    <n v="26259"/>
    <n v="5882016"/>
    <n v="0"/>
    <n v="2599641"/>
    <x v="0"/>
    <x v="7"/>
    <x v="1"/>
  </r>
  <r>
    <x v="590"/>
    <x v="14"/>
    <x v="3"/>
    <x v="3"/>
    <x v="5"/>
    <n v="92"/>
    <n v="12"/>
    <n v="76"/>
    <n v="28"/>
    <n v="23"/>
    <n v="14661"/>
    <n v="410508"/>
    <n v="0"/>
    <n v="175932"/>
    <x v="0"/>
    <x v="7"/>
    <x v="1"/>
  </r>
  <r>
    <x v="590"/>
    <x v="11"/>
    <x v="2"/>
    <x v="3"/>
    <x v="4"/>
    <n v="232"/>
    <n v="46"/>
    <n v="179"/>
    <n v="99"/>
    <n v="135"/>
    <n v="359"/>
    <n v="35541"/>
    <n v="0"/>
    <n v="16514"/>
    <x v="1"/>
    <x v="7"/>
    <x v="1"/>
  </r>
  <r>
    <x v="591"/>
    <x v="9"/>
    <x v="0"/>
    <x v="1"/>
    <x v="4"/>
    <n v="63"/>
    <n v="71"/>
    <n v="40"/>
    <n v="94"/>
    <n v="23"/>
    <n v="13320"/>
    <n v="1252080"/>
    <n v="0"/>
    <n v="945720"/>
    <x v="0"/>
    <x v="7"/>
    <x v="1"/>
  </r>
  <r>
    <x v="591"/>
    <x v="17"/>
    <x v="2"/>
    <x v="0"/>
    <x v="5"/>
    <n v="335"/>
    <n v="48"/>
    <n v="119"/>
    <n v="264"/>
    <n v="83"/>
    <n v="524"/>
    <n v="138336"/>
    <n v="0"/>
    <n v="25152"/>
    <x v="0"/>
    <x v="7"/>
    <x v="1"/>
  </r>
  <r>
    <x v="591"/>
    <x v="4"/>
    <x v="1"/>
    <x v="0"/>
    <x v="2"/>
    <n v="42"/>
    <n v="35"/>
    <n v="43"/>
    <n v="34"/>
    <n v="13"/>
    <n v="9141"/>
    <n v="310794"/>
    <n v="0"/>
    <n v="319935"/>
    <x v="0"/>
    <x v="7"/>
    <x v="1"/>
  </r>
  <r>
    <x v="591"/>
    <x v="13"/>
    <x v="3"/>
    <x v="0"/>
    <x v="2"/>
    <n v="168"/>
    <n v="53"/>
    <n v="23"/>
    <n v="198"/>
    <n v="57"/>
    <n v="5862"/>
    <n v="1160676"/>
    <n v="0"/>
    <n v="310686"/>
    <x v="0"/>
    <x v="7"/>
    <x v="1"/>
  </r>
  <r>
    <x v="591"/>
    <x v="13"/>
    <x v="3"/>
    <x v="2"/>
    <x v="4"/>
    <n v="88"/>
    <n v="78"/>
    <n v="24"/>
    <n v="142"/>
    <n v="35"/>
    <n v="48351"/>
    <n v="6865842"/>
    <n v="0"/>
    <n v="3771378"/>
    <x v="0"/>
    <x v="7"/>
    <x v="1"/>
  </r>
  <r>
    <x v="592"/>
    <x v="2"/>
    <x v="0"/>
    <x v="1"/>
    <x v="5"/>
    <n v="97"/>
    <n v="7"/>
    <n v="11"/>
    <n v="93"/>
    <n v="31"/>
    <n v="955"/>
    <n v="88815"/>
    <n v="0"/>
    <n v="6685"/>
    <x v="0"/>
    <x v="7"/>
    <x v="1"/>
  </r>
  <r>
    <x v="592"/>
    <x v="17"/>
    <x v="2"/>
    <x v="2"/>
    <x v="2"/>
    <n v="436"/>
    <n v="248"/>
    <n v="127"/>
    <n v="557"/>
    <n v="129"/>
    <n v="612"/>
    <n v="340884"/>
    <n v="0"/>
    <n v="151776"/>
    <x v="0"/>
    <x v="7"/>
    <x v="1"/>
  </r>
  <r>
    <x v="592"/>
    <x v="17"/>
    <x v="2"/>
    <x v="0"/>
    <x v="5"/>
    <n v="285"/>
    <n v="165"/>
    <n v="12"/>
    <n v="438"/>
    <n v="137"/>
    <n v="135"/>
    <n v="59130"/>
    <n v="0"/>
    <n v="22275"/>
    <x v="0"/>
    <x v="7"/>
    <x v="1"/>
  </r>
  <r>
    <x v="592"/>
    <x v="4"/>
    <x v="1"/>
    <x v="0"/>
    <x v="2"/>
    <n v="26"/>
    <n v="8"/>
    <n v="8"/>
    <n v="26"/>
    <n v="14"/>
    <n v="2356"/>
    <n v="61256"/>
    <n v="0"/>
    <n v="18848"/>
    <x v="0"/>
    <x v="7"/>
    <x v="1"/>
  </r>
  <r>
    <x v="592"/>
    <x v="3"/>
    <x v="2"/>
    <x v="2"/>
    <x v="2"/>
    <n v="117"/>
    <n v="126"/>
    <n v="176"/>
    <n v="67"/>
    <n v="126"/>
    <n v="423"/>
    <n v="28341"/>
    <n v="0"/>
    <n v="53298"/>
    <x v="1"/>
    <x v="7"/>
    <x v="1"/>
  </r>
  <r>
    <x v="593"/>
    <x v="1"/>
    <x v="1"/>
    <x v="0"/>
    <x v="4"/>
    <n v="72"/>
    <n v="37"/>
    <n v="16"/>
    <n v="93"/>
    <n v="12"/>
    <n v="23240"/>
    <n v="2161320"/>
    <n v="0"/>
    <n v="859880"/>
    <x v="0"/>
    <x v="7"/>
    <x v="1"/>
  </r>
  <r>
    <x v="593"/>
    <x v="2"/>
    <x v="0"/>
    <x v="2"/>
    <x v="2"/>
    <n v="53"/>
    <n v="17"/>
    <n v="16"/>
    <n v="54"/>
    <n v="28"/>
    <n v="14717"/>
    <n v="794718"/>
    <n v="0"/>
    <n v="250189"/>
    <x v="0"/>
    <x v="7"/>
    <x v="1"/>
  </r>
  <r>
    <x v="593"/>
    <x v="19"/>
    <x v="0"/>
    <x v="3"/>
    <x v="4"/>
    <n v="91"/>
    <n v="30"/>
    <n v="24"/>
    <n v="97"/>
    <n v="18"/>
    <n v="8912"/>
    <n v="864464"/>
    <n v="0"/>
    <n v="267360"/>
    <x v="0"/>
    <x v="7"/>
    <x v="1"/>
  </r>
  <r>
    <x v="594"/>
    <x v="17"/>
    <x v="2"/>
    <x v="1"/>
    <x v="5"/>
    <n v="325"/>
    <n v="216"/>
    <n v="55"/>
    <n v="486"/>
    <n v="104"/>
    <n v="918"/>
    <n v="446148"/>
    <n v="0"/>
    <n v="198288"/>
    <x v="0"/>
    <x v="7"/>
    <x v="1"/>
  </r>
  <r>
    <x v="594"/>
    <x v="2"/>
    <x v="0"/>
    <x v="0"/>
    <x v="2"/>
    <n v="86"/>
    <n v="55"/>
    <n v="28"/>
    <n v="113"/>
    <n v="19"/>
    <n v="15260"/>
    <n v="1724380"/>
    <n v="0"/>
    <n v="839300"/>
    <x v="0"/>
    <x v="7"/>
    <x v="1"/>
  </r>
  <r>
    <x v="594"/>
    <x v="2"/>
    <x v="0"/>
    <x v="2"/>
    <x v="4"/>
    <n v="62"/>
    <n v="45"/>
    <n v="36"/>
    <n v="71"/>
    <n v="17"/>
    <n v="12337"/>
    <n v="875927"/>
    <n v="0"/>
    <n v="555165"/>
    <x v="0"/>
    <x v="7"/>
    <x v="1"/>
  </r>
  <r>
    <x v="594"/>
    <x v="4"/>
    <x v="1"/>
    <x v="1"/>
    <x v="5"/>
    <n v="15"/>
    <n v="57"/>
    <n v="35"/>
    <n v="37"/>
    <n v="18"/>
    <n v="4089"/>
    <n v="151293"/>
    <n v="0"/>
    <n v="233073"/>
    <x v="0"/>
    <x v="7"/>
    <x v="1"/>
  </r>
  <r>
    <x v="594"/>
    <x v="12"/>
    <x v="1"/>
    <x v="0"/>
    <x v="2"/>
    <n v="31"/>
    <n v="45"/>
    <n v="22"/>
    <n v="54"/>
    <n v="15"/>
    <n v="24576"/>
    <n v="1327104"/>
    <n v="0"/>
    <n v="1105920"/>
    <x v="0"/>
    <x v="7"/>
    <x v="1"/>
  </r>
  <r>
    <x v="594"/>
    <x v="6"/>
    <x v="3"/>
    <x v="1"/>
    <x v="3"/>
    <n v="49"/>
    <n v="113"/>
    <n v="69"/>
    <n v="93"/>
    <n v="43"/>
    <n v="44855"/>
    <n v="4171515"/>
    <n v="0"/>
    <n v="5068615"/>
    <x v="0"/>
    <x v="7"/>
    <x v="1"/>
  </r>
  <r>
    <x v="595"/>
    <x v="14"/>
    <x v="3"/>
    <x v="1"/>
    <x v="2"/>
    <n v="95"/>
    <n v="22"/>
    <n v="43"/>
    <n v="74"/>
    <n v="47"/>
    <n v="14646"/>
    <n v="1083804"/>
    <n v="0"/>
    <n v="322212"/>
    <x v="0"/>
    <x v="7"/>
    <x v="1"/>
  </r>
  <r>
    <x v="595"/>
    <x v="17"/>
    <x v="2"/>
    <x v="2"/>
    <x v="2"/>
    <n v="188"/>
    <n v="68"/>
    <n v="114"/>
    <n v="142"/>
    <n v="74"/>
    <n v="343"/>
    <n v="48706"/>
    <n v="0"/>
    <n v="23324"/>
    <x v="0"/>
    <x v="7"/>
    <x v="1"/>
  </r>
  <r>
    <x v="595"/>
    <x v="18"/>
    <x v="3"/>
    <x v="0"/>
    <x v="2"/>
    <n v="65"/>
    <n v="18"/>
    <n v="21"/>
    <n v="62"/>
    <n v="40"/>
    <n v="36686"/>
    <n v="2274532"/>
    <n v="0"/>
    <n v="660348"/>
    <x v="0"/>
    <x v="7"/>
    <x v="1"/>
  </r>
  <r>
    <x v="596"/>
    <x v="8"/>
    <x v="3"/>
    <x v="3"/>
    <x v="5"/>
    <n v="145"/>
    <n v="17"/>
    <n v="85"/>
    <n v="77"/>
    <n v="46"/>
    <n v="18259"/>
    <n v="1405943"/>
    <n v="0"/>
    <n v="310403"/>
    <x v="0"/>
    <x v="7"/>
    <x v="1"/>
  </r>
  <r>
    <x v="596"/>
    <x v="5"/>
    <x v="3"/>
    <x v="2"/>
    <x v="5"/>
    <n v="152"/>
    <n v="73"/>
    <n v="54"/>
    <n v="171"/>
    <n v="42"/>
    <n v="7945"/>
    <n v="1358595"/>
    <n v="0"/>
    <n v="579985"/>
    <x v="0"/>
    <x v="7"/>
    <x v="1"/>
  </r>
  <r>
    <x v="596"/>
    <x v="13"/>
    <x v="3"/>
    <x v="0"/>
    <x v="3"/>
    <n v="48"/>
    <n v="69"/>
    <n v="58"/>
    <n v="59"/>
    <n v="24"/>
    <n v="9596"/>
    <n v="566164"/>
    <n v="0"/>
    <n v="662124"/>
    <x v="0"/>
    <x v="7"/>
    <x v="1"/>
  </r>
  <r>
    <x v="596"/>
    <x v="3"/>
    <x v="2"/>
    <x v="3"/>
    <x v="3"/>
    <n v="182"/>
    <n v="42"/>
    <n v="37"/>
    <n v="187"/>
    <n v="133"/>
    <n v="525"/>
    <n v="98175"/>
    <n v="0"/>
    <n v="22050"/>
    <x v="0"/>
    <x v="7"/>
    <x v="1"/>
  </r>
  <r>
    <x v="596"/>
    <x v="0"/>
    <x v="0"/>
    <x v="1"/>
    <x v="5"/>
    <n v="49"/>
    <n v="34"/>
    <n v="55"/>
    <n v="28"/>
    <n v="20"/>
    <n v="15712"/>
    <n v="439936"/>
    <n v="0"/>
    <n v="534208"/>
    <x v="0"/>
    <x v="7"/>
    <x v="1"/>
  </r>
  <r>
    <x v="597"/>
    <x v="17"/>
    <x v="2"/>
    <x v="0"/>
    <x v="2"/>
    <n v="191"/>
    <n v="228"/>
    <n v="55"/>
    <n v="364"/>
    <n v="103"/>
    <n v="700"/>
    <n v="254800"/>
    <n v="0"/>
    <n v="159600"/>
    <x v="0"/>
    <x v="7"/>
    <x v="1"/>
  </r>
  <r>
    <x v="597"/>
    <x v="17"/>
    <x v="2"/>
    <x v="0"/>
    <x v="2"/>
    <n v="253"/>
    <n v="248"/>
    <n v="250"/>
    <n v="251"/>
    <n v="113"/>
    <n v="942"/>
    <n v="236442"/>
    <n v="0"/>
    <n v="233616"/>
    <x v="0"/>
    <x v="7"/>
    <x v="1"/>
  </r>
  <r>
    <x v="597"/>
    <x v="13"/>
    <x v="3"/>
    <x v="1"/>
    <x v="5"/>
    <n v="67"/>
    <n v="97"/>
    <n v="83"/>
    <n v="81"/>
    <n v="23"/>
    <n v="52482"/>
    <n v="4251042"/>
    <n v="0"/>
    <n v="5090754"/>
    <x v="0"/>
    <x v="7"/>
    <x v="1"/>
  </r>
  <r>
    <x v="598"/>
    <x v="4"/>
    <x v="1"/>
    <x v="3"/>
    <x v="4"/>
    <n v="90"/>
    <n v="48"/>
    <n v="37"/>
    <n v="101"/>
    <n v="15"/>
    <n v="18238"/>
    <n v="1842038"/>
    <n v="0"/>
    <n v="875424"/>
    <x v="0"/>
    <x v="7"/>
    <x v="1"/>
  </r>
  <r>
    <x v="598"/>
    <x v="18"/>
    <x v="3"/>
    <x v="2"/>
    <x v="3"/>
    <n v="111"/>
    <n v="27"/>
    <n v="92"/>
    <n v="46"/>
    <n v="51"/>
    <n v="1817"/>
    <n v="83582"/>
    <n v="0"/>
    <n v="49059"/>
    <x v="1"/>
    <x v="7"/>
    <x v="1"/>
  </r>
  <r>
    <x v="598"/>
    <x v="19"/>
    <x v="0"/>
    <x v="1"/>
    <x v="2"/>
    <n v="25"/>
    <n v="63"/>
    <n v="24"/>
    <n v="64"/>
    <n v="24"/>
    <n v="9930"/>
    <n v="635520"/>
    <n v="0"/>
    <n v="625590"/>
    <x v="0"/>
    <x v="7"/>
    <x v="1"/>
  </r>
  <r>
    <x v="599"/>
    <x v="5"/>
    <x v="3"/>
    <x v="0"/>
    <x v="0"/>
    <n v="97"/>
    <n v="33"/>
    <n v="79"/>
    <n v="51"/>
    <n v="47"/>
    <n v="23096"/>
    <n v="1177896"/>
    <n v="0"/>
    <n v="762168"/>
    <x v="0"/>
    <x v="7"/>
    <x v="1"/>
  </r>
  <r>
    <x v="599"/>
    <x v="0"/>
    <x v="0"/>
    <x v="0"/>
    <x v="4"/>
    <n v="70"/>
    <n v="65"/>
    <n v="55"/>
    <n v="80"/>
    <n v="19"/>
    <n v="15326"/>
    <n v="1226080"/>
    <n v="0"/>
    <n v="996190"/>
    <x v="0"/>
    <x v="7"/>
    <x v="1"/>
  </r>
  <r>
    <x v="599"/>
    <x v="3"/>
    <x v="2"/>
    <x v="0"/>
    <x v="0"/>
    <n v="121"/>
    <n v="276"/>
    <n v="138"/>
    <n v="259"/>
    <n v="136"/>
    <n v="959"/>
    <n v="248381"/>
    <n v="0"/>
    <n v="264684"/>
    <x v="0"/>
    <x v="7"/>
    <x v="1"/>
  </r>
  <r>
    <x v="599"/>
    <x v="15"/>
    <x v="2"/>
    <x v="0"/>
    <x v="4"/>
    <n v="498"/>
    <n v="286"/>
    <n v="169"/>
    <n v="615"/>
    <n v="52"/>
    <n v="509"/>
    <n v="313035"/>
    <n v="0"/>
    <n v="145574"/>
    <x v="0"/>
    <x v="7"/>
    <x v="1"/>
  </r>
  <r>
    <x v="599"/>
    <x v="0"/>
    <x v="0"/>
    <x v="0"/>
    <x v="3"/>
    <n v="109"/>
    <n v="63"/>
    <n v="39"/>
    <n v="133"/>
    <n v="30"/>
    <n v="2772"/>
    <n v="368676"/>
    <n v="0"/>
    <n v="174636"/>
    <x v="0"/>
    <x v="7"/>
    <x v="1"/>
  </r>
  <r>
    <x v="599"/>
    <x v="15"/>
    <x v="2"/>
    <x v="3"/>
    <x v="2"/>
    <n v="323"/>
    <n v="48"/>
    <n v="163"/>
    <n v="208"/>
    <n v="78"/>
    <n v="639"/>
    <n v="132912"/>
    <n v="0"/>
    <n v="30672"/>
    <x v="0"/>
    <x v="7"/>
    <x v="1"/>
  </r>
  <r>
    <x v="599"/>
    <x v="13"/>
    <x v="3"/>
    <x v="3"/>
    <x v="1"/>
    <n v="112"/>
    <n v="80"/>
    <n v="71"/>
    <n v="121"/>
    <n v="39"/>
    <n v="9971"/>
    <n v="1206491"/>
    <n v="0"/>
    <n v="797680"/>
    <x v="0"/>
    <x v="7"/>
    <x v="1"/>
  </r>
  <r>
    <x v="600"/>
    <x v="10"/>
    <x v="2"/>
    <x v="3"/>
    <x v="4"/>
    <n v="155"/>
    <n v="201"/>
    <n v="239"/>
    <n v="117"/>
    <n v="126"/>
    <n v="944"/>
    <n v="110448"/>
    <n v="0"/>
    <n v="189744"/>
    <x v="1"/>
    <x v="7"/>
    <x v="1"/>
  </r>
  <r>
    <x v="600"/>
    <x v="7"/>
    <x v="2"/>
    <x v="2"/>
    <x v="4"/>
    <n v="110"/>
    <n v="131"/>
    <n v="123"/>
    <n v="118"/>
    <n v="141"/>
    <n v="471"/>
    <n v="55578"/>
    <n v="0"/>
    <n v="61701"/>
    <x v="1"/>
    <x v="7"/>
    <x v="1"/>
  </r>
  <r>
    <x v="600"/>
    <x v="15"/>
    <x v="2"/>
    <x v="3"/>
    <x v="2"/>
    <n v="134"/>
    <n v="217"/>
    <n v="168"/>
    <n v="183"/>
    <n v="144"/>
    <n v="1116"/>
    <n v="204228"/>
    <n v="0"/>
    <n v="242172"/>
    <x v="0"/>
    <x v="7"/>
    <x v="1"/>
  </r>
  <r>
    <x v="600"/>
    <x v="9"/>
    <x v="0"/>
    <x v="2"/>
    <x v="3"/>
    <n v="89"/>
    <n v="32"/>
    <n v="58"/>
    <n v="63"/>
    <n v="22"/>
    <n v="14717"/>
    <n v="927171"/>
    <n v="0"/>
    <n v="470944"/>
    <x v="0"/>
    <x v="7"/>
    <x v="1"/>
  </r>
  <r>
    <x v="601"/>
    <x v="14"/>
    <x v="3"/>
    <x v="3"/>
    <x v="1"/>
    <n v="144"/>
    <n v="85"/>
    <n v="26"/>
    <n v="203"/>
    <n v="56"/>
    <n v="42119"/>
    <n v="8550157"/>
    <n v="0"/>
    <n v="3580115"/>
    <x v="0"/>
    <x v="7"/>
    <x v="1"/>
  </r>
  <r>
    <x v="601"/>
    <x v="15"/>
    <x v="2"/>
    <x v="0"/>
    <x v="2"/>
    <n v="241"/>
    <n v="115"/>
    <n v="231"/>
    <n v="125"/>
    <n v="89"/>
    <n v="894"/>
    <n v="111750"/>
    <n v="0"/>
    <n v="102810"/>
    <x v="0"/>
    <x v="7"/>
    <x v="1"/>
  </r>
  <r>
    <x v="601"/>
    <x v="14"/>
    <x v="3"/>
    <x v="1"/>
    <x v="4"/>
    <n v="81"/>
    <n v="83"/>
    <n v="77"/>
    <n v="87"/>
    <n v="56"/>
    <n v="57651"/>
    <n v="5015637"/>
    <n v="0"/>
    <n v="4785033"/>
    <x v="0"/>
    <x v="7"/>
    <x v="1"/>
  </r>
  <r>
    <x v="601"/>
    <x v="18"/>
    <x v="3"/>
    <x v="3"/>
    <x v="4"/>
    <n v="103"/>
    <n v="42"/>
    <n v="29"/>
    <n v="116"/>
    <n v="38"/>
    <n v="37643"/>
    <n v="4366588"/>
    <n v="0"/>
    <n v="1581006"/>
    <x v="0"/>
    <x v="7"/>
    <x v="1"/>
  </r>
  <r>
    <x v="601"/>
    <x v="8"/>
    <x v="3"/>
    <x v="3"/>
    <x v="4"/>
    <n v="112"/>
    <n v="37"/>
    <n v="20"/>
    <n v="129"/>
    <n v="31"/>
    <n v="29781"/>
    <n v="3841749"/>
    <n v="0"/>
    <n v="1101897"/>
    <x v="0"/>
    <x v="7"/>
    <x v="1"/>
  </r>
  <r>
    <x v="602"/>
    <x v="13"/>
    <x v="3"/>
    <x v="2"/>
    <x v="4"/>
    <n v="22"/>
    <n v="104"/>
    <n v="84"/>
    <n v="42"/>
    <n v="46"/>
    <n v="57200"/>
    <n v="2402400"/>
    <n v="0"/>
    <n v="5948800"/>
    <x v="1"/>
    <x v="7"/>
    <x v="1"/>
  </r>
  <r>
    <x v="602"/>
    <x v="1"/>
    <x v="1"/>
    <x v="3"/>
    <x v="5"/>
    <n v="40"/>
    <n v="13"/>
    <n v="30"/>
    <n v="23"/>
    <n v="18"/>
    <n v="13059"/>
    <n v="300357"/>
    <n v="0"/>
    <n v="169767"/>
    <x v="0"/>
    <x v="7"/>
    <x v="1"/>
  </r>
  <r>
    <x v="602"/>
    <x v="13"/>
    <x v="3"/>
    <x v="1"/>
    <x v="0"/>
    <n v="94"/>
    <n v="86"/>
    <n v="35"/>
    <n v="145"/>
    <n v="44"/>
    <n v="45339"/>
    <n v="6574155"/>
    <n v="0"/>
    <n v="3899154"/>
    <x v="0"/>
    <x v="7"/>
    <x v="1"/>
  </r>
  <r>
    <x v="602"/>
    <x v="5"/>
    <x v="3"/>
    <x v="0"/>
    <x v="1"/>
    <n v="107"/>
    <n v="90"/>
    <n v="54"/>
    <n v="143"/>
    <n v="59"/>
    <n v="29574"/>
    <n v="4229082"/>
    <n v="0"/>
    <n v="2661660"/>
    <x v="0"/>
    <x v="7"/>
    <x v="1"/>
  </r>
  <r>
    <x v="603"/>
    <x v="12"/>
    <x v="1"/>
    <x v="3"/>
    <x v="2"/>
    <n v="98"/>
    <n v="37"/>
    <n v="33"/>
    <n v="102"/>
    <n v="15"/>
    <n v="23943"/>
    <n v="2442186"/>
    <n v="0"/>
    <n v="885891"/>
    <x v="0"/>
    <x v="7"/>
    <x v="1"/>
  </r>
  <r>
    <x v="603"/>
    <x v="0"/>
    <x v="0"/>
    <x v="3"/>
    <x v="4"/>
    <n v="50"/>
    <n v="30"/>
    <n v="55"/>
    <n v="25"/>
    <n v="39"/>
    <n v="1297"/>
    <n v="32425"/>
    <n v="0"/>
    <n v="38910"/>
    <x v="1"/>
    <x v="7"/>
    <x v="1"/>
  </r>
  <r>
    <x v="603"/>
    <x v="5"/>
    <x v="3"/>
    <x v="0"/>
    <x v="5"/>
    <n v="41"/>
    <n v="75"/>
    <n v="48"/>
    <n v="68"/>
    <n v="25"/>
    <n v="62622"/>
    <n v="4258296"/>
    <n v="0"/>
    <n v="4696650"/>
    <x v="0"/>
    <x v="7"/>
    <x v="1"/>
  </r>
  <r>
    <x v="603"/>
    <x v="3"/>
    <x v="2"/>
    <x v="2"/>
    <x v="3"/>
    <n v="54"/>
    <n v="185"/>
    <n v="239"/>
    <n v="0"/>
    <n v="136"/>
    <n v="1124"/>
    <n v="0"/>
    <n v="0"/>
    <n v="207940"/>
    <x v="1"/>
    <x v="7"/>
    <x v="1"/>
  </r>
  <r>
    <x v="604"/>
    <x v="11"/>
    <x v="2"/>
    <x v="1"/>
    <x v="5"/>
    <n v="353"/>
    <n v="167"/>
    <n v="47"/>
    <n v="473"/>
    <n v="68"/>
    <n v="658"/>
    <n v="311234"/>
    <n v="0"/>
    <n v="109886"/>
    <x v="0"/>
    <x v="7"/>
    <x v="1"/>
  </r>
  <r>
    <x v="604"/>
    <x v="0"/>
    <x v="0"/>
    <x v="1"/>
    <x v="2"/>
    <n v="98"/>
    <n v="12"/>
    <n v="20"/>
    <n v="90"/>
    <n v="16"/>
    <n v="824"/>
    <n v="74160"/>
    <n v="0"/>
    <n v="9888"/>
    <x v="0"/>
    <x v="7"/>
    <x v="1"/>
  </r>
  <r>
    <x v="604"/>
    <x v="19"/>
    <x v="0"/>
    <x v="3"/>
    <x v="0"/>
    <n v="19"/>
    <n v="26"/>
    <n v="41"/>
    <n v="4"/>
    <n v="39"/>
    <n v="10120"/>
    <n v="40480"/>
    <n v="0"/>
    <n v="263120"/>
    <x v="1"/>
    <x v="7"/>
    <x v="1"/>
  </r>
  <r>
    <x v="604"/>
    <x v="12"/>
    <x v="1"/>
    <x v="1"/>
    <x v="2"/>
    <n v="56"/>
    <n v="55"/>
    <n v="14"/>
    <n v="97"/>
    <n v="12"/>
    <n v="24000"/>
    <n v="2328000"/>
    <n v="0"/>
    <n v="1320000"/>
    <x v="0"/>
    <x v="7"/>
    <x v="1"/>
  </r>
  <r>
    <x v="604"/>
    <x v="4"/>
    <x v="1"/>
    <x v="3"/>
    <x v="5"/>
    <n v="43"/>
    <n v="36"/>
    <n v="30"/>
    <n v="49"/>
    <n v="16"/>
    <n v="9117"/>
    <n v="446733"/>
    <n v="0"/>
    <n v="328212"/>
    <x v="0"/>
    <x v="7"/>
    <x v="1"/>
  </r>
  <r>
    <x v="604"/>
    <x v="15"/>
    <x v="2"/>
    <x v="2"/>
    <x v="5"/>
    <n v="278"/>
    <n v="92"/>
    <n v="34"/>
    <n v="336"/>
    <n v="70"/>
    <n v="287"/>
    <n v="96432"/>
    <n v="0"/>
    <n v="26404"/>
    <x v="0"/>
    <x v="7"/>
    <x v="1"/>
  </r>
  <r>
    <x v="604"/>
    <x v="11"/>
    <x v="2"/>
    <x v="2"/>
    <x v="4"/>
    <n v="347"/>
    <n v="162"/>
    <n v="74"/>
    <n v="435"/>
    <n v="50"/>
    <n v="309"/>
    <n v="134415"/>
    <n v="0"/>
    <n v="50058"/>
    <x v="0"/>
    <x v="7"/>
    <x v="1"/>
  </r>
  <r>
    <x v="605"/>
    <x v="0"/>
    <x v="0"/>
    <x v="0"/>
    <x v="5"/>
    <n v="77"/>
    <n v="10"/>
    <n v="62"/>
    <n v="25"/>
    <n v="17"/>
    <n v="2074"/>
    <n v="51850"/>
    <n v="0"/>
    <n v="20740"/>
    <x v="0"/>
    <x v="7"/>
    <x v="1"/>
  </r>
  <r>
    <x v="605"/>
    <x v="16"/>
    <x v="1"/>
    <x v="2"/>
    <x v="1"/>
    <n v="21"/>
    <n v="27"/>
    <n v="6"/>
    <n v="42"/>
    <n v="13"/>
    <n v="11974"/>
    <n v="502908"/>
    <n v="0"/>
    <n v="323298"/>
    <x v="0"/>
    <x v="7"/>
    <x v="1"/>
  </r>
  <r>
    <x v="605"/>
    <x v="1"/>
    <x v="1"/>
    <x v="1"/>
    <x v="5"/>
    <n v="54"/>
    <n v="29"/>
    <n v="40"/>
    <n v="43"/>
    <n v="27"/>
    <n v="8663"/>
    <n v="372509"/>
    <n v="0"/>
    <n v="251227"/>
    <x v="0"/>
    <x v="7"/>
    <x v="1"/>
  </r>
  <r>
    <x v="605"/>
    <x v="0"/>
    <x v="0"/>
    <x v="2"/>
    <x v="2"/>
    <n v="113"/>
    <n v="64"/>
    <n v="35"/>
    <n v="142"/>
    <n v="35"/>
    <n v="890"/>
    <n v="126380"/>
    <n v="0"/>
    <n v="56960"/>
    <x v="0"/>
    <x v="7"/>
    <x v="1"/>
  </r>
  <r>
    <x v="606"/>
    <x v="12"/>
    <x v="1"/>
    <x v="0"/>
    <x v="0"/>
    <n v="52"/>
    <n v="21"/>
    <n v="25"/>
    <n v="48"/>
    <n v="22"/>
    <n v="5209"/>
    <n v="250032"/>
    <n v="0"/>
    <n v="109389"/>
    <x v="0"/>
    <x v="7"/>
    <x v="1"/>
  </r>
  <r>
    <x v="606"/>
    <x v="9"/>
    <x v="0"/>
    <x v="0"/>
    <x v="3"/>
    <n v="119"/>
    <n v="40"/>
    <n v="60"/>
    <n v="99"/>
    <n v="16"/>
    <n v="12703"/>
    <n v="1257597"/>
    <n v="0"/>
    <n v="508120"/>
    <x v="0"/>
    <x v="7"/>
    <x v="1"/>
  </r>
  <r>
    <x v="606"/>
    <x v="7"/>
    <x v="2"/>
    <x v="3"/>
    <x v="0"/>
    <n v="355"/>
    <n v="208"/>
    <n v="73"/>
    <n v="490"/>
    <n v="136"/>
    <n v="1175"/>
    <n v="575750"/>
    <n v="0"/>
    <n v="244400"/>
    <x v="0"/>
    <x v="7"/>
    <x v="1"/>
  </r>
  <r>
    <x v="606"/>
    <x v="8"/>
    <x v="3"/>
    <x v="2"/>
    <x v="3"/>
    <n v="136"/>
    <n v="81"/>
    <n v="68"/>
    <n v="149"/>
    <n v="53"/>
    <n v="52787"/>
    <n v="7865263"/>
    <n v="0"/>
    <n v="4275747"/>
    <x v="0"/>
    <x v="7"/>
    <x v="1"/>
  </r>
  <r>
    <x v="606"/>
    <x v="4"/>
    <x v="1"/>
    <x v="2"/>
    <x v="5"/>
    <n v="82"/>
    <n v="41"/>
    <n v="11"/>
    <n v="112"/>
    <n v="25"/>
    <n v="10721"/>
    <n v="1200752"/>
    <n v="0"/>
    <n v="439561"/>
    <x v="0"/>
    <x v="7"/>
    <x v="1"/>
  </r>
  <r>
    <x v="606"/>
    <x v="2"/>
    <x v="0"/>
    <x v="2"/>
    <x v="0"/>
    <n v="40"/>
    <n v="74"/>
    <n v="61"/>
    <n v="53"/>
    <n v="22"/>
    <n v="13471"/>
    <n v="713963"/>
    <n v="0"/>
    <n v="996854"/>
    <x v="0"/>
    <x v="7"/>
    <x v="1"/>
  </r>
  <r>
    <x v="606"/>
    <x v="10"/>
    <x v="2"/>
    <x v="3"/>
    <x v="4"/>
    <n v="282"/>
    <n v="209"/>
    <n v="122"/>
    <n v="369"/>
    <n v="101"/>
    <n v="461"/>
    <n v="170109"/>
    <n v="0"/>
    <n v="96349"/>
    <x v="0"/>
    <x v="7"/>
    <x v="1"/>
  </r>
  <r>
    <x v="606"/>
    <x v="0"/>
    <x v="0"/>
    <x v="2"/>
    <x v="2"/>
    <n v="107"/>
    <n v="17"/>
    <n v="45"/>
    <n v="79"/>
    <n v="30"/>
    <n v="15696"/>
    <n v="1239984"/>
    <n v="0"/>
    <n v="266832"/>
    <x v="0"/>
    <x v="7"/>
    <x v="1"/>
  </r>
  <r>
    <x v="606"/>
    <x v="2"/>
    <x v="0"/>
    <x v="2"/>
    <x v="0"/>
    <n v="31"/>
    <n v="5"/>
    <n v="35"/>
    <n v="1"/>
    <n v="19"/>
    <n v="6105"/>
    <n v="6105"/>
    <n v="0"/>
    <n v="30525"/>
    <x v="1"/>
    <x v="7"/>
    <x v="1"/>
  </r>
  <r>
    <x v="606"/>
    <x v="1"/>
    <x v="1"/>
    <x v="0"/>
    <x v="2"/>
    <n v="93"/>
    <n v="54"/>
    <n v="12"/>
    <n v="135"/>
    <n v="18"/>
    <n v="24567"/>
    <n v="3316545"/>
    <n v="0"/>
    <n v="1326618"/>
    <x v="0"/>
    <x v="7"/>
    <x v="1"/>
  </r>
  <r>
    <x v="607"/>
    <x v="13"/>
    <x v="3"/>
    <x v="3"/>
    <x v="5"/>
    <n v="99"/>
    <n v="96"/>
    <n v="42"/>
    <n v="153"/>
    <n v="35"/>
    <n v="41366"/>
    <n v="6328998"/>
    <n v="0"/>
    <n v="3971136"/>
    <x v="0"/>
    <x v="8"/>
    <x v="1"/>
  </r>
  <r>
    <x v="607"/>
    <x v="9"/>
    <x v="0"/>
    <x v="0"/>
    <x v="2"/>
    <n v="76"/>
    <n v="47"/>
    <n v="51"/>
    <n v="72"/>
    <n v="26"/>
    <n v="4575"/>
    <n v="329400"/>
    <n v="0"/>
    <n v="215025"/>
    <x v="0"/>
    <x v="8"/>
    <x v="1"/>
  </r>
  <r>
    <x v="607"/>
    <x v="7"/>
    <x v="2"/>
    <x v="3"/>
    <x v="0"/>
    <n v="309"/>
    <n v="289"/>
    <n v="112"/>
    <n v="486"/>
    <n v="101"/>
    <n v="804"/>
    <n v="390744"/>
    <n v="0"/>
    <n v="232356"/>
    <x v="0"/>
    <x v="8"/>
    <x v="1"/>
  </r>
  <r>
    <x v="607"/>
    <x v="1"/>
    <x v="1"/>
    <x v="3"/>
    <x v="1"/>
    <n v="29"/>
    <n v="18"/>
    <n v="23"/>
    <n v="24"/>
    <n v="20"/>
    <n v="15247"/>
    <n v="365928"/>
    <n v="0"/>
    <n v="274446"/>
    <x v="0"/>
    <x v="8"/>
    <x v="1"/>
  </r>
  <r>
    <x v="608"/>
    <x v="12"/>
    <x v="1"/>
    <x v="2"/>
    <x v="1"/>
    <n v="31"/>
    <n v="33"/>
    <n v="35"/>
    <n v="29"/>
    <n v="29"/>
    <n v="22021"/>
    <n v="638609"/>
    <n v="0"/>
    <n v="726693"/>
    <x v="1"/>
    <x v="8"/>
    <x v="1"/>
  </r>
  <r>
    <x v="608"/>
    <x v="14"/>
    <x v="3"/>
    <x v="1"/>
    <x v="2"/>
    <n v="158"/>
    <n v="25"/>
    <n v="77"/>
    <n v="106"/>
    <n v="25"/>
    <n v="42907"/>
    <n v="4548142"/>
    <n v="0"/>
    <n v="1072675"/>
    <x v="0"/>
    <x v="8"/>
    <x v="1"/>
  </r>
  <r>
    <x v="608"/>
    <x v="0"/>
    <x v="0"/>
    <x v="0"/>
    <x v="4"/>
    <n v="76"/>
    <n v="12"/>
    <n v="51"/>
    <n v="37"/>
    <n v="36"/>
    <n v="14739"/>
    <n v="545343"/>
    <n v="0"/>
    <n v="176868"/>
    <x v="0"/>
    <x v="8"/>
    <x v="1"/>
  </r>
  <r>
    <x v="608"/>
    <x v="0"/>
    <x v="0"/>
    <x v="0"/>
    <x v="3"/>
    <n v="97"/>
    <n v="66"/>
    <n v="50"/>
    <n v="113"/>
    <n v="32"/>
    <n v="14841"/>
    <n v="1677033"/>
    <n v="0"/>
    <n v="979506"/>
    <x v="0"/>
    <x v="8"/>
    <x v="1"/>
  </r>
  <r>
    <x v="608"/>
    <x v="8"/>
    <x v="3"/>
    <x v="0"/>
    <x v="1"/>
    <n v="53"/>
    <n v="64"/>
    <n v="63"/>
    <n v="54"/>
    <n v="36"/>
    <n v="3618"/>
    <n v="195372"/>
    <n v="0"/>
    <n v="231552"/>
    <x v="0"/>
    <x v="8"/>
    <x v="1"/>
  </r>
  <r>
    <x v="608"/>
    <x v="10"/>
    <x v="2"/>
    <x v="3"/>
    <x v="3"/>
    <n v="488"/>
    <n v="245"/>
    <n v="186"/>
    <n v="547"/>
    <n v="139"/>
    <n v="399"/>
    <n v="218253"/>
    <n v="0"/>
    <n v="97755"/>
    <x v="0"/>
    <x v="8"/>
    <x v="1"/>
  </r>
  <r>
    <x v="609"/>
    <x v="4"/>
    <x v="1"/>
    <x v="3"/>
    <x v="0"/>
    <n v="88"/>
    <n v="12"/>
    <n v="21"/>
    <n v="79"/>
    <n v="10"/>
    <n v="2966"/>
    <n v="234314"/>
    <n v="0"/>
    <n v="35592"/>
    <x v="0"/>
    <x v="8"/>
    <x v="1"/>
  </r>
  <r>
    <x v="609"/>
    <x v="7"/>
    <x v="2"/>
    <x v="2"/>
    <x v="5"/>
    <n v="499"/>
    <n v="123"/>
    <n v="220"/>
    <n v="402"/>
    <n v="138"/>
    <n v="918"/>
    <n v="369036"/>
    <n v="0"/>
    <n v="112914"/>
    <x v="0"/>
    <x v="8"/>
    <x v="1"/>
  </r>
  <r>
    <x v="609"/>
    <x v="12"/>
    <x v="1"/>
    <x v="1"/>
    <x v="0"/>
    <n v="61"/>
    <n v="36"/>
    <n v="10"/>
    <n v="87"/>
    <n v="22"/>
    <n v="18217"/>
    <n v="1584879"/>
    <n v="0"/>
    <n v="655812"/>
    <x v="0"/>
    <x v="8"/>
    <x v="1"/>
  </r>
  <r>
    <x v="609"/>
    <x v="6"/>
    <x v="3"/>
    <x v="0"/>
    <x v="1"/>
    <n v="71"/>
    <n v="102"/>
    <n v="86"/>
    <n v="87"/>
    <n v="38"/>
    <n v="27051"/>
    <n v="2353437"/>
    <n v="0"/>
    <n v="2759202"/>
    <x v="0"/>
    <x v="8"/>
    <x v="1"/>
  </r>
  <r>
    <x v="609"/>
    <x v="2"/>
    <x v="0"/>
    <x v="3"/>
    <x v="4"/>
    <n v="28"/>
    <n v="67"/>
    <n v="50"/>
    <n v="45"/>
    <n v="31"/>
    <n v="12216"/>
    <n v="549720"/>
    <n v="0"/>
    <n v="818472"/>
    <x v="0"/>
    <x v="8"/>
    <x v="1"/>
  </r>
  <r>
    <x v="609"/>
    <x v="5"/>
    <x v="3"/>
    <x v="0"/>
    <x v="1"/>
    <n v="74"/>
    <n v="37"/>
    <n v="51"/>
    <n v="60"/>
    <n v="21"/>
    <n v="50088"/>
    <n v="3005280"/>
    <n v="0"/>
    <n v="1853256"/>
    <x v="0"/>
    <x v="8"/>
    <x v="1"/>
  </r>
  <r>
    <x v="610"/>
    <x v="11"/>
    <x v="2"/>
    <x v="2"/>
    <x v="1"/>
    <n v="428"/>
    <n v="269"/>
    <n v="209"/>
    <n v="488"/>
    <n v="113"/>
    <n v="948"/>
    <n v="462624"/>
    <n v="0"/>
    <n v="255012"/>
    <x v="0"/>
    <x v="8"/>
    <x v="1"/>
  </r>
  <r>
    <x v="610"/>
    <x v="6"/>
    <x v="3"/>
    <x v="3"/>
    <x v="1"/>
    <n v="102"/>
    <n v="33"/>
    <n v="8"/>
    <n v="127"/>
    <n v="52"/>
    <n v="33960"/>
    <n v="4312920"/>
    <n v="0"/>
    <n v="1120680"/>
    <x v="0"/>
    <x v="8"/>
    <x v="1"/>
  </r>
  <r>
    <x v="610"/>
    <x v="18"/>
    <x v="3"/>
    <x v="1"/>
    <x v="1"/>
    <n v="89"/>
    <n v="50"/>
    <n v="58"/>
    <n v="81"/>
    <n v="50"/>
    <n v="17869"/>
    <n v="1447389"/>
    <n v="0"/>
    <n v="893450"/>
    <x v="0"/>
    <x v="8"/>
    <x v="1"/>
  </r>
  <r>
    <x v="610"/>
    <x v="9"/>
    <x v="0"/>
    <x v="0"/>
    <x v="3"/>
    <n v="59"/>
    <n v="21"/>
    <n v="58"/>
    <n v="22"/>
    <n v="17"/>
    <n v="4329"/>
    <n v="95238"/>
    <n v="0"/>
    <n v="90909"/>
    <x v="0"/>
    <x v="8"/>
    <x v="1"/>
  </r>
  <r>
    <x v="610"/>
    <x v="5"/>
    <x v="3"/>
    <x v="0"/>
    <x v="4"/>
    <n v="157"/>
    <n v="49"/>
    <n v="27"/>
    <n v="179"/>
    <n v="26"/>
    <n v="37250"/>
    <n v="6667750"/>
    <n v="0"/>
    <n v="1825250"/>
    <x v="0"/>
    <x v="8"/>
    <x v="1"/>
  </r>
  <r>
    <x v="610"/>
    <x v="0"/>
    <x v="0"/>
    <x v="3"/>
    <x v="3"/>
    <n v="49"/>
    <n v="36"/>
    <n v="60"/>
    <n v="25"/>
    <n v="26"/>
    <n v="13419"/>
    <n v="335475"/>
    <n v="0"/>
    <n v="483084"/>
    <x v="1"/>
    <x v="8"/>
    <x v="1"/>
  </r>
  <r>
    <x v="610"/>
    <x v="7"/>
    <x v="2"/>
    <x v="3"/>
    <x v="0"/>
    <n v="61"/>
    <n v="266"/>
    <n v="267"/>
    <n v="60"/>
    <n v="78"/>
    <n v="426"/>
    <n v="25560"/>
    <n v="0"/>
    <n v="113316"/>
    <x v="1"/>
    <x v="8"/>
    <x v="1"/>
  </r>
  <r>
    <x v="611"/>
    <x v="0"/>
    <x v="0"/>
    <x v="0"/>
    <x v="1"/>
    <n v="38"/>
    <n v="43"/>
    <n v="13"/>
    <n v="68"/>
    <n v="39"/>
    <n v="2627"/>
    <n v="178636"/>
    <n v="0"/>
    <n v="112961"/>
    <x v="0"/>
    <x v="8"/>
    <x v="1"/>
  </r>
  <r>
    <x v="611"/>
    <x v="11"/>
    <x v="2"/>
    <x v="3"/>
    <x v="1"/>
    <n v="454"/>
    <n v="139"/>
    <n v="191"/>
    <n v="402"/>
    <n v="106"/>
    <n v="1002"/>
    <n v="402804"/>
    <n v="0"/>
    <n v="139278"/>
    <x v="0"/>
    <x v="8"/>
    <x v="1"/>
  </r>
  <r>
    <x v="611"/>
    <x v="14"/>
    <x v="3"/>
    <x v="2"/>
    <x v="3"/>
    <n v="65"/>
    <n v="68"/>
    <n v="74"/>
    <n v="59"/>
    <n v="43"/>
    <n v="13735"/>
    <n v="810365"/>
    <n v="0"/>
    <n v="933980"/>
    <x v="0"/>
    <x v="8"/>
    <x v="1"/>
  </r>
  <r>
    <x v="611"/>
    <x v="4"/>
    <x v="1"/>
    <x v="1"/>
    <x v="1"/>
    <n v="23"/>
    <n v="8"/>
    <n v="21"/>
    <n v="10"/>
    <n v="22"/>
    <n v="24765"/>
    <n v="247650"/>
    <n v="0"/>
    <n v="198120"/>
    <x v="1"/>
    <x v="8"/>
    <x v="1"/>
  </r>
  <r>
    <x v="611"/>
    <x v="4"/>
    <x v="1"/>
    <x v="3"/>
    <x v="2"/>
    <n v="43"/>
    <n v="20"/>
    <n v="42"/>
    <n v="21"/>
    <n v="15"/>
    <n v="11643"/>
    <n v="244503"/>
    <n v="0"/>
    <n v="232860"/>
    <x v="0"/>
    <x v="8"/>
    <x v="1"/>
  </r>
  <r>
    <x v="611"/>
    <x v="15"/>
    <x v="2"/>
    <x v="1"/>
    <x v="0"/>
    <n v="430"/>
    <n v="84"/>
    <n v="198"/>
    <n v="316"/>
    <n v="128"/>
    <n v="882"/>
    <n v="278712"/>
    <n v="0"/>
    <n v="74088"/>
    <x v="0"/>
    <x v="8"/>
    <x v="1"/>
  </r>
  <r>
    <x v="611"/>
    <x v="18"/>
    <x v="3"/>
    <x v="1"/>
    <x v="1"/>
    <n v="48"/>
    <n v="111"/>
    <n v="58"/>
    <n v="101"/>
    <n v="57"/>
    <n v="59450"/>
    <n v="6004450"/>
    <n v="0"/>
    <n v="6598950"/>
    <x v="0"/>
    <x v="8"/>
    <x v="1"/>
  </r>
  <r>
    <x v="611"/>
    <x v="0"/>
    <x v="0"/>
    <x v="3"/>
    <x v="0"/>
    <n v="99"/>
    <n v="78"/>
    <n v="55"/>
    <n v="122"/>
    <n v="22"/>
    <n v="10626"/>
    <n v="1296372"/>
    <n v="0"/>
    <n v="828828"/>
    <x v="0"/>
    <x v="8"/>
    <x v="1"/>
  </r>
  <r>
    <x v="612"/>
    <x v="13"/>
    <x v="3"/>
    <x v="3"/>
    <x v="0"/>
    <n v="54"/>
    <n v="107"/>
    <n v="91"/>
    <n v="70"/>
    <n v="27"/>
    <n v="47677"/>
    <n v="3337390"/>
    <n v="0"/>
    <n v="5101439"/>
    <x v="0"/>
    <x v="8"/>
    <x v="1"/>
  </r>
  <r>
    <x v="612"/>
    <x v="4"/>
    <x v="1"/>
    <x v="0"/>
    <x v="3"/>
    <n v="87"/>
    <n v="31"/>
    <n v="43"/>
    <n v="75"/>
    <n v="27"/>
    <n v="19723"/>
    <n v="1479225"/>
    <n v="0"/>
    <n v="611413"/>
    <x v="0"/>
    <x v="8"/>
    <x v="1"/>
  </r>
  <r>
    <x v="612"/>
    <x v="19"/>
    <x v="0"/>
    <x v="1"/>
    <x v="3"/>
    <n v="18"/>
    <n v="35"/>
    <n v="47"/>
    <n v="6"/>
    <n v="27"/>
    <n v="10870"/>
    <n v="65220"/>
    <n v="0"/>
    <n v="380450"/>
    <x v="1"/>
    <x v="8"/>
    <x v="1"/>
  </r>
  <r>
    <x v="612"/>
    <x v="4"/>
    <x v="1"/>
    <x v="1"/>
    <x v="1"/>
    <n v="88"/>
    <n v="19"/>
    <n v="41"/>
    <n v="66"/>
    <n v="24"/>
    <n v="6703"/>
    <n v="442398"/>
    <n v="0"/>
    <n v="127357"/>
    <x v="0"/>
    <x v="8"/>
    <x v="1"/>
  </r>
  <r>
    <x v="613"/>
    <x v="0"/>
    <x v="0"/>
    <x v="0"/>
    <x v="5"/>
    <n v="118"/>
    <n v="55"/>
    <n v="41"/>
    <n v="132"/>
    <n v="20"/>
    <n v="2670"/>
    <n v="352440"/>
    <n v="0"/>
    <n v="146850"/>
    <x v="0"/>
    <x v="8"/>
    <x v="1"/>
  </r>
  <r>
    <x v="613"/>
    <x v="3"/>
    <x v="2"/>
    <x v="2"/>
    <x v="0"/>
    <n v="166"/>
    <n v="122"/>
    <n v="153"/>
    <n v="135"/>
    <n v="84"/>
    <n v="129"/>
    <n v="17415"/>
    <n v="0"/>
    <n v="15738"/>
    <x v="0"/>
    <x v="8"/>
    <x v="1"/>
  </r>
  <r>
    <x v="614"/>
    <x v="7"/>
    <x v="2"/>
    <x v="3"/>
    <x v="3"/>
    <n v="120"/>
    <n v="113"/>
    <n v="218"/>
    <n v="15"/>
    <n v="95"/>
    <n v="278"/>
    <n v="4170"/>
    <n v="0"/>
    <n v="31414"/>
    <x v="1"/>
    <x v="8"/>
    <x v="1"/>
  </r>
  <r>
    <x v="614"/>
    <x v="6"/>
    <x v="3"/>
    <x v="2"/>
    <x v="3"/>
    <n v="163"/>
    <n v="40"/>
    <n v="62"/>
    <n v="141"/>
    <n v="23"/>
    <n v="48187"/>
    <n v="6794367"/>
    <n v="0"/>
    <n v="1927480"/>
    <x v="0"/>
    <x v="8"/>
    <x v="1"/>
  </r>
  <r>
    <x v="614"/>
    <x v="8"/>
    <x v="3"/>
    <x v="2"/>
    <x v="3"/>
    <n v="86"/>
    <n v="101"/>
    <n v="33"/>
    <n v="154"/>
    <n v="44"/>
    <n v="18402"/>
    <n v="2833908"/>
    <n v="0"/>
    <n v="1858602"/>
    <x v="0"/>
    <x v="8"/>
    <x v="1"/>
  </r>
  <r>
    <x v="614"/>
    <x v="14"/>
    <x v="3"/>
    <x v="0"/>
    <x v="2"/>
    <n v="68"/>
    <n v="92"/>
    <n v="21"/>
    <n v="139"/>
    <n v="51"/>
    <n v="19285"/>
    <n v="2680615"/>
    <n v="0"/>
    <n v="1774220"/>
    <x v="0"/>
    <x v="8"/>
    <x v="1"/>
  </r>
  <r>
    <x v="615"/>
    <x v="3"/>
    <x v="2"/>
    <x v="2"/>
    <x v="1"/>
    <n v="144"/>
    <n v="164"/>
    <n v="77"/>
    <n v="231"/>
    <n v="143"/>
    <n v="1190"/>
    <n v="274890"/>
    <n v="0"/>
    <n v="195160"/>
    <x v="0"/>
    <x v="8"/>
    <x v="1"/>
  </r>
  <r>
    <x v="615"/>
    <x v="9"/>
    <x v="0"/>
    <x v="3"/>
    <x v="2"/>
    <n v="110"/>
    <n v="10"/>
    <n v="61"/>
    <n v="59"/>
    <n v="20"/>
    <n v="3273"/>
    <n v="193107"/>
    <n v="0"/>
    <n v="32730"/>
    <x v="0"/>
    <x v="8"/>
    <x v="1"/>
  </r>
  <r>
    <x v="615"/>
    <x v="2"/>
    <x v="0"/>
    <x v="0"/>
    <x v="5"/>
    <n v="118"/>
    <n v="37"/>
    <n v="17"/>
    <n v="138"/>
    <n v="15"/>
    <n v="10025"/>
    <n v="1383450"/>
    <n v="0"/>
    <n v="370925"/>
    <x v="0"/>
    <x v="8"/>
    <x v="1"/>
  </r>
  <r>
    <x v="616"/>
    <x v="18"/>
    <x v="3"/>
    <x v="3"/>
    <x v="2"/>
    <n v="120"/>
    <n v="13"/>
    <n v="98"/>
    <n v="35"/>
    <n v="38"/>
    <n v="12005"/>
    <n v="420175"/>
    <n v="0"/>
    <n v="156065"/>
    <x v="1"/>
    <x v="8"/>
    <x v="1"/>
  </r>
  <r>
    <x v="616"/>
    <x v="10"/>
    <x v="2"/>
    <x v="0"/>
    <x v="5"/>
    <n v="459"/>
    <n v="159"/>
    <n v="93"/>
    <n v="525"/>
    <n v="53"/>
    <n v="290"/>
    <n v="152250"/>
    <n v="0"/>
    <n v="46110"/>
    <x v="0"/>
    <x v="8"/>
    <x v="1"/>
  </r>
  <r>
    <x v="616"/>
    <x v="11"/>
    <x v="2"/>
    <x v="3"/>
    <x v="5"/>
    <n v="136"/>
    <n v="96"/>
    <n v="71"/>
    <n v="161"/>
    <n v="67"/>
    <n v="406"/>
    <n v="65366"/>
    <n v="0"/>
    <n v="38976"/>
    <x v="0"/>
    <x v="8"/>
    <x v="1"/>
  </r>
  <r>
    <x v="616"/>
    <x v="4"/>
    <x v="1"/>
    <x v="2"/>
    <x v="3"/>
    <n v="79"/>
    <n v="21"/>
    <n v="20"/>
    <n v="80"/>
    <n v="12"/>
    <n v="19333"/>
    <n v="1546640"/>
    <n v="0"/>
    <n v="405993"/>
    <x v="0"/>
    <x v="8"/>
    <x v="1"/>
  </r>
  <r>
    <x v="616"/>
    <x v="10"/>
    <x v="2"/>
    <x v="3"/>
    <x v="5"/>
    <n v="446"/>
    <n v="76"/>
    <n v="255"/>
    <n v="267"/>
    <n v="138"/>
    <n v="522"/>
    <n v="139374"/>
    <n v="0"/>
    <n v="39672"/>
    <x v="0"/>
    <x v="8"/>
    <x v="1"/>
  </r>
  <r>
    <x v="617"/>
    <x v="15"/>
    <x v="2"/>
    <x v="2"/>
    <x v="2"/>
    <n v="227"/>
    <n v="175"/>
    <n v="83"/>
    <n v="319"/>
    <n v="143"/>
    <n v="482"/>
    <n v="153758"/>
    <n v="0"/>
    <n v="84350"/>
    <x v="0"/>
    <x v="8"/>
    <x v="1"/>
  </r>
  <r>
    <x v="617"/>
    <x v="18"/>
    <x v="3"/>
    <x v="1"/>
    <x v="3"/>
    <n v="45"/>
    <n v="70"/>
    <n v="41"/>
    <n v="74"/>
    <n v="48"/>
    <n v="53686"/>
    <n v="3972764"/>
    <n v="0"/>
    <n v="3758020"/>
    <x v="0"/>
    <x v="8"/>
    <x v="1"/>
  </r>
  <r>
    <x v="618"/>
    <x v="18"/>
    <x v="3"/>
    <x v="3"/>
    <x v="0"/>
    <n v="74"/>
    <n v="73"/>
    <n v="95"/>
    <n v="52"/>
    <n v="24"/>
    <n v="46040"/>
    <n v="2394080"/>
    <n v="0"/>
    <n v="3360920"/>
    <x v="0"/>
    <x v="8"/>
    <x v="1"/>
  </r>
  <r>
    <x v="618"/>
    <x v="17"/>
    <x v="2"/>
    <x v="3"/>
    <x v="0"/>
    <n v="322"/>
    <n v="197"/>
    <n v="189"/>
    <n v="330"/>
    <n v="145"/>
    <n v="1101"/>
    <n v="363330"/>
    <n v="0"/>
    <n v="216897"/>
    <x v="0"/>
    <x v="8"/>
    <x v="1"/>
  </r>
  <r>
    <x v="618"/>
    <x v="4"/>
    <x v="1"/>
    <x v="1"/>
    <x v="0"/>
    <n v="80"/>
    <n v="43"/>
    <n v="28"/>
    <n v="95"/>
    <n v="26"/>
    <n v="7680"/>
    <n v="729600"/>
    <n v="0"/>
    <n v="330240"/>
    <x v="0"/>
    <x v="8"/>
    <x v="1"/>
  </r>
  <r>
    <x v="619"/>
    <x v="6"/>
    <x v="3"/>
    <x v="0"/>
    <x v="5"/>
    <n v="164"/>
    <n v="109"/>
    <n v="57"/>
    <n v="216"/>
    <n v="34"/>
    <n v="17595"/>
    <n v="3800520"/>
    <n v="0"/>
    <n v="1917855"/>
    <x v="0"/>
    <x v="8"/>
    <x v="1"/>
  </r>
  <r>
    <x v="619"/>
    <x v="19"/>
    <x v="0"/>
    <x v="3"/>
    <x v="3"/>
    <n v="112"/>
    <n v="59"/>
    <n v="30"/>
    <n v="141"/>
    <n v="19"/>
    <n v="3962"/>
    <n v="558642"/>
    <n v="0"/>
    <n v="233758"/>
    <x v="0"/>
    <x v="8"/>
    <x v="1"/>
  </r>
  <r>
    <x v="619"/>
    <x v="17"/>
    <x v="2"/>
    <x v="0"/>
    <x v="3"/>
    <n v="484"/>
    <n v="230"/>
    <n v="182"/>
    <n v="532"/>
    <n v="122"/>
    <n v="1106"/>
    <n v="588392"/>
    <n v="0"/>
    <n v="254380"/>
    <x v="0"/>
    <x v="8"/>
    <x v="1"/>
  </r>
  <r>
    <x v="619"/>
    <x v="19"/>
    <x v="0"/>
    <x v="1"/>
    <x v="0"/>
    <n v="22"/>
    <n v="73"/>
    <n v="64"/>
    <n v="31"/>
    <n v="18"/>
    <n v="14702"/>
    <n v="455762"/>
    <n v="0"/>
    <n v="1073246"/>
    <x v="0"/>
    <x v="8"/>
    <x v="1"/>
  </r>
  <r>
    <x v="619"/>
    <x v="4"/>
    <x v="1"/>
    <x v="2"/>
    <x v="3"/>
    <n v="29"/>
    <n v="22"/>
    <n v="12"/>
    <n v="39"/>
    <n v="21"/>
    <n v="7217"/>
    <n v="281463"/>
    <n v="0"/>
    <n v="158774"/>
    <x v="0"/>
    <x v="8"/>
    <x v="1"/>
  </r>
  <r>
    <x v="620"/>
    <x v="3"/>
    <x v="2"/>
    <x v="3"/>
    <x v="0"/>
    <n v="356"/>
    <n v="189"/>
    <n v="273"/>
    <n v="272"/>
    <n v="136"/>
    <n v="244"/>
    <n v="66368"/>
    <n v="0"/>
    <n v="46116"/>
    <x v="0"/>
    <x v="8"/>
    <x v="1"/>
  </r>
  <r>
    <x v="620"/>
    <x v="0"/>
    <x v="0"/>
    <x v="1"/>
    <x v="3"/>
    <n v="54"/>
    <n v="18"/>
    <n v="38"/>
    <n v="34"/>
    <n v="37"/>
    <n v="7552"/>
    <n v="256768"/>
    <n v="0"/>
    <n v="135936"/>
    <x v="1"/>
    <x v="8"/>
    <x v="1"/>
  </r>
  <r>
    <x v="620"/>
    <x v="3"/>
    <x v="2"/>
    <x v="3"/>
    <x v="3"/>
    <n v="254"/>
    <n v="285"/>
    <n v="153"/>
    <n v="386"/>
    <n v="94"/>
    <n v="410"/>
    <n v="158260"/>
    <n v="0"/>
    <n v="116850"/>
    <x v="0"/>
    <x v="8"/>
    <x v="1"/>
  </r>
  <r>
    <x v="620"/>
    <x v="6"/>
    <x v="3"/>
    <x v="2"/>
    <x v="0"/>
    <n v="57"/>
    <n v="86"/>
    <n v="97"/>
    <n v="46"/>
    <n v="22"/>
    <n v="12210"/>
    <n v="561660"/>
    <n v="0"/>
    <n v="1050060"/>
    <x v="0"/>
    <x v="8"/>
    <x v="1"/>
  </r>
  <r>
    <x v="620"/>
    <x v="5"/>
    <x v="3"/>
    <x v="0"/>
    <x v="1"/>
    <n v="116"/>
    <n v="61"/>
    <n v="39"/>
    <n v="138"/>
    <n v="24"/>
    <n v="54678"/>
    <n v="7545564"/>
    <n v="0"/>
    <n v="3335358"/>
    <x v="0"/>
    <x v="8"/>
    <x v="1"/>
  </r>
  <r>
    <x v="620"/>
    <x v="12"/>
    <x v="1"/>
    <x v="0"/>
    <x v="3"/>
    <n v="40"/>
    <n v="31"/>
    <n v="18"/>
    <n v="53"/>
    <n v="22"/>
    <n v="16216"/>
    <n v="859448"/>
    <n v="0"/>
    <n v="502696"/>
    <x v="0"/>
    <x v="8"/>
    <x v="1"/>
  </r>
  <r>
    <x v="621"/>
    <x v="3"/>
    <x v="2"/>
    <x v="2"/>
    <x v="0"/>
    <n v="400"/>
    <n v="194"/>
    <n v="36"/>
    <n v="558"/>
    <n v="139"/>
    <n v="1113"/>
    <n v="621054"/>
    <n v="0"/>
    <n v="215922"/>
    <x v="0"/>
    <x v="8"/>
    <x v="1"/>
  </r>
  <r>
    <x v="621"/>
    <x v="2"/>
    <x v="0"/>
    <x v="2"/>
    <x v="4"/>
    <n v="39"/>
    <n v="64"/>
    <n v="54"/>
    <n v="49"/>
    <n v="36"/>
    <n v="7942"/>
    <n v="389158"/>
    <n v="0"/>
    <n v="508288"/>
    <x v="0"/>
    <x v="8"/>
    <x v="1"/>
  </r>
  <r>
    <x v="621"/>
    <x v="5"/>
    <x v="3"/>
    <x v="2"/>
    <x v="0"/>
    <n v="101"/>
    <n v="113"/>
    <n v="97"/>
    <n v="117"/>
    <n v="48"/>
    <n v="26835"/>
    <n v="3139695"/>
    <n v="0"/>
    <n v="3032355"/>
    <x v="0"/>
    <x v="8"/>
    <x v="1"/>
  </r>
  <r>
    <x v="621"/>
    <x v="2"/>
    <x v="0"/>
    <x v="2"/>
    <x v="1"/>
    <n v="67"/>
    <n v="20"/>
    <n v="34"/>
    <n v="53"/>
    <n v="32"/>
    <n v="6112"/>
    <n v="323936"/>
    <n v="0"/>
    <n v="122240"/>
    <x v="0"/>
    <x v="8"/>
    <x v="1"/>
  </r>
  <r>
    <x v="621"/>
    <x v="3"/>
    <x v="2"/>
    <x v="1"/>
    <x v="4"/>
    <n v="104"/>
    <n v="44"/>
    <n v="46"/>
    <n v="102"/>
    <n v="133"/>
    <n v="197"/>
    <n v="20094"/>
    <n v="0"/>
    <n v="8668"/>
    <x v="1"/>
    <x v="8"/>
    <x v="1"/>
  </r>
  <r>
    <x v="621"/>
    <x v="0"/>
    <x v="0"/>
    <x v="0"/>
    <x v="4"/>
    <n v="91"/>
    <n v="31"/>
    <n v="11"/>
    <n v="111"/>
    <n v="24"/>
    <n v="2411"/>
    <n v="267621"/>
    <n v="0"/>
    <n v="74741"/>
    <x v="0"/>
    <x v="8"/>
    <x v="1"/>
  </r>
  <r>
    <x v="622"/>
    <x v="12"/>
    <x v="1"/>
    <x v="0"/>
    <x v="0"/>
    <n v="45"/>
    <n v="35"/>
    <n v="20"/>
    <n v="60"/>
    <n v="26"/>
    <n v="18413"/>
    <n v="1104780"/>
    <n v="0"/>
    <n v="644455"/>
    <x v="0"/>
    <x v="8"/>
    <x v="1"/>
  </r>
  <r>
    <x v="622"/>
    <x v="5"/>
    <x v="3"/>
    <x v="2"/>
    <x v="4"/>
    <n v="76"/>
    <n v="46"/>
    <n v="65"/>
    <n v="57"/>
    <n v="49"/>
    <n v="59771"/>
    <n v="3406947"/>
    <n v="0"/>
    <n v="2749466"/>
    <x v="0"/>
    <x v="8"/>
    <x v="1"/>
  </r>
  <r>
    <x v="622"/>
    <x v="4"/>
    <x v="1"/>
    <x v="3"/>
    <x v="4"/>
    <n v="39"/>
    <n v="7"/>
    <n v="29"/>
    <n v="17"/>
    <n v="12"/>
    <n v="4293"/>
    <n v="72981"/>
    <n v="0"/>
    <n v="30051"/>
    <x v="0"/>
    <x v="8"/>
    <x v="1"/>
  </r>
  <r>
    <x v="622"/>
    <x v="16"/>
    <x v="1"/>
    <x v="3"/>
    <x v="2"/>
    <n v="98"/>
    <n v="5"/>
    <n v="16"/>
    <n v="87"/>
    <n v="11"/>
    <n v="1818"/>
    <n v="158166"/>
    <n v="0"/>
    <n v="9090"/>
    <x v="0"/>
    <x v="8"/>
    <x v="1"/>
  </r>
  <r>
    <x v="623"/>
    <x v="16"/>
    <x v="1"/>
    <x v="2"/>
    <x v="2"/>
    <n v="31"/>
    <n v="39"/>
    <n v="18"/>
    <n v="52"/>
    <n v="14"/>
    <n v="11825"/>
    <n v="614900"/>
    <n v="0"/>
    <n v="461175"/>
    <x v="0"/>
    <x v="8"/>
    <x v="1"/>
  </r>
  <r>
    <x v="623"/>
    <x v="16"/>
    <x v="1"/>
    <x v="2"/>
    <x v="0"/>
    <n v="87"/>
    <n v="29"/>
    <n v="5"/>
    <n v="111"/>
    <n v="12"/>
    <n v="4773"/>
    <n v="529803"/>
    <n v="0"/>
    <n v="138417"/>
    <x v="0"/>
    <x v="8"/>
    <x v="1"/>
  </r>
  <r>
    <x v="623"/>
    <x v="7"/>
    <x v="2"/>
    <x v="1"/>
    <x v="5"/>
    <n v="327"/>
    <n v="242"/>
    <n v="181"/>
    <n v="388"/>
    <n v="70"/>
    <n v="705"/>
    <n v="273540"/>
    <n v="0"/>
    <n v="170610"/>
    <x v="0"/>
    <x v="8"/>
    <x v="1"/>
  </r>
  <r>
    <x v="624"/>
    <x v="3"/>
    <x v="2"/>
    <x v="2"/>
    <x v="1"/>
    <n v="203"/>
    <n v="159"/>
    <n v="90"/>
    <n v="272"/>
    <n v="131"/>
    <n v="314"/>
    <n v="85408"/>
    <n v="0"/>
    <n v="49926"/>
    <x v="0"/>
    <x v="8"/>
    <x v="1"/>
  </r>
  <r>
    <x v="624"/>
    <x v="1"/>
    <x v="1"/>
    <x v="0"/>
    <x v="4"/>
    <n v="17"/>
    <n v="53"/>
    <n v="20"/>
    <n v="50"/>
    <n v="24"/>
    <n v="6087"/>
    <n v="304350"/>
    <n v="0"/>
    <n v="322611"/>
    <x v="0"/>
    <x v="8"/>
    <x v="1"/>
  </r>
  <r>
    <x v="624"/>
    <x v="11"/>
    <x v="2"/>
    <x v="3"/>
    <x v="1"/>
    <n v="414"/>
    <n v="119"/>
    <n v="217"/>
    <n v="316"/>
    <n v="133"/>
    <n v="500"/>
    <n v="158000"/>
    <n v="0"/>
    <n v="59500"/>
    <x v="0"/>
    <x v="8"/>
    <x v="1"/>
  </r>
  <r>
    <x v="624"/>
    <x v="5"/>
    <x v="3"/>
    <x v="0"/>
    <x v="4"/>
    <n v="77"/>
    <n v="46"/>
    <n v="53"/>
    <n v="70"/>
    <n v="38"/>
    <n v="26466"/>
    <n v="1852620"/>
    <n v="0"/>
    <n v="1217436"/>
    <x v="0"/>
    <x v="8"/>
    <x v="1"/>
  </r>
  <r>
    <x v="624"/>
    <x v="3"/>
    <x v="2"/>
    <x v="3"/>
    <x v="4"/>
    <n v="216"/>
    <n v="294"/>
    <n v="236"/>
    <n v="274"/>
    <n v="61"/>
    <n v="682"/>
    <n v="186868"/>
    <n v="0"/>
    <n v="200508"/>
    <x v="0"/>
    <x v="8"/>
    <x v="1"/>
  </r>
  <r>
    <x v="624"/>
    <x v="4"/>
    <x v="1"/>
    <x v="3"/>
    <x v="3"/>
    <n v="88"/>
    <n v="58"/>
    <n v="18"/>
    <n v="128"/>
    <n v="12"/>
    <n v="20546"/>
    <n v="2629888"/>
    <n v="0"/>
    <n v="1191668"/>
    <x v="0"/>
    <x v="8"/>
    <x v="1"/>
  </r>
  <r>
    <x v="625"/>
    <x v="4"/>
    <x v="1"/>
    <x v="3"/>
    <x v="0"/>
    <n v="13"/>
    <n v="42"/>
    <n v="5"/>
    <n v="50"/>
    <n v="18"/>
    <n v="4576"/>
    <n v="228800"/>
    <n v="0"/>
    <n v="192192"/>
    <x v="0"/>
    <x v="8"/>
    <x v="1"/>
  </r>
  <r>
    <x v="625"/>
    <x v="9"/>
    <x v="0"/>
    <x v="2"/>
    <x v="5"/>
    <n v="94"/>
    <n v="19"/>
    <n v="50"/>
    <n v="63"/>
    <n v="27"/>
    <n v="11395"/>
    <n v="717885"/>
    <n v="0"/>
    <n v="216505"/>
    <x v="0"/>
    <x v="8"/>
    <x v="1"/>
  </r>
  <r>
    <x v="625"/>
    <x v="4"/>
    <x v="1"/>
    <x v="1"/>
    <x v="2"/>
    <n v="69"/>
    <n v="27"/>
    <n v="23"/>
    <n v="73"/>
    <n v="15"/>
    <n v="14973"/>
    <n v="1093029"/>
    <n v="0"/>
    <n v="404271"/>
    <x v="0"/>
    <x v="8"/>
    <x v="1"/>
  </r>
  <r>
    <x v="625"/>
    <x v="0"/>
    <x v="0"/>
    <x v="1"/>
    <x v="3"/>
    <n v="29"/>
    <n v="77"/>
    <n v="54"/>
    <n v="52"/>
    <n v="35"/>
    <n v="4135"/>
    <n v="215020"/>
    <n v="0"/>
    <n v="318395"/>
    <x v="0"/>
    <x v="8"/>
    <x v="1"/>
  </r>
  <r>
    <x v="626"/>
    <x v="6"/>
    <x v="3"/>
    <x v="1"/>
    <x v="4"/>
    <n v="21"/>
    <n v="102"/>
    <n v="42"/>
    <n v="81"/>
    <n v="35"/>
    <n v="33954"/>
    <n v="2750274"/>
    <n v="0"/>
    <n v="3463308"/>
    <x v="0"/>
    <x v="8"/>
    <x v="1"/>
  </r>
  <r>
    <x v="626"/>
    <x v="11"/>
    <x v="2"/>
    <x v="1"/>
    <x v="1"/>
    <n v="248"/>
    <n v="50"/>
    <n v="209"/>
    <n v="89"/>
    <n v="112"/>
    <n v="390"/>
    <n v="34710"/>
    <n v="0"/>
    <n v="19500"/>
    <x v="1"/>
    <x v="8"/>
    <x v="1"/>
  </r>
  <r>
    <x v="627"/>
    <x v="2"/>
    <x v="0"/>
    <x v="0"/>
    <x v="3"/>
    <n v="30"/>
    <n v="77"/>
    <n v="49"/>
    <n v="58"/>
    <n v="33"/>
    <n v="16393"/>
    <n v="950794"/>
    <n v="0"/>
    <n v="1262261"/>
    <x v="0"/>
    <x v="8"/>
    <x v="1"/>
  </r>
  <r>
    <x v="627"/>
    <x v="6"/>
    <x v="3"/>
    <x v="3"/>
    <x v="1"/>
    <n v="113"/>
    <n v="59"/>
    <n v="20"/>
    <n v="152"/>
    <n v="21"/>
    <n v="58432"/>
    <n v="8881664"/>
    <n v="0"/>
    <n v="3447488"/>
    <x v="0"/>
    <x v="8"/>
    <x v="1"/>
  </r>
  <r>
    <x v="627"/>
    <x v="19"/>
    <x v="0"/>
    <x v="1"/>
    <x v="3"/>
    <n v="119"/>
    <n v="75"/>
    <n v="16"/>
    <n v="178"/>
    <n v="33"/>
    <n v="12376"/>
    <n v="2202928"/>
    <n v="0"/>
    <n v="928200"/>
    <x v="0"/>
    <x v="8"/>
    <x v="1"/>
  </r>
  <r>
    <x v="628"/>
    <x v="6"/>
    <x v="3"/>
    <x v="2"/>
    <x v="4"/>
    <n v="58"/>
    <n v="21"/>
    <n v="51"/>
    <n v="28"/>
    <n v="40"/>
    <n v="57649"/>
    <n v="1614172"/>
    <n v="0"/>
    <n v="1210629"/>
    <x v="1"/>
    <x v="8"/>
    <x v="1"/>
  </r>
  <r>
    <x v="628"/>
    <x v="1"/>
    <x v="1"/>
    <x v="3"/>
    <x v="2"/>
    <n v="79"/>
    <n v="41"/>
    <n v="38"/>
    <n v="82"/>
    <n v="10"/>
    <n v="3028"/>
    <n v="248296"/>
    <n v="0"/>
    <n v="124148"/>
    <x v="0"/>
    <x v="8"/>
    <x v="1"/>
  </r>
  <r>
    <x v="628"/>
    <x v="9"/>
    <x v="0"/>
    <x v="0"/>
    <x v="1"/>
    <n v="106"/>
    <n v="41"/>
    <n v="31"/>
    <n v="116"/>
    <n v="36"/>
    <n v="12011"/>
    <n v="1393276"/>
    <n v="0"/>
    <n v="492451"/>
    <x v="0"/>
    <x v="8"/>
    <x v="1"/>
  </r>
  <r>
    <x v="628"/>
    <x v="7"/>
    <x v="2"/>
    <x v="1"/>
    <x v="2"/>
    <n v="358"/>
    <n v="212"/>
    <n v="91"/>
    <n v="479"/>
    <n v="132"/>
    <n v="933"/>
    <n v="446907"/>
    <n v="0"/>
    <n v="197796"/>
    <x v="0"/>
    <x v="8"/>
    <x v="1"/>
  </r>
  <r>
    <x v="629"/>
    <x v="15"/>
    <x v="2"/>
    <x v="3"/>
    <x v="2"/>
    <n v="114"/>
    <n v="135"/>
    <n v="116"/>
    <n v="133"/>
    <n v="55"/>
    <n v="678"/>
    <n v="90174"/>
    <n v="0"/>
    <n v="91530"/>
    <x v="0"/>
    <x v="8"/>
    <x v="1"/>
  </r>
  <r>
    <x v="629"/>
    <x v="6"/>
    <x v="3"/>
    <x v="3"/>
    <x v="5"/>
    <n v="89"/>
    <n v="57"/>
    <n v="68"/>
    <n v="78"/>
    <n v="38"/>
    <n v="36112"/>
    <n v="2816736"/>
    <n v="0"/>
    <n v="2058384"/>
    <x v="0"/>
    <x v="8"/>
    <x v="1"/>
  </r>
  <r>
    <x v="629"/>
    <x v="8"/>
    <x v="3"/>
    <x v="0"/>
    <x v="2"/>
    <n v="65"/>
    <n v="21"/>
    <n v="57"/>
    <n v="29"/>
    <n v="51"/>
    <n v="54348"/>
    <n v="1576092"/>
    <n v="0"/>
    <n v="1141308"/>
    <x v="1"/>
    <x v="8"/>
    <x v="1"/>
  </r>
  <r>
    <x v="630"/>
    <x v="1"/>
    <x v="1"/>
    <x v="0"/>
    <x v="2"/>
    <n v="32"/>
    <n v="37"/>
    <n v="9"/>
    <n v="60"/>
    <n v="22"/>
    <n v="6789"/>
    <n v="407340"/>
    <n v="0"/>
    <n v="251193"/>
    <x v="0"/>
    <x v="8"/>
    <x v="1"/>
  </r>
  <r>
    <x v="630"/>
    <x v="19"/>
    <x v="0"/>
    <x v="3"/>
    <x v="2"/>
    <n v="38"/>
    <n v="73"/>
    <n v="25"/>
    <n v="86"/>
    <n v="15"/>
    <n v="1934"/>
    <n v="166324"/>
    <n v="0"/>
    <n v="141182"/>
    <x v="0"/>
    <x v="8"/>
    <x v="1"/>
  </r>
  <r>
    <x v="630"/>
    <x v="6"/>
    <x v="3"/>
    <x v="2"/>
    <x v="4"/>
    <n v="82"/>
    <n v="17"/>
    <n v="99"/>
    <n v="0"/>
    <n v="51"/>
    <n v="57759"/>
    <n v="0"/>
    <n v="0"/>
    <n v="981903"/>
    <x v="1"/>
    <x v="8"/>
    <x v="1"/>
  </r>
  <r>
    <x v="630"/>
    <x v="15"/>
    <x v="2"/>
    <x v="0"/>
    <x v="4"/>
    <n v="477"/>
    <n v="77"/>
    <n v="211"/>
    <n v="343"/>
    <n v="106"/>
    <n v="1102"/>
    <n v="377986"/>
    <n v="0"/>
    <n v="84854"/>
    <x v="0"/>
    <x v="8"/>
    <x v="1"/>
  </r>
  <r>
    <x v="631"/>
    <x v="13"/>
    <x v="3"/>
    <x v="2"/>
    <x v="0"/>
    <n v="94"/>
    <n v="52"/>
    <n v="86"/>
    <n v="60"/>
    <n v="44"/>
    <n v="16967"/>
    <n v="1018020"/>
    <n v="0"/>
    <n v="882284"/>
    <x v="0"/>
    <x v="8"/>
    <x v="1"/>
  </r>
  <r>
    <x v="631"/>
    <x v="8"/>
    <x v="3"/>
    <x v="2"/>
    <x v="4"/>
    <n v="127"/>
    <n v="13"/>
    <n v="97"/>
    <n v="43"/>
    <n v="25"/>
    <n v="28342"/>
    <n v="1218706"/>
    <n v="0"/>
    <n v="368446"/>
    <x v="0"/>
    <x v="8"/>
    <x v="1"/>
  </r>
  <r>
    <x v="631"/>
    <x v="13"/>
    <x v="3"/>
    <x v="1"/>
    <x v="1"/>
    <n v="134"/>
    <n v="78"/>
    <n v="98"/>
    <n v="114"/>
    <n v="39"/>
    <n v="52213"/>
    <n v="5952282"/>
    <n v="0"/>
    <n v="4072614"/>
    <x v="0"/>
    <x v="8"/>
    <x v="1"/>
  </r>
  <r>
    <x v="631"/>
    <x v="4"/>
    <x v="1"/>
    <x v="3"/>
    <x v="4"/>
    <n v="19"/>
    <n v="51"/>
    <n v="37"/>
    <n v="33"/>
    <n v="20"/>
    <n v="15045"/>
    <n v="496485"/>
    <n v="0"/>
    <n v="767295"/>
    <x v="0"/>
    <x v="8"/>
    <x v="1"/>
  </r>
  <r>
    <x v="632"/>
    <x v="4"/>
    <x v="1"/>
    <x v="2"/>
    <x v="2"/>
    <n v="68"/>
    <n v="10"/>
    <n v="30"/>
    <n v="48"/>
    <n v="26"/>
    <n v="2284"/>
    <n v="109632"/>
    <n v="0"/>
    <n v="22840"/>
    <x v="0"/>
    <x v="8"/>
    <x v="1"/>
  </r>
  <r>
    <x v="632"/>
    <x v="2"/>
    <x v="0"/>
    <x v="2"/>
    <x v="5"/>
    <n v="102"/>
    <n v="38"/>
    <n v="63"/>
    <n v="77"/>
    <n v="22"/>
    <n v="8855"/>
    <n v="681835"/>
    <n v="0"/>
    <n v="336490"/>
    <x v="0"/>
    <x v="8"/>
    <x v="1"/>
  </r>
  <r>
    <x v="632"/>
    <x v="11"/>
    <x v="2"/>
    <x v="2"/>
    <x v="1"/>
    <n v="103"/>
    <n v="63"/>
    <n v="166"/>
    <n v="0"/>
    <n v="111"/>
    <n v="986"/>
    <n v="0"/>
    <n v="0"/>
    <n v="62118"/>
    <x v="1"/>
    <x v="8"/>
    <x v="1"/>
  </r>
  <r>
    <x v="633"/>
    <x v="4"/>
    <x v="1"/>
    <x v="0"/>
    <x v="5"/>
    <n v="26"/>
    <n v="49"/>
    <n v="32"/>
    <n v="43"/>
    <n v="20"/>
    <n v="13879"/>
    <n v="596797"/>
    <n v="0"/>
    <n v="680071"/>
    <x v="0"/>
    <x v="8"/>
    <x v="1"/>
  </r>
  <r>
    <x v="633"/>
    <x v="6"/>
    <x v="3"/>
    <x v="1"/>
    <x v="5"/>
    <n v="43"/>
    <n v="83"/>
    <n v="42"/>
    <n v="84"/>
    <n v="45"/>
    <n v="4917"/>
    <n v="413028"/>
    <n v="0"/>
    <n v="408111"/>
    <x v="0"/>
    <x v="8"/>
    <x v="1"/>
  </r>
  <r>
    <x v="633"/>
    <x v="15"/>
    <x v="2"/>
    <x v="0"/>
    <x v="3"/>
    <n v="76"/>
    <n v="36"/>
    <n v="112"/>
    <n v="0"/>
    <n v="67"/>
    <n v="108"/>
    <n v="0"/>
    <n v="0"/>
    <n v="3888"/>
    <x v="1"/>
    <x v="8"/>
    <x v="1"/>
  </r>
  <r>
    <x v="633"/>
    <x v="16"/>
    <x v="1"/>
    <x v="2"/>
    <x v="5"/>
    <n v="62"/>
    <n v="40"/>
    <n v="11"/>
    <n v="91"/>
    <n v="17"/>
    <n v="10827"/>
    <n v="985257"/>
    <n v="0"/>
    <n v="433080"/>
    <x v="0"/>
    <x v="8"/>
    <x v="1"/>
  </r>
  <r>
    <x v="633"/>
    <x v="11"/>
    <x v="2"/>
    <x v="2"/>
    <x v="5"/>
    <n v="318"/>
    <n v="150"/>
    <n v="221"/>
    <n v="247"/>
    <n v="69"/>
    <n v="920"/>
    <n v="227240"/>
    <n v="0"/>
    <n v="138000"/>
    <x v="0"/>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0FFA04-462A-4204-8987-95338A1A61D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K14" firstHeaderRow="1" firstDataRow="1" firstDataCol="1"/>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axis="axisRow" showAll="0" measureFilter="1">
      <items count="21">
        <item x="19"/>
        <item x="4"/>
        <item x="17"/>
        <item x="0"/>
        <item x="16"/>
        <item x="14"/>
        <item x="6"/>
        <item x="18"/>
        <item x="3"/>
        <item x="2"/>
        <item x="13"/>
        <item x="5"/>
        <item x="11"/>
        <item x="12"/>
        <item x="1"/>
        <item x="15"/>
        <item x="8"/>
        <item x="7"/>
        <item x="10"/>
        <item x="9"/>
        <item t="default"/>
      </items>
    </pivotField>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showAll="0"/>
    <pivotField dataField="1"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1">
    <i>
      <x v="2"/>
    </i>
    <i>
      <x v="5"/>
    </i>
    <i>
      <x v="7"/>
    </i>
    <i>
      <x v="8"/>
    </i>
    <i>
      <x v="10"/>
    </i>
    <i>
      <x v="11"/>
    </i>
    <i>
      <x v="12"/>
    </i>
    <i>
      <x v="15"/>
    </i>
    <i>
      <x v="17"/>
    </i>
    <i>
      <x v="18"/>
    </i>
    <i t="grand">
      <x/>
    </i>
  </rowItems>
  <colItems count="1">
    <i/>
  </colItems>
  <dataFields count="1">
    <dataField name="Sum of Sales Qty" fld="7" baseField="0" baseItem="0" numFmtId="166"/>
  </dataFields>
  <formats count="1">
    <format dxfId="135">
      <pivotArea outline="0" collapsedLevelsAreSubtotals="1" fieldPosition="0"/>
    </format>
  </formats>
  <pivotTableStyleInfo name="PivotStyleLight16" showRowHeaders="1" showColHeaders="1" showRowStripes="0" showColStripes="0" showLastColumn="1"/>
  <filters count="1">
    <filter fld="1"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D10FC3-36FC-4C33-9734-F3FFADEE82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dataField="1" showAll="0"/>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Product" fld="1" subtotal="count" baseField="0" baseItem="0"/>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F293E8-0F2E-4941-939F-9E74E52ABFD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3:E20" firstHeaderRow="1" firstDataRow="1" firstDataCol="1"/>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showAll="0"/>
    <pivotField showAll="0">
      <items count="5">
        <item x="0"/>
        <item x="3"/>
        <item x="1"/>
        <item x="2"/>
        <item t="default"/>
      </items>
    </pivotField>
    <pivotField showAll="0">
      <items count="5">
        <item x="3"/>
        <item x="0"/>
        <item x="2"/>
        <item x="1"/>
        <item t="default"/>
      </items>
    </pivotField>
    <pivotField axis="axisRow" showAll="0">
      <items count="7">
        <item x="4"/>
        <item x="0"/>
        <item x="2"/>
        <item x="5"/>
        <item x="3"/>
        <item x="1"/>
        <item t="default"/>
      </items>
    </pivotField>
    <pivotField showAll="0"/>
    <pivotField dataField="1"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Items count="1">
    <i/>
  </colItems>
  <dataFields count="1">
    <dataField name="Sum of Purchase Qty" fld="6" baseField="0" baseItem="0" numFmtId="166"/>
  </dataFields>
  <formats count="1">
    <format dxfId="137">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378DE4-BCC3-44F9-A5DC-7DFECB7691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8" firstHeaderRow="1" firstDataRow="1" firstDataCol="1"/>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showAll="0"/>
    <pivotField axis="axisRow"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Stock Value" fld="11" baseField="0" baseItem="0" numFmtId="165"/>
  </dataFields>
  <formats count="1">
    <format dxfId="138">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7245F3-8446-4581-BC38-EEA4F84F9BB0}"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0:A33" firstHeaderRow="1" firstDataRow="1" firstDataCol="1"/>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showAll="0"/>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defaultSubtotal="0"/>
    <pivotField showAll="0" defaultSubtotal="0"/>
    <pivotField axis="axisRow" showAll="0" defaultSubtotal="0">
      <items count="4">
        <item x="0"/>
        <item x="1"/>
        <item x="2"/>
        <item x="3"/>
      </items>
    </pivotField>
  </pivotFields>
  <rowFields count="1">
    <field x="19"/>
  </rowFields>
  <rowItems count="3">
    <i>
      <x v="1"/>
    </i>
    <i>
      <x v="2"/>
    </i>
    <i t="grand">
      <x/>
    </i>
  </rowItems>
  <colItems count="1">
    <i/>
  </colItems>
  <pivotTableStyleInfo name="PivotStyleLight16" showRowHeaders="1" showColHeaders="1" showRowStripes="0" showColStripes="0" showLastColumn="1"/>
  <filters count="1">
    <filter fld="0" type="dateBetween" evalOrder="-1" id="36" name="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0F7826-F24F-4689-BA46-BD1518431D7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G34" firstHeaderRow="1" firstDataRow="1" firstDataCol="1"/>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axis="axisRow" showAll="0">
      <items count="21">
        <item x="19"/>
        <item x="4"/>
        <item x="17"/>
        <item x="0"/>
        <item x="16"/>
        <item x="14"/>
        <item x="6"/>
        <item x="18"/>
        <item x="3"/>
        <item x="2"/>
        <item x="13"/>
        <item x="5"/>
        <item x="11"/>
        <item x="12"/>
        <item x="1"/>
        <item x="15"/>
        <item x="8"/>
        <item x="7"/>
        <item x="10"/>
        <item x="9"/>
        <item t="default"/>
      </items>
    </pivotField>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B5AB10-4260-49DE-8D50-37681D1E526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7:H10" firstHeaderRow="1" firstDataRow="1" firstDataCol="1"/>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dataField="1" showAll="0"/>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3">
    <i>
      <x/>
    </i>
    <i>
      <x v="1"/>
    </i>
    <i t="grand">
      <x/>
    </i>
  </rowItems>
  <colItems count="1">
    <i/>
  </colItems>
  <dataFields count="1">
    <dataField name="Count of Product" fld="1" subtotal="count" baseField="0" baseItem="0"/>
  </dataFields>
  <pivotTableStyleInfo name="PivotStyleLight16" showRowHeaders="1" showColHeaders="1" showRowStripes="0" showColStripes="0" showLastColumn="1"/>
  <filters count="1">
    <filter fld="0" type="dateBetween" evalOrder="-1" id="2"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841B53-2448-429E-8B7B-4972FF3D88E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1:A22" firstHeaderRow="1" firstDataRow="1" firstDataCol="0"/>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showAll="0"/>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dataField="1"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urchase Qty" fld="6" baseField="0" baseItem="0" numFmtId="166"/>
  </dataFields>
  <formats count="1">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BD92C3-D57B-4965-A1D2-301A17BDAF43}"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C25:D26" firstHeaderRow="0" firstDataRow="1" firstDataCol="0"/>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showAll="0"/>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dataField="1" showAll="0"/>
    <pivotField dataField="1"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Purchase Qty" fld="6" baseField="0" baseItem="0" numFmtId="166"/>
    <dataField name="Sum of Sales Qty" fld="7" baseField="0" baseItem="0"/>
  </dataFields>
  <formats count="1">
    <format dxfId="140">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1E9447-E6D7-4130-98E0-74D4671583C1}"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7:A28" firstHeaderRow="1" firstDataRow="1" firstDataCol="0"/>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showAll="0"/>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showAll="0"/>
    <pivotField showAll="0"/>
    <pivotField dataField="1"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Closing Stock" fld="8" baseField="0" baseItem="0" numFmtId="166"/>
  </dataFields>
  <formats count="1">
    <format dxfId="1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6179BD-CAD8-4948-8442-556F12EE29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showAll="0"/>
    <pivotField showAll="0">
      <items count="5">
        <item x="0"/>
        <item x="3"/>
        <item x="1"/>
        <item x="2"/>
        <item t="default"/>
      </items>
    </pivotField>
    <pivotField axis="axisRow" showAll="0">
      <items count="5">
        <item x="3"/>
        <item x="0"/>
        <item x="2"/>
        <item x="1"/>
        <item t="default"/>
      </items>
    </pivotField>
    <pivotField showAll="0">
      <items count="7">
        <item x="4"/>
        <item x="0"/>
        <item x="2"/>
        <item x="5"/>
        <item x="3"/>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tock Value" fld="11" baseField="0" baseItem="0"/>
  </dataFields>
  <formats count="1">
    <format dxfId="142">
      <pivotArea outline="0" collapsedLevelsAreSubtotals="1" fieldPosition="0"/>
    </format>
  </formats>
  <chartFormats count="5">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3" count="1" selected="0">
            <x v="1"/>
          </reference>
        </references>
      </pivotArea>
    </chartFormat>
    <chartFormat chart="10" format="13">
      <pivotArea type="data" outline="0" fieldPosition="0">
        <references count="2">
          <reference field="4294967294" count="1" selected="0">
            <x v="0"/>
          </reference>
          <reference field="3" count="1" selected="0">
            <x v="2"/>
          </reference>
        </references>
      </pivotArea>
    </chartFormat>
    <chartFormat chart="10" format="14">
      <pivotArea type="data" outline="0" fieldPosition="0">
        <references count="2">
          <reference field="4294967294" count="1" selected="0">
            <x v="0"/>
          </reference>
          <reference field="3" count="1" selected="0">
            <x v="3"/>
          </reference>
        </references>
      </pivotArea>
    </chartFormat>
    <chartFormat chart="10" format="1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369AFA-4F18-4A92-887E-C8F7A1DF48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6:J38" firstHeaderRow="1" firstDataRow="1" firstDataCol="1"/>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axis="axisRow" dataField="1" showAll="0">
      <items count="21">
        <item x="19"/>
        <item x="4"/>
        <item x="17"/>
        <item x="0"/>
        <item x="16"/>
        <item x="14"/>
        <item x="6"/>
        <item x="18"/>
        <item x="3"/>
        <item x="2"/>
        <item x="13"/>
        <item x="5"/>
        <item x="11"/>
        <item x="12"/>
        <item x="1"/>
        <item x="15"/>
        <item x="8"/>
        <item x="7"/>
        <item x="10"/>
        <item x="9"/>
        <item t="default"/>
      </items>
    </pivotField>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4"/>
    <field x="1"/>
  </rowFields>
  <rowItems count="22">
    <i>
      <x v="1"/>
    </i>
    <i r="1">
      <x/>
    </i>
    <i r="1">
      <x v="1"/>
    </i>
    <i r="1">
      <x v="2"/>
    </i>
    <i r="1">
      <x v="3"/>
    </i>
    <i r="1">
      <x v="4"/>
    </i>
    <i r="1">
      <x v="5"/>
    </i>
    <i r="1">
      <x v="6"/>
    </i>
    <i r="1">
      <x v="7"/>
    </i>
    <i r="1">
      <x v="8"/>
    </i>
    <i r="1">
      <x v="9"/>
    </i>
    <i r="1">
      <x v="10"/>
    </i>
    <i r="1">
      <x v="11"/>
    </i>
    <i r="1">
      <x v="12"/>
    </i>
    <i r="1">
      <x v="13"/>
    </i>
    <i r="1">
      <x v="14"/>
    </i>
    <i r="1">
      <x v="15"/>
    </i>
    <i r="1">
      <x v="16"/>
    </i>
    <i r="1">
      <x v="17"/>
    </i>
    <i r="1">
      <x v="18"/>
    </i>
    <i r="1">
      <x v="19"/>
    </i>
    <i t="grand">
      <x/>
    </i>
  </rowItems>
  <colItems count="1">
    <i/>
  </colItems>
  <dataFields count="1">
    <dataField name="Count of Product" fld="1" subtotal="count"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1E8D26-F76C-4BEB-841E-C9F69B6700D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showAll="0"/>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tock Value" fld="11" baseField="0" baseItem="0" numFmtId="166"/>
  </dataFields>
  <formats count="1">
    <format dxfId="1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D4E74E2-831D-4EB7-B5FD-ADB87A9AE6A9}"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4:A25" firstHeaderRow="1" firstDataRow="1" firstDataCol="0"/>
  <pivotFields count="20">
    <pivotField numFmtId="164" showAll="0">
      <items count="6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t="default"/>
      </items>
    </pivotField>
    <pivotField showAll="0"/>
    <pivotField showAll="0">
      <items count="5">
        <item x="0"/>
        <item x="3"/>
        <item x="1"/>
        <item x="2"/>
        <item t="default"/>
      </items>
    </pivotField>
    <pivotField showAll="0">
      <items count="5">
        <item x="3"/>
        <item x="0"/>
        <item x="2"/>
        <item x="1"/>
        <item t="default"/>
      </items>
    </pivotField>
    <pivotField showAll="0">
      <items count="7">
        <item x="4"/>
        <item x="0"/>
        <item x="2"/>
        <item x="5"/>
        <item x="3"/>
        <item x="1"/>
        <item t="default"/>
      </items>
    </pivotField>
    <pivotField showAll="0"/>
    <pivotField showAll="0"/>
    <pivotField dataField="1"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Q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A3D75B-0CF3-4EA3-AADC-FF1942A740DC}" autoFormatId="16" applyNumberFormats="0" applyBorderFormats="0" applyFontFormats="0" applyPatternFormats="0" applyAlignmentFormats="0" applyWidthHeightFormats="0">
  <queryTableRefresh nextId="20" unboundColumnsRight="5">
    <queryTableFields count="17">
      <queryTableField id="1" name="Date" tableColumnId="1"/>
      <queryTableField id="2" name="Product" tableColumnId="2"/>
      <queryTableField id="3" name="Category" tableColumnId="3"/>
      <queryTableField id="4" name="Warehouse" tableColumnId="4"/>
      <queryTableField id="5" name="Supplier" tableColumnId="5"/>
      <queryTableField id="6" name="Opening Stock" tableColumnId="6"/>
      <queryTableField id="7" name="Purchase Qty" tableColumnId="7"/>
      <queryTableField id="8" name="Sales Qty" tableColumnId="8"/>
      <queryTableField id="9" name="Closing Stock" tableColumnId="9"/>
      <queryTableField id="10" name="Reorder Level" tableColumnId="10"/>
      <queryTableField id="11" name="Unit Cost" tableColumnId="11"/>
      <queryTableField id="12" name="Stock Value" tableColumnId="12"/>
      <queryTableField id="13" dataBound="0" tableColumnId="13"/>
      <queryTableField id="15" dataBound="0" tableColumnId="15"/>
      <queryTableField id="16" dataBound="0"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2018C9C4-66D5-43BE-9DED-0563BC17E485}" sourceName="Warehouse">
  <pivotTables>
    <pivotTable tabId="3" name="PivotTable8"/>
    <pivotTable tabId="3" name="PivotTable15"/>
    <pivotTable tabId="3" name="PivotTable1"/>
    <pivotTable tabId="3" name="PivotTable12"/>
    <pivotTable tabId="3" name="PivotTable13"/>
    <pivotTable tabId="3" name="PivotTable14"/>
    <pivotTable tabId="3" name="PivotTable16"/>
    <pivotTable tabId="3" name="PivotTable2"/>
    <pivotTable tabId="3" name="PivotTable3"/>
    <pivotTable tabId="3" name="PivotTable4"/>
    <pivotTable tabId="3" name="PivotTable5"/>
    <pivotTable tabId="3" name="PivotTable6"/>
    <pivotTable tabId="3" name="PivotTable7"/>
    <pivotTable tabId="3" name="PivotTable9"/>
  </pivotTables>
  <data>
    <tabular pivotCacheId="58971588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88A8E8-9B1B-4184-8B05-1E1B891C937D}" sourceName="Category">
  <pivotTables>
    <pivotTable tabId="3" name="PivotTable8"/>
    <pivotTable tabId="3" name="PivotTable15"/>
    <pivotTable tabId="3" name="PivotTable1"/>
    <pivotTable tabId="3" name="PivotTable12"/>
    <pivotTable tabId="3" name="PivotTable13"/>
    <pivotTable tabId="3" name="PivotTable14"/>
    <pivotTable tabId="3" name="PivotTable16"/>
    <pivotTable tabId="3" name="PivotTable2"/>
    <pivotTable tabId="3" name="PivotTable3"/>
    <pivotTable tabId="3" name="PivotTable4"/>
    <pivotTable tabId="3" name="PivotTable5"/>
    <pivotTable tabId="3" name="PivotTable6"/>
    <pivotTable tabId="3" name="PivotTable7"/>
    <pivotTable tabId="3" name="PivotTable9"/>
  </pivotTables>
  <data>
    <tabular pivotCacheId="589715883">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F1E88D36-D2E5-4201-B76D-85E685B0506F}" sourceName="Supplier">
  <pivotTables>
    <pivotTable tabId="3" name="PivotTable8"/>
    <pivotTable tabId="3" name="PivotTable15"/>
    <pivotTable tabId="3" name="PivotTable1"/>
    <pivotTable tabId="3" name="PivotTable12"/>
    <pivotTable tabId="3" name="PivotTable13"/>
    <pivotTable tabId="3" name="PivotTable14"/>
    <pivotTable tabId="3" name="PivotTable16"/>
    <pivotTable tabId="3" name="PivotTable2"/>
    <pivotTable tabId="3" name="PivotTable3"/>
    <pivotTable tabId="3" name="PivotTable4"/>
    <pivotTable tabId="3" name="PivotTable5"/>
    <pivotTable tabId="3" name="PivotTable6"/>
    <pivotTable tabId="3" name="PivotTable7"/>
    <pivotTable tabId="3" name="PivotTable9"/>
  </pivotTables>
  <data>
    <tabular pivotCacheId="589715883">
      <items count="6">
        <i x="4" s="1"/>
        <i x="0" s="1"/>
        <i x="2" s="1"/>
        <i x="5"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7C55D4A-FF91-48FF-95DF-D55C68371450}" sourceName="Year">
  <pivotTables>
    <pivotTable tabId="3" name="PivotTable16"/>
    <pivotTable tabId="3" name="PivotTable1"/>
    <pivotTable tabId="3" name="PivotTable12"/>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58971588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89EADF6C-D83D-4753-B59D-9F4CAC92EAB5}" sourceName="Months">
  <pivotTables>
    <pivotTable tabId="3" name="PivotTable16"/>
    <pivotTable tabId="3" name="PivotTable1"/>
    <pivotTable tabId="3" name="PivotTable12"/>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58971588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49ABFA13-9F5F-498D-935B-99E2D306F082}" cache="Slicer_Warehouse" caption="Warehouse" style="SlicerStyleLight1 2" rowHeight="288000"/>
  <slicer name="Category" xr10:uid="{22CBEE51-A6AE-4A07-9BC1-0781626EAD96}" cache="Slicer_Category" caption="Category" style="SlicerStyleLight1 2" rowHeight="288000"/>
  <slicer name="Supplier" xr10:uid="{B604AD7A-6173-493C-8ACF-275064C3426D}" cache="Slicer_Supplier" caption="Supplier" style="SlicerStyleLight1 2" rowHeight="288000"/>
  <slicer name="Year" xr10:uid="{757652DA-6577-4E1B-BAEB-11F46F2EA22E}" cache="Slicer_Year" caption="Year" showCaption="0" style="SlicerStyleLight1 2" rowHeight="216000"/>
  <slicer name="Months" xr10:uid="{71C165A6-7A86-44C7-8599-E330DF512A5C}" cache="Slicer_Months" caption="Months" columnCount="6" showCaption="0" style="SlicerStyleLight1 2"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82C638-96FE-48CC-93B1-AF3B2A373FEC}" name="Inventory_Data" displayName="Inventory_Data" ref="A1:Q3001" tableType="queryTable" totalsRowShown="0">
  <autoFilter ref="A1:Q3001" xr:uid="{C482C638-96FE-48CC-93B1-AF3B2A373FEC}"/>
  <tableColumns count="17">
    <tableColumn id="1" xr3:uid="{64F3604B-7049-4AFE-8C46-A372654A3A92}" uniqueName="1" name="Date" queryTableFieldId="1" dataDxfId="153"/>
    <tableColumn id="2" xr3:uid="{D4BDDE2D-7ACF-4FF7-B6D3-8EF854552E07}" uniqueName="2" name="Product" queryTableFieldId="2" dataDxfId="152"/>
    <tableColumn id="3" xr3:uid="{B3BBC4CE-0E38-482B-930D-4BAD2F9D16FD}" uniqueName="3" name="Category" queryTableFieldId="3" dataDxfId="151"/>
    <tableColumn id="4" xr3:uid="{26F84C54-3AD8-4243-B71D-488ACEA5B874}" uniqueName="4" name="Warehouse" queryTableFieldId="4" dataDxfId="150"/>
    <tableColumn id="5" xr3:uid="{2EBE5DAC-C171-4B1D-B4A8-9D3E5FE52E7E}" uniqueName="5" name="Supplier" queryTableFieldId="5" dataDxfId="149"/>
    <tableColumn id="6" xr3:uid="{76A9B1C2-F2B0-4136-811D-EE7903BE45C0}" uniqueName="6" name="Opening Stock" queryTableFieldId="6"/>
    <tableColumn id="7" xr3:uid="{C295911B-1AEE-41C0-A114-E7CAEB8735AF}" uniqueName="7" name="Purchase Qty" queryTableFieldId="7"/>
    <tableColumn id="8" xr3:uid="{40E5B131-2DE2-4752-823F-E195CA050241}" uniqueName="8" name="Sales Qty" queryTableFieldId="8"/>
    <tableColumn id="9" xr3:uid="{A9EB6C77-667F-4929-ACA8-893913B165D5}" uniqueName="9" name="Closing Stock" queryTableFieldId="9"/>
    <tableColumn id="10" xr3:uid="{F2725A02-AD4F-442B-A1A6-CE448534E62A}" uniqueName="10" name="Reorder Level" queryTableFieldId="10"/>
    <tableColumn id="11" xr3:uid="{49517F10-71B6-47BE-83FB-6D984C5095F8}" uniqueName="11" name="Unit Cost" queryTableFieldId="11"/>
    <tableColumn id="12" xr3:uid="{58DE3CF0-2F84-4EBA-BB72-1E559692A506}" uniqueName="12" name="Stock Value" queryTableFieldId="12"/>
    <tableColumn id="13" xr3:uid="{F9F69DEE-1A2D-4D82-A92F-52AD3EA5423A}" uniqueName="13" name="Stock diff" queryTableFieldId="13" dataDxfId="148">
      <calculatedColumnFormula>Inventory_Data[[#This Row],[Opening Stock]]+Inventory_Data[[#This Row],[Purchase Qty]]-Inventory_Data[[#This Row],[Sales Qty]]-Inventory_Data[[#This Row],[Closing Stock]]</calculatedColumnFormula>
    </tableColumn>
    <tableColumn id="15" xr3:uid="{C2C68C70-02FA-4913-88B2-D01E3361D876}" uniqueName="15" name="Purchased Val" queryTableFieldId="15" dataDxfId="147">
      <calculatedColumnFormula>Inventory_Data[[#This Row],[Purchase Qty]]*Inventory_Data[[#This Row],[Unit Cost]]</calculatedColumnFormula>
    </tableColumn>
    <tableColumn id="16" xr3:uid="{272D55B2-B69C-4D20-AC6B-113F58DEC2EF}" uniqueName="16" name="Stock status" queryTableFieldId="16" dataDxfId="146">
      <calculatedColumnFormula>IF(Inventory_Data[[#This Row],[Closing Stock]]&lt;=Inventory_Data[[#This Row],[Reorder Level]],"Low Stock","In Stock")</calculatedColumnFormula>
    </tableColumn>
    <tableColumn id="17" xr3:uid="{E86A86FC-860B-46ED-B225-ECABCDB580C2}" uniqueName="17" name="Months" queryTableFieldId="17" dataDxfId="145">
      <calculatedColumnFormula>TEXT(Inventory_Data[[#This Row],[Date]],"MMM")</calculatedColumnFormula>
    </tableColumn>
    <tableColumn id="18" xr3:uid="{E7B394E6-BDF1-42CE-BB58-9116304A45B9}" uniqueName="18" name="Year" queryTableFieldId="18" dataDxfId="144">
      <calculatedColumnFormula>TEXT(Inventory_Data[[#This Row],[Date]],"YYYY")</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D920-7E34-4BB5-810D-95F8BE4A1FB1}">
  <dimension ref="A1:Q3001"/>
  <sheetViews>
    <sheetView zoomScale="80" workbookViewId="0">
      <selection activeCell="C1" sqref="C1"/>
    </sheetView>
  </sheetViews>
  <sheetFormatPr defaultRowHeight="14.4" x14ac:dyDescent="0.3"/>
  <cols>
    <col min="1" max="1" width="15.5546875" style="1" customWidth="1"/>
    <col min="2" max="2" width="14.44140625" bestFit="1" customWidth="1"/>
    <col min="3" max="3" width="10.5546875" bestFit="1" customWidth="1"/>
    <col min="4" max="4" width="15.21875" bestFit="1" customWidth="1"/>
    <col min="5" max="5" width="15.5546875" bestFit="1" customWidth="1"/>
    <col min="6" max="6" width="15.33203125" bestFit="1" customWidth="1"/>
    <col min="7" max="7" width="14.109375" bestFit="1" customWidth="1"/>
    <col min="8" max="8" width="11" bestFit="1" customWidth="1"/>
    <col min="9" max="10" width="14.44140625" bestFit="1" customWidth="1"/>
    <col min="11" max="11" width="10.77734375" bestFit="1" customWidth="1"/>
    <col min="12" max="12" width="13" bestFit="1" customWidth="1"/>
    <col min="13" max="13" width="7.6640625" customWidth="1"/>
    <col min="14" max="14" width="12.6640625" customWidth="1"/>
    <col min="15" max="15" width="10.5546875" customWidth="1"/>
    <col min="16" max="16" width="10.6640625" customWidth="1"/>
    <col min="17" max="17" width="9.33203125" customWidth="1"/>
  </cols>
  <sheetData>
    <row r="1" spans="1:17" x14ac:dyDescent="0.3">
      <c r="A1" s="1" t="s">
        <v>0</v>
      </c>
      <c r="B1" t="s">
        <v>1</v>
      </c>
      <c r="C1" t="s">
        <v>2</v>
      </c>
      <c r="D1" t="s">
        <v>3</v>
      </c>
      <c r="E1" t="s">
        <v>4</v>
      </c>
      <c r="F1" t="s">
        <v>5</v>
      </c>
      <c r="G1" t="s">
        <v>6</v>
      </c>
      <c r="H1" t="s">
        <v>7</v>
      </c>
      <c r="I1" t="s">
        <v>8</v>
      </c>
      <c r="J1" t="s">
        <v>9</v>
      </c>
      <c r="K1" t="s">
        <v>10</v>
      </c>
      <c r="L1" t="s">
        <v>11</v>
      </c>
      <c r="M1" t="s">
        <v>46</v>
      </c>
      <c r="N1" t="s">
        <v>47</v>
      </c>
      <c r="O1" t="s">
        <v>48</v>
      </c>
      <c r="P1" t="s">
        <v>55</v>
      </c>
      <c r="Q1" t="s">
        <v>56</v>
      </c>
    </row>
    <row r="2" spans="1:17" x14ac:dyDescent="0.3">
      <c r="A2" s="1">
        <v>45658</v>
      </c>
      <c r="B2" t="s">
        <v>12</v>
      </c>
      <c r="C2" t="s">
        <v>13</v>
      </c>
      <c r="D2" t="s">
        <v>14</v>
      </c>
      <c r="E2" t="s">
        <v>15</v>
      </c>
      <c r="F2">
        <v>24</v>
      </c>
      <c r="G2">
        <v>76</v>
      </c>
      <c r="H2">
        <v>58</v>
      </c>
      <c r="I2">
        <v>42</v>
      </c>
      <c r="J2">
        <v>32</v>
      </c>
      <c r="K2">
        <v>4756</v>
      </c>
      <c r="L2">
        <v>199752</v>
      </c>
      <c r="M2">
        <f>Inventory_Data[[#This Row],[Opening Stock]]+Inventory_Data[[#This Row],[Purchase Qty]]-Inventory_Data[[#This Row],[Sales Qty]]-Inventory_Data[[#This Row],[Closing Stock]]</f>
        <v>0</v>
      </c>
      <c r="N2">
        <f>Inventory_Data[[#This Row],[Purchase Qty]]*Inventory_Data[[#This Row],[Unit Cost]]</f>
        <v>361456</v>
      </c>
      <c r="O2" t="str">
        <f>IF(Inventory_Data[[#This Row],[Closing Stock]]&lt;=Inventory_Data[[#This Row],[Reorder Level]],"Low Stock","In Stock")</f>
        <v>In Stock</v>
      </c>
      <c r="P2" t="str">
        <f>TEXT(Inventory_Data[[#This Row],[Date]],"MMM")</f>
        <v>Jan</v>
      </c>
      <c r="Q2" t="str">
        <f>TEXT(Inventory_Data[[#This Row],[Date]],"YYYY")</f>
        <v>2025</v>
      </c>
    </row>
    <row r="3" spans="1:17" x14ac:dyDescent="0.3">
      <c r="A3" s="1">
        <v>45658</v>
      </c>
      <c r="B3" t="s">
        <v>16</v>
      </c>
      <c r="C3" t="s">
        <v>17</v>
      </c>
      <c r="D3" t="s">
        <v>14</v>
      </c>
      <c r="E3" t="s">
        <v>18</v>
      </c>
      <c r="F3">
        <v>12</v>
      </c>
      <c r="G3">
        <v>17</v>
      </c>
      <c r="H3">
        <v>29</v>
      </c>
      <c r="I3">
        <v>0</v>
      </c>
      <c r="J3">
        <v>26</v>
      </c>
      <c r="K3">
        <v>2004</v>
      </c>
      <c r="L3">
        <v>0</v>
      </c>
      <c r="M3">
        <f>Inventory_Data[[#This Row],[Opening Stock]]+Inventory_Data[[#This Row],[Purchase Qty]]-Inventory_Data[[#This Row],[Sales Qty]]-Inventory_Data[[#This Row],[Closing Stock]]</f>
        <v>0</v>
      </c>
      <c r="N3">
        <f>Inventory_Data[[#This Row],[Purchase Qty]]*Inventory_Data[[#This Row],[Unit Cost]]</f>
        <v>34068</v>
      </c>
      <c r="O3" t="str">
        <f>IF(Inventory_Data[[#This Row],[Closing Stock]]&lt;=Inventory_Data[[#This Row],[Reorder Level]],"Low Stock","In Stock")</f>
        <v>Low Stock</v>
      </c>
      <c r="P3" t="str">
        <f>TEXT(Inventory_Data[[#This Row],[Date]],"MMM")</f>
        <v>Jan</v>
      </c>
      <c r="Q3" t="str">
        <f>TEXT(Inventory_Data[[#This Row],[Date]],"YYYY")</f>
        <v>2025</v>
      </c>
    </row>
    <row r="4" spans="1:17" x14ac:dyDescent="0.3">
      <c r="A4" s="1">
        <v>45658</v>
      </c>
      <c r="B4" t="s">
        <v>19</v>
      </c>
      <c r="C4" t="s">
        <v>13</v>
      </c>
      <c r="D4" t="s">
        <v>14</v>
      </c>
      <c r="E4" t="s">
        <v>20</v>
      </c>
      <c r="F4">
        <v>48</v>
      </c>
      <c r="G4">
        <v>66</v>
      </c>
      <c r="H4">
        <v>17</v>
      </c>
      <c r="I4">
        <v>97</v>
      </c>
      <c r="J4">
        <v>16</v>
      </c>
      <c r="K4">
        <v>16408</v>
      </c>
      <c r="L4">
        <v>1591576</v>
      </c>
      <c r="M4">
        <f>Inventory_Data[[#This Row],[Opening Stock]]+Inventory_Data[[#This Row],[Purchase Qty]]-Inventory_Data[[#This Row],[Sales Qty]]-Inventory_Data[[#This Row],[Closing Stock]]</f>
        <v>0</v>
      </c>
      <c r="N4">
        <f>Inventory_Data[[#This Row],[Purchase Qty]]*Inventory_Data[[#This Row],[Unit Cost]]</f>
        <v>1082928</v>
      </c>
      <c r="O4" t="str">
        <f>IF(Inventory_Data[[#This Row],[Closing Stock]]&lt;=Inventory_Data[[#This Row],[Reorder Level]],"Low Stock","In Stock")</f>
        <v>In Stock</v>
      </c>
      <c r="P4" t="str">
        <f>TEXT(Inventory_Data[[#This Row],[Date]],"MMM")</f>
        <v>Jan</v>
      </c>
      <c r="Q4" t="str">
        <f>TEXT(Inventory_Data[[#This Row],[Date]],"YYYY")</f>
        <v>2025</v>
      </c>
    </row>
    <row r="5" spans="1:17" x14ac:dyDescent="0.3">
      <c r="A5" s="1">
        <v>45658</v>
      </c>
      <c r="B5" t="s">
        <v>21</v>
      </c>
      <c r="C5" t="s">
        <v>22</v>
      </c>
      <c r="D5" t="s">
        <v>23</v>
      </c>
      <c r="E5" t="s">
        <v>24</v>
      </c>
      <c r="F5">
        <v>268</v>
      </c>
      <c r="G5">
        <v>259</v>
      </c>
      <c r="H5">
        <v>181</v>
      </c>
      <c r="I5">
        <v>346</v>
      </c>
      <c r="J5">
        <v>90</v>
      </c>
      <c r="K5">
        <v>1130</v>
      </c>
      <c r="L5">
        <v>390980</v>
      </c>
      <c r="M5">
        <f>Inventory_Data[[#This Row],[Opening Stock]]+Inventory_Data[[#This Row],[Purchase Qty]]-Inventory_Data[[#This Row],[Sales Qty]]-Inventory_Data[[#This Row],[Closing Stock]]</f>
        <v>0</v>
      </c>
      <c r="N5">
        <f>Inventory_Data[[#This Row],[Purchase Qty]]*Inventory_Data[[#This Row],[Unit Cost]]</f>
        <v>292670</v>
      </c>
      <c r="O5" t="str">
        <f>IF(Inventory_Data[[#This Row],[Closing Stock]]&lt;=Inventory_Data[[#This Row],[Reorder Level]],"Low Stock","In Stock")</f>
        <v>In Stock</v>
      </c>
      <c r="P5" t="str">
        <f>TEXT(Inventory_Data[[#This Row],[Date]],"MMM")</f>
        <v>Jan</v>
      </c>
      <c r="Q5" t="str">
        <f>TEXT(Inventory_Data[[#This Row],[Date]],"YYYY")</f>
        <v>2025</v>
      </c>
    </row>
    <row r="6" spans="1:17" x14ac:dyDescent="0.3">
      <c r="A6" s="1">
        <v>45658</v>
      </c>
      <c r="B6" t="s">
        <v>25</v>
      </c>
      <c r="C6" t="s">
        <v>17</v>
      </c>
      <c r="D6" t="s">
        <v>23</v>
      </c>
      <c r="E6" t="s">
        <v>24</v>
      </c>
      <c r="F6">
        <v>71</v>
      </c>
      <c r="G6">
        <v>16</v>
      </c>
      <c r="H6">
        <v>39</v>
      </c>
      <c r="I6">
        <v>48</v>
      </c>
      <c r="J6">
        <v>22</v>
      </c>
      <c r="K6">
        <v>22455</v>
      </c>
      <c r="L6">
        <v>1077840</v>
      </c>
      <c r="M6">
        <f>Inventory_Data[[#This Row],[Opening Stock]]+Inventory_Data[[#This Row],[Purchase Qty]]-Inventory_Data[[#This Row],[Sales Qty]]-Inventory_Data[[#This Row],[Closing Stock]]</f>
        <v>0</v>
      </c>
      <c r="N6">
        <f>Inventory_Data[[#This Row],[Purchase Qty]]*Inventory_Data[[#This Row],[Unit Cost]]</f>
        <v>359280</v>
      </c>
      <c r="O6" t="str">
        <f>IF(Inventory_Data[[#This Row],[Closing Stock]]&lt;=Inventory_Data[[#This Row],[Reorder Level]],"Low Stock","In Stock")</f>
        <v>In Stock</v>
      </c>
      <c r="P6" t="str">
        <f>TEXT(Inventory_Data[[#This Row],[Date]],"MMM")</f>
        <v>Jan</v>
      </c>
      <c r="Q6" t="str">
        <f>TEXT(Inventory_Data[[#This Row],[Date]],"YYYY")</f>
        <v>2025</v>
      </c>
    </row>
    <row r="7" spans="1:17" x14ac:dyDescent="0.3">
      <c r="A7" s="1">
        <v>45658</v>
      </c>
      <c r="B7" t="s">
        <v>19</v>
      </c>
      <c r="C7" t="s">
        <v>13</v>
      </c>
      <c r="D7" t="s">
        <v>26</v>
      </c>
      <c r="E7" t="s">
        <v>15</v>
      </c>
      <c r="F7">
        <v>19</v>
      </c>
      <c r="G7">
        <v>67</v>
      </c>
      <c r="H7">
        <v>37</v>
      </c>
      <c r="I7">
        <v>49</v>
      </c>
      <c r="J7">
        <v>28</v>
      </c>
      <c r="K7">
        <v>12284</v>
      </c>
      <c r="L7">
        <v>601916</v>
      </c>
      <c r="M7">
        <f>Inventory_Data[[#This Row],[Opening Stock]]+Inventory_Data[[#This Row],[Purchase Qty]]-Inventory_Data[[#This Row],[Sales Qty]]-Inventory_Data[[#This Row],[Closing Stock]]</f>
        <v>0</v>
      </c>
      <c r="N7">
        <f>Inventory_Data[[#This Row],[Purchase Qty]]*Inventory_Data[[#This Row],[Unit Cost]]</f>
        <v>823028</v>
      </c>
      <c r="O7" t="str">
        <f>IF(Inventory_Data[[#This Row],[Closing Stock]]&lt;=Inventory_Data[[#This Row],[Reorder Level]],"Low Stock","In Stock")</f>
        <v>In Stock</v>
      </c>
      <c r="P7" t="str">
        <f>TEXT(Inventory_Data[[#This Row],[Date]],"MMM")</f>
        <v>Jan</v>
      </c>
      <c r="Q7" t="str">
        <f>TEXT(Inventory_Data[[#This Row],[Date]],"YYYY")</f>
        <v>2025</v>
      </c>
    </row>
    <row r="8" spans="1:17" x14ac:dyDescent="0.3">
      <c r="A8" s="1">
        <v>45658</v>
      </c>
      <c r="B8" t="s">
        <v>27</v>
      </c>
      <c r="C8" t="s">
        <v>28</v>
      </c>
      <c r="D8" t="s">
        <v>23</v>
      </c>
      <c r="E8" t="s">
        <v>29</v>
      </c>
      <c r="F8">
        <v>42</v>
      </c>
      <c r="G8">
        <v>73</v>
      </c>
      <c r="H8">
        <v>32</v>
      </c>
      <c r="I8">
        <v>83</v>
      </c>
      <c r="J8">
        <v>23</v>
      </c>
      <c r="K8">
        <v>50447</v>
      </c>
      <c r="L8">
        <v>4187101</v>
      </c>
      <c r="M8">
        <f>Inventory_Data[[#This Row],[Opening Stock]]+Inventory_Data[[#This Row],[Purchase Qty]]-Inventory_Data[[#This Row],[Sales Qty]]-Inventory_Data[[#This Row],[Closing Stock]]</f>
        <v>0</v>
      </c>
      <c r="N8">
        <f>Inventory_Data[[#This Row],[Purchase Qty]]*Inventory_Data[[#This Row],[Unit Cost]]</f>
        <v>3682631</v>
      </c>
      <c r="O8" t="str">
        <f>IF(Inventory_Data[[#This Row],[Closing Stock]]&lt;=Inventory_Data[[#This Row],[Reorder Level]],"Low Stock","In Stock")</f>
        <v>In Stock</v>
      </c>
      <c r="P8" t="str">
        <f>TEXT(Inventory_Data[[#This Row],[Date]],"MMM")</f>
        <v>Jan</v>
      </c>
      <c r="Q8" t="str">
        <f>TEXT(Inventory_Data[[#This Row],[Date]],"YYYY")</f>
        <v>2025</v>
      </c>
    </row>
    <row r="9" spans="1:17" x14ac:dyDescent="0.3">
      <c r="A9" s="1">
        <v>45658</v>
      </c>
      <c r="B9" t="s">
        <v>21</v>
      </c>
      <c r="C9" t="s">
        <v>22</v>
      </c>
      <c r="D9" t="s">
        <v>14</v>
      </c>
      <c r="E9" t="s">
        <v>15</v>
      </c>
      <c r="F9">
        <v>210</v>
      </c>
      <c r="G9">
        <v>273</v>
      </c>
      <c r="H9">
        <v>260</v>
      </c>
      <c r="I9">
        <v>223</v>
      </c>
      <c r="J9">
        <v>113</v>
      </c>
      <c r="K9">
        <v>898</v>
      </c>
      <c r="L9">
        <v>200254</v>
      </c>
      <c r="M9">
        <f>Inventory_Data[[#This Row],[Opening Stock]]+Inventory_Data[[#This Row],[Purchase Qty]]-Inventory_Data[[#This Row],[Sales Qty]]-Inventory_Data[[#This Row],[Closing Stock]]</f>
        <v>0</v>
      </c>
      <c r="N9">
        <f>Inventory_Data[[#This Row],[Purchase Qty]]*Inventory_Data[[#This Row],[Unit Cost]]</f>
        <v>245154</v>
      </c>
      <c r="O9" t="str">
        <f>IF(Inventory_Data[[#This Row],[Closing Stock]]&lt;=Inventory_Data[[#This Row],[Reorder Level]],"Low Stock","In Stock")</f>
        <v>In Stock</v>
      </c>
      <c r="P9" t="str">
        <f>TEXT(Inventory_Data[[#This Row],[Date]],"MMM")</f>
        <v>Jan</v>
      </c>
      <c r="Q9" t="str">
        <f>TEXT(Inventory_Data[[#This Row],[Date]],"YYYY")</f>
        <v>2025</v>
      </c>
    </row>
    <row r="10" spans="1:17" x14ac:dyDescent="0.3">
      <c r="A10" s="1">
        <v>45658</v>
      </c>
      <c r="B10" t="s">
        <v>25</v>
      </c>
      <c r="C10" t="s">
        <v>17</v>
      </c>
      <c r="D10" t="s">
        <v>23</v>
      </c>
      <c r="E10" t="s">
        <v>15</v>
      </c>
      <c r="F10">
        <v>81</v>
      </c>
      <c r="G10">
        <v>52</v>
      </c>
      <c r="H10">
        <v>14</v>
      </c>
      <c r="I10">
        <v>119</v>
      </c>
      <c r="J10">
        <v>21</v>
      </c>
      <c r="K10">
        <v>24080</v>
      </c>
      <c r="L10">
        <v>2865520</v>
      </c>
      <c r="M10">
        <f>Inventory_Data[[#This Row],[Opening Stock]]+Inventory_Data[[#This Row],[Purchase Qty]]-Inventory_Data[[#This Row],[Sales Qty]]-Inventory_Data[[#This Row],[Closing Stock]]</f>
        <v>0</v>
      </c>
      <c r="N10">
        <f>Inventory_Data[[#This Row],[Purchase Qty]]*Inventory_Data[[#This Row],[Unit Cost]]</f>
        <v>1252160</v>
      </c>
      <c r="O10" t="str">
        <f>IF(Inventory_Data[[#This Row],[Closing Stock]]&lt;=Inventory_Data[[#This Row],[Reorder Level]],"Low Stock","In Stock")</f>
        <v>In Stock</v>
      </c>
      <c r="P10" t="str">
        <f>TEXT(Inventory_Data[[#This Row],[Date]],"MMM")</f>
        <v>Jan</v>
      </c>
      <c r="Q10" t="str">
        <f>TEXT(Inventory_Data[[#This Row],[Date]],"YYYY")</f>
        <v>2025</v>
      </c>
    </row>
    <row r="11" spans="1:17" x14ac:dyDescent="0.3">
      <c r="A11" s="1">
        <v>45658</v>
      </c>
      <c r="B11" t="s">
        <v>16</v>
      </c>
      <c r="C11" t="s">
        <v>17</v>
      </c>
      <c r="D11" t="s">
        <v>14</v>
      </c>
      <c r="E11" t="s">
        <v>29</v>
      </c>
      <c r="F11">
        <v>28</v>
      </c>
      <c r="G11">
        <v>35</v>
      </c>
      <c r="H11">
        <v>17</v>
      </c>
      <c r="I11">
        <v>46</v>
      </c>
      <c r="J11">
        <v>25</v>
      </c>
      <c r="K11">
        <v>15465</v>
      </c>
      <c r="L11">
        <v>711390</v>
      </c>
      <c r="M11">
        <f>Inventory_Data[[#This Row],[Opening Stock]]+Inventory_Data[[#This Row],[Purchase Qty]]-Inventory_Data[[#This Row],[Sales Qty]]-Inventory_Data[[#This Row],[Closing Stock]]</f>
        <v>0</v>
      </c>
      <c r="N11">
        <f>Inventory_Data[[#This Row],[Purchase Qty]]*Inventory_Data[[#This Row],[Unit Cost]]</f>
        <v>541275</v>
      </c>
      <c r="O11" t="str">
        <f>IF(Inventory_Data[[#This Row],[Closing Stock]]&lt;=Inventory_Data[[#This Row],[Reorder Level]],"Low Stock","In Stock")</f>
        <v>In Stock</v>
      </c>
      <c r="P11" t="str">
        <f>TEXT(Inventory_Data[[#This Row],[Date]],"MMM")</f>
        <v>Jan</v>
      </c>
      <c r="Q11" t="str">
        <f>TEXT(Inventory_Data[[#This Row],[Date]],"YYYY")</f>
        <v>2025</v>
      </c>
    </row>
    <row r="12" spans="1:17" x14ac:dyDescent="0.3">
      <c r="A12" s="1">
        <v>45659</v>
      </c>
      <c r="B12" t="s">
        <v>30</v>
      </c>
      <c r="C12" t="s">
        <v>28</v>
      </c>
      <c r="D12" t="s">
        <v>26</v>
      </c>
      <c r="E12" t="s">
        <v>15</v>
      </c>
      <c r="F12">
        <v>169</v>
      </c>
      <c r="G12">
        <v>80</v>
      </c>
      <c r="H12">
        <v>8</v>
      </c>
      <c r="I12">
        <v>241</v>
      </c>
      <c r="J12">
        <v>57</v>
      </c>
      <c r="K12">
        <v>30992</v>
      </c>
      <c r="L12">
        <v>7469072</v>
      </c>
      <c r="M12">
        <f>Inventory_Data[[#This Row],[Opening Stock]]+Inventory_Data[[#This Row],[Purchase Qty]]-Inventory_Data[[#This Row],[Sales Qty]]-Inventory_Data[[#This Row],[Closing Stock]]</f>
        <v>0</v>
      </c>
      <c r="N12">
        <f>Inventory_Data[[#This Row],[Purchase Qty]]*Inventory_Data[[#This Row],[Unit Cost]]</f>
        <v>2479360</v>
      </c>
      <c r="O12" t="str">
        <f>IF(Inventory_Data[[#This Row],[Closing Stock]]&lt;=Inventory_Data[[#This Row],[Reorder Level]],"Low Stock","In Stock")</f>
        <v>In Stock</v>
      </c>
      <c r="P12" t="str">
        <f>TEXT(Inventory_Data[[#This Row],[Date]],"MMM")</f>
        <v>Jan</v>
      </c>
      <c r="Q12" t="str">
        <f>TEXT(Inventory_Data[[#This Row],[Date]],"YYYY")</f>
        <v>2025</v>
      </c>
    </row>
    <row r="13" spans="1:17" x14ac:dyDescent="0.3">
      <c r="A13" s="1">
        <v>45659</v>
      </c>
      <c r="B13" t="s">
        <v>31</v>
      </c>
      <c r="C13" t="s">
        <v>22</v>
      </c>
      <c r="D13" t="s">
        <v>26</v>
      </c>
      <c r="E13" t="s">
        <v>24</v>
      </c>
      <c r="F13">
        <v>59</v>
      </c>
      <c r="G13">
        <v>154</v>
      </c>
      <c r="H13">
        <v>90</v>
      </c>
      <c r="I13">
        <v>123</v>
      </c>
      <c r="J13">
        <v>61</v>
      </c>
      <c r="K13">
        <v>504</v>
      </c>
      <c r="L13">
        <v>61992</v>
      </c>
      <c r="M13">
        <f>Inventory_Data[[#This Row],[Opening Stock]]+Inventory_Data[[#This Row],[Purchase Qty]]-Inventory_Data[[#This Row],[Sales Qty]]-Inventory_Data[[#This Row],[Closing Stock]]</f>
        <v>0</v>
      </c>
      <c r="N13">
        <f>Inventory_Data[[#This Row],[Purchase Qty]]*Inventory_Data[[#This Row],[Unit Cost]]</f>
        <v>77616</v>
      </c>
      <c r="O13" t="str">
        <f>IF(Inventory_Data[[#This Row],[Closing Stock]]&lt;=Inventory_Data[[#This Row],[Reorder Level]],"Low Stock","In Stock")</f>
        <v>In Stock</v>
      </c>
      <c r="P13" t="str">
        <f>TEXT(Inventory_Data[[#This Row],[Date]],"MMM")</f>
        <v>Jan</v>
      </c>
      <c r="Q13" t="str">
        <f>TEXT(Inventory_Data[[#This Row],[Date]],"YYYY")</f>
        <v>2025</v>
      </c>
    </row>
    <row r="14" spans="1:17" x14ac:dyDescent="0.3">
      <c r="A14" s="1">
        <v>45659</v>
      </c>
      <c r="B14" t="s">
        <v>32</v>
      </c>
      <c r="C14" t="s">
        <v>28</v>
      </c>
      <c r="D14" t="s">
        <v>23</v>
      </c>
      <c r="E14" t="s">
        <v>20</v>
      </c>
      <c r="F14">
        <v>132</v>
      </c>
      <c r="G14">
        <v>59</v>
      </c>
      <c r="H14">
        <v>69</v>
      </c>
      <c r="I14">
        <v>122</v>
      </c>
      <c r="J14">
        <v>39</v>
      </c>
      <c r="K14">
        <v>16267</v>
      </c>
      <c r="L14">
        <v>1984574</v>
      </c>
      <c r="M14">
        <f>Inventory_Data[[#This Row],[Opening Stock]]+Inventory_Data[[#This Row],[Purchase Qty]]-Inventory_Data[[#This Row],[Sales Qty]]-Inventory_Data[[#This Row],[Closing Stock]]</f>
        <v>0</v>
      </c>
      <c r="N14">
        <f>Inventory_Data[[#This Row],[Purchase Qty]]*Inventory_Data[[#This Row],[Unit Cost]]</f>
        <v>959753</v>
      </c>
      <c r="O14" t="str">
        <f>IF(Inventory_Data[[#This Row],[Closing Stock]]&lt;=Inventory_Data[[#This Row],[Reorder Level]],"Low Stock","In Stock")</f>
        <v>In Stock</v>
      </c>
      <c r="P14" t="str">
        <f>TEXT(Inventory_Data[[#This Row],[Date]],"MMM")</f>
        <v>Jan</v>
      </c>
      <c r="Q14" t="str">
        <f>TEXT(Inventory_Data[[#This Row],[Date]],"YYYY")</f>
        <v>2025</v>
      </c>
    </row>
    <row r="15" spans="1:17" x14ac:dyDescent="0.3">
      <c r="A15" s="1">
        <v>45659</v>
      </c>
      <c r="B15" t="s">
        <v>33</v>
      </c>
      <c r="C15" t="s">
        <v>13</v>
      </c>
      <c r="D15" t="s">
        <v>23</v>
      </c>
      <c r="E15" t="s">
        <v>15</v>
      </c>
      <c r="F15">
        <v>20</v>
      </c>
      <c r="G15">
        <v>58</v>
      </c>
      <c r="H15">
        <v>44</v>
      </c>
      <c r="I15">
        <v>34</v>
      </c>
      <c r="J15">
        <v>32</v>
      </c>
      <c r="K15">
        <v>8689</v>
      </c>
      <c r="L15">
        <v>295426</v>
      </c>
      <c r="M15">
        <f>Inventory_Data[[#This Row],[Opening Stock]]+Inventory_Data[[#This Row],[Purchase Qty]]-Inventory_Data[[#This Row],[Sales Qty]]-Inventory_Data[[#This Row],[Closing Stock]]</f>
        <v>0</v>
      </c>
      <c r="N15">
        <f>Inventory_Data[[#This Row],[Purchase Qty]]*Inventory_Data[[#This Row],[Unit Cost]]</f>
        <v>503962</v>
      </c>
      <c r="O15" t="str">
        <f>IF(Inventory_Data[[#This Row],[Closing Stock]]&lt;=Inventory_Data[[#This Row],[Reorder Level]],"Low Stock","In Stock")</f>
        <v>In Stock</v>
      </c>
      <c r="P15" t="str">
        <f>TEXT(Inventory_Data[[#This Row],[Date]],"MMM")</f>
        <v>Jan</v>
      </c>
      <c r="Q15" t="str">
        <f>TEXT(Inventory_Data[[#This Row],[Date]],"YYYY")</f>
        <v>2025</v>
      </c>
    </row>
    <row r="16" spans="1:17" x14ac:dyDescent="0.3">
      <c r="A16" s="1">
        <v>45659</v>
      </c>
      <c r="B16" t="s">
        <v>21</v>
      </c>
      <c r="C16" t="s">
        <v>22</v>
      </c>
      <c r="D16" t="s">
        <v>23</v>
      </c>
      <c r="E16" t="s">
        <v>34</v>
      </c>
      <c r="F16">
        <v>261</v>
      </c>
      <c r="G16">
        <v>97</v>
      </c>
      <c r="H16">
        <v>137</v>
      </c>
      <c r="I16">
        <v>221</v>
      </c>
      <c r="J16">
        <v>73</v>
      </c>
      <c r="K16">
        <v>352</v>
      </c>
      <c r="L16">
        <v>77792</v>
      </c>
      <c r="M16">
        <f>Inventory_Data[[#This Row],[Opening Stock]]+Inventory_Data[[#This Row],[Purchase Qty]]-Inventory_Data[[#This Row],[Sales Qty]]-Inventory_Data[[#This Row],[Closing Stock]]</f>
        <v>0</v>
      </c>
      <c r="N16">
        <f>Inventory_Data[[#This Row],[Purchase Qty]]*Inventory_Data[[#This Row],[Unit Cost]]</f>
        <v>34144</v>
      </c>
      <c r="O16" t="str">
        <f>IF(Inventory_Data[[#This Row],[Closing Stock]]&lt;=Inventory_Data[[#This Row],[Reorder Level]],"Low Stock","In Stock")</f>
        <v>In Stock</v>
      </c>
      <c r="P16" t="str">
        <f>TEXT(Inventory_Data[[#This Row],[Date]],"MMM")</f>
        <v>Jan</v>
      </c>
      <c r="Q16" t="str">
        <f>TEXT(Inventory_Data[[#This Row],[Date]],"YYYY")</f>
        <v>2025</v>
      </c>
    </row>
    <row r="17" spans="1:17" x14ac:dyDescent="0.3">
      <c r="A17" s="1">
        <v>45660</v>
      </c>
      <c r="B17" t="s">
        <v>35</v>
      </c>
      <c r="C17" t="s">
        <v>22</v>
      </c>
      <c r="D17" t="s">
        <v>23</v>
      </c>
      <c r="E17" t="s">
        <v>20</v>
      </c>
      <c r="F17">
        <v>62</v>
      </c>
      <c r="G17">
        <v>191</v>
      </c>
      <c r="H17">
        <v>253</v>
      </c>
      <c r="I17">
        <v>0</v>
      </c>
      <c r="J17">
        <v>58</v>
      </c>
      <c r="K17">
        <v>102</v>
      </c>
      <c r="L17">
        <v>0</v>
      </c>
      <c r="M17">
        <f>Inventory_Data[[#This Row],[Opening Stock]]+Inventory_Data[[#This Row],[Purchase Qty]]-Inventory_Data[[#This Row],[Sales Qty]]-Inventory_Data[[#This Row],[Closing Stock]]</f>
        <v>0</v>
      </c>
      <c r="N17">
        <f>Inventory_Data[[#This Row],[Purchase Qty]]*Inventory_Data[[#This Row],[Unit Cost]]</f>
        <v>19482</v>
      </c>
      <c r="O17" t="str">
        <f>IF(Inventory_Data[[#This Row],[Closing Stock]]&lt;=Inventory_Data[[#This Row],[Reorder Level]],"Low Stock","In Stock")</f>
        <v>Low Stock</v>
      </c>
      <c r="P17" t="str">
        <f>TEXT(Inventory_Data[[#This Row],[Date]],"MMM")</f>
        <v>Jan</v>
      </c>
      <c r="Q17" t="str">
        <f>TEXT(Inventory_Data[[#This Row],[Date]],"YYYY")</f>
        <v>2025</v>
      </c>
    </row>
    <row r="18" spans="1:17" x14ac:dyDescent="0.3">
      <c r="A18" s="1">
        <v>45660</v>
      </c>
      <c r="B18" t="s">
        <v>27</v>
      </c>
      <c r="C18" t="s">
        <v>28</v>
      </c>
      <c r="D18" t="s">
        <v>23</v>
      </c>
      <c r="E18" t="s">
        <v>24</v>
      </c>
      <c r="F18">
        <v>82</v>
      </c>
      <c r="G18">
        <v>117</v>
      </c>
      <c r="H18">
        <v>68</v>
      </c>
      <c r="I18">
        <v>131</v>
      </c>
      <c r="J18">
        <v>56</v>
      </c>
      <c r="K18">
        <v>25309</v>
      </c>
      <c r="L18">
        <v>3315479</v>
      </c>
      <c r="M18">
        <f>Inventory_Data[[#This Row],[Opening Stock]]+Inventory_Data[[#This Row],[Purchase Qty]]-Inventory_Data[[#This Row],[Sales Qty]]-Inventory_Data[[#This Row],[Closing Stock]]</f>
        <v>0</v>
      </c>
      <c r="N18">
        <f>Inventory_Data[[#This Row],[Purchase Qty]]*Inventory_Data[[#This Row],[Unit Cost]]</f>
        <v>2961153</v>
      </c>
      <c r="O18" t="str">
        <f>IF(Inventory_Data[[#This Row],[Closing Stock]]&lt;=Inventory_Data[[#This Row],[Reorder Level]],"Low Stock","In Stock")</f>
        <v>In Stock</v>
      </c>
      <c r="P18" t="str">
        <f>TEXT(Inventory_Data[[#This Row],[Date]],"MMM")</f>
        <v>Jan</v>
      </c>
      <c r="Q18" t="str">
        <f>TEXT(Inventory_Data[[#This Row],[Date]],"YYYY")</f>
        <v>2025</v>
      </c>
    </row>
    <row r="19" spans="1:17" x14ac:dyDescent="0.3">
      <c r="A19" s="1">
        <v>45660</v>
      </c>
      <c r="B19" t="s">
        <v>36</v>
      </c>
      <c r="C19" t="s">
        <v>22</v>
      </c>
      <c r="D19" t="s">
        <v>37</v>
      </c>
      <c r="E19" t="s">
        <v>29</v>
      </c>
      <c r="F19">
        <v>134</v>
      </c>
      <c r="G19">
        <v>146</v>
      </c>
      <c r="H19">
        <v>230</v>
      </c>
      <c r="I19">
        <v>50</v>
      </c>
      <c r="J19">
        <v>74</v>
      </c>
      <c r="K19">
        <v>1197</v>
      </c>
      <c r="L19">
        <v>59850</v>
      </c>
      <c r="M19">
        <f>Inventory_Data[[#This Row],[Opening Stock]]+Inventory_Data[[#This Row],[Purchase Qty]]-Inventory_Data[[#This Row],[Sales Qty]]-Inventory_Data[[#This Row],[Closing Stock]]</f>
        <v>0</v>
      </c>
      <c r="N19">
        <f>Inventory_Data[[#This Row],[Purchase Qty]]*Inventory_Data[[#This Row],[Unit Cost]]</f>
        <v>174762</v>
      </c>
      <c r="O19" t="str">
        <f>IF(Inventory_Data[[#This Row],[Closing Stock]]&lt;=Inventory_Data[[#This Row],[Reorder Level]],"Low Stock","In Stock")</f>
        <v>Low Stock</v>
      </c>
      <c r="P19" t="str">
        <f>TEXT(Inventory_Data[[#This Row],[Date]],"MMM")</f>
        <v>Jan</v>
      </c>
      <c r="Q19" t="str">
        <f>TEXT(Inventory_Data[[#This Row],[Date]],"YYYY")</f>
        <v>2025</v>
      </c>
    </row>
    <row r="20" spans="1:17" x14ac:dyDescent="0.3">
      <c r="A20" s="1">
        <v>45660</v>
      </c>
      <c r="B20" t="s">
        <v>38</v>
      </c>
      <c r="C20" t="s">
        <v>17</v>
      </c>
      <c r="D20" t="s">
        <v>23</v>
      </c>
      <c r="E20" t="s">
        <v>29</v>
      </c>
      <c r="F20">
        <v>73</v>
      </c>
      <c r="G20">
        <v>33</v>
      </c>
      <c r="H20">
        <v>12</v>
      </c>
      <c r="I20">
        <v>94</v>
      </c>
      <c r="J20">
        <v>15</v>
      </c>
      <c r="K20">
        <v>7740</v>
      </c>
      <c r="L20">
        <v>727560</v>
      </c>
      <c r="M20">
        <f>Inventory_Data[[#This Row],[Opening Stock]]+Inventory_Data[[#This Row],[Purchase Qty]]-Inventory_Data[[#This Row],[Sales Qty]]-Inventory_Data[[#This Row],[Closing Stock]]</f>
        <v>0</v>
      </c>
      <c r="N20">
        <f>Inventory_Data[[#This Row],[Purchase Qty]]*Inventory_Data[[#This Row],[Unit Cost]]</f>
        <v>255420</v>
      </c>
      <c r="O20" t="str">
        <f>IF(Inventory_Data[[#This Row],[Closing Stock]]&lt;=Inventory_Data[[#This Row],[Reorder Level]],"Low Stock","In Stock")</f>
        <v>In Stock</v>
      </c>
      <c r="P20" t="str">
        <f>TEXT(Inventory_Data[[#This Row],[Date]],"MMM")</f>
        <v>Jan</v>
      </c>
      <c r="Q20" t="str">
        <f>TEXT(Inventory_Data[[#This Row],[Date]],"YYYY")</f>
        <v>2025</v>
      </c>
    </row>
    <row r="21" spans="1:17" x14ac:dyDescent="0.3">
      <c r="A21" s="1">
        <v>45661</v>
      </c>
      <c r="B21" t="s">
        <v>25</v>
      </c>
      <c r="C21" t="s">
        <v>17</v>
      </c>
      <c r="D21" t="s">
        <v>23</v>
      </c>
      <c r="E21" t="s">
        <v>29</v>
      </c>
      <c r="F21">
        <v>27</v>
      </c>
      <c r="G21">
        <v>20</v>
      </c>
      <c r="H21">
        <v>41</v>
      </c>
      <c r="I21">
        <v>6</v>
      </c>
      <c r="J21">
        <v>21</v>
      </c>
      <c r="K21">
        <v>8948</v>
      </c>
      <c r="L21">
        <v>53688</v>
      </c>
      <c r="M21">
        <f>Inventory_Data[[#This Row],[Opening Stock]]+Inventory_Data[[#This Row],[Purchase Qty]]-Inventory_Data[[#This Row],[Sales Qty]]-Inventory_Data[[#This Row],[Closing Stock]]</f>
        <v>0</v>
      </c>
      <c r="N21">
        <f>Inventory_Data[[#This Row],[Purchase Qty]]*Inventory_Data[[#This Row],[Unit Cost]]</f>
        <v>178960</v>
      </c>
      <c r="O21" t="str">
        <f>IF(Inventory_Data[[#This Row],[Closing Stock]]&lt;=Inventory_Data[[#This Row],[Reorder Level]],"Low Stock","In Stock")</f>
        <v>Low Stock</v>
      </c>
      <c r="P21" t="str">
        <f>TEXT(Inventory_Data[[#This Row],[Date]],"MMM")</f>
        <v>Jan</v>
      </c>
      <c r="Q21" t="str">
        <f>TEXT(Inventory_Data[[#This Row],[Date]],"YYYY")</f>
        <v>2025</v>
      </c>
    </row>
    <row r="22" spans="1:17" x14ac:dyDescent="0.3">
      <c r="A22" s="1">
        <v>45661</v>
      </c>
      <c r="B22" t="s">
        <v>39</v>
      </c>
      <c r="C22" t="s">
        <v>28</v>
      </c>
      <c r="D22" t="s">
        <v>14</v>
      </c>
      <c r="E22" t="s">
        <v>34</v>
      </c>
      <c r="F22">
        <v>86</v>
      </c>
      <c r="G22">
        <v>43</v>
      </c>
      <c r="H22">
        <v>61</v>
      </c>
      <c r="I22">
        <v>68</v>
      </c>
      <c r="J22">
        <v>42</v>
      </c>
      <c r="K22">
        <v>27856</v>
      </c>
      <c r="L22">
        <v>1894208</v>
      </c>
      <c r="M22">
        <f>Inventory_Data[[#This Row],[Opening Stock]]+Inventory_Data[[#This Row],[Purchase Qty]]-Inventory_Data[[#This Row],[Sales Qty]]-Inventory_Data[[#This Row],[Closing Stock]]</f>
        <v>0</v>
      </c>
      <c r="N22">
        <f>Inventory_Data[[#This Row],[Purchase Qty]]*Inventory_Data[[#This Row],[Unit Cost]]</f>
        <v>1197808</v>
      </c>
      <c r="O22" t="str">
        <f>IF(Inventory_Data[[#This Row],[Closing Stock]]&lt;=Inventory_Data[[#This Row],[Reorder Level]],"Low Stock","In Stock")</f>
        <v>In Stock</v>
      </c>
      <c r="P22" t="str">
        <f>TEXT(Inventory_Data[[#This Row],[Date]],"MMM")</f>
        <v>Jan</v>
      </c>
      <c r="Q22" t="str">
        <f>TEXT(Inventory_Data[[#This Row],[Date]],"YYYY")</f>
        <v>2025</v>
      </c>
    </row>
    <row r="23" spans="1:17" x14ac:dyDescent="0.3">
      <c r="A23" s="1">
        <v>45661</v>
      </c>
      <c r="B23" t="s">
        <v>38</v>
      </c>
      <c r="C23" t="s">
        <v>17</v>
      </c>
      <c r="D23" t="s">
        <v>14</v>
      </c>
      <c r="E23" t="s">
        <v>34</v>
      </c>
      <c r="F23">
        <v>19</v>
      </c>
      <c r="G23">
        <v>43</v>
      </c>
      <c r="H23">
        <v>25</v>
      </c>
      <c r="I23">
        <v>37</v>
      </c>
      <c r="J23">
        <v>29</v>
      </c>
      <c r="K23">
        <v>23532</v>
      </c>
      <c r="L23">
        <v>870684</v>
      </c>
      <c r="M23">
        <f>Inventory_Data[[#This Row],[Opening Stock]]+Inventory_Data[[#This Row],[Purchase Qty]]-Inventory_Data[[#This Row],[Sales Qty]]-Inventory_Data[[#This Row],[Closing Stock]]</f>
        <v>0</v>
      </c>
      <c r="N23">
        <f>Inventory_Data[[#This Row],[Purchase Qty]]*Inventory_Data[[#This Row],[Unit Cost]]</f>
        <v>1011876</v>
      </c>
      <c r="O23" t="str">
        <f>IF(Inventory_Data[[#This Row],[Closing Stock]]&lt;=Inventory_Data[[#This Row],[Reorder Level]],"Low Stock","In Stock")</f>
        <v>In Stock</v>
      </c>
      <c r="P23" t="str">
        <f>TEXT(Inventory_Data[[#This Row],[Date]],"MMM")</f>
        <v>Jan</v>
      </c>
      <c r="Q23" t="str">
        <f>TEXT(Inventory_Data[[#This Row],[Date]],"YYYY")</f>
        <v>2025</v>
      </c>
    </row>
    <row r="24" spans="1:17" x14ac:dyDescent="0.3">
      <c r="A24" s="1">
        <v>45661</v>
      </c>
      <c r="B24" t="s">
        <v>31</v>
      </c>
      <c r="C24" t="s">
        <v>22</v>
      </c>
      <c r="D24" t="s">
        <v>23</v>
      </c>
      <c r="E24" t="s">
        <v>29</v>
      </c>
      <c r="F24">
        <v>216</v>
      </c>
      <c r="G24">
        <v>233</v>
      </c>
      <c r="H24">
        <v>203</v>
      </c>
      <c r="I24">
        <v>246</v>
      </c>
      <c r="J24">
        <v>127</v>
      </c>
      <c r="K24">
        <v>254</v>
      </c>
      <c r="L24">
        <v>62484</v>
      </c>
      <c r="M24">
        <f>Inventory_Data[[#This Row],[Opening Stock]]+Inventory_Data[[#This Row],[Purchase Qty]]-Inventory_Data[[#This Row],[Sales Qty]]-Inventory_Data[[#This Row],[Closing Stock]]</f>
        <v>0</v>
      </c>
      <c r="N24">
        <f>Inventory_Data[[#This Row],[Purchase Qty]]*Inventory_Data[[#This Row],[Unit Cost]]</f>
        <v>59182</v>
      </c>
      <c r="O24" t="str">
        <f>IF(Inventory_Data[[#This Row],[Closing Stock]]&lt;=Inventory_Data[[#This Row],[Reorder Level]],"Low Stock","In Stock")</f>
        <v>In Stock</v>
      </c>
      <c r="P24" t="str">
        <f>TEXT(Inventory_Data[[#This Row],[Date]],"MMM")</f>
        <v>Jan</v>
      </c>
      <c r="Q24" t="str">
        <f>TEXT(Inventory_Data[[#This Row],[Date]],"YYYY")</f>
        <v>2025</v>
      </c>
    </row>
    <row r="25" spans="1:17" x14ac:dyDescent="0.3">
      <c r="A25" s="1">
        <v>45661</v>
      </c>
      <c r="B25" t="s">
        <v>12</v>
      </c>
      <c r="C25" t="s">
        <v>13</v>
      </c>
      <c r="D25" t="s">
        <v>23</v>
      </c>
      <c r="E25" t="s">
        <v>15</v>
      </c>
      <c r="F25">
        <v>37</v>
      </c>
      <c r="G25">
        <v>29</v>
      </c>
      <c r="H25">
        <v>43</v>
      </c>
      <c r="I25">
        <v>23</v>
      </c>
      <c r="J25">
        <v>35</v>
      </c>
      <c r="K25">
        <v>1301</v>
      </c>
      <c r="L25">
        <v>29923</v>
      </c>
      <c r="M25">
        <f>Inventory_Data[[#This Row],[Opening Stock]]+Inventory_Data[[#This Row],[Purchase Qty]]-Inventory_Data[[#This Row],[Sales Qty]]-Inventory_Data[[#This Row],[Closing Stock]]</f>
        <v>0</v>
      </c>
      <c r="N25">
        <f>Inventory_Data[[#This Row],[Purchase Qty]]*Inventory_Data[[#This Row],[Unit Cost]]</f>
        <v>37729</v>
      </c>
      <c r="O25" t="str">
        <f>IF(Inventory_Data[[#This Row],[Closing Stock]]&lt;=Inventory_Data[[#This Row],[Reorder Level]],"Low Stock","In Stock")</f>
        <v>Low Stock</v>
      </c>
      <c r="P25" t="str">
        <f>TEXT(Inventory_Data[[#This Row],[Date]],"MMM")</f>
        <v>Jan</v>
      </c>
      <c r="Q25" t="str">
        <f>TEXT(Inventory_Data[[#This Row],[Date]],"YYYY")</f>
        <v>2025</v>
      </c>
    </row>
    <row r="26" spans="1:17" x14ac:dyDescent="0.3">
      <c r="A26" s="1">
        <v>45662</v>
      </c>
      <c r="B26" t="s">
        <v>33</v>
      </c>
      <c r="C26" t="s">
        <v>13</v>
      </c>
      <c r="D26" t="s">
        <v>37</v>
      </c>
      <c r="E26" t="s">
        <v>20</v>
      </c>
      <c r="F26">
        <v>47</v>
      </c>
      <c r="G26">
        <v>69</v>
      </c>
      <c r="H26">
        <v>20</v>
      </c>
      <c r="I26">
        <v>96</v>
      </c>
      <c r="J26">
        <v>29</v>
      </c>
      <c r="K26">
        <v>9115</v>
      </c>
      <c r="L26">
        <v>875040</v>
      </c>
      <c r="M26">
        <f>Inventory_Data[[#This Row],[Opening Stock]]+Inventory_Data[[#This Row],[Purchase Qty]]-Inventory_Data[[#This Row],[Sales Qty]]-Inventory_Data[[#This Row],[Closing Stock]]</f>
        <v>0</v>
      </c>
      <c r="N26">
        <f>Inventory_Data[[#This Row],[Purchase Qty]]*Inventory_Data[[#This Row],[Unit Cost]]</f>
        <v>628935</v>
      </c>
      <c r="O26" t="str">
        <f>IF(Inventory_Data[[#This Row],[Closing Stock]]&lt;=Inventory_Data[[#This Row],[Reorder Level]],"Low Stock","In Stock")</f>
        <v>In Stock</v>
      </c>
      <c r="P26" t="str">
        <f>TEXT(Inventory_Data[[#This Row],[Date]],"MMM")</f>
        <v>Jan</v>
      </c>
      <c r="Q26" t="str">
        <f>TEXT(Inventory_Data[[#This Row],[Date]],"YYYY")</f>
        <v>2025</v>
      </c>
    </row>
    <row r="27" spans="1:17" x14ac:dyDescent="0.3">
      <c r="A27" s="1">
        <v>45663</v>
      </c>
      <c r="B27" t="s">
        <v>39</v>
      </c>
      <c r="C27" t="s">
        <v>28</v>
      </c>
      <c r="D27" t="s">
        <v>37</v>
      </c>
      <c r="E27" t="s">
        <v>29</v>
      </c>
      <c r="F27">
        <v>168</v>
      </c>
      <c r="G27">
        <v>86</v>
      </c>
      <c r="H27">
        <v>93</v>
      </c>
      <c r="I27">
        <v>161</v>
      </c>
      <c r="J27">
        <v>58</v>
      </c>
      <c r="K27">
        <v>1465</v>
      </c>
      <c r="L27">
        <v>235865</v>
      </c>
      <c r="M27">
        <f>Inventory_Data[[#This Row],[Opening Stock]]+Inventory_Data[[#This Row],[Purchase Qty]]-Inventory_Data[[#This Row],[Sales Qty]]-Inventory_Data[[#This Row],[Closing Stock]]</f>
        <v>0</v>
      </c>
      <c r="N27">
        <f>Inventory_Data[[#This Row],[Purchase Qty]]*Inventory_Data[[#This Row],[Unit Cost]]</f>
        <v>125990</v>
      </c>
      <c r="O27" t="str">
        <f>IF(Inventory_Data[[#This Row],[Closing Stock]]&lt;=Inventory_Data[[#This Row],[Reorder Level]],"Low Stock","In Stock")</f>
        <v>In Stock</v>
      </c>
      <c r="P27" t="str">
        <f>TEXT(Inventory_Data[[#This Row],[Date]],"MMM")</f>
        <v>Jan</v>
      </c>
      <c r="Q27" t="str">
        <f>TEXT(Inventory_Data[[#This Row],[Date]],"YYYY")</f>
        <v>2025</v>
      </c>
    </row>
    <row r="28" spans="1:17" x14ac:dyDescent="0.3">
      <c r="A28" s="1">
        <v>45663</v>
      </c>
      <c r="B28" t="s">
        <v>36</v>
      </c>
      <c r="C28" t="s">
        <v>22</v>
      </c>
      <c r="D28" t="s">
        <v>37</v>
      </c>
      <c r="E28" t="s">
        <v>29</v>
      </c>
      <c r="F28">
        <v>382</v>
      </c>
      <c r="G28">
        <v>287</v>
      </c>
      <c r="H28">
        <v>220</v>
      </c>
      <c r="I28">
        <v>449</v>
      </c>
      <c r="J28">
        <v>110</v>
      </c>
      <c r="K28">
        <v>70</v>
      </c>
      <c r="L28">
        <v>31430</v>
      </c>
      <c r="M28">
        <f>Inventory_Data[[#This Row],[Opening Stock]]+Inventory_Data[[#This Row],[Purchase Qty]]-Inventory_Data[[#This Row],[Sales Qty]]-Inventory_Data[[#This Row],[Closing Stock]]</f>
        <v>0</v>
      </c>
      <c r="N28">
        <f>Inventory_Data[[#This Row],[Purchase Qty]]*Inventory_Data[[#This Row],[Unit Cost]]</f>
        <v>20090</v>
      </c>
      <c r="O28" t="str">
        <f>IF(Inventory_Data[[#This Row],[Closing Stock]]&lt;=Inventory_Data[[#This Row],[Reorder Level]],"Low Stock","In Stock")</f>
        <v>In Stock</v>
      </c>
      <c r="P28" t="str">
        <f>TEXT(Inventory_Data[[#This Row],[Date]],"MMM")</f>
        <v>Jan</v>
      </c>
      <c r="Q28" t="str">
        <f>TEXT(Inventory_Data[[#This Row],[Date]],"YYYY")</f>
        <v>2025</v>
      </c>
    </row>
    <row r="29" spans="1:17" x14ac:dyDescent="0.3">
      <c r="A29" s="1">
        <v>45664</v>
      </c>
      <c r="B29" t="s">
        <v>12</v>
      </c>
      <c r="C29" t="s">
        <v>13</v>
      </c>
      <c r="D29" t="s">
        <v>37</v>
      </c>
      <c r="E29" t="s">
        <v>20</v>
      </c>
      <c r="F29">
        <v>41</v>
      </c>
      <c r="G29">
        <v>14</v>
      </c>
      <c r="H29">
        <v>36</v>
      </c>
      <c r="I29">
        <v>19</v>
      </c>
      <c r="J29">
        <v>39</v>
      </c>
      <c r="K29">
        <v>7391</v>
      </c>
      <c r="L29">
        <v>140429</v>
      </c>
      <c r="M29">
        <f>Inventory_Data[[#This Row],[Opening Stock]]+Inventory_Data[[#This Row],[Purchase Qty]]-Inventory_Data[[#This Row],[Sales Qty]]-Inventory_Data[[#This Row],[Closing Stock]]</f>
        <v>0</v>
      </c>
      <c r="N29">
        <f>Inventory_Data[[#This Row],[Purchase Qty]]*Inventory_Data[[#This Row],[Unit Cost]]</f>
        <v>103474</v>
      </c>
      <c r="O29" t="str">
        <f>IF(Inventory_Data[[#This Row],[Closing Stock]]&lt;=Inventory_Data[[#This Row],[Reorder Level]],"Low Stock","In Stock")</f>
        <v>Low Stock</v>
      </c>
      <c r="P29" t="str">
        <f>TEXT(Inventory_Data[[#This Row],[Date]],"MMM")</f>
        <v>Jan</v>
      </c>
      <c r="Q29" t="str">
        <f>TEXT(Inventory_Data[[#This Row],[Date]],"YYYY")</f>
        <v>2025</v>
      </c>
    </row>
    <row r="30" spans="1:17" x14ac:dyDescent="0.3">
      <c r="A30" s="1">
        <v>45664</v>
      </c>
      <c r="B30" t="s">
        <v>16</v>
      </c>
      <c r="C30" t="s">
        <v>17</v>
      </c>
      <c r="D30" t="s">
        <v>14</v>
      </c>
      <c r="E30" t="s">
        <v>20</v>
      </c>
      <c r="F30">
        <v>99</v>
      </c>
      <c r="G30">
        <v>17</v>
      </c>
      <c r="H30">
        <v>17</v>
      </c>
      <c r="I30">
        <v>99</v>
      </c>
      <c r="J30">
        <v>25</v>
      </c>
      <c r="K30">
        <v>24416</v>
      </c>
      <c r="L30">
        <v>2417184</v>
      </c>
      <c r="M30">
        <f>Inventory_Data[[#This Row],[Opening Stock]]+Inventory_Data[[#This Row],[Purchase Qty]]-Inventory_Data[[#This Row],[Sales Qty]]-Inventory_Data[[#This Row],[Closing Stock]]</f>
        <v>0</v>
      </c>
      <c r="N30">
        <f>Inventory_Data[[#This Row],[Purchase Qty]]*Inventory_Data[[#This Row],[Unit Cost]]</f>
        <v>415072</v>
      </c>
      <c r="O30" t="str">
        <f>IF(Inventory_Data[[#This Row],[Closing Stock]]&lt;=Inventory_Data[[#This Row],[Reorder Level]],"Low Stock","In Stock")</f>
        <v>In Stock</v>
      </c>
      <c r="P30" t="str">
        <f>TEXT(Inventory_Data[[#This Row],[Date]],"MMM")</f>
        <v>Jan</v>
      </c>
      <c r="Q30" t="str">
        <f>TEXT(Inventory_Data[[#This Row],[Date]],"YYYY")</f>
        <v>2025</v>
      </c>
    </row>
    <row r="31" spans="1:17" x14ac:dyDescent="0.3">
      <c r="A31" s="1">
        <v>45664</v>
      </c>
      <c r="B31" t="s">
        <v>16</v>
      </c>
      <c r="C31" t="s">
        <v>17</v>
      </c>
      <c r="D31" t="s">
        <v>14</v>
      </c>
      <c r="E31" t="s">
        <v>29</v>
      </c>
      <c r="F31">
        <v>80</v>
      </c>
      <c r="G31">
        <v>31</v>
      </c>
      <c r="H31">
        <v>25</v>
      </c>
      <c r="I31">
        <v>86</v>
      </c>
      <c r="J31">
        <v>18</v>
      </c>
      <c r="K31">
        <v>4206</v>
      </c>
      <c r="L31">
        <v>361716</v>
      </c>
      <c r="M31">
        <f>Inventory_Data[[#This Row],[Opening Stock]]+Inventory_Data[[#This Row],[Purchase Qty]]-Inventory_Data[[#This Row],[Sales Qty]]-Inventory_Data[[#This Row],[Closing Stock]]</f>
        <v>0</v>
      </c>
      <c r="N31">
        <f>Inventory_Data[[#This Row],[Purchase Qty]]*Inventory_Data[[#This Row],[Unit Cost]]</f>
        <v>130386</v>
      </c>
      <c r="O31" t="str">
        <f>IF(Inventory_Data[[#This Row],[Closing Stock]]&lt;=Inventory_Data[[#This Row],[Reorder Level]],"Low Stock","In Stock")</f>
        <v>In Stock</v>
      </c>
      <c r="P31" t="str">
        <f>TEXT(Inventory_Data[[#This Row],[Date]],"MMM")</f>
        <v>Jan</v>
      </c>
      <c r="Q31" t="str">
        <f>TEXT(Inventory_Data[[#This Row],[Date]],"YYYY")</f>
        <v>2025</v>
      </c>
    </row>
    <row r="32" spans="1:17" x14ac:dyDescent="0.3">
      <c r="A32" s="1">
        <v>45664</v>
      </c>
      <c r="B32" t="s">
        <v>40</v>
      </c>
      <c r="C32" t="s">
        <v>28</v>
      </c>
      <c r="D32" t="s">
        <v>37</v>
      </c>
      <c r="E32" t="s">
        <v>20</v>
      </c>
      <c r="F32">
        <v>23</v>
      </c>
      <c r="G32">
        <v>112</v>
      </c>
      <c r="H32">
        <v>9</v>
      </c>
      <c r="I32">
        <v>126</v>
      </c>
      <c r="J32">
        <v>34</v>
      </c>
      <c r="K32">
        <v>20138</v>
      </c>
      <c r="L32">
        <v>2537388</v>
      </c>
      <c r="M32">
        <f>Inventory_Data[[#This Row],[Opening Stock]]+Inventory_Data[[#This Row],[Purchase Qty]]-Inventory_Data[[#This Row],[Sales Qty]]-Inventory_Data[[#This Row],[Closing Stock]]</f>
        <v>0</v>
      </c>
      <c r="N32">
        <f>Inventory_Data[[#This Row],[Purchase Qty]]*Inventory_Data[[#This Row],[Unit Cost]]</f>
        <v>2255456</v>
      </c>
      <c r="O32" t="str">
        <f>IF(Inventory_Data[[#This Row],[Closing Stock]]&lt;=Inventory_Data[[#This Row],[Reorder Level]],"Low Stock","In Stock")</f>
        <v>In Stock</v>
      </c>
      <c r="P32" t="str">
        <f>TEXT(Inventory_Data[[#This Row],[Date]],"MMM")</f>
        <v>Jan</v>
      </c>
      <c r="Q32" t="str">
        <f>TEXT(Inventory_Data[[#This Row],[Date]],"YYYY")</f>
        <v>2025</v>
      </c>
    </row>
    <row r="33" spans="1:17" x14ac:dyDescent="0.3">
      <c r="A33" s="1">
        <v>45665</v>
      </c>
      <c r="B33" t="s">
        <v>33</v>
      </c>
      <c r="C33" t="s">
        <v>13</v>
      </c>
      <c r="D33" t="s">
        <v>37</v>
      </c>
      <c r="E33" t="s">
        <v>20</v>
      </c>
      <c r="F33">
        <v>79</v>
      </c>
      <c r="G33">
        <v>61</v>
      </c>
      <c r="H33">
        <v>57</v>
      </c>
      <c r="I33">
        <v>83</v>
      </c>
      <c r="J33">
        <v>37</v>
      </c>
      <c r="K33">
        <v>14995</v>
      </c>
      <c r="L33">
        <v>1244585</v>
      </c>
      <c r="M33">
        <f>Inventory_Data[[#This Row],[Opening Stock]]+Inventory_Data[[#This Row],[Purchase Qty]]-Inventory_Data[[#This Row],[Sales Qty]]-Inventory_Data[[#This Row],[Closing Stock]]</f>
        <v>0</v>
      </c>
      <c r="N33">
        <f>Inventory_Data[[#This Row],[Purchase Qty]]*Inventory_Data[[#This Row],[Unit Cost]]</f>
        <v>914695</v>
      </c>
      <c r="O33" t="str">
        <f>IF(Inventory_Data[[#This Row],[Closing Stock]]&lt;=Inventory_Data[[#This Row],[Reorder Level]],"Low Stock","In Stock")</f>
        <v>In Stock</v>
      </c>
      <c r="P33" t="str">
        <f>TEXT(Inventory_Data[[#This Row],[Date]],"MMM")</f>
        <v>Jan</v>
      </c>
      <c r="Q33" t="str">
        <f>TEXT(Inventory_Data[[#This Row],[Date]],"YYYY")</f>
        <v>2025</v>
      </c>
    </row>
    <row r="34" spans="1:17" x14ac:dyDescent="0.3">
      <c r="A34" s="1">
        <v>45665</v>
      </c>
      <c r="B34" t="s">
        <v>41</v>
      </c>
      <c r="C34" t="s">
        <v>22</v>
      </c>
      <c r="D34" t="s">
        <v>14</v>
      </c>
      <c r="E34" t="s">
        <v>20</v>
      </c>
      <c r="F34">
        <v>382</v>
      </c>
      <c r="G34">
        <v>229</v>
      </c>
      <c r="H34">
        <v>96</v>
      </c>
      <c r="I34">
        <v>515</v>
      </c>
      <c r="J34">
        <v>50</v>
      </c>
      <c r="K34">
        <v>62</v>
      </c>
      <c r="L34">
        <v>31930</v>
      </c>
      <c r="M34">
        <f>Inventory_Data[[#This Row],[Opening Stock]]+Inventory_Data[[#This Row],[Purchase Qty]]-Inventory_Data[[#This Row],[Sales Qty]]-Inventory_Data[[#This Row],[Closing Stock]]</f>
        <v>0</v>
      </c>
      <c r="N34">
        <f>Inventory_Data[[#This Row],[Purchase Qty]]*Inventory_Data[[#This Row],[Unit Cost]]</f>
        <v>14198</v>
      </c>
      <c r="O34" t="str">
        <f>IF(Inventory_Data[[#This Row],[Closing Stock]]&lt;=Inventory_Data[[#This Row],[Reorder Level]],"Low Stock","In Stock")</f>
        <v>In Stock</v>
      </c>
      <c r="P34" t="str">
        <f>TEXT(Inventory_Data[[#This Row],[Date]],"MMM")</f>
        <v>Jan</v>
      </c>
      <c r="Q34" t="str">
        <f>TEXT(Inventory_Data[[#This Row],[Date]],"YYYY")</f>
        <v>2025</v>
      </c>
    </row>
    <row r="35" spans="1:17" x14ac:dyDescent="0.3">
      <c r="A35" s="1">
        <v>45665</v>
      </c>
      <c r="B35" t="s">
        <v>30</v>
      </c>
      <c r="C35" t="s">
        <v>28</v>
      </c>
      <c r="D35" t="s">
        <v>23</v>
      </c>
      <c r="E35" t="s">
        <v>18</v>
      </c>
      <c r="F35">
        <v>59</v>
      </c>
      <c r="G35">
        <v>63</v>
      </c>
      <c r="H35">
        <v>18</v>
      </c>
      <c r="I35">
        <v>104</v>
      </c>
      <c r="J35">
        <v>49</v>
      </c>
      <c r="K35">
        <v>60890</v>
      </c>
      <c r="L35">
        <v>6332560</v>
      </c>
      <c r="M35">
        <f>Inventory_Data[[#This Row],[Opening Stock]]+Inventory_Data[[#This Row],[Purchase Qty]]-Inventory_Data[[#This Row],[Sales Qty]]-Inventory_Data[[#This Row],[Closing Stock]]</f>
        <v>0</v>
      </c>
      <c r="N35">
        <f>Inventory_Data[[#This Row],[Purchase Qty]]*Inventory_Data[[#This Row],[Unit Cost]]</f>
        <v>3836070</v>
      </c>
      <c r="O35" t="str">
        <f>IF(Inventory_Data[[#This Row],[Closing Stock]]&lt;=Inventory_Data[[#This Row],[Reorder Level]],"Low Stock","In Stock")</f>
        <v>In Stock</v>
      </c>
      <c r="P35" t="str">
        <f>TEXT(Inventory_Data[[#This Row],[Date]],"MMM")</f>
        <v>Jan</v>
      </c>
      <c r="Q35" t="str">
        <f>TEXT(Inventory_Data[[#This Row],[Date]],"YYYY")</f>
        <v>2025</v>
      </c>
    </row>
    <row r="36" spans="1:17" x14ac:dyDescent="0.3">
      <c r="A36" s="1">
        <v>45665</v>
      </c>
      <c r="B36" t="s">
        <v>32</v>
      </c>
      <c r="C36" t="s">
        <v>28</v>
      </c>
      <c r="D36" t="s">
        <v>37</v>
      </c>
      <c r="E36" t="s">
        <v>24</v>
      </c>
      <c r="F36">
        <v>28</v>
      </c>
      <c r="G36">
        <v>24</v>
      </c>
      <c r="H36">
        <v>11</v>
      </c>
      <c r="I36">
        <v>41</v>
      </c>
      <c r="J36">
        <v>27</v>
      </c>
      <c r="K36">
        <v>39423</v>
      </c>
      <c r="L36">
        <v>1616343</v>
      </c>
      <c r="M36">
        <f>Inventory_Data[[#This Row],[Opening Stock]]+Inventory_Data[[#This Row],[Purchase Qty]]-Inventory_Data[[#This Row],[Sales Qty]]-Inventory_Data[[#This Row],[Closing Stock]]</f>
        <v>0</v>
      </c>
      <c r="N36">
        <f>Inventory_Data[[#This Row],[Purchase Qty]]*Inventory_Data[[#This Row],[Unit Cost]]</f>
        <v>946152</v>
      </c>
      <c r="O36" t="str">
        <f>IF(Inventory_Data[[#This Row],[Closing Stock]]&lt;=Inventory_Data[[#This Row],[Reorder Level]],"Low Stock","In Stock")</f>
        <v>In Stock</v>
      </c>
      <c r="P36" t="str">
        <f>TEXT(Inventory_Data[[#This Row],[Date]],"MMM")</f>
        <v>Jan</v>
      </c>
      <c r="Q36" t="str">
        <f>TEXT(Inventory_Data[[#This Row],[Date]],"YYYY")</f>
        <v>2025</v>
      </c>
    </row>
    <row r="37" spans="1:17" x14ac:dyDescent="0.3">
      <c r="A37" s="1">
        <v>45665</v>
      </c>
      <c r="B37" t="s">
        <v>39</v>
      </c>
      <c r="C37" t="s">
        <v>28</v>
      </c>
      <c r="D37" t="s">
        <v>23</v>
      </c>
      <c r="E37" t="s">
        <v>18</v>
      </c>
      <c r="F37">
        <v>64</v>
      </c>
      <c r="G37">
        <v>96</v>
      </c>
      <c r="H37">
        <v>51</v>
      </c>
      <c r="I37">
        <v>109</v>
      </c>
      <c r="J37">
        <v>31</v>
      </c>
      <c r="K37">
        <v>35015</v>
      </c>
      <c r="L37">
        <v>3816635</v>
      </c>
      <c r="M37">
        <f>Inventory_Data[[#This Row],[Opening Stock]]+Inventory_Data[[#This Row],[Purchase Qty]]-Inventory_Data[[#This Row],[Sales Qty]]-Inventory_Data[[#This Row],[Closing Stock]]</f>
        <v>0</v>
      </c>
      <c r="N37">
        <f>Inventory_Data[[#This Row],[Purchase Qty]]*Inventory_Data[[#This Row],[Unit Cost]]</f>
        <v>3361440</v>
      </c>
      <c r="O37" t="str">
        <f>IF(Inventory_Data[[#This Row],[Closing Stock]]&lt;=Inventory_Data[[#This Row],[Reorder Level]],"Low Stock","In Stock")</f>
        <v>In Stock</v>
      </c>
      <c r="P37" t="str">
        <f>TEXT(Inventory_Data[[#This Row],[Date]],"MMM")</f>
        <v>Jan</v>
      </c>
      <c r="Q37" t="str">
        <f>TEXT(Inventory_Data[[#This Row],[Date]],"YYYY")</f>
        <v>2025</v>
      </c>
    </row>
    <row r="38" spans="1:17" x14ac:dyDescent="0.3">
      <c r="A38" s="1">
        <v>45665</v>
      </c>
      <c r="B38" t="s">
        <v>36</v>
      </c>
      <c r="C38" t="s">
        <v>22</v>
      </c>
      <c r="D38" t="s">
        <v>23</v>
      </c>
      <c r="E38" t="s">
        <v>18</v>
      </c>
      <c r="F38">
        <v>492</v>
      </c>
      <c r="G38">
        <v>56</v>
      </c>
      <c r="H38">
        <v>155</v>
      </c>
      <c r="I38">
        <v>393</v>
      </c>
      <c r="J38">
        <v>135</v>
      </c>
      <c r="K38">
        <v>1134</v>
      </c>
      <c r="L38">
        <v>445662</v>
      </c>
      <c r="M38">
        <f>Inventory_Data[[#This Row],[Opening Stock]]+Inventory_Data[[#This Row],[Purchase Qty]]-Inventory_Data[[#This Row],[Sales Qty]]-Inventory_Data[[#This Row],[Closing Stock]]</f>
        <v>0</v>
      </c>
      <c r="N38">
        <f>Inventory_Data[[#This Row],[Purchase Qty]]*Inventory_Data[[#This Row],[Unit Cost]]</f>
        <v>63504</v>
      </c>
      <c r="O38" t="str">
        <f>IF(Inventory_Data[[#This Row],[Closing Stock]]&lt;=Inventory_Data[[#This Row],[Reorder Level]],"Low Stock","In Stock")</f>
        <v>In Stock</v>
      </c>
      <c r="P38" t="str">
        <f>TEXT(Inventory_Data[[#This Row],[Date]],"MMM")</f>
        <v>Jan</v>
      </c>
      <c r="Q38" t="str">
        <f>TEXT(Inventory_Data[[#This Row],[Date]],"YYYY")</f>
        <v>2025</v>
      </c>
    </row>
    <row r="39" spans="1:17" x14ac:dyDescent="0.3">
      <c r="A39" s="1">
        <v>45665</v>
      </c>
      <c r="B39" t="s">
        <v>30</v>
      </c>
      <c r="C39" t="s">
        <v>28</v>
      </c>
      <c r="D39" t="s">
        <v>37</v>
      </c>
      <c r="E39" t="s">
        <v>18</v>
      </c>
      <c r="F39">
        <v>81</v>
      </c>
      <c r="G39">
        <v>16</v>
      </c>
      <c r="H39">
        <v>11</v>
      </c>
      <c r="I39">
        <v>86</v>
      </c>
      <c r="J39">
        <v>38</v>
      </c>
      <c r="K39">
        <v>1959</v>
      </c>
      <c r="L39">
        <v>168474</v>
      </c>
      <c r="M39">
        <f>Inventory_Data[[#This Row],[Opening Stock]]+Inventory_Data[[#This Row],[Purchase Qty]]-Inventory_Data[[#This Row],[Sales Qty]]-Inventory_Data[[#This Row],[Closing Stock]]</f>
        <v>0</v>
      </c>
      <c r="N39">
        <f>Inventory_Data[[#This Row],[Purchase Qty]]*Inventory_Data[[#This Row],[Unit Cost]]</f>
        <v>31344</v>
      </c>
      <c r="O39" t="str">
        <f>IF(Inventory_Data[[#This Row],[Closing Stock]]&lt;=Inventory_Data[[#This Row],[Reorder Level]],"Low Stock","In Stock")</f>
        <v>In Stock</v>
      </c>
      <c r="P39" t="str">
        <f>TEXT(Inventory_Data[[#This Row],[Date]],"MMM")</f>
        <v>Jan</v>
      </c>
      <c r="Q39" t="str">
        <f>TEXT(Inventory_Data[[#This Row],[Date]],"YYYY")</f>
        <v>2025</v>
      </c>
    </row>
    <row r="40" spans="1:17" x14ac:dyDescent="0.3">
      <c r="A40" s="1">
        <v>45665</v>
      </c>
      <c r="B40" t="s">
        <v>19</v>
      </c>
      <c r="C40" t="s">
        <v>13</v>
      </c>
      <c r="D40" t="s">
        <v>37</v>
      </c>
      <c r="E40" t="s">
        <v>15</v>
      </c>
      <c r="F40">
        <v>94</v>
      </c>
      <c r="G40">
        <v>45</v>
      </c>
      <c r="H40">
        <v>5</v>
      </c>
      <c r="I40">
        <v>134</v>
      </c>
      <c r="J40">
        <v>19</v>
      </c>
      <c r="K40">
        <v>4507</v>
      </c>
      <c r="L40">
        <v>603938</v>
      </c>
      <c r="M40">
        <f>Inventory_Data[[#This Row],[Opening Stock]]+Inventory_Data[[#This Row],[Purchase Qty]]-Inventory_Data[[#This Row],[Sales Qty]]-Inventory_Data[[#This Row],[Closing Stock]]</f>
        <v>0</v>
      </c>
      <c r="N40">
        <f>Inventory_Data[[#This Row],[Purchase Qty]]*Inventory_Data[[#This Row],[Unit Cost]]</f>
        <v>202815</v>
      </c>
      <c r="O40" t="str">
        <f>IF(Inventory_Data[[#This Row],[Closing Stock]]&lt;=Inventory_Data[[#This Row],[Reorder Level]],"Low Stock","In Stock")</f>
        <v>In Stock</v>
      </c>
      <c r="P40" t="str">
        <f>TEXT(Inventory_Data[[#This Row],[Date]],"MMM")</f>
        <v>Jan</v>
      </c>
      <c r="Q40" t="str">
        <f>TEXT(Inventory_Data[[#This Row],[Date]],"YYYY")</f>
        <v>2025</v>
      </c>
    </row>
    <row r="41" spans="1:17" x14ac:dyDescent="0.3">
      <c r="A41" s="1">
        <v>45666</v>
      </c>
      <c r="B41" t="s">
        <v>40</v>
      </c>
      <c r="C41" t="s">
        <v>28</v>
      </c>
      <c r="D41" t="s">
        <v>23</v>
      </c>
      <c r="E41" t="s">
        <v>15</v>
      </c>
      <c r="F41">
        <v>47</v>
      </c>
      <c r="G41">
        <v>20</v>
      </c>
      <c r="H41">
        <v>67</v>
      </c>
      <c r="I41">
        <v>0</v>
      </c>
      <c r="J41">
        <v>34</v>
      </c>
      <c r="K41">
        <v>21111</v>
      </c>
      <c r="L41">
        <v>0</v>
      </c>
      <c r="M41">
        <f>Inventory_Data[[#This Row],[Opening Stock]]+Inventory_Data[[#This Row],[Purchase Qty]]-Inventory_Data[[#This Row],[Sales Qty]]-Inventory_Data[[#This Row],[Closing Stock]]</f>
        <v>0</v>
      </c>
      <c r="N41">
        <f>Inventory_Data[[#This Row],[Purchase Qty]]*Inventory_Data[[#This Row],[Unit Cost]]</f>
        <v>422220</v>
      </c>
      <c r="O41" t="str">
        <f>IF(Inventory_Data[[#This Row],[Closing Stock]]&lt;=Inventory_Data[[#This Row],[Reorder Level]],"Low Stock","In Stock")</f>
        <v>Low Stock</v>
      </c>
      <c r="P41" t="str">
        <f>TEXT(Inventory_Data[[#This Row],[Date]],"MMM")</f>
        <v>Jan</v>
      </c>
      <c r="Q41" t="str">
        <f>TEXT(Inventory_Data[[#This Row],[Date]],"YYYY")</f>
        <v>2025</v>
      </c>
    </row>
    <row r="42" spans="1:17" x14ac:dyDescent="0.3">
      <c r="A42" s="1">
        <v>45666</v>
      </c>
      <c r="B42" t="s">
        <v>36</v>
      </c>
      <c r="C42" t="s">
        <v>22</v>
      </c>
      <c r="D42" t="s">
        <v>26</v>
      </c>
      <c r="E42" t="s">
        <v>15</v>
      </c>
      <c r="F42">
        <v>123</v>
      </c>
      <c r="G42">
        <v>282</v>
      </c>
      <c r="H42">
        <v>239</v>
      </c>
      <c r="I42">
        <v>166</v>
      </c>
      <c r="J42">
        <v>58</v>
      </c>
      <c r="K42">
        <v>189</v>
      </c>
      <c r="L42">
        <v>31374</v>
      </c>
      <c r="M42">
        <f>Inventory_Data[[#This Row],[Opening Stock]]+Inventory_Data[[#This Row],[Purchase Qty]]-Inventory_Data[[#This Row],[Sales Qty]]-Inventory_Data[[#This Row],[Closing Stock]]</f>
        <v>0</v>
      </c>
      <c r="N42">
        <f>Inventory_Data[[#This Row],[Purchase Qty]]*Inventory_Data[[#This Row],[Unit Cost]]</f>
        <v>53298</v>
      </c>
      <c r="O42" t="str">
        <f>IF(Inventory_Data[[#This Row],[Closing Stock]]&lt;=Inventory_Data[[#This Row],[Reorder Level]],"Low Stock","In Stock")</f>
        <v>In Stock</v>
      </c>
      <c r="P42" t="str">
        <f>TEXT(Inventory_Data[[#This Row],[Date]],"MMM")</f>
        <v>Jan</v>
      </c>
      <c r="Q42" t="str">
        <f>TEXT(Inventory_Data[[#This Row],[Date]],"YYYY")</f>
        <v>2025</v>
      </c>
    </row>
    <row r="43" spans="1:17" x14ac:dyDescent="0.3">
      <c r="A43" s="1">
        <v>45667</v>
      </c>
      <c r="B43" t="s">
        <v>42</v>
      </c>
      <c r="C43" t="s">
        <v>17</v>
      </c>
      <c r="D43" t="s">
        <v>26</v>
      </c>
      <c r="E43" t="s">
        <v>18</v>
      </c>
      <c r="F43">
        <v>97</v>
      </c>
      <c r="G43">
        <v>46</v>
      </c>
      <c r="H43">
        <v>9</v>
      </c>
      <c r="I43">
        <v>134</v>
      </c>
      <c r="J43">
        <v>25</v>
      </c>
      <c r="K43">
        <v>7795</v>
      </c>
      <c r="L43">
        <v>1044530</v>
      </c>
      <c r="M43">
        <f>Inventory_Data[[#This Row],[Opening Stock]]+Inventory_Data[[#This Row],[Purchase Qty]]-Inventory_Data[[#This Row],[Sales Qty]]-Inventory_Data[[#This Row],[Closing Stock]]</f>
        <v>0</v>
      </c>
      <c r="N43">
        <f>Inventory_Data[[#This Row],[Purchase Qty]]*Inventory_Data[[#This Row],[Unit Cost]]</f>
        <v>358570</v>
      </c>
      <c r="O43" t="str">
        <f>IF(Inventory_Data[[#This Row],[Closing Stock]]&lt;=Inventory_Data[[#This Row],[Reorder Level]],"Low Stock","In Stock")</f>
        <v>In Stock</v>
      </c>
      <c r="P43" t="str">
        <f>TEXT(Inventory_Data[[#This Row],[Date]],"MMM")</f>
        <v>Jan</v>
      </c>
      <c r="Q43" t="str">
        <f>TEXT(Inventory_Data[[#This Row],[Date]],"YYYY")</f>
        <v>2025</v>
      </c>
    </row>
    <row r="44" spans="1:17" x14ac:dyDescent="0.3">
      <c r="A44" s="1">
        <v>45667</v>
      </c>
      <c r="B44" t="s">
        <v>32</v>
      </c>
      <c r="C44" t="s">
        <v>28</v>
      </c>
      <c r="D44" t="s">
        <v>37</v>
      </c>
      <c r="E44" t="s">
        <v>20</v>
      </c>
      <c r="F44">
        <v>139</v>
      </c>
      <c r="G44">
        <v>113</v>
      </c>
      <c r="H44">
        <v>17</v>
      </c>
      <c r="I44">
        <v>235</v>
      </c>
      <c r="J44">
        <v>24</v>
      </c>
      <c r="K44">
        <v>49148</v>
      </c>
      <c r="L44">
        <v>11549780</v>
      </c>
      <c r="M44">
        <f>Inventory_Data[[#This Row],[Opening Stock]]+Inventory_Data[[#This Row],[Purchase Qty]]-Inventory_Data[[#This Row],[Sales Qty]]-Inventory_Data[[#This Row],[Closing Stock]]</f>
        <v>0</v>
      </c>
      <c r="N44">
        <f>Inventory_Data[[#This Row],[Purchase Qty]]*Inventory_Data[[#This Row],[Unit Cost]]</f>
        <v>5553724</v>
      </c>
      <c r="O44" t="str">
        <f>IF(Inventory_Data[[#This Row],[Closing Stock]]&lt;=Inventory_Data[[#This Row],[Reorder Level]],"Low Stock","In Stock")</f>
        <v>In Stock</v>
      </c>
      <c r="P44" t="str">
        <f>TEXT(Inventory_Data[[#This Row],[Date]],"MMM")</f>
        <v>Jan</v>
      </c>
      <c r="Q44" t="str">
        <f>TEXT(Inventory_Data[[#This Row],[Date]],"YYYY")</f>
        <v>2025</v>
      </c>
    </row>
    <row r="45" spans="1:17" x14ac:dyDescent="0.3">
      <c r="A45" s="1">
        <v>45667</v>
      </c>
      <c r="B45" t="s">
        <v>30</v>
      </c>
      <c r="C45" t="s">
        <v>28</v>
      </c>
      <c r="D45" t="s">
        <v>14</v>
      </c>
      <c r="E45" t="s">
        <v>29</v>
      </c>
      <c r="F45">
        <v>65</v>
      </c>
      <c r="G45">
        <v>112</v>
      </c>
      <c r="H45">
        <v>62</v>
      </c>
      <c r="I45">
        <v>115</v>
      </c>
      <c r="J45">
        <v>54</v>
      </c>
      <c r="K45">
        <v>50756</v>
      </c>
      <c r="L45">
        <v>5836940</v>
      </c>
      <c r="M45">
        <f>Inventory_Data[[#This Row],[Opening Stock]]+Inventory_Data[[#This Row],[Purchase Qty]]-Inventory_Data[[#This Row],[Sales Qty]]-Inventory_Data[[#This Row],[Closing Stock]]</f>
        <v>0</v>
      </c>
      <c r="N45">
        <f>Inventory_Data[[#This Row],[Purchase Qty]]*Inventory_Data[[#This Row],[Unit Cost]]</f>
        <v>5684672</v>
      </c>
      <c r="O45" t="str">
        <f>IF(Inventory_Data[[#This Row],[Closing Stock]]&lt;=Inventory_Data[[#This Row],[Reorder Level]],"Low Stock","In Stock")</f>
        <v>In Stock</v>
      </c>
      <c r="P45" t="str">
        <f>TEXT(Inventory_Data[[#This Row],[Date]],"MMM")</f>
        <v>Jan</v>
      </c>
      <c r="Q45" t="str">
        <f>TEXT(Inventory_Data[[#This Row],[Date]],"YYYY")</f>
        <v>2025</v>
      </c>
    </row>
    <row r="46" spans="1:17" x14ac:dyDescent="0.3">
      <c r="A46" s="1">
        <v>45668</v>
      </c>
      <c r="B46" t="s">
        <v>12</v>
      </c>
      <c r="C46" t="s">
        <v>13</v>
      </c>
      <c r="D46" t="s">
        <v>37</v>
      </c>
      <c r="E46" t="s">
        <v>18</v>
      </c>
      <c r="F46">
        <v>116</v>
      </c>
      <c r="G46">
        <v>45</v>
      </c>
      <c r="H46">
        <v>64</v>
      </c>
      <c r="I46">
        <v>97</v>
      </c>
      <c r="J46">
        <v>34</v>
      </c>
      <c r="K46">
        <v>16173</v>
      </c>
      <c r="L46">
        <v>1568781</v>
      </c>
      <c r="M46">
        <f>Inventory_Data[[#This Row],[Opening Stock]]+Inventory_Data[[#This Row],[Purchase Qty]]-Inventory_Data[[#This Row],[Sales Qty]]-Inventory_Data[[#This Row],[Closing Stock]]</f>
        <v>0</v>
      </c>
      <c r="N46">
        <f>Inventory_Data[[#This Row],[Purchase Qty]]*Inventory_Data[[#This Row],[Unit Cost]]</f>
        <v>727785</v>
      </c>
      <c r="O46" t="str">
        <f>IF(Inventory_Data[[#This Row],[Closing Stock]]&lt;=Inventory_Data[[#This Row],[Reorder Level]],"Low Stock","In Stock")</f>
        <v>In Stock</v>
      </c>
      <c r="P46" t="str">
        <f>TEXT(Inventory_Data[[#This Row],[Date]],"MMM")</f>
        <v>Jan</v>
      </c>
      <c r="Q46" t="str">
        <f>TEXT(Inventory_Data[[#This Row],[Date]],"YYYY")</f>
        <v>2025</v>
      </c>
    </row>
    <row r="47" spans="1:17" x14ac:dyDescent="0.3">
      <c r="A47" s="1">
        <v>45668</v>
      </c>
      <c r="B47" t="s">
        <v>21</v>
      </c>
      <c r="C47" t="s">
        <v>22</v>
      </c>
      <c r="D47" t="s">
        <v>23</v>
      </c>
      <c r="E47" t="s">
        <v>15</v>
      </c>
      <c r="F47">
        <v>119</v>
      </c>
      <c r="G47">
        <v>285</v>
      </c>
      <c r="H47">
        <v>228</v>
      </c>
      <c r="I47">
        <v>176</v>
      </c>
      <c r="J47">
        <v>52</v>
      </c>
      <c r="K47">
        <v>428</v>
      </c>
      <c r="L47">
        <v>75328</v>
      </c>
      <c r="M47">
        <f>Inventory_Data[[#This Row],[Opening Stock]]+Inventory_Data[[#This Row],[Purchase Qty]]-Inventory_Data[[#This Row],[Sales Qty]]-Inventory_Data[[#This Row],[Closing Stock]]</f>
        <v>0</v>
      </c>
      <c r="N47">
        <f>Inventory_Data[[#This Row],[Purchase Qty]]*Inventory_Data[[#This Row],[Unit Cost]]</f>
        <v>121980</v>
      </c>
      <c r="O47" t="str">
        <f>IF(Inventory_Data[[#This Row],[Closing Stock]]&lt;=Inventory_Data[[#This Row],[Reorder Level]],"Low Stock","In Stock")</f>
        <v>In Stock</v>
      </c>
      <c r="P47" t="str">
        <f>TEXT(Inventory_Data[[#This Row],[Date]],"MMM")</f>
        <v>Jan</v>
      </c>
      <c r="Q47" t="str">
        <f>TEXT(Inventory_Data[[#This Row],[Date]],"YYYY")</f>
        <v>2025</v>
      </c>
    </row>
    <row r="48" spans="1:17" x14ac:dyDescent="0.3">
      <c r="A48" s="1">
        <v>45668</v>
      </c>
      <c r="B48" t="s">
        <v>40</v>
      </c>
      <c r="C48" t="s">
        <v>28</v>
      </c>
      <c r="D48" t="s">
        <v>37</v>
      </c>
      <c r="E48" t="s">
        <v>29</v>
      </c>
      <c r="F48">
        <v>31</v>
      </c>
      <c r="G48">
        <v>119</v>
      </c>
      <c r="H48">
        <v>9</v>
      </c>
      <c r="I48">
        <v>141</v>
      </c>
      <c r="J48">
        <v>39</v>
      </c>
      <c r="K48">
        <v>28063</v>
      </c>
      <c r="L48">
        <v>3956883</v>
      </c>
      <c r="M48">
        <f>Inventory_Data[[#This Row],[Opening Stock]]+Inventory_Data[[#This Row],[Purchase Qty]]-Inventory_Data[[#This Row],[Sales Qty]]-Inventory_Data[[#This Row],[Closing Stock]]</f>
        <v>0</v>
      </c>
      <c r="N48">
        <f>Inventory_Data[[#This Row],[Purchase Qty]]*Inventory_Data[[#This Row],[Unit Cost]]</f>
        <v>3339497</v>
      </c>
      <c r="O48" t="str">
        <f>IF(Inventory_Data[[#This Row],[Closing Stock]]&lt;=Inventory_Data[[#This Row],[Reorder Level]],"Low Stock","In Stock")</f>
        <v>In Stock</v>
      </c>
      <c r="P48" t="str">
        <f>TEXT(Inventory_Data[[#This Row],[Date]],"MMM")</f>
        <v>Jan</v>
      </c>
      <c r="Q48" t="str">
        <f>TEXT(Inventory_Data[[#This Row],[Date]],"YYYY")</f>
        <v>2025</v>
      </c>
    </row>
    <row r="49" spans="1:17" x14ac:dyDescent="0.3">
      <c r="A49" s="1">
        <v>45669</v>
      </c>
      <c r="B49" t="s">
        <v>38</v>
      </c>
      <c r="C49" t="s">
        <v>17</v>
      </c>
      <c r="D49" t="s">
        <v>23</v>
      </c>
      <c r="E49" t="s">
        <v>18</v>
      </c>
      <c r="F49">
        <v>25</v>
      </c>
      <c r="G49">
        <v>20</v>
      </c>
      <c r="H49">
        <v>44</v>
      </c>
      <c r="I49">
        <v>1</v>
      </c>
      <c r="J49">
        <v>13</v>
      </c>
      <c r="K49">
        <v>24400</v>
      </c>
      <c r="L49">
        <v>24400</v>
      </c>
      <c r="M49">
        <f>Inventory_Data[[#This Row],[Opening Stock]]+Inventory_Data[[#This Row],[Purchase Qty]]-Inventory_Data[[#This Row],[Sales Qty]]-Inventory_Data[[#This Row],[Closing Stock]]</f>
        <v>0</v>
      </c>
      <c r="N49">
        <f>Inventory_Data[[#This Row],[Purchase Qty]]*Inventory_Data[[#This Row],[Unit Cost]]</f>
        <v>488000</v>
      </c>
      <c r="O49" t="str">
        <f>IF(Inventory_Data[[#This Row],[Closing Stock]]&lt;=Inventory_Data[[#This Row],[Reorder Level]],"Low Stock","In Stock")</f>
        <v>Low Stock</v>
      </c>
      <c r="P49" t="str">
        <f>TEXT(Inventory_Data[[#This Row],[Date]],"MMM")</f>
        <v>Jan</v>
      </c>
      <c r="Q49" t="str">
        <f>TEXT(Inventory_Data[[#This Row],[Date]],"YYYY")</f>
        <v>2025</v>
      </c>
    </row>
    <row r="50" spans="1:17" x14ac:dyDescent="0.3">
      <c r="A50" s="1">
        <v>45669</v>
      </c>
      <c r="B50" t="s">
        <v>38</v>
      </c>
      <c r="C50" t="s">
        <v>17</v>
      </c>
      <c r="D50" t="s">
        <v>37</v>
      </c>
      <c r="E50" t="s">
        <v>20</v>
      </c>
      <c r="F50">
        <v>31</v>
      </c>
      <c r="G50">
        <v>17</v>
      </c>
      <c r="H50">
        <v>29</v>
      </c>
      <c r="I50">
        <v>19</v>
      </c>
      <c r="J50">
        <v>21</v>
      </c>
      <c r="K50">
        <v>15209</v>
      </c>
      <c r="L50">
        <v>288971</v>
      </c>
      <c r="M50">
        <f>Inventory_Data[[#This Row],[Opening Stock]]+Inventory_Data[[#This Row],[Purchase Qty]]-Inventory_Data[[#This Row],[Sales Qty]]-Inventory_Data[[#This Row],[Closing Stock]]</f>
        <v>0</v>
      </c>
      <c r="N50">
        <f>Inventory_Data[[#This Row],[Purchase Qty]]*Inventory_Data[[#This Row],[Unit Cost]]</f>
        <v>258553</v>
      </c>
      <c r="O50" t="str">
        <f>IF(Inventory_Data[[#This Row],[Closing Stock]]&lt;=Inventory_Data[[#This Row],[Reorder Level]],"Low Stock","In Stock")</f>
        <v>Low Stock</v>
      </c>
      <c r="P50" t="str">
        <f>TEXT(Inventory_Data[[#This Row],[Date]],"MMM")</f>
        <v>Jan</v>
      </c>
      <c r="Q50" t="str">
        <f>TEXT(Inventory_Data[[#This Row],[Date]],"YYYY")</f>
        <v>2025</v>
      </c>
    </row>
    <row r="51" spans="1:17" x14ac:dyDescent="0.3">
      <c r="A51" s="1">
        <v>45669</v>
      </c>
      <c r="B51" t="s">
        <v>36</v>
      </c>
      <c r="C51" t="s">
        <v>22</v>
      </c>
      <c r="D51" t="s">
        <v>26</v>
      </c>
      <c r="E51" t="s">
        <v>29</v>
      </c>
      <c r="F51">
        <v>136</v>
      </c>
      <c r="G51">
        <v>41</v>
      </c>
      <c r="H51">
        <v>34</v>
      </c>
      <c r="I51">
        <v>143</v>
      </c>
      <c r="J51">
        <v>68</v>
      </c>
      <c r="K51">
        <v>141</v>
      </c>
      <c r="L51">
        <v>20163</v>
      </c>
      <c r="M51">
        <f>Inventory_Data[[#This Row],[Opening Stock]]+Inventory_Data[[#This Row],[Purchase Qty]]-Inventory_Data[[#This Row],[Sales Qty]]-Inventory_Data[[#This Row],[Closing Stock]]</f>
        <v>0</v>
      </c>
      <c r="N51">
        <f>Inventory_Data[[#This Row],[Purchase Qty]]*Inventory_Data[[#This Row],[Unit Cost]]</f>
        <v>5781</v>
      </c>
      <c r="O51" t="str">
        <f>IF(Inventory_Data[[#This Row],[Closing Stock]]&lt;=Inventory_Data[[#This Row],[Reorder Level]],"Low Stock","In Stock")</f>
        <v>In Stock</v>
      </c>
      <c r="P51" t="str">
        <f>TEXT(Inventory_Data[[#This Row],[Date]],"MMM")</f>
        <v>Jan</v>
      </c>
      <c r="Q51" t="str">
        <f>TEXT(Inventory_Data[[#This Row],[Date]],"YYYY")</f>
        <v>2025</v>
      </c>
    </row>
    <row r="52" spans="1:17" x14ac:dyDescent="0.3">
      <c r="A52" s="1">
        <v>45669</v>
      </c>
      <c r="B52" t="s">
        <v>38</v>
      </c>
      <c r="C52" t="s">
        <v>17</v>
      </c>
      <c r="D52" t="s">
        <v>14</v>
      </c>
      <c r="E52" t="s">
        <v>34</v>
      </c>
      <c r="F52">
        <v>88</v>
      </c>
      <c r="G52">
        <v>35</v>
      </c>
      <c r="H52">
        <v>16</v>
      </c>
      <c r="I52">
        <v>107</v>
      </c>
      <c r="J52">
        <v>13</v>
      </c>
      <c r="K52">
        <v>18271</v>
      </c>
      <c r="L52">
        <v>1954997</v>
      </c>
      <c r="M52">
        <f>Inventory_Data[[#This Row],[Opening Stock]]+Inventory_Data[[#This Row],[Purchase Qty]]-Inventory_Data[[#This Row],[Sales Qty]]-Inventory_Data[[#This Row],[Closing Stock]]</f>
        <v>0</v>
      </c>
      <c r="N52">
        <f>Inventory_Data[[#This Row],[Purchase Qty]]*Inventory_Data[[#This Row],[Unit Cost]]</f>
        <v>639485</v>
      </c>
      <c r="O52" t="str">
        <f>IF(Inventory_Data[[#This Row],[Closing Stock]]&lt;=Inventory_Data[[#This Row],[Reorder Level]],"Low Stock","In Stock")</f>
        <v>In Stock</v>
      </c>
      <c r="P52" t="str">
        <f>TEXT(Inventory_Data[[#This Row],[Date]],"MMM")</f>
        <v>Jan</v>
      </c>
      <c r="Q52" t="str">
        <f>TEXT(Inventory_Data[[#This Row],[Date]],"YYYY")</f>
        <v>2025</v>
      </c>
    </row>
    <row r="53" spans="1:17" x14ac:dyDescent="0.3">
      <c r="A53" s="1">
        <v>45670</v>
      </c>
      <c r="B53" t="s">
        <v>38</v>
      </c>
      <c r="C53" t="s">
        <v>17</v>
      </c>
      <c r="D53" t="s">
        <v>37</v>
      </c>
      <c r="E53" t="s">
        <v>29</v>
      </c>
      <c r="F53">
        <v>10</v>
      </c>
      <c r="G53">
        <v>6</v>
      </c>
      <c r="H53">
        <v>16</v>
      </c>
      <c r="I53">
        <v>0</v>
      </c>
      <c r="J53">
        <v>10</v>
      </c>
      <c r="K53">
        <v>8008</v>
      </c>
      <c r="L53">
        <v>0</v>
      </c>
      <c r="M53">
        <f>Inventory_Data[[#This Row],[Opening Stock]]+Inventory_Data[[#This Row],[Purchase Qty]]-Inventory_Data[[#This Row],[Sales Qty]]-Inventory_Data[[#This Row],[Closing Stock]]</f>
        <v>0</v>
      </c>
      <c r="N53">
        <f>Inventory_Data[[#This Row],[Purchase Qty]]*Inventory_Data[[#This Row],[Unit Cost]]</f>
        <v>48048</v>
      </c>
      <c r="O53" t="str">
        <f>IF(Inventory_Data[[#This Row],[Closing Stock]]&lt;=Inventory_Data[[#This Row],[Reorder Level]],"Low Stock","In Stock")</f>
        <v>Low Stock</v>
      </c>
      <c r="P53" t="str">
        <f>TEXT(Inventory_Data[[#This Row],[Date]],"MMM")</f>
        <v>Jan</v>
      </c>
      <c r="Q53" t="str">
        <f>TEXT(Inventory_Data[[#This Row],[Date]],"YYYY")</f>
        <v>2025</v>
      </c>
    </row>
    <row r="54" spans="1:17" x14ac:dyDescent="0.3">
      <c r="A54" s="1">
        <v>45670</v>
      </c>
      <c r="B54" t="s">
        <v>41</v>
      </c>
      <c r="C54" t="s">
        <v>22</v>
      </c>
      <c r="D54" t="s">
        <v>23</v>
      </c>
      <c r="E54" t="s">
        <v>34</v>
      </c>
      <c r="F54">
        <v>391</v>
      </c>
      <c r="G54">
        <v>64</v>
      </c>
      <c r="H54">
        <v>56</v>
      </c>
      <c r="I54">
        <v>399</v>
      </c>
      <c r="J54">
        <v>67</v>
      </c>
      <c r="K54">
        <v>424</v>
      </c>
      <c r="L54">
        <v>169176</v>
      </c>
      <c r="M54">
        <f>Inventory_Data[[#This Row],[Opening Stock]]+Inventory_Data[[#This Row],[Purchase Qty]]-Inventory_Data[[#This Row],[Sales Qty]]-Inventory_Data[[#This Row],[Closing Stock]]</f>
        <v>0</v>
      </c>
      <c r="N54">
        <f>Inventory_Data[[#This Row],[Purchase Qty]]*Inventory_Data[[#This Row],[Unit Cost]]</f>
        <v>27136</v>
      </c>
      <c r="O54" t="str">
        <f>IF(Inventory_Data[[#This Row],[Closing Stock]]&lt;=Inventory_Data[[#This Row],[Reorder Level]],"Low Stock","In Stock")</f>
        <v>In Stock</v>
      </c>
      <c r="P54" t="str">
        <f>TEXT(Inventory_Data[[#This Row],[Date]],"MMM")</f>
        <v>Jan</v>
      </c>
      <c r="Q54" t="str">
        <f>TEXT(Inventory_Data[[#This Row],[Date]],"YYYY")</f>
        <v>2025</v>
      </c>
    </row>
    <row r="55" spans="1:17" x14ac:dyDescent="0.3">
      <c r="A55" s="1">
        <v>45670</v>
      </c>
      <c r="B55" t="s">
        <v>33</v>
      </c>
      <c r="C55" t="s">
        <v>13</v>
      </c>
      <c r="D55" t="s">
        <v>26</v>
      </c>
      <c r="E55" t="s">
        <v>18</v>
      </c>
      <c r="F55">
        <v>70</v>
      </c>
      <c r="G55">
        <v>22</v>
      </c>
      <c r="H55">
        <v>56</v>
      </c>
      <c r="I55">
        <v>36</v>
      </c>
      <c r="J55">
        <v>19</v>
      </c>
      <c r="K55">
        <v>6956</v>
      </c>
      <c r="L55">
        <v>250416</v>
      </c>
      <c r="M55">
        <f>Inventory_Data[[#This Row],[Opening Stock]]+Inventory_Data[[#This Row],[Purchase Qty]]-Inventory_Data[[#This Row],[Sales Qty]]-Inventory_Data[[#This Row],[Closing Stock]]</f>
        <v>0</v>
      </c>
      <c r="N55">
        <f>Inventory_Data[[#This Row],[Purchase Qty]]*Inventory_Data[[#This Row],[Unit Cost]]</f>
        <v>153032</v>
      </c>
      <c r="O55" t="str">
        <f>IF(Inventory_Data[[#This Row],[Closing Stock]]&lt;=Inventory_Data[[#This Row],[Reorder Level]],"Low Stock","In Stock")</f>
        <v>In Stock</v>
      </c>
      <c r="P55" t="str">
        <f>TEXT(Inventory_Data[[#This Row],[Date]],"MMM")</f>
        <v>Jan</v>
      </c>
      <c r="Q55" t="str">
        <f>TEXT(Inventory_Data[[#This Row],[Date]],"YYYY")</f>
        <v>2025</v>
      </c>
    </row>
    <row r="56" spans="1:17" x14ac:dyDescent="0.3">
      <c r="A56" s="1">
        <v>45670</v>
      </c>
      <c r="B56" t="s">
        <v>38</v>
      </c>
      <c r="C56" t="s">
        <v>17</v>
      </c>
      <c r="D56" t="s">
        <v>23</v>
      </c>
      <c r="E56" t="s">
        <v>29</v>
      </c>
      <c r="F56">
        <v>90</v>
      </c>
      <c r="G56">
        <v>19</v>
      </c>
      <c r="H56">
        <v>37</v>
      </c>
      <c r="I56">
        <v>72</v>
      </c>
      <c r="J56">
        <v>24</v>
      </c>
      <c r="K56">
        <v>5815</v>
      </c>
      <c r="L56">
        <v>418680</v>
      </c>
      <c r="M56">
        <f>Inventory_Data[[#This Row],[Opening Stock]]+Inventory_Data[[#This Row],[Purchase Qty]]-Inventory_Data[[#This Row],[Sales Qty]]-Inventory_Data[[#This Row],[Closing Stock]]</f>
        <v>0</v>
      </c>
      <c r="N56">
        <f>Inventory_Data[[#This Row],[Purchase Qty]]*Inventory_Data[[#This Row],[Unit Cost]]</f>
        <v>110485</v>
      </c>
      <c r="O56" t="str">
        <f>IF(Inventory_Data[[#This Row],[Closing Stock]]&lt;=Inventory_Data[[#This Row],[Reorder Level]],"Low Stock","In Stock")</f>
        <v>In Stock</v>
      </c>
      <c r="P56" t="str">
        <f>TEXT(Inventory_Data[[#This Row],[Date]],"MMM")</f>
        <v>Jan</v>
      </c>
      <c r="Q56" t="str">
        <f>TEXT(Inventory_Data[[#This Row],[Date]],"YYYY")</f>
        <v>2025</v>
      </c>
    </row>
    <row r="57" spans="1:17" x14ac:dyDescent="0.3">
      <c r="A57" s="1">
        <v>45670</v>
      </c>
      <c r="B57" t="s">
        <v>36</v>
      </c>
      <c r="C57" t="s">
        <v>22</v>
      </c>
      <c r="D57" t="s">
        <v>26</v>
      </c>
      <c r="E57" t="s">
        <v>34</v>
      </c>
      <c r="F57">
        <v>186</v>
      </c>
      <c r="G57">
        <v>202</v>
      </c>
      <c r="H57">
        <v>239</v>
      </c>
      <c r="I57">
        <v>149</v>
      </c>
      <c r="J57">
        <v>92</v>
      </c>
      <c r="K57">
        <v>262</v>
      </c>
      <c r="L57">
        <v>39038</v>
      </c>
      <c r="M57">
        <f>Inventory_Data[[#This Row],[Opening Stock]]+Inventory_Data[[#This Row],[Purchase Qty]]-Inventory_Data[[#This Row],[Sales Qty]]-Inventory_Data[[#This Row],[Closing Stock]]</f>
        <v>0</v>
      </c>
      <c r="N57">
        <f>Inventory_Data[[#This Row],[Purchase Qty]]*Inventory_Data[[#This Row],[Unit Cost]]</f>
        <v>52924</v>
      </c>
      <c r="O57" t="str">
        <f>IF(Inventory_Data[[#This Row],[Closing Stock]]&lt;=Inventory_Data[[#This Row],[Reorder Level]],"Low Stock","In Stock")</f>
        <v>In Stock</v>
      </c>
      <c r="P57" t="str">
        <f>TEXT(Inventory_Data[[#This Row],[Date]],"MMM")</f>
        <v>Jan</v>
      </c>
      <c r="Q57" t="str">
        <f>TEXT(Inventory_Data[[#This Row],[Date]],"YYYY")</f>
        <v>2025</v>
      </c>
    </row>
    <row r="58" spans="1:17" x14ac:dyDescent="0.3">
      <c r="A58" s="1">
        <v>45671</v>
      </c>
      <c r="B58" t="s">
        <v>36</v>
      </c>
      <c r="C58" t="s">
        <v>22</v>
      </c>
      <c r="D58" t="s">
        <v>14</v>
      </c>
      <c r="E58" t="s">
        <v>34</v>
      </c>
      <c r="F58">
        <v>130</v>
      </c>
      <c r="G58">
        <v>236</v>
      </c>
      <c r="H58">
        <v>213</v>
      </c>
      <c r="I58">
        <v>153</v>
      </c>
      <c r="J58">
        <v>83</v>
      </c>
      <c r="K58">
        <v>42</v>
      </c>
      <c r="L58">
        <v>6426</v>
      </c>
      <c r="M58">
        <f>Inventory_Data[[#This Row],[Opening Stock]]+Inventory_Data[[#This Row],[Purchase Qty]]-Inventory_Data[[#This Row],[Sales Qty]]-Inventory_Data[[#This Row],[Closing Stock]]</f>
        <v>0</v>
      </c>
      <c r="N58">
        <f>Inventory_Data[[#This Row],[Purchase Qty]]*Inventory_Data[[#This Row],[Unit Cost]]</f>
        <v>9912</v>
      </c>
      <c r="O58" t="str">
        <f>IF(Inventory_Data[[#This Row],[Closing Stock]]&lt;=Inventory_Data[[#This Row],[Reorder Level]],"Low Stock","In Stock")</f>
        <v>In Stock</v>
      </c>
      <c r="P58" t="str">
        <f>TEXT(Inventory_Data[[#This Row],[Date]],"MMM")</f>
        <v>Jan</v>
      </c>
      <c r="Q58" t="str">
        <f>TEXT(Inventory_Data[[#This Row],[Date]],"YYYY")</f>
        <v>2025</v>
      </c>
    </row>
    <row r="59" spans="1:17" x14ac:dyDescent="0.3">
      <c r="A59" s="1">
        <v>45671</v>
      </c>
      <c r="B59" t="s">
        <v>31</v>
      </c>
      <c r="C59" t="s">
        <v>22</v>
      </c>
      <c r="D59" t="s">
        <v>37</v>
      </c>
      <c r="E59" t="s">
        <v>29</v>
      </c>
      <c r="F59">
        <v>148</v>
      </c>
      <c r="G59">
        <v>62</v>
      </c>
      <c r="H59">
        <v>210</v>
      </c>
      <c r="I59">
        <v>0</v>
      </c>
      <c r="J59">
        <v>68</v>
      </c>
      <c r="K59">
        <v>53</v>
      </c>
      <c r="L59">
        <v>0</v>
      </c>
      <c r="M59">
        <f>Inventory_Data[[#This Row],[Opening Stock]]+Inventory_Data[[#This Row],[Purchase Qty]]-Inventory_Data[[#This Row],[Sales Qty]]-Inventory_Data[[#This Row],[Closing Stock]]</f>
        <v>0</v>
      </c>
      <c r="N59">
        <f>Inventory_Data[[#This Row],[Purchase Qty]]*Inventory_Data[[#This Row],[Unit Cost]]</f>
        <v>3286</v>
      </c>
      <c r="O59" t="str">
        <f>IF(Inventory_Data[[#This Row],[Closing Stock]]&lt;=Inventory_Data[[#This Row],[Reorder Level]],"Low Stock","In Stock")</f>
        <v>Low Stock</v>
      </c>
      <c r="P59" t="str">
        <f>TEXT(Inventory_Data[[#This Row],[Date]],"MMM")</f>
        <v>Jan</v>
      </c>
      <c r="Q59" t="str">
        <f>TEXT(Inventory_Data[[#This Row],[Date]],"YYYY")</f>
        <v>2025</v>
      </c>
    </row>
    <row r="60" spans="1:17" x14ac:dyDescent="0.3">
      <c r="A60" s="1">
        <v>45671</v>
      </c>
      <c r="B60" t="s">
        <v>41</v>
      </c>
      <c r="C60" t="s">
        <v>22</v>
      </c>
      <c r="D60" t="s">
        <v>23</v>
      </c>
      <c r="E60" t="s">
        <v>29</v>
      </c>
      <c r="F60">
        <v>420</v>
      </c>
      <c r="G60">
        <v>141</v>
      </c>
      <c r="H60">
        <v>237</v>
      </c>
      <c r="I60">
        <v>324</v>
      </c>
      <c r="J60">
        <v>90</v>
      </c>
      <c r="K60">
        <v>504</v>
      </c>
      <c r="L60">
        <v>163296</v>
      </c>
      <c r="M60">
        <f>Inventory_Data[[#This Row],[Opening Stock]]+Inventory_Data[[#This Row],[Purchase Qty]]-Inventory_Data[[#This Row],[Sales Qty]]-Inventory_Data[[#This Row],[Closing Stock]]</f>
        <v>0</v>
      </c>
      <c r="N60">
        <f>Inventory_Data[[#This Row],[Purchase Qty]]*Inventory_Data[[#This Row],[Unit Cost]]</f>
        <v>71064</v>
      </c>
      <c r="O60" t="str">
        <f>IF(Inventory_Data[[#This Row],[Closing Stock]]&lt;=Inventory_Data[[#This Row],[Reorder Level]],"Low Stock","In Stock")</f>
        <v>In Stock</v>
      </c>
      <c r="P60" t="str">
        <f>TEXT(Inventory_Data[[#This Row],[Date]],"MMM")</f>
        <v>Jan</v>
      </c>
      <c r="Q60" t="str">
        <f>TEXT(Inventory_Data[[#This Row],[Date]],"YYYY")</f>
        <v>2025</v>
      </c>
    </row>
    <row r="61" spans="1:17" x14ac:dyDescent="0.3">
      <c r="A61" s="1">
        <v>45671</v>
      </c>
      <c r="B61" t="s">
        <v>27</v>
      </c>
      <c r="C61" t="s">
        <v>28</v>
      </c>
      <c r="D61" t="s">
        <v>14</v>
      </c>
      <c r="E61" t="s">
        <v>15</v>
      </c>
      <c r="F61">
        <v>28</v>
      </c>
      <c r="G61">
        <v>99</v>
      </c>
      <c r="H61">
        <v>57</v>
      </c>
      <c r="I61">
        <v>70</v>
      </c>
      <c r="J61">
        <v>39</v>
      </c>
      <c r="K61">
        <v>56993</v>
      </c>
      <c r="L61">
        <v>3989510</v>
      </c>
      <c r="M61">
        <f>Inventory_Data[[#This Row],[Opening Stock]]+Inventory_Data[[#This Row],[Purchase Qty]]-Inventory_Data[[#This Row],[Sales Qty]]-Inventory_Data[[#This Row],[Closing Stock]]</f>
        <v>0</v>
      </c>
      <c r="N61">
        <f>Inventory_Data[[#This Row],[Purchase Qty]]*Inventory_Data[[#This Row],[Unit Cost]]</f>
        <v>5642307</v>
      </c>
      <c r="O61" t="str">
        <f>IF(Inventory_Data[[#This Row],[Closing Stock]]&lt;=Inventory_Data[[#This Row],[Reorder Level]],"Low Stock","In Stock")</f>
        <v>In Stock</v>
      </c>
      <c r="P61" t="str">
        <f>TEXT(Inventory_Data[[#This Row],[Date]],"MMM")</f>
        <v>Jan</v>
      </c>
      <c r="Q61" t="str">
        <f>TEXT(Inventory_Data[[#This Row],[Date]],"YYYY")</f>
        <v>2025</v>
      </c>
    </row>
    <row r="62" spans="1:17" x14ac:dyDescent="0.3">
      <c r="A62" s="1">
        <v>45671</v>
      </c>
      <c r="B62" t="s">
        <v>12</v>
      </c>
      <c r="C62" t="s">
        <v>13</v>
      </c>
      <c r="D62" t="s">
        <v>26</v>
      </c>
      <c r="E62" t="s">
        <v>20</v>
      </c>
      <c r="F62">
        <v>38</v>
      </c>
      <c r="G62">
        <v>61</v>
      </c>
      <c r="H62">
        <v>52</v>
      </c>
      <c r="I62">
        <v>47</v>
      </c>
      <c r="J62">
        <v>19</v>
      </c>
      <c r="K62">
        <v>11764</v>
      </c>
      <c r="L62">
        <v>552908</v>
      </c>
      <c r="M62">
        <f>Inventory_Data[[#This Row],[Opening Stock]]+Inventory_Data[[#This Row],[Purchase Qty]]-Inventory_Data[[#This Row],[Sales Qty]]-Inventory_Data[[#This Row],[Closing Stock]]</f>
        <v>0</v>
      </c>
      <c r="N62">
        <f>Inventory_Data[[#This Row],[Purchase Qty]]*Inventory_Data[[#This Row],[Unit Cost]]</f>
        <v>717604</v>
      </c>
      <c r="O62" t="str">
        <f>IF(Inventory_Data[[#This Row],[Closing Stock]]&lt;=Inventory_Data[[#This Row],[Reorder Level]],"Low Stock","In Stock")</f>
        <v>In Stock</v>
      </c>
      <c r="P62" t="str">
        <f>TEXT(Inventory_Data[[#This Row],[Date]],"MMM")</f>
        <v>Jan</v>
      </c>
      <c r="Q62" t="str">
        <f>TEXT(Inventory_Data[[#This Row],[Date]],"YYYY")</f>
        <v>2025</v>
      </c>
    </row>
    <row r="63" spans="1:17" x14ac:dyDescent="0.3">
      <c r="A63" s="1">
        <v>45671</v>
      </c>
      <c r="B63" t="s">
        <v>35</v>
      </c>
      <c r="C63" t="s">
        <v>22</v>
      </c>
      <c r="D63" t="s">
        <v>26</v>
      </c>
      <c r="E63" t="s">
        <v>34</v>
      </c>
      <c r="F63">
        <v>406</v>
      </c>
      <c r="G63">
        <v>135</v>
      </c>
      <c r="H63">
        <v>84</v>
      </c>
      <c r="I63">
        <v>457</v>
      </c>
      <c r="J63">
        <v>145</v>
      </c>
      <c r="K63">
        <v>213</v>
      </c>
      <c r="L63">
        <v>97341</v>
      </c>
      <c r="M63">
        <f>Inventory_Data[[#This Row],[Opening Stock]]+Inventory_Data[[#This Row],[Purchase Qty]]-Inventory_Data[[#This Row],[Sales Qty]]-Inventory_Data[[#This Row],[Closing Stock]]</f>
        <v>0</v>
      </c>
      <c r="N63">
        <f>Inventory_Data[[#This Row],[Purchase Qty]]*Inventory_Data[[#This Row],[Unit Cost]]</f>
        <v>28755</v>
      </c>
      <c r="O63" t="str">
        <f>IF(Inventory_Data[[#This Row],[Closing Stock]]&lt;=Inventory_Data[[#This Row],[Reorder Level]],"Low Stock","In Stock")</f>
        <v>In Stock</v>
      </c>
      <c r="P63" t="str">
        <f>TEXT(Inventory_Data[[#This Row],[Date]],"MMM")</f>
        <v>Jan</v>
      </c>
      <c r="Q63" t="str">
        <f>TEXT(Inventory_Data[[#This Row],[Date]],"YYYY")</f>
        <v>2025</v>
      </c>
    </row>
    <row r="64" spans="1:17" x14ac:dyDescent="0.3">
      <c r="A64" s="1">
        <v>45671</v>
      </c>
      <c r="B64" t="s">
        <v>35</v>
      </c>
      <c r="C64" t="s">
        <v>22</v>
      </c>
      <c r="D64" t="s">
        <v>14</v>
      </c>
      <c r="E64" t="s">
        <v>34</v>
      </c>
      <c r="F64">
        <v>183</v>
      </c>
      <c r="G64">
        <v>105</v>
      </c>
      <c r="H64">
        <v>93</v>
      </c>
      <c r="I64">
        <v>195</v>
      </c>
      <c r="J64">
        <v>79</v>
      </c>
      <c r="K64">
        <v>689</v>
      </c>
      <c r="L64">
        <v>134355</v>
      </c>
      <c r="M64">
        <f>Inventory_Data[[#This Row],[Opening Stock]]+Inventory_Data[[#This Row],[Purchase Qty]]-Inventory_Data[[#This Row],[Sales Qty]]-Inventory_Data[[#This Row],[Closing Stock]]</f>
        <v>0</v>
      </c>
      <c r="N64">
        <f>Inventory_Data[[#This Row],[Purchase Qty]]*Inventory_Data[[#This Row],[Unit Cost]]</f>
        <v>72345</v>
      </c>
      <c r="O64" t="str">
        <f>IF(Inventory_Data[[#This Row],[Closing Stock]]&lt;=Inventory_Data[[#This Row],[Reorder Level]],"Low Stock","In Stock")</f>
        <v>In Stock</v>
      </c>
      <c r="P64" t="str">
        <f>TEXT(Inventory_Data[[#This Row],[Date]],"MMM")</f>
        <v>Jan</v>
      </c>
      <c r="Q64" t="str">
        <f>TEXT(Inventory_Data[[#This Row],[Date]],"YYYY")</f>
        <v>2025</v>
      </c>
    </row>
    <row r="65" spans="1:17" x14ac:dyDescent="0.3">
      <c r="A65" s="1">
        <v>45671</v>
      </c>
      <c r="B65" t="s">
        <v>43</v>
      </c>
      <c r="C65" t="s">
        <v>22</v>
      </c>
      <c r="D65" t="s">
        <v>14</v>
      </c>
      <c r="E65" t="s">
        <v>18</v>
      </c>
      <c r="F65">
        <v>408</v>
      </c>
      <c r="G65">
        <v>272</v>
      </c>
      <c r="H65">
        <v>154</v>
      </c>
      <c r="I65">
        <v>526</v>
      </c>
      <c r="J65">
        <v>80</v>
      </c>
      <c r="K65">
        <v>910</v>
      </c>
      <c r="L65">
        <v>478660</v>
      </c>
      <c r="M65">
        <f>Inventory_Data[[#This Row],[Opening Stock]]+Inventory_Data[[#This Row],[Purchase Qty]]-Inventory_Data[[#This Row],[Sales Qty]]-Inventory_Data[[#This Row],[Closing Stock]]</f>
        <v>0</v>
      </c>
      <c r="N65">
        <f>Inventory_Data[[#This Row],[Purchase Qty]]*Inventory_Data[[#This Row],[Unit Cost]]</f>
        <v>247520</v>
      </c>
      <c r="O65" t="str">
        <f>IF(Inventory_Data[[#This Row],[Closing Stock]]&lt;=Inventory_Data[[#This Row],[Reorder Level]],"Low Stock","In Stock")</f>
        <v>In Stock</v>
      </c>
      <c r="P65" t="str">
        <f>TEXT(Inventory_Data[[#This Row],[Date]],"MMM")</f>
        <v>Jan</v>
      </c>
      <c r="Q65" t="str">
        <f>TEXT(Inventory_Data[[#This Row],[Date]],"YYYY")</f>
        <v>2025</v>
      </c>
    </row>
    <row r="66" spans="1:17" x14ac:dyDescent="0.3">
      <c r="A66" s="1">
        <v>45672</v>
      </c>
      <c r="B66" t="s">
        <v>25</v>
      </c>
      <c r="C66" t="s">
        <v>17</v>
      </c>
      <c r="D66" t="s">
        <v>26</v>
      </c>
      <c r="E66" t="s">
        <v>29</v>
      </c>
      <c r="F66">
        <v>57</v>
      </c>
      <c r="G66">
        <v>15</v>
      </c>
      <c r="H66">
        <v>35</v>
      </c>
      <c r="I66">
        <v>37</v>
      </c>
      <c r="J66">
        <v>12</v>
      </c>
      <c r="K66">
        <v>24441</v>
      </c>
      <c r="L66">
        <v>904317</v>
      </c>
      <c r="M66">
        <f>Inventory_Data[[#This Row],[Opening Stock]]+Inventory_Data[[#This Row],[Purchase Qty]]-Inventory_Data[[#This Row],[Sales Qty]]-Inventory_Data[[#This Row],[Closing Stock]]</f>
        <v>0</v>
      </c>
      <c r="N66">
        <f>Inventory_Data[[#This Row],[Purchase Qty]]*Inventory_Data[[#This Row],[Unit Cost]]</f>
        <v>366615</v>
      </c>
      <c r="O66" t="str">
        <f>IF(Inventory_Data[[#This Row],[Closing Stock]]&lt;=Inventory_Data[[#This Row],[Reorder Level]],"Low Stock","In Stock")</f>
        <v>In Stock</v>
      </c>
      <c r="P66" t="str">
        <f>TEXT(Inventory_Data[[#This Row],[Date]],"MMM")</f>
        <v>Jan</v>
      </c>
      <c r="Q66" t="str">
        <f>TEXT(Inventory_Data[[#This Row],[Date]],"YYYY")</f>
        <v>2025</v>
      </c>
    </row>
    <row r="67" spans="1:17" x14ac:dyDescent="0.3">
      <c r="A67" s="1">
        <v>45672</v>
      </c>
      <c r="B67" t="s">
        <v>44</v>
      </c>
      <c r="C67" t="s">
        <v>28</v>
      </c>
      <c r="D67" t="s">
        <v>26</v>
      </c>
      <c r="E67" t="s">
        <v>29</v>
      </c>
      <c r="F67">
        <v>80</v>
      </c>
      <c r="G67">
        <v>30</v>
      </c>
      <c r="H67">
        <v>50</v>
      </c>
      <c r="I67">
        <v>60</v>
      </c>
      <c r="J67">
        <v>25</v>
      </c>
      <c r="K67">
        <v>27876</v>
      </c>
      <c r="L67">
        <v>1672560</v>
      </c>
      <c r="M67">
        <f>Inventory_Data[[#This Row],[Opening Stock]]+Inventory_Data[[#This Row],[Purchase Qty]]-Inventory_Data[[#This Row],[Sales Qty]]-Inventory_Data[[#This Row],[Closing Stock]]</f>
        <v>0</v>
      </c>
      <c r="N67">
        <f>Inventory_Data[[#This Row],[Purchase Qty]]*Inventory_Data[[#This Row],[Unit Cost]]</f>
        <v>836280</v>
      </c>
      <c r="O67" t="str">
        <f>IF(Inventory_Data[[#This Row],[Closing Stock]]&lt;=Inventory_Data[[#This Row],[Reorder Level]],"Low Stock","In Stock")</f>
        <v>In Stock</v>
      </c>
      <c r="P67" t="str">
        <f>TEXT(Inventory_Data[[#This Row],[Date]],"MMM")</f>
        <v>Jan</v>
      </c>
      <c r="Q67" t="str">
        <f>TEXT(Inventory_Data[[#This Row],[Date]],"YYYY")</f>
        <v>2025</v>
      </c>
    </row>
    <row r="68" spans="1:17" x14ac:dyDescent="0.3">
      <c r="A68" s="1">
        <v>45673</v>
      </c>
      <c r="B68" t="s">
        <v>42</v>
      </c>
      <c r="C68" t="s">
        <v>17</v>
      </c>
      <c r="D68" t="s">
        <v>23</v>
      </c>
      <c r="E68" t="s">
        <v>24</v>
      </c>
      <c r="F68">
        <v>10</v>
      </c>
      <c r="G68">
        <v>49</v>
      </c>
      <c r="H68">
        <v>22</v>
      </c>
      <c r="I68">
        <v>37</v>
      </c>
      <c r="J68">
        <v>22</v>
      </c>
      <c r="K68">
        <v>18553</v>
      </c>
      <c r="L68">
        <v>686461</v>
      </c>
      <c r="M68">
        <f>Inventory_Data[[#This Row],[Opening Stock]]+Inventory_Data[[#This Row],[Purchase Qty]]-Inventory_Data[[#This Row],[Sales Qty]]-Inventory_Data[[#This Row],[Closing Stock]]</f>
        <v>0</v>
      </c>
      <c r="N68">
        <f>Inventory_Data[[#This Row],[Purchase Qty]]*Inventory_Data[[#This Row],[Unit Cost]]</f>
        <v>909097</v>
      </c>
      <c r="O68" t="str">
        <f>IF(Inventory_Data[[#This Row],[Closing Stock]]&lt;=Inventory_Data[[#This Row],[Reorder Level]],"Low Stock","In Stock")</f>
        <v>In Stock</v>
      </c>
      <c r="P68" t="str">
        <f>TEXT(Inventory_Data[[#This Row],[Date]],"MMM")</f>
        <v>Jan</v>
      </c>
      <c r="Q68" t="str">
        <f>TEXT(Inventory_Data[[#This Row],[Date]],"YYYY")</f>
        <v>2025</v>
      </c>
    </row>
    <row r="69" spans="1:17" x14ac:dyDescent="0.3">
      <c r="A69" s="1">
        <v>45673</v>
      </c>
      <c r="B69" t="s">
        <v>31</v>
      </c>
      <c r="C69" t="s">
        <v>22</v>
      </c>
      <c r="D69" t="s">
        <v>37</v>
      </c>
      <c r="E69" t="s">
        <v>20</v>
      </c>
      <c r="F69">
        <v>246</v>
      </c>
      <c r="G69">
        <v>287</v>
      </c>
      <c r="H69">
        <v>253</v>
      </c>
      <c r="I69">
        <v>280</v>
      </c>
      <c r="J69">
        <v>103</v>
      </c>
      <c r="K69">
        <v>124</v>
      </c>
      <c r="L69">
        <v>34720</v>
      </c>
      <c r="M69">
        <f>Inventory_Data[[#This Row],[Opening Stock]]+Inventory_Data[[#This Row],[Purchase Qty]]-Inventory_Data[[#This Row],[Sales Qty]]-Inventory_Data[[#This Row],[Closing Stock]]</f>
        <v>0</v>
      </c>
      <c r="N69">
        <f>Inventory_Data[[#This Row],[Purchase Qty]]*Inventory_Data[[#This Row],[Unit Cost]]</f>
        <v>35588</v>
      </c>
      <c r="O69" t="str">
        <f>IF(Inventory_Data[[#This Row],[Closing Stock]]&lt;=Inventory_Data[[#This Row],[Reorder Level]],"Low Stock","In Stock")</f>
        <v>In Stock</v>
      </c>
      <c r="P69" t="str">
        <f>TEXT(Inventory_Data[[#This Row],[Date]],"MMM")</f>
        <v>Jan</v>
      </c>
      <c r="Q69" t="str">
        <f>TEXT(Inventory_Data[[#This Row],[Date]],"YYYY")</f>
        <v>2025</v>
      </c>
    </row>
    <row r="70" spans="1:17" x14ac:dyDescent="0.3">
      <c r="A70" s="1">
        <v>45673</v>
      </c>
      <c r="B70" t="s">
        <v>43</v>
      </c>
      <c r="C70" t="s">
        <v>22</v>
      </c>
      <c r="D70" t="s">
        <v>37</v>
      </c>
      <c r="E70" t="s">
        <v>24</v>
      </c>
      <c r="F70">
        <v>473</v>
      </c>
      <c r="G70">
        <v>41</v>
      </c>
      <c r="H70">
        <v>250</v>
      </c>
      <c r="I70">
        <v>264</v>
      </c>
      <c r="J70">
        <v>99</v>
      </c>
      <c r="K70">
        <v>40</v>
      </c>
      <c r="L70">
        <v>10560</v>
      </c>
      <c r="M70">
        <f>Inventory_Data[[#This Row],[Opening Stock]]+Inventory_Data[[#This Row],[Purchase Qty]]-Inventory_Data[[#This Row],[Sales Qty]]-Inventory_Data[[#This Row],[Closing Stock]]</f>
        <v>0</v>
      </c>
      <c r="N70">
        <f>Inventory_Data[[#This Row],[Purchase Qty]]*Inventory_Data[[#This Row],[Unit Cost]]</f>
        <v>1640</v>
      </c>
      <c r="O70" t="str">
        <f>IF(Inventory_Data[[#This Row],[Closing Stock]]&lt;=Inventory_Data[[#This Row],[Reorder Level]],"Low Stock","In Stock")</f>
        <v>In Stock</v>
      </c>
      <c r="P70" t="str">
        <f>TEXT(Inventory_Data[[#This Row],[Date]],"MMM")</f>
        <v>Jan</v>
      </c>
      <c r="Q70" t="str">
        <f>TEXT(Inventory_Data[[#This Row],[Date]],"YYYY")</f>
        <v>2025</v>
      </c>
    </row>
    <row r="71" spans="1:17" x14ac:dyDescent="0.3">
      <c r="A71" s="1">
        <v>45673</v>
      </c>
      <c r="B71" t="s">
        <v>45</v>
      </c>
      <c r="C71" t="s">
        <v>13</v>
      </c>
      <c r="D71" t="s">
        <v>23</v>
      </c>
      <c r="E71" t="s">
        <v>24</v>
      </c>
      <c r="F71">
        <v>35</v>
      </c>
      <c r="G71">
        <v>46</v>
      </c>
      <c r="H71">
        <v>56</v>
      </c>
      <c r="I71">
        <v>25</v>
      </c>
      <c r="J71">
        <v>32</v>
      </c>
      <c r="K71">
        <v>5249</v>
      </c>
      <c r="L71">
        <v>131225</v>
      </c>
      <c r="M71">
        <f>Inventory_Data[[#This Row],[Opening Stock]]+Inventory_Data[[#This Row],[Purchase Qty]]-Inventory_Data[[#This Row],[Sales Qty]]-Inventory_Data[[#This Row],[Closing Stock]]</f>
        <v>0</v>
      </c>
      <c r="N71">
        <f>Inventory_Data[[#This Row],[Purchase Qty]]*Inventory_Data[[#This Row],[Unit Cost]]</f>
        <v>241454</v>
      </c>
      <c r="O71" t="str">
        <f>IF(Inventory_Data[[#This Row],[Closing Stock]]&lt;=Inventory_Data[[#This Row],[Reorder Level]],"Low Stock","In Stock")</f>
        <v>Low Stock</v>
      </c>
      <c r="P71" t="str">
        <f>TEXT(Inventory_Data[[#This Row],[Date]],"MMM")</f>
        <v>Jan</v>
      </c>
      <c r="Q71" t="str">
        <f>TEXT(Inventory_Data[[#This Row],[Date]],"YYYY")</f>
        <v>2025</v>
      </c>
    </row>
    <row r="72" spans="1:17" x14ac:dyDescent="0.3">
      <c r="A72" s="1">
        <v>45673</v>
      </c>
      <c r="B72" t="s">
        <v>33</v>
      </c>
      <c r="C72" t="s">
        <v>13</v>
      </c>
      <c r="D72" t="s">
        <v>23</v>
      </c>
      <c r="E72" t="s">
        <v>15</v>
      </c>
      <c r="F72">
        <v>90</v>
      </c>
      <c r="G72">
        <v>43</v>
      </c>
      <c r="H72">
        <v>27</v>
      </c>
      <c r="I72">
        <v>106</v>
      </c>
      <c r="J72">
        <v>38</v>
      </c>
      <c r="K72">
        <v>9833</v>
      </c>
      <c r="L72">
        <v>1042298</v>
      </c>
      <c r="M72">
        <f>Inventory_Data[[#This Row],[Opening Stock]]+Inventory_Data[[#This Row],[Purchase Qty]]-Inventory_Data[[#This Row],[Sales Qty]]-Inventory_Data[[#This Row],[Closing Stock]]</f>
        <v>0</v>
      </c>
      <c r="N72">
        <f>Inventory_Data[[#This Row],[Purchase Qty]]*Inventory_Data[[#This Row],[Unit Cost]]</f>
        <v>422819</v>
      </c>
      <c r="O72" t="str">
        <f>IF(Inventory_Data[[#This Row],[Closing Stock]]&lt;=Inventory_Data[[#This Row],[Reorder Level]],"Low Stock","In Stock")</f>
        <v>In Stock</v>
      </c>
      <c r="P72" t="str">
        <f>TEXT(Inventory_Data[[#This Row],[Date]],"MMM")</f>
        <v>Jan</v>
      </c>
      <c r="Q72" t="str">
        <f>TEXT(Inventory_Data[[#This Row],[Date]],"YYYY")</f>
        <v>2025</v>
      </c>
    </row>
    <row r="73" spans="1:17" x14ac:dyDescent="0.3">
      <c r="A73" s="1">
        <v>45673</v>
      </c>
      <c r="B73" t="s">
        <v>40</v>
      </c>
      <c r="C73" t="s">
        <v>28</v>
      </c>
      <c r="D73" t="s">
        <v>37</v>
      </c>
      <c r="E73" t="s">
        <v>20</v>
      </c>
      <c r="F73">
        <v>130</v>
      </c>
      <c r="G73">
        <v>113</v>
      </c>
      <c r="H73">
        <v>77</v>
      </c>
      <c r="I73">
        <v>166</v>
      </c>
      <c r="J73">
        <v>53</v>
      </c>
      <c r="K73">
        <v>17290</v>
      </c>
      <c r="L73">
        <v>2870140</v>
      </c>
      <c r="M73">
        <f>Inventory_Data[[#This Row],[Opening Stock]]+Inventory_Data[[#This Row],[Purchase Qty]]-Inventory_Data[[#This Row],[Sales Qty]]-Inventory_Data[[#This Row],[Closing Stock]]</f>
        <v>0</v>
      </c>
      <c r="N73">
        <f>Inventory_Data[[#This Row],[Purchase Qty]]*Inventory_Data[[#This Row],[Unit Cost]]</f>
        <v>1953770</v>
      </c>
      <c r="O73" t="str">
        <f>IF(Inventory_Data[[#This Row],[Closing Stock]]&lt;=Inventory_Data[[#This Row],[Reorder Level]],"Low Stock","In Stock")</f>
        <v>In Stock</v>
      </c>
      <c r="P73" t="str">
        <f>TEXT(Inventory_Data[[#This Row],[Date]],"MMM")</f>
        <v>Jan</v>
      </c>
      <c r="Q73" t="str">
        <f>TEXT(Inventory_Data[[#This Row],[Date]],"YYYY")</f>
        <v>2025</v>
      </c>
    </row>
    <row r="74" spans="1:17" x14ac:dyDescent="0.3">
      <c r="A74" s="1">
        <v>45673</v>
      </c>
      <c r="B74" t="s">
        <v>31</v>
      </c>
      <c r="C74" t="s">
        <v>22</v>
      </c>
      <c r="D74" t="s">
        <v>37</v>
      </c>
      <c r="E74" t="s">
        <v>20</v>
      </c>
      <c r="F74">
        <v>473</v>
      </c>
      <c r="G74">
        <v>238</v>
      </c>
      <c r="H74">
        <v>167</v>
      </c>
      <c r="I74">
        <v>544</v>
      </c>
      <c r="J74">
        <v>137</v>
      </c>
      <c r="K74">
        <v>77</v>
      </c>
      <c r="L74">
        <v>41888</v>
      </c>
      <c r="M74">
        <f>Inventory_Data[[#This Row],[Opening Stock]]+Inventory_Data[[#This Row],[Purchase Qty]]-Inventory_Data[[#This Row],[Sales Qty]]-Inventory_Data[[#This Row],[Closing Stock]]</f>
        <v>0</v>
      </c>
      <c r="N74">
        <f>Inventory_Data[[#This Row],[Purchase Qty]]*Inventory_Data[[#This Row],[Unit Cost]]</f>
        <v>18326</v>
      </c>
      <c r="O74" t="str">
        <f>IF(Inventory_Data[[#This Row],[Closing Stock]]&lt;=Inventory_Data[[#This Row],[Reorder Level]],"Low Stock","In Stock")</f>
        <v>In Stock</v>
      </c>
      <c r="P74" t="str">
        <f>TEXT(Inventory_Data[[#This Row],[Date]],"MMM")</f>
        <v>Jan</v>
      </c>
      <c r="Q74" t="str">
        <f>TEXT(Inventory_Data[[#This Row],[Date]],"YYYY")</f>
        <v>2025</v>
      </c>
    </row>
    <row r="75" spans="1:17" x14ac:dyDescent="0.3">
      <c r="A75" s="1">
        <v>45673</v>
      </c>
      <c r="B75" t="s">
        <v>31</v>
      </c>
      <c r="C75" t="s">
        <v>22</v>
      </c>
      <c r="D75" t="s">
        <v>14</v>
      </c>
      <c r="E75" t="s">
        <v>20</v>
      </c>
      <c r="F75">
        <v>345</v>
      </c>
      <c r="G75">
        <v>135</v>
      </c>
      <c r="H75">
        <v>113</v>
      </c>
      <c r="I75">
        <v>367</v>
      </c>
      <c r="J75">
        <v>67</v>
      </c>
      <c r="K75">
        <v>380</v>
      </c>
      <c r="L75">
        <v>139460</v>
      </c>
      <c r="M75">
        <f>Inventory_Data[[#This Row],[Opening Stock]]+Inventory_Data[[#This Row],[Purchase Qty]]-Inventory_Data[[#This Row],[Sales Qty]]-Inventory_Data[[#This Row],[Closing Stock]]</f>
        <v>0</v>
      </c>
      <c r="N75">
        <f>Inventory_Data[[#This Row],[Purchase Qty]]*Inventory_Data[[#This Row],[Unit Cost]]</f>
        <v>51300</v>
      </c>
      <c r="O75" t="str">
        <f>IF(Inventory_Data[[#This Row],[Closing Stock]]&lt;=Inventory_Data[[#This Row],[Reorder Level]],"Low Stock","In Stock")</f>
        <v>In Stock</v>
      </c>
      <c r="P75" t="str">
        <f>TEXT(Inventory_Data[[#This Row],[Date]],"MMM")</f>
        <v>Jan</v>
      </c>
      <c r="Q75" t="str">
        <f>TEXT(Inventory_Data[[#This Row],[Date]],"YYYY")</f>
        <v>2025</v>
      </c>
    </row>
    <row r="76" spans="1:17" x14ac:dyDescent="0.3">
      <c r="A76" s="1">
        <v>45674</v>
      </c>
      <c r="B76" t="s">
        <v>21</v>
      </c>
      <c r="C76" t="s">
        <v>22</v>
      </c>
      <c r="D76" t="s">
        <v>37</v>
      </c>
      <c r="E76" t="s">
        <v>24</v>
      </c>
      <c r="F76">
        <v>182</v>
      </c>
      <c r="G76">
        <v>177</v>
      </c>
      <c r="H76">
        <v>241</v>
      </c>
      <c r="I76">
        <v>118</v>
      </c>
      <c r="J76">
        <v>149</v>
      </c>
      <c r="K76">
        <v>385</v>
      </c>
      <c r="L76">
        <v>45430</v>
      </c>
      <c r="M76">
        <f>Inventory_Data[[#This Row],[Opening Stock]]+Inventory_Data[[#This Row],[Purchase Qty]]-Inventory_Data[[#This Row],[Sales Qty]]-Inventory_Data[[#This Row],[Closing Stock]]</f>
        <v>0</v>
      </c>
      <c r="N76">
        <f>Inventory_Data[[#This Row],[Purchase Qty]]*Inventory_Data[[#This Row],[Unit Cost]]</f>
        <v>68145</v>
      </c>
      <c r="O76" t="str">
        <f>IF(Inventory_Data[[#This Row],[Closing Stock]]&lt;=Inventory_Data[[#This Row],[Reorder Level]],"Low Stock","In Stock")</f>
        <v>Low Stock</v>
      </c>
      <c r="P76" t="str">
        <f>TEXT(Inventory_Data[[#This Row],[Date]],"MMM")</f>
        <v>Jan</v>
      </c>
      <c r="Q76" t="str">
        <f>TEXT(Inventory_Data[[#This Row],[Date]],"YYYY")</f>
        <v>2025</v>
      </c>
    </row>
    <row r="77" spans="1:17" x14ac:dyDescent="0.3">
      <c r="A77" s="1">
        <v>45674</v>
      </c>
      <c r="B77" t="s">
        <v>27</v>
      </c>
      <c r="C77" t="s">
        <v>28</v>
      </c>
      <c r="D77" t="s">
        <v>23</v>
      </c>
      <c r="E77" t="s">
        <v>34</v>
      </c>
      <c r="F77">
        <v>92</v>
      </c>
      <c r="G77">
        <v>21</v>
      </c>
      <c r="H77">
        <v>90</v>
      </c>
      <c r="I77">
        <v>23</v>
      </c>
      <c r="J77">
        <v>31</v>
      </c>
      <c r="K77">
        <v>35090</v>
      </c>
      <c r="L77">
        <v>807070</v>
      </c>
      <c r="M77">
        <f>Inventory_Data[[#This Row],[Opening Stock]]+Inventory_Data[[#This Row],[Purchase Qty]]-Inventory_Data[[#This Row],[Sales Qty]]-Inventory_Data[[#This Row],[Closing Stock]]</f>
        <v>0</v>
      </c>
      <c r="N77">
        <f>Inventory_Data[[#This Row],[Purchase Qty]]*Inventory_Data[[#This Row],[Unit Cost]]</f>
        <v>736890</v>
      </c>
      <c r="O77" t="str">
        <f>IF(Inventory_Data[[#This Row],[Closing Stock]]&lt;=Inventory_Data[[#This Row],[Reorder Level]],"Low Stock","In Stock")</f>
        <v>Low Stock</v>
      </c>
      <c r="P77" t="str">
        <f>TEXT(Inventory_Data[[#This Row],[Date]],"MMM")</f>
        <v>Jan</v>
      </c>
      <c r="Q77" t="str">
        <f>TEXT(Inventory_Data[[#This Row],[Date]],"YYYY")</f>
        <v>2025</v>
      </c>
    </row>
    <row r="78" spans="1:17" x14ac:dyDescent="0.3">
      <c r="A78" s="1">
        <v>45674</v>
      </c>
      <c r="B78" t="s">
        <v>12</v>
      </c>
      <c r="C78" t="s">
        <v>13</v>
      </c>
      <c r="D78" t="s">
        <v>23</v>
      </c>
      <c r="E78" t="s">
        <v>18</v>
      </c>
      <c r="F78">
        <v>88</v>
      </c>
      <c r="G78">
        <v>22</v>
      </c>
      <c r="H78">
        <v>47</v>
      </c>
      <c r="I78">
        <v>63</v>
      </c>
      <c r="J78">
        <v>38</v>
      </c>
      <c r="K78">
        <v>7945</v>
      </c>
      <c r="L78">
        <v>500535</v>
      </c>
      <c r="M78">
        <f>Inventory_Data[[#This Row],[Opening Stock]]+Inventory_Data[[#This Row],[Purchase Qty]]-Inventory_Data[[#This Row],[Sales Qty]]-Inventory_Data[[#This Row],[Closing Stock]]</f>
        <v>0</v>
      </c>
      <c r="N78">
        <f>Inventory_Data[[#This Row],[Purchase Qty]]*Inventory_Data[[#This Row],[Unit Cost]]</f>
        <v>174790</v>
      </c>
      <c r="O78" t="str">
        <f>IF(Inventory_Data[[#This Row],[Closing Stock]]&lt;=Inventory_Data[[#This Row],[Reorder Level]],"Low Stock","In Stock")</f>
        <v>In Stock</v>
      </c>
      <c r="P78" t="str">
        <f>TEXT(Inventory_Data[[#This Row],[Date]],"MMM")</f>
        <v>Jan</v>
      </c>
      <c r="Q78" t="str">
        <f>TEXT(Inventory_Data[[#This Row],[Date]],"YYYY")</f>
        <v>2025</v>
      </c>
    </row>
    <row r="79" spans="1:17" x14ac:dyDescent="0.3">
      <c r="A79" s="1">
        <v>45674</v>
      </c>
      <c r="B79" t="s">
        <v>33</v>
      </c>
      <c r="C79" t="s">
        <v>13</v>
      </c>
      <c r="D79" t="s">
        <v>14</v>
      </c>
      <c r="E79" t="s">
        <v>18</v>
      </c>
      <c r="F79">
        <v>33</v>
      </c>
      <c r="G79">
        <v>74</v>
      </c>
      <c r="H79">
        <v>37</v>
      </c>
      <c r="I79">
        <v>70</v>
      </c>
      <c r="J79">
        <v>16</v>
      </c>
      <c r="K79">
        <v>9504</v>
      </c>
      <c r="L79">
        <v>665280</v>
      </c>
      <c r="M79">
        <f>Inventory_Data[[#This Row],[Opening Stock]]+Inventory_Data[[#This Row],[Purchase Qty]]-Inventory_Data[[#This Row],[Sales Qty]]-Inventory_Data[[#This Row],[Closing Stock]]</f>
        <v>0</v>
      </c>
      <c r="N79">
        <f>Inventory_Data[[#This Row],[Purchase Qty]]*Inventory_Data[[#This Row],[Unit Cost]]</f>
        <v>703296</v>
      </c>
      <c r="O79" t="str">
        <f>IF(Inventory_Data[[#This Row],[Closing Stock]]&lt;=Inventory_Data[[#This Row],[Reorder Level]],"Low Stock","In Stock")</f>
        <v>In Stock</v>
      </c>
      <c r="P79" t="str">
        <f>TEXT(Inventory_Data[[#This Row],[Date]],"MMM")</f>
        <v>Jan</v>
      </c>
      <c r="Q79" t="str">
        <f>TEXT(Inventory_Data[[#This Row],[Date]],"YYYY")</f>
        <v>2025</v>
      </c>
    </row>
    <row r="80" spans="1:17" x14ac:dyDescent="0.3">
      <c r="A80" s="1">
        <v>45674</v>
      </c>
      <c r="B80" t="s">
        <v>27</v>
      </c>
      <c r="C80" t="s">
        <v>28</v>
      </c>
      <c r="D80" t="s">
        <v>14</v>
      </c>
      <c r="E80" t="s">
        <v>20</v>
      </c>
      <c r="F80">
        <v>66</v>
      </c>
      <c r="G80">
        <v>71</v>
      </c>
      <c r="H80">
        <v>54</v>
      </c>
      <c r="I80">
        <v>83</v>
      </c>
      <c r="J80">
        <v>23</v>
      </c>
      <c r="K80">
        <v>26442</v>
      </c>
      <c r="L80">
        <v>2194686</v>
      </c>
      <c r="M80">
        <f>Inventory_Data[[#This Row],[Opening Stock]]+Inventory_Data[[#This Row],[Purchase Qty]]-Inventory_Data[[#This Row],[Sales Qty]]-Inventory_Data[[#This Row],[Closing Stock]]</f>
        <v>0</v>
      </c>
      <c r="N80">
        <f>Inventory_Data[[#This Row],[Purchase Qty]]*Inventory_Data[[#This Row],[Unit Cost]]</f>
        <v>1877382</v>
      </c>
      <c r="O80" t="str">
        <f>IF(Inventory_Data[[#This Row],[Closing Stock]]&lt;=Inventory_Data[[#This Row],[Reorder Level]],"Low Stock","In Stock")</f>
        <v>In Stock</v>
      </c>
      <c r="P80" t="str">
        <f>TEXT(Inventory_Data[[#This Row],[Date]],"MMM")</f>
        <v>Jan</v>
      </c>
      <c r="Q80" t="str">
        <f>TEXT(Inventory_Data[[#This Row],[Date]],"YYYY")</f>
        <v>2025</v>
      </c>
    </row>
    <row r="81" spans="1:17" x14ac:dyDescent="0.3">
      <c r="A81" s="1">
        <v>45675</v>
      </c>
      <c r="B81" t="s">
        <v>32</v>
      </c>
      <c r="C81" t="s">
        <v>28</v>
      </c>
      <c r="D81" t="s">
        <v>26</v>
      </c>
      <c r="E81" t="s">
        <v>15</v>
      </c>
      <c r="F81">
        <v>113</v>
      </c>
      <c r="G81">
        <v>31</v>
      </c>
      <c r="H81">
        <v>37</v>
      </c>
      <c r="I81">
        <v>107</v>
      </c>
      <c r="J81">
        <v>51</v>
      </c>
      <c r="K81">
        <v>42480</v>
      </c>
      <c r="L81">
        <v>4545360</v>
      </c>
      <c r="M81">
        <f>Inventory_Data[[#This Row],[Opening Stock]]+Inventory_Data[[#This Row],[Purchase Qty]]-Inventory_Data[[#This Row],[Sales Qty]]-Inventory_Data[[#This Row],[Closing Stock]]</f>
        <v>0</v>
      </c>
      <c r="N81">
        <f>Inventory_Data[[#This Row],[Purchase Qty]]*Inventory_Data[[#This Row],[Unit Cost]]</f>
        <v>1316880</v>
      </c>
      <c r="O81" t="str">
        <f>IF(Inventory_Data[[#This Row],[Closing Stock]]&lt;=Inventory_Data[[#This Row],[Reorder Level]],"Low Stock","In Stock")</f>
        <v>In Stock</v>
      </c>
      <c r="P81" t="str">
        <f>TEXT(Inventory_Data[[#This Row],[Date]],"MMM")</f>
        <v>Jan</v>
      </c>
      <c r="Q81" t="str">
        <f>TEXT(Inventory_Data[[#This Row],[Date]],"YYYY")</f>
        <v>2025</v>
      </c>
    </row>
    <row r="82" spans="1:17" x14ac:dyDescent="0.3">
      <c r="A82" s="1">
        <v>45675</v>
      </c>
      <c r="B82" t="s">
        <v>45</v>
      </c>
      <c r="C82" t="s">
        <v>13</v>
      </c>
      <c r="D82" t="s">
        <v>23</v>
      </c>
      <c r="E82" t="s">
        <v>20</v>
      </c>
      <c r="F82">
        <v>36</v>
      </c>
      <c r="G82">
        <v>60</v>
      </c>
      <c r="H82">
        <v>19</v>
      </c>
      <c r="I82">
        <v>77</v>
      </c>
      <c r="J82">
        <v>39</v>
      </c>
      <c r="K82">
        <v>4321</v>
      </c>
      <c r="L82">
        <v>332717</v>
      </c>
      <c r="M82">
        <f>Inventory_Data[[#This Row],[Opening Stock]]+Inventory_Data[[#This Row],[Purchase Qty]]-Inventory_Data[[#This Row],[Sales Qty]]-Inventory_Data[[#This Row],[Closing Stock]]</f>
        <v>0</v>
      </c>
      <c r="N82">
        <f>Inventory_Data[[#This Row],[Purchase Qty]]*Inventory_Data[[#This Row],[Unit Cost]]</f>
        <v>259260</v>
      </c>
      <c r="O82" t="str">
        <f>IF(Inventory_Data[[#This Row],[Closing Stock]]&lt;=Inventory_Data[[#This Row],[Reorder Level]],"Low Stock","In Stock")</f>
        <v>In Stock</v>
      </c>
      <c r="P82" t="str">
        <f>TEXT(Inventory_Data[[#This Row],[Date]],"MMM")</f>
        <v>Jan</v>
      </c>
      <c r="Q82" t="str">
        <f>TEXT(Inventory_Data[[#This Row],[Date]],"YYYY")</f>
        <v>2025</v>
      </c>
    </row>
    <row r="83" spans="1:17" x14ac:dyDescent="0.3">
      <c r="A83" s="1">
        <v>45675</v>
      </c>
      <c r="B83" t="s">
        <v>32</v>
      </c>
      <c r="C83" t="s">
        <v>28</v>
      </c>
      <c r="D83" t="s">
        <v>14</v>
      </c>
      <c r="E83" t="s">
        <v>34</v>
      </c>
      <c r="F83">
        <v>83</v>
      </c>
      <c r="G83">
        <v>115</v>
      </c>
      <c r="H83">
        <v>78</v>
      </c>
      <c r="I83">
        <v>120</v>
      </c>
      <c r="J83">
        <v>36</v>
      </c>
      <c r="K83">
        <v>64133</v>
      </c>
      <c r="L83">
        <v>7695960</v>
      </c>
      <c r="M83">
        <f>Inventory_Data[[#This Row],[Opening Stock]]+Inventory_Data[[#This Row],[Purchase Qty]]-Inventory_Data[[#This Row],[Sales Qty]]-Inventory_Data[[#This Row],[Closing Stock]]</f>
        <v>0</v>
      </c>
      <c r="N83">
        <f>Inventory_Data[[#This Row],[Purchase Qty]]*Inventory_Data[[#This Row],[Unit Cost]]</f>
        <v>7375295</v>
      </c>
      <c r="O83" t="str">
        <f>IF(Inventory_Data[[#This Row],[Closing Stock]]&lt;=Inventory_Data[[#This Row],[Reorder Level]],"Low Stock","In Stock")</f>
        <v>In Stock</v>
      </c>
      <c r="P83" t="str">
        <f>TEXT(Inventory_Data[[#This Row],[Date]],"MMM")</f>
        <v>Jan</v>
      </c>
      <c r="Q83" t="str">
        <f>TEXT(Inventory_Data[[#This Row],[Date]],"YYYY")</f>
        <v>2025</v>
      </c>
    </row>
    <row r="84" spans="1:17" x14ac:dyDescent="0.3">
      <c r="A84" s="1">
        <v>45675</v>
      </c>
      <c r="B84" t="s">
        <v>44</v>
      </c>
      <c r="C84" t="s">
        <v>28</v>
      </c>
      <c r="D84" t="s">
        <v>26</v>
      </c>
      <c r="E84" t="s">
        <v>29</v>
      </c>
      <c r="F84">
        <v>62</v>
      </c>
      <c r="G84">
        <v>59</v>
      </c>
      <c r="H84">
        <v>7</v>
      </c>
      <c r="I84">
        <v>114</v>
      </c>
      <c r="J84">
        <v>46</v>
      </c>
      <c r="K84">
        <v>11783</v>
      </c>
      <c r="L84">
        <v>1343262</v>
      </c>
      <c r="M84">
        <f>Inventory_Data[[#This Row],[Opening Stock]]+Inventory_Data[[#This Row],[Purchase Qty]]-Inventory_Data[[#This Row],[Sales Qty]]-Inventory_Data[[#This Row],[Closing Stock]]</f>
        <v>0</v>
      </c>
      <c r="N84">
        <f>Inventory_Data[[#This Row],[Purchase Qty]]*Inventory_Data[[#This Row],[Unit Cost]]</f>
        <v>695197</v>
      </c>
      <c r="O84" t="str">
        <f>IF(Inventory_Data[[#This Row],[Closing Stock]]&lt;=Inventory_Data[[#This Row],[Reorder Level]],"Low Stock","In Stock")</f>
        <v>In Stock</v>
      </c>
      <c r="P84" t="str">
        <f>TEXT(Inventory_Data[[#This Row],[Date]],"MMM")</f>
        <v>Jan</v>
      </c>
      <c r="Q84" t="str">
        <f>TEXT(Inventory_Data[[#This Row],[Date]],"YYYY")</f>
        <v>2025</v>
      </c>
    </row>
    <row r="85" spans="1:17" x14ac:dyDescent="0.3">
      <c r="A85" s="1">
        <v>45675</v>
      </c>
      <c r="B85" t="s">
        <v>25</v>
      </c>
      <c r="C85" t="s">
        <v>17</v>
      </c>
      <c r="D85" t="s">
        <v>37</v>
      </c>
      <c r="E85" t="s">
        <v>20</v>
      </c>
      <c r="F85">
        <v>56</v>
      </c>
      <c r="G85">
        <v>36</v>
      </c>
      <c r="H85">
        <v>31</v>
      </c>
      <c r="I85">
        <v>61</v>
      </c>
      <c r="J85">
        <v>18</v>
      </c>
      <c r="K85">
        <v>23935</v>
      </c>
      <c r="L85">
        <v>1460035</v>
      </c>
      <c r="M85">
        <f>Inventory_Data[[#This Row],[Opening Stock]]+Inventory_Data[[#This Row],[Purchase Qty]]-Inventory_Data[[#This Row],[Sales Qty]]-Inventory_Data[[#This Row],[Closing Stock]]</f>
        <v>0</v>
      </c>
      <c r="N85">
        <f>Inventory_Data[[#This Row],[Purchase Qty]]*Inventory_Data[[#This Row],[Unit Cost]]</f>
        <v>861660</v>
      </c>
      <c r="O85" t="str">
        <f>IF(Inventory_Data[[#This Row],[Closing Stock]]&lt;=Inventory_Data[[#This Row],[Reorder Level]],"Low Stock","In Stock")</f>
        <v>In Stock</v>
      </c>
      <c r="P85" t="str">
        <f>TEXT(Inventory_Data[[#This Row],[Date]],"MMM")</f>
        <v>Jan</v>
      </c>
      <c r="Q85" t="str">
        <f>TEXT(Inventory_Data[[#This Row],[Date]],"YYYY")</f>
        <v>2025</v>
      </c>
    </row>
    <row r="86" spans="1:17" x14ac:dyDescent="0.3">
      <c r="A86" s="1">
        <v>45675</v>
      </c>
      <c r="B86" t="s">
        <v>16</v>
      </c>
      <c r="C86" t="s">
        <v>17</v>
      </c>
      <c r="D86" t="s">
        <v>26</v>
      </c>
      <c r="E86" t="s">
        <v>24</v>
      </c>
      <c r="F86">
        <v>68</v>
      </c>
      <c r="G86">
        <v>31</v>
      </c>
      <c r="H86">
        <v>17</v>
      </c>
      <c r="I86">
        <v>82</v>
      </c>
      <c r="J86">
        <v>17</v>
      </c>
      <c r="K86">
        <v>14565</v>
      </c>
      <c r="L86">
        <v>1194330</v>
      </c>
      <c r="M86">
        <f>Inventory_Data[[#This Row],[Opening Stock]]+Inventory_Data[[#This Row],[Purchase Qty]]-Inventory_Data[[#This Row],[Sales Qty]]-Inventory_Data[[#This Row],[Closing Stock]]</f>
        <v>0</v>
      </c>
      <c r="N86">
        <f>Inventory_Data[[#This Row],[Purchase Qty]]*Inventory_Data[[#This Row],[Unit Cost]]</f>
        <v>451515</v>
      </c>
      <c r="O86" t="str">
        <f>IF(Inventory_Data[[#This Row],[Closing Stock]]&lt;=Inventory_Data[[#This Row],[Reorder Level]],"Low Stock","In Stock")</f>
        <v>In Stock</v>
      </c>
      <c r="P86" t="str">
        <f>TEXT(Inventory_Data[[#This Row],[Date]],"MMM")</f>
        <v>Jan</v>
      </c>
      <c r="Q86" t="str">
        <f>TEXT(Inventory_Data[[#This Row],[Date]],"YYYY")</f>
        <v>2025</v>
      </c>
    </row>
    <row r="87" spans="1:17" x14ac:dyDescent="0.3">
      <c r="A87" s="1">
        <v>45675</v>
      </c>
      <c r="B87" t="s">
        <v>25</v>
      </c>
      <c r="C87" t="s">
        <v>17</v>
      </c>
      <c r="D87" t="s">
        <v>23</v>
      </c>
      <c r="E87" t="s">
        <v>29</v>
      </c>
      <c r="F87">
        <v>36</v>
      </c>
      <c r="G87">
        <v>28</v>
      </c>
      <c r="H87">
        <v>30</v>
      </c>
      <c r="I87">
        <v>34</v>
      </c>
      <c r="J87">
        <v>27</v>
      </c>
      <c r="K87">
        <v>4555</v>
      </c>
      <c r="L87">
        <v>154870</v>
      </c>
      <c r="M87">
        <f>Inventory_Data[[#This Row],[Opening Stock]]+Inventory_Data[[#This Row],[Purchase Qty]]-Inventory_Data[[#This Row],[Sales Qty]]-Inventory_Data[[#This Row],[Closing Stock]]</f>
        <v>0</v>
      </c>
      <c r="N87">
        <f>Inventory_Data[[#This Row],[Purchase Qty]]*Inventory_Data[[#This Row],[Unit Cost]]</f>
        <v>127540</v>
      </c>
      <c r="O87" t="str">
        <f>IF(Inventory_Data[[#This Row],[Closing Stock]]&lt;=Inventory_Data[[#This Row],[Reorder Level]],"Low Stock","In Stock")</f>
        <v>In Stock</v>
      </c>
      <c r="P87" t="str">
        <f>TEXT(Inventory_Data[[#This Row],[Date]],"MMM")</f>
        <v>Jan</v>
      </c>
      <c r="Q87" t="str">
        <f>TEXT(Inventory_Data[[#This Row],[Date]],"YYYY")</f>
        <v>2025</v>
      </c>
    </row>
    <row r="88" spans="1:17" x14ac:dyDescent="0.3">
      <c r="A88" s="1">
        <v>45676</v>
      </c>
      <c r="B88" t="s">
        <v>33</v>
      </c>
      <c r="C88" t="s">
        <v>13</v>
      </c>
      <c r="D88" t="s">
        <v>23</v>
      </c>
      <c r="E88" t="s">
        <v>18</v>
      </c>
      <c r="F88">
        <v>100</v>
      </c>
      <c r="G88">
        <v>73</v>
      </c>
      <c r="H88">
        <v>61</v>
      </c>
      <c r="I88">
        <v>112</v>
      </c>
      <c r="J88">
        <v>29</v>
      </c>
      <c r="K88">
        <v>12953</v>
      </c>
      <c r="L88">
        <v>1450736</v>
      </c>
      <c r="M88">
        <f>Inventory_Data[[#This Row],[Opening Stock]]+Inventory_Data[[#This Row],[Purchase Qty]]-Inventory_Data[[#This Row],[Sales Qty]]-Inventory_Data[[#This Row],[Closing Stock]]</f>
        <v>0</v>
      </c>
      <c r="N88">
        <f>Inventory_Data[[#This Row],[Purchase Qty]]*Inventory_Data[[#This Row],[Unit Cost]]</f>
        <v>945569</v>
      </c>
      <c r="O88" t="str">
        <f>IF(Inventory_Data[[#This Row],[Closing Stock]]&lt;=Inventory_Data[[#This Row],[Reorder Level]],"Low Stock","In Stock")</f>
        <v>In Stock</v>
      </c>
      <c r="P88" t="str">
        <f>TEXT(Inventory_Data[[#This Row],[Date]],"MMM")</f>
        <v>Jan</v>
      </c>
      <c r="Q88" t="str">
        <f>TEXT(Inventory_Data[[#This Row],[Date]],"YYYY")</f>
        <v>2025</v>
      </c>
    </row>
    <row r="89" spans="1:17" x14ac:dyDescent="0.3">
      <c r="A89" s="1">
        <v>45676</v>
      </c>
      <c r="B89" t="s">
        <v>27</v>
      </c>
      <c r="C89" t="s">
        <v>28</v>
      </c>
      <c r="D89" t="s">
        <v>26</v>
      </c>
      <c r="E89" t="s">
        <v>20</v>
      </c>
      <c r="F89">
        <v>149</v>
      </c>
      <c r="G89">
        <v>21</v>
      </c>
      <c r="H89">
        <v>85</v>
      </c>
      <c r="I89">
        <v>85</v>
      </c>
      <c r="J89">
        <v>53</v>
      </c>
      <c r="K89">
        <v>9321</v>
      </c>
      <c r="L89">
        <v>792285</v>
      </c>
      <c r="M89">
        <f>Inventory_Data[[#This Row],[Opening Stock]]+Inventory_Data[[#This Row],[Purchase Qty]]-Inventory_Data[[#This Row],[Sales Qty]]-Inventory_Data[[#This Row],[Closing Stock]]</f>
        <v>0</v>
      </c>
      <c r="N89">
        <f>Inventory_Data[[#This Row],[Purchase Qty]]*Inventory_Data[[#This Row],[Unit Cost]]</f>
        <v>195741</v>
      </c>
      <c r="O89" t="str">
        <f>IF(Inventory_Data[[#This Row],[Closing Stock]]&lt;=Inventory_Data[[#This Row],[Reorder Level]],"Low Stock","In Stock")</f>
        <v>In Stock</v>
      </c>
      <c r="P89" t="str">
        <f>TEXT(Inventory_Data[[#This Row],[Date]],"MMM")</f>
        <v>Jan</v>
      </c>
      <c r="Q89" t="str">
        <f>TEXT(Inventory_Data[[#This Row],[Date]],"YYYY")</f>
        <v>2025</v>
      </c>
    </row>
    <row r="90" spans="1:17" x14ac:dyDescent="0.3">
      <c r="A90" s="1">
        <v>45676</v>
      </c>
      <c r="B90" t="s">
        <v>40</v>
      </c>
      <c r="C90" t="s">
        <v>28</v>
      </c>
      <c r="D90" t="s">
        <v>26</v>
      </c>
      <c r="E90" t="s">
        <v>29</v>
      </c>
      <c r="F90">
        <v>50</v>
      </c>
      <c r="G90">
        <v>29</v>
      </c>
      <c r="H90">
        <v>23</v>
      </c>
      <c r="I90">
        <v>56</v>
      </c>
      <c r="J90">
        <v>59</v>
      </c>
      <c r="K90">
        <v>11937</v>
      </c>
      <c r="L90">
        <v>668472</v>
      </c>
      <c r="M90">
        <f>Inventory_Data[[#This Row],[Opening Stock]]+Inventory_Data[[#This Row],[Purchase Qty]]-Inventory_Data[[#This Row],[Sales Qty]]-Inventory_Data[[#This Row],[Closing Stock]]</f>
        <v>0</v>
      </c>
      <c r="N90">
        <f>Inventory_Data[[#This Row],[Purchase Qty]]*Inventory_Data[[#This Row],[Unit Cost]]</f>
        <v>346173</v>
      </c>
      <c r="O90" t="str">
        <f>IF(Inventory_Data[[#This Row],[Closing Stock]]&lt;=Inventory_Data[[#This Row],[Reorder Level]],"Low Stock","In Stock")</f>
        <v>Low Stock</v>
      </c>
      <c r="P90" t="str">
        <f>TEXT(Inventory_Data[[#This Row],[Date]],"MMM")</f>
        <v>Jan</v>
      </c>
      <c r="Q90" t="str">
        <f>TEXT(Inventory_Data[[#This Row],[Date]],"YYYY")</f>
        <v>2025</v>
      </c>
    </row>
    <row r="91" spans="1:17" x14ac:dyDescent="0.3">
      <c r="A91" s="1">
        <v>45676</v>
      </c>
      <c r="B91" t="s">
        <v>44</v>
      </c>
      <c r="C91" t="s">
        <v>28</v>
      </c>
      <c r="D91" t="s">
        <v>14</v>
      </c>
      <c r="E91" t="s">
        <v>34</v>
      </c>
      <c r="F91">
        <v>78</v>
      </c>
      <c r="G91">
        <v>77</v>
      </c>
      <c r="H91">
        <v>71</v>
      </c>
      <c r="I91">
        <v>84</v>
      </c>
      <c r="J91">
        <v>29</v>
      </c>
      <c r="K91">
        <v>44232</v>
      </c>
      <c r="L91">
        <v>3715488</v>
      </c>
      <c r="M91">
        <f>Inventory_Data[[#This Row],[Opening Stock]]+Inventory_Data[[#This Row],[Purchase Qty]]-Inventory_Data[[#This Row],[Sales Qty]]-Inventory_Data[[#This Row],[Closing Stock]]</f>
        <v>0</v>
      </c>
      <c r="N91">
        <f>Inventory_Data[[#This Row],[Purchase Qty]]*Inventory_Data[[#This Row],[Unit Cost]]</f>
        <v>3405864</v>
      </c>
      <c r="O91" t="str">
        <f>IF(Inventory_Data[[#This Row],[Closing Stock]]&lt;=Inventory_Data[[#This Row],[Reorder Level]],"Low Stock","In Stock")</f>
        <v>In Stock</v>
      </c>
      <c r="P91" t="str">
        <f>TEXT(Inventory_Data[[#This Row],[Date]],"MMM")</f>
        <v>Jan</v>
      </c>
      <c r="Q91" t="str">
        <f>TEXT(Inventory_Data[[#This Row],[Date]],"YYYY")</f>
        <v>2025</v>
      </c>
    </row>
    <row r="92" spans="1:17" x14ac:dyDescent="0.3">
      <c r="A92" s="1">
        <v>45676</v>
      </c>
      <c r="B92" t="s">
        <v>27</v>
      </c>
      <c r="C92" t="s">
        <v>28</v>
      </c>
      <c r="D92" t="s">
        <v>23</v>
      </c>
      <c r="E92" t="s">
        <v>15</v>
      </c>
      <c r="F92">
        <v>128</v>
      </c>
      <c r="G92">
        <v>53</v>
      </c>
      <c r="H92">
        <v>11</v>
      </c>
      <c r="I92">
        <v>170</v>
      </c>
      <c r="J92">
        <v>23</v>
      </c>
      <c r="K92">
        <v>29208</v>
      </c>
      <c r="L92">
        <v>4965360</v>
      </c>
      <c r="M92">
        <f>Inventory_Data[[#This Row],[Opening Stock]]+Inventory_Data[[#This Row],[Purchase Qty]]-Inventory_Data[[#This Row],[Sales Qty]]-Inventory_Data[[#This Row],[Closing Stock]]</f>
        <v>0</v>
      </c>
      <c r="N92">
        <f>Inventory_Data[[#This Row],[Purchase Qty]]*Inventory_Data[[#This Row],[Unit Cost]]</f>
        <v>1548024</v>
      </c>
      <c r="O92" t="str">
        <f>IF(Inventory_Data[[#This Row],[Closing Stock]]&lt;=Inventory_Data[[#This Row],[Reorder Level]],"Low Stock","In Stock")</f>
        <v>In Stock</v>
      </c>
      <c r="P92" t="str">
        <f>TEXT(Inventory_Data[[#This Row],[Date]],"MMM")</f>
        <v>Jan</v>
      </c>
      <c r="Q92" t="str">
        <f>TEXT(Inventory_Data[[#This Row],[Date]],"YYYY")</f>
        <v>2025</v>
      </c>
    </row>
    <row r="93" spans="1:17" x14ac:dyDescent="0.3">
      <c r="A93" s="1">
        <v>45677</v>
      </c>
      <c r="B93" t="s">
        <v>41</v>
      </c>
      <c r="C93" t="s">
        <v>22</v>
      </c>
      <c r="D93" t="s">
        <v>26</v>
      </c>
      <c r="E93" t="s">
        <v>29</v>
      </c>
      <c r="F93">
        <v>265</v>
      </c>
      <c r="G93">
        <v>164</v>
      </c>
      <c r="H93">
        <v>138</v>
      </c>
      <c r="I93">
        <v>291</v>
      </c>
      <c r="J93">
        <v>87</v>
      </c>
      <c r="K93">
        <v>429</v>
      </c>
      <c r="L93">
        <v>124839</v>
      </c>
      <c r="M93">
        <f>Inventory_Data[[#This Row],[Opening Stock]]+Inventory_Data[[#This Row],[Purchase Qty]]-Inventory_Data[[#This Row],[Sales Qty]]-Inventory_Data[[#This Row],[Closing Stock]]</f>
        <v>0</v>
      </c>
      <c r="N93">
        <f>Inventory_Data[[#This Row],[Purchase Qty]]*Inventory_Data[[#This Row],[Unit Cost]]</f>
        <v>70356</v>
      </c>
      <c r="O93" t="str">
        <f>IF(Inventory_Data[[#This Row],[Closing Stock]]&lt;=Inventory_Data[[#This Row],[Reorder Level]],"Low Stock","In Stock")</f>
        <v>In Stock</v>
      </c>
      <c r="P93" t="str">
        <f>TEXT(Inventory_Data[[#This Row],[Date]],"MMM")</f>
        <v>Jan</v>
      </c>
      <c r="Q93" t="str">
        <f>TEXT(Inventory_Data[[#This Row],[Date]],"YYYY")</f>
        <v>2025</v>
      </c>
    </row>
    <row r="94" spans="1:17" x14ac:dyDescent="0.3">
      <c r="A94" s="1">
        <v>45677</v>
      </c>
      <c r="B94" t="s">
        <v>45</v>
      </c>
      <c r="C94" t="s">
        <v>13</v>
      </c>
      <c r="D94" t="s">
        <v>26</v>
      </c>
      <c r="E94" t="s">
        <v>29</v>
      </c>
      <c r="F94">
        <v>47</v>
      </c>
      <c r="G94">
        <v>76</v>
      </c>
      <c r="H94">
        <v>27</v>
      </c>
      <c r="I94">
        <v>96</v>
      </c>
      <c r="J94">
        <v>23</v>
      </c>
      <c r="K94">
        <v>15593</v>
      </c>
      <c r="L94">
        <v>1496928</v>
      </c>
      <c r="M94">
        <f>Inventory_Data[[#This Row],[Opening Stock]]+Inventory_Data[[#This Row],[Purchase Qty]]-Inventory_Data[[#This Row],[Sales Qty]]-Inventory_Data[[#This Row],[Closing Stock]]</f>
        <v>0</v>
      </c>
      <c r="N94">
        <f>Inventory_Data[[#This Row],[Purchase Qty]]*Inventory_Data[[#This Row],[Unit Cost]]</f>
        <v>1185068</v>
      </c>
      <c r="O94" t="str">
        <f>IF(Inventory_Data[[#This Row],[Closing Stock]]&lt;=Inventory_Data[[#This Row],[Reorder Level]],"Low Stock","In Stock")</f>
        <v>In Stock</v>
      </c>
      <c r="P94" t="str">
        <f>TEXT(Inventory_Data[[#This Row],[Date]],"MMM")</f>
        <v>Jan</v>
      </c>
      <c r="Q94" t="str">
        <f>TEXT(Inventory_Data[[#This Row],[Date]],"YYYY")</f>
        <v>2025</v>
      </c>
    </row>
    <row r="95" spans="1:17" x14ac:dyDescent="0.3">
      <c r="A95" s="1">
        <v>45678</v>
      </c>
      <c r="B95" t="s">
        <v>16</v>
      </c>
      <c r="C95" t="s">
        <v>17</v>
      </c>
      <c r="D95" t="s">
        <v>26</v>
      </c>
      <c r="E95" t="s">
        <v>18</v>
      </c>
      <c r="F95">
        <v>33</v>
      </c>
      <c r="G95">
        <v>13</v>
      </c>
      <c r="H95">
        <v>27</v>
      </c>
      <c r="I95">
        <v>19</v>
      </c>
      <c r="J95">
        <v>12</v>
      </c>
      <c r="K95">
        <v>5231</v>
      </c>
      <c r="L95">
        <v>99389</v>
      </c>
      <c r="M95">
        <f>Inventory_Data[[#This Row],[Opening Stock]]+Inventory_Data[[#This Row],[Purchase Qty]]-Inventory_Data[[#This Row],[Sales Qty]]-Inventory_Data[[#This Row],[Closing Stock]]</f>
        <v>0</v>
      </c>
      <c r="N95">
        <f>Inventory_Data[[#This Row],[Purchase Qty]]*Inventory_Data[[#This Row],[Unit Cost]]</f>
        <v>68003</v>
      </c>
      <c r="O95" t="str">
        <f>IF(Inventory_Data[[#This Row],[Closing Stock]]&lt;=Inventory_Data[[#This Row],[Reorder Level]],"Low Stock","In Stock")</f>
        <v>In Stock</v>
      </c>
      <c r="P95" t="str">
        <f>TEXT(Inventory_Data[[#This Row],[Date]],"MMM")</f>
        <v>Jan</v>
      </c>
      <c r="Q95" t="str">
        <f>TEXT(Inventory_Data[[#This Row],[Date]],"YYYY")</f>
        <v>2025</v>
      </c>
    </row>
    <row r="96" spans="1:17" x14ac:dyDescent="0.3">
      <c r="A96" s="1">
        <v>45678</v>
      </c>
      <c r="B96" t="s">
        <v>40</v>
      </c>
      <c r="C96" t="s">
        <v>28</v>
      </c>
      <c r="D96" t="s">
        <v>26</v>
      </c>
      <c r="E96" t="s">
        <v>20</v>
      </c>
      <c r="F96">
        <v>128</v>
      </c>
      <c r="G96">
        <v>56</v>
      </c>
      <c r="H96">
        <v>88</v>
      </c>
      <c r="I96">
        <v>96</v>
      </c>
      <c r="J96">
        <v>54</v>
      </c>
      <c r="K96">
        <v>16754</v>
      </c>
      <c r="L96">
        <v>1608384</v>
      </c>
      <c r="M96">
        <f>Inventory_Data[[#This Row],[Opening Stock]]+Inventory_Data[[#This Row],[Purchase Qty]]-Inventory_Data[[#This Row],[Sales Qty]]-Inventory_Data[[#This Row],[Closing Stock]]</f>
        <v>0</v>
      </c>
      <c r="N96">
        <f>Inventory_Data[[#This Row],[Purchase Qty]]*Inventory_Data[[#This Row],[Unit Cost]]</f>
        <v>938224</v>
      </c>
      <c r="O96" t="str">
        <f>IF(Inventory_Data[[#This Row],[Closing Stock]]&lt;=Inventory_Data[[#This Row],[Reorder Level]],"Low Stock","In Stock")</f>
        <v>In Stock</v>
      </c>
      <c r="P96" t="str">
        <f>TEXT(Inventory_Data[[#This Row],[Date]],"MMM")</f>
        <v>Jan</v>
      </c>
      <c r="Q96" t="str">
        <f>TEXT(Inventory_Data[[#This Row],[Date]],"YYYY")</f>
        <v>2025</v>
      </c>
    </row>
    <row r="97" spans="1:17" x14ac:dyDescent="0.3">
      <c r="A97" s="1">
        <v>45678</v>
      </c>
      <c r="B97" t="s">
        <v>36</v>
      </c>
      <c r="C97" t="s">
        <v>22</v>
      </c>
      <c r="D97" t="s">
        <v>37</v>
      </c>
      <c r="E97" t="s">
        <v>18</v>
      </c>
      <c r="F97">
        <v>443</v>
      </c>
      <c r="G97">
        <v>200</v>
      </c>
      <c r="H97">
        <v>24</v>
      </c>
      <c r="I97">
        <v>619</v>
      </c>
      <c r="J97">
        <v>135</v>
      </c>
      <c r="K97">
        <v>579</v>
      </c>
      <c r="L97">
        <v>358401</v>
      </c>
      <c r="M97">
        <f>Inventory_Data[[#This Row],[Opening Stock]]+Inventory_Data[[#This Row],[Purchase Qty]]-Inventory_Data[[#This Row],[Sales Qty]]-Inventory_Data[[#This Row],[Closing Stock]]</f>
        <v>0</v>
      </c>
      <c r="N97">
        <f>Inventory_Data[[#This Row],[Purchase Qty]]*Inventory_Data[[#This Row],[Unit Cost]]</f>
        <v>115800</v>
      </c>
      <c r="O97" t="str">
        <f>IF(Inventory_Data[[#This Row],[Closing Stock]]&lt;=Inventory_Data[[#This Row],[Reorder Level]],"Low Stock","In Stock")</f>
        <v>In Stock</v>
      </c>
      <c r="P97" t="str">
        <f>TEXT(Inventory_Data[[#This Row],[Date]],"MMM")</f>
        <v>Jan</v>
      </c>
      <c r="Q97" t="str">
        <f>TEXT(Inventory_Data[[#This Row],[Date]],"YYYY")</f>
        <v>2025</v>
      </c>
    </row>
    <row r="98" spans="1:17" x14ac:dyDescent="0.3">
      <c r="A98" s="1">
        <v>45678</v>
      </c>
      <c r="B98" t="s">
        <v>35</v>
      </c>
      <c r="C98" t="s">
        <v>22</v>
      </c>
      <c r="D98" t="s">
        <v>26</v>
      </c>
      <c r="E98" t="s">
        <v>15</v>
      </c>
      <c r="F98">
        <v>303</v>
      </c>
      <c r="G98">
        <v>93</v>
      </c>
      <c r="H98">
        <v>227</v>
      </c>
      <c r="I98">
        <v>169</v>
      </c>
      <c r="J98">
        <v>143</v>
      </c>
      <c r="K98">
        <v>1115</v>
      </c>
      <c r="L98">
        <v>188435</v>
      </c>
      <c r="M98">
        <f>Inventory_Data[[#This Row],[Opening Stock]]+Inventory_Data[[#This Row],[Purchase Qty]]-Inventory_Data[[#This Row],[Sales Qty]]-Inventory_Data[[#This Row],[Closing Stock]]</f>
        <v>0</v>
      </c>
      <c r="N98">
        <f>Inventory_Data[[#This Row],[Purchase Qty]]*Inventory_Data[[#This Row],[Unit Cost]]</f>
        <v>103695</v>
      </c>
      <c r="O98" t="str">
        <f>IF(Inventory_Data[[#This Row],[Closing Stock]]&lt;=Inventory_Data[[#This Row],[Reorder Level]],"Low Stock","In Stock")</f>
        <v>In Stock</v>
      </c>
      <c r="P98" t="str">
        <f>TEXT(Inventory_Data[[#This Row],[Date]],"MMM")</f>
        <v>Jan</v>
      </c>
      <c r="Q98" t="str">
        <f>TEXT(Inventory_Data[[#This Row],[Date]],"YYYY")</f>
        <v>2025</v>
      </c>
    </row>
    <row r="99" spans="1:17" x14ac:dyDescent="0.3">
      <c r="A99" s="1">
        <v>45678</v>
      </c>
      <c r="B99" t="s">
        <v>35</v>
      </c>
      <c r="C99" t="s">
        <v>22</v>
      </c>
      <c r="D99" t="s">
        <v>26</v>
      </c>
      <c r="E99" t="s">
        <v>29</v>
      </c>
      <c r="F99">
        <v>231</v>
      </c>
      <c r="G99">
        <v>187</v>
      </c>
      <c r="H99">
        <v>85</v>
      </c>
      <c r="I99">
        <v>333</v>
      </c>
      <c r="J99">
        <v>81</v>
      </c>
      <c r="K99">
        <v>348</v>
      </c>
      <c r="L99">
        <v>115884</v>
      </c>
      <c r="M99">
        <f>Inventory_Data[[#This Row],[Opening Stock]]+Inventory_Data[[#This Row],[Purchase Qty]]-Inventory_Data[[#This Row],[Sales Qty]]-Inventory_Data[[#This Row],[Closing Stock]]</f>
        <v>0</v>
      </c>
      <c r="N99">
        <f>Inventory_Data[[#This Row],[Purchase Qty]]*Inventory_Data[[#This Row],[Unit Cost]]</f>
        <v>65076</v>
      </c>
      <c r="O99" t="str">
        <f>IF(Inventory_Data[[#This Row],[Closing Stock]]&lt;=Inventory_Data[[#This Row],[Reorder Level]],"Low Stock","In Stock")</f>
        <v>In Stock</v>
      </c>
      <c r="P99" t="str">
        <f>TEXT(Inventory_Data[[#This Row],[Date]],"MMM")</f>
        <v>Jan</v>
      </c>
      <c r="Q99" t="str">
        <f>TEXT(Inventory_Data[[#This Row],[Date]],"YYYY")</f>
        <v>2025</v>
      </c>
    </row>
    <row r="100" spans="1:17" x14ac:dyDescent="0.3">
      <c r="A100" s="1">
        <v>45678</v>
      </c>
      <c r="B100" t="s">
        <v>36</v>
      </c>
      <c r="C100" t="s">
        <v>22</v>
      </c>
      <c r="D100" t="s">
        <v>37</v>
      </c>
      <c r="E100" t="s">
        <v>18</v>
      </c>
      <c r="F100">
        <v>88</v>
      </c>
      <c r="G100">
        <v>252</v>
      </c>
      <c r="H100">
        <v>111</v>
      </c>
      <c r="I100">
        <v>229</v>
      </c>
      <c r="J100">
        <v>115</v>
      </c>
      <c r="K100">
        <v>1089</v>
      </c>
      <c r="L100">
        <v>249381</v>
      </c>
      <c r="M100">
        <f>Inventory_Data[[#This Row],[Opening Stock]]+Inventory_Data[[#This Row],[Purchase Qty]]-Inventory_Data[[#This Row],[Sales Qty]]-Inventory_Data[[#This Row],[Closing Stock]]</f>
        <v>0</v>
      </c>
      <c r="N100">
        <f>Inventory_Data[[#This Row],[Purchase Qty]]*Inventory_Data[[#This Row],[Unit Cost]]</f>
        <v>274428</v>
      </c>
      <c r="O100" t="str">
        <f>IF(Inventory_Data[[#This Row],[Closing Stock]]&lt;=Inventory_Data[[#This Row],[Reorder Level]],"Low Stock","In Stock")</f>
        <v>In Stock</v>
      </c>
      <c r="P100" t="str">
        <f>TEXT(Inventory_Data[[#This Row],[Date]],"MMM")</f>
        <v>Jan</v>
      </c>
      <c r="Q100" t="str">
        <f>TEXT(Inventory_Data[[#This Row],[Date]],"YYYY")</f>
        <v>2025</v>
      </c>
    </row>
    <row r="101" spans="1:17" x14ac:dyDescent="0.3">
      <c r="A101" s="1">
        <v>45679</v>
      </c>
      <c r="B101" t="s">
        <v>41</v>
      </c>
      <c r="C101" t="s">
        <v>22</v>
      </c>
      <c r="D101" t="s">
        <v>26</v>
      </c>
      <c r="E101" t="s">
        <v>18</v>
      </c>
      <c r="F101">
        <v>169</v>
      </c>
      <c r="G101">
        <v>239</v>
      </c>
      <c r="H101">
        <v>279</v>
      </c>
      <c r="I101">
        <v>129</v>
      </c>
      <c r="J101">
        <v>96</v>
      </c>
      <c r="K101">
        <v>723</v>
      </c>
      <c r="L101">
        <v>93267</v>
      </c>
      <c r="M101">
        <f>Inventory_Data[[#This Row],[Opening Stock]]+Inventory_Data[[#This Row],[Purchase Qty]]-Inventory_Data[[#This Row],[Sales Qty]]-Inventory_Data[[#This Row],[Closing Stock]]</f>
        <v>0</v>
      </c>
      <c r="N101">
        <f>Inventory_Data[[#This Row],[Purchase Qty]]*Inventory_Data[[#This Row],[Unit Cost]]</f>
        <v>172797</v>
      </c>
      <c r="O101" t="str">
        <f>IF(Inventory_Data[[#This Row],[Closing Stock]]&lt;=Inventory_Data[[#This Row],[Reorder Level]],"Low Stock","In Stock")</f>
        <v>In Stock</v>
      </c>
      <c r="P101" t="str">
        <f>TEXT(Inventory_Data[[#This Row],[Date]],"MMM")</f>
        <v>Jan</v>
      </c>
      <c r="Q101" t="str">
        <f>TEXT(Inventory_Data[[#This Row],[Date]],"YYYY")</f>
        <v>2025</v>
      </c>
    </row>
    <row r="102" spans="1:17" x14ac:dyDescent="0.3">
      <c r="A102" s="1">
        <v>45679</v>
      </c>
      <c r="B102" t="s">
        <v>32</v>
      </c>
      <c r="C102" t="s">
        <v>28</v>
      </c>
      <c r="D102" t="s">
        <v>37</v>
      </c>
      <c r="E102" t="s">
        <v>29</v>
      </c>
      <c r="F102">
        <v>102</v>
      </c>
      <c r="G102">
        <v>44</v>
      </c>
      <c r="H102">
        <v>92</v>
      </c>
      <c r="I102">
        <v>54</v>
      </c>
      <c r="J102">
        <v>25</v>
      </c>
      <c r="K102">
        <v>37897</v>
      </c>
      <c r="L102">
        <v>2046438</v>
      </c>
      <c r="M102">
        <f>Inventory_Data[[#This Row],[Opening Stock]]+Inventory_Data[[#This Row],[Purchase Qty]]-Inventory_Data[[#This Row],[Sales Qty]]-Inventory_Data[[#This Row],[Closing Stock]]</f>
        <v>0</v>
      </c>
      <c r="N102">
        <f>Inventory_Data[[#This Row],[Purchase Qty]]*Inventory_Data[[#This Row],[Unit Cost]]</f>
        <v>1667468</v>
      </c>
      <c r="O102" t="str">
        <f>IF(Inventory_Data[[#This Row],[Closing Stock]]&lt;=Inventory_Data[[#This Row],[Reorder Level]],"Low Stock","In Stock")</f>
        <v>In Stock</v>
      </c>
      <c r="P102" t="str">
        <f>TEXT(Inventory_Data[[#This Row],[Date]],"MMM")</f>
        <v>Jan</v>
      </c>
      <c r="Q102" t="str">
        <f>TEXT(Inventory_Data[[#This Row],[Date]],"YYYY")</f>
        <v>2025</v>
      </c>
    </row>
    <row r="103" spans="1:17" x14ac:dyDescent="0.3">
      <c r="A103" s="1">
        <v>45679</v>
      </c>
      <c r="B103" t="s">
        <v>27</v>
      </c>
      <c r="C103" t="s">
        <v>28</v>
      </c>
      <c r="D103" t="s">
        <v>26</v>
      </c>
      <c r="E103" t="s">
        <v>34</v>
      </c>
      <c r="F103">
        <v>173</v>
      </c>
      <c r="G103">
        <v>12</v>
      </c>
      <c r="H103">
        <v>45</v>
      </c>
      <c r="I103">
        <v>140</v>
      </c>
      <c r="J103">
        <v>33</v>
      </c>
      <c r="K103">
        <v>57819</v>
      </c>
      <c r="L103">
        <v>8094660</v>
      </c>
      <c r="M103">
        <f>Inventory_Data[[#This Row],[Opening Stock]]+Inventory_Data[[#This Row],[Purchase Qty]]-Inventory_Data[[#This Row],[Sales Qty]]-Inventory_Data[[#This Row],[Closing Stock]]</f>
        <v>0</v>
      </c>
      <c r="N103">
        <f>Inventory_Data[[#This Row],[Purchase Qty]]*Inventory_Data[[#This Row],[Unit Cost]]</f>
        <v>693828</v>
      </c>
      <c r="O103" t="str">
        <f>IF(Inventory_Data[[#This Row],[Closing Stock]]&lt;=Inventory_Data[[#This Row],[Reorder Level]],"Low Stock","In Stock")</f>
        <v>In Stock</v>
      </c>
      <c r="P103" t="str">
        <f>TEXT(Inventory_Data[[#This Row],[Date]],"MMM")</f>
        <v>Jan</v>
      </c>
      <c r="Q103" t="str">
        <f>TEXT(Inventory_Data[[#This Row],[Date]],"YYYY")</f>
        <v>2025</v>
      </c>
    </row>
    <row r="104" spans="1:17" x14ac:dyDescent="0.3">
      <c r="A104" s="1">
        <v>45679</v>
      </c>
      <c r="B104" t="s">
        <v>27</v>
      </c>
      <c r="C104" t="s">
        <v>28</v>
      </c>
      <c r="D104" t="s">
        <v>14</v>
      </c>
      <c r="E104" t="s">
        <v>15</v>
      </c>
      <c r="F104">
        <v>146</v>
      </c>
      <c r="G104">
        <v>89</v>
      </c>
      <c r="H104">
        <v>65</v>
      </c>
      <c r="I104">
        <v>170</v>
      </c>
      <c r="J104">
        <v>44</v>
      </c>
      <c r="K104">
        <v>47235</v>
      </c>
      <c r="L104">
        <v>8029950</v>
      </c>
      <c r="M104">
        <f>Inventory_Data[[#This Row],[Opening Stock]]+Inventory_Data[[#This Row],[Purchase Qty]]-Inventory_Data[[#This Row],[Sales Qty]]-Inventory_Data[[#This Row],[Closing Stock]]</f>
        <v>0</v>
      </c>
      <c r="N104">
        <f>Inventory_Data[[#This Row],[Purchase Qty]]*Inventory_Data[[#This Row],[Unit Cost]]</f>
        <v>4203915</v>
      </c>
      <c r="O104" t="str">
        <f>IF(Inventory_Data[[#This Row],[Closing Stock]]&lt;=Inventory_Data[[#This Row],[Reorder Level]],"Low Stock","In Stock")</f>
        <v>In Stock</v>
      </c>
      <c r="P104" t="str">
        <f>TEXT(Inventory_Data[[#This Row],[Date]],"MMM")</f>
        <v>Jan</v>
      </c>
      <c r="Q104" t="str">
        <f>TEXT(Inventory_Data[[#This Row],[Date]],"YYYY")</f>
        <v>2025</v>
      </c>
    </row>
    <row r="105" spans="1:17" x14ac:dyDescent="0.3">
      <c r="A105" s="1">
        <v>45680</v>
      </c>
      <c r="B105" t="s">
        <v>19</v>
      </c>
      <c r="C105" t="s">
        <v>13</v>
      </c>
      <c r="D105" t="s">
        <v>26</v>
      </c>
      <c r="E105" t="s">
        <v>15</v>
      </c>
      <c r="F105">
        <v>119</v>
      </c>
      <c r="G105">
        <v>39</v>
      </c>
      <c r="H105">
        <v>5</v>
      </c>
      <c r="I105">
        <v>153</v>
      </c>
      <c r="J105">
        <v>15</v>
      </c>
      <c r="K105">
        <v>16861</v>
      </c>
      <c r="L105">
        <v>2579733</v>
      </c>
      <c r="M105">
        <f>Inventory_Data[[#This Row],[Opening Stock]]+Inventory_Data[[#This Row],[Purchase Qty]]-Inventory_Data[[#This Row],[Sales Qty]]-Inventory_Data[[#This Row],[Closing Stock]]</f>
        <v>0</v>
      </c>
      <c r="N105">
        <f>Inventory_Data[[#This Row],[Purchase Qty]]*Inventory_Data[[#This Row],[Unit Cost]]</f>
        <v>657579</v>
      </c>
      <c r="O105" t="str">
        <f>IF(Inventory_Data[[#This Row],[Closing Stock]]&lt;=Inventory_Data[[#This Row],[Reorder Level]],"Low Stock","In Stock")</f>
        <v>In Stock</v>
      </c>
      <c r="P105" t="str">
        <f>TEXT(Inventory_Data[[#This Row],[Date]],"MMM")</f>
        <v>Jan</v>
      </c>
      <c r="Q105" t="str">
        <f>TEXT(Inventory_Data[[#This Row],[Date]],"YYYY")</f>
        <v>2025</v>
      </c>
    </row>
    <row r="106" spans="1:17" x14ac:dyDescent="0.3">
      <c r="A106" s="1">
        <v>45680</v>
      </c>
      <c r="B106" t="s">
        <v>30</v>
      </c>
      <c r="C106" t="s">
        <v>28</v>
      </c>
      <c r="D106" t="s">
        <v>37</v>
      </c>
      <c r="E106" t="s">
        <v>20</v>
      </c>
      <c r="F106">
        <v>156</v>
      </c>
      <c r="G106">
        <v>92</v>
      </c>
      <c r="H106">
        <v>59</v>
      </c>
      <c r="I106">
        <v>189</v>
      </c>
      <c r="J106">
        <v>38</v>
      </c>
      <c r="K106">
        <v>45342</v>
      </c>
      <c r="L106">
        <v>8569638</v>
      </c>
      <c r="M106">
        <f>Inventory_Data[[#This Row],[Opening Stock]]+Inventory_Data[[#This Row],[Purchase Qty]]-Inventory_Data[[#This Row],[Sales Qty]]-Inventory_Data[[#This Row],[Closing Stock]]</f>
        <v>0</v>
      </c>
      <c r="N106">
        <f>Inventory_Data[[#This Row],[Purchase Qty]]*Inventory_Data[[#This Row],[Unit Cost]]</f>
        <v>4171464</v>
      </c>
      <c r="O106" t="str">
        <f>IF(Inventory_Data[[#This Row],[Closing Stock]]&lt;=Inventory_Data[[#This Row],[Reorder Level]],"Low Stock","In Stock")</f>
        <v>In Stock</v>
      </c>
      <c r="P106" t="str">
        <f>TEXT(Inventory_Data[[#This Row],[Date]],"MMM")</f>
        <v>Jan</v>
      </c>
      <c r="Q106" t="str">
        <f>TEXT(Inventory_Data[[#This Row],[Date]],"YYYY")</f>
        <v>2025</v>
      </c>
    </row>
    <row r="107" spans="1:17" x14ac:dyDescent="0.3">
      <c r="A107" s="1">
        <v>45680</v>
      </c>
      <c r="B107" t="s">
        <v>32</v>
      </c>
      <c r="C107" t="s">
        <v>28</v>
      </c>
      <c r="D107" t="s">
        <v>26</v>
      </c>
      <c r="E107" t="s">
        <v>24</v>
      </c>
      <c r="F107">
        <v>113</v>
      </c>
      <c r="G107">
        <v>118</v>
      </c>
      <c r="H107">
        <v>65</v>
      </c>
      <c r="I107">
        <v>166</v>
      </c>
      <c r="J107">
        <v>46</v>
      </c>
      <c r="K107">
        <v>57014</v>
      </c>
      <c r="L107">
        <v>9464324</v>
      </c>
      <c r="M107">
        <f>Inventory_Data[[#This Row],[Opening Stock]]+Inventory_Data[[#This Row],[Purchase Qty]]-Inventory_Data[[#This Row],[Sales Qty]]-Inventory_Data[[#This Row],[Closing Stock]]</f>
        <v>0</v>
      </c>
      <c r="N107">
        <f>Inventory_Data[[#This Row],[Purchase Qty]]*Inventory_Data[[#This Row],[Unit Cost]]</f>
        <v>6727652</v>
      </c>
      <c r="O107" t="str">
        <f>IF(Inventory_Data[[#This Row],[Closing Stock]]&lt;=Inventory_Data[[#This Row],[Reorder Level]],"Low Stock","In Stock")</f>
        <v>In Stock</v>
      </c>
      <c r="P107" t="str">
        <f>TEXT(Inventory_Data[[#This Row],[Date]],"MMM")</f>
        <v>Jan</v>
      </c>
      <c r="Q107" t="str">
        <f>TEXT(Inventory_Data[[#This Row],[Date]],"YYYY")</f>
        <v>2025</v>
      </c>
    </row>
    <row r="108" spans="1:17" x14ac:dyDescent="0.3">
      <c r="A108" s="1">
        <v>45681</v>
      </c>
      <c r="B108" t="s">
        <v>21</v>
      </c>
      <c r="C108" t="s">
        <v>22</v>
      </c>
      <c r="D108" t="s">
        <v>23</v>
      </c>
      <c r="E108" t="s">
        <v>20</v>
      </c>
      <c r="F108">
        <v>219</v>
      </c>
      <c r="G108">
        <v>132</v>
      </c>
      <c r="H108">
        <v>69</v>
      </c>
      <c r="I108">
        <v>282</v>
      </c>
      <c r="J108">
        <v>86</v>
      </c>
      <c r="K108">
        <v>1129</v>
      </c>
      <c r="L108">
        <v>318378</v>
      </c>
      <c r="M108">
        <f>Inventory_Data[[#This Row],[Opening Stock]]+Inventory_Data[[#This Row],[Purchase Qty]]-Inventory_Data[[#This Row],[Sales Qty]]-Inventory_Data[[#This Row],[Closing Stock]]</f>
        <v>0</v>
      </c>
      <c r="N108">
        <f>Inventory_Data[[#This Row],[Purchase Qty]]*Inventory_Data[[#This Row],[Unit Cost]]</f>
        <v>149028</v>
      </c>
      <c r="O108" t="str">
        <f>IF(Inventory_Data[[#This Row],[Closing Stock]]&lt;=Inventory_Data[[#This Row],[Reorder Level]],"Low Stock","In Stock")</f>
        <v>In Stock</v>
      </c>
      <c r="P108" t="str">
        <f>TEXT(Inventory_Data[[#This Row],[Date]],"MMM")</f>
        <v>Jan</v>
      </c>
      <c r="Q108" t="str">
        <f>TEXT(Inventory_Data[[#This Row],[Date]],"YYYY")</f>
        <v>2025</v>
      </c>
    </row>
    <row r="109" spans="1:17" x14ac:dyDescent="0.3">
      <c r="A109" s="1">
        <v>45681</v>
      </c>
      <c r="B109" t="s">
        <v>21</v>
      </c>
      <c r="C109" t="s">
        <v>22</v>
      </c>
      <c r="D109" t="s">
        <v>14</v>
      </c>
      <c r="E109" t="s">
        <v>18</v>
      </c>
      <c r="F109">
        <v>270</v>
      </c>
      <c r="G109">
        <v>39</v>
      </c>
      <c r="H109">
        <v>174</v>
      </c>
      <c r="I109">
        <v>135</v>
      </c>
      <c r="J109">
        <v>146</v>
      </c>
      <c r="K109">
        <v>1039</v>
      </c>
      <c r="L109">
        <v>140265</v>
      </c>
      <c r="M109">
        <f>Inventory_Data[[#This Row],[Opening Stock]]+Inventory_Data[[#This Row],[Purchase Qty]]-Inventory_Data[[#This Row],[Sales Qty]]-Inventory_Data[[#This Row],[Closing Stock]]</f>
        <v>0</v>
      </c>
      <c r="N109">
        <f>Inventory_Data[[#This Row],[Purchase Qty]]*Inventory_Data[[#This Row],[Unit Cost]]</f>
        <v>40521</v>
      </c>
      <c r="O109" t="str">
        <f>IF(Inventory_Data[[#This Row],[Closing Stock]]&lt;=Inventory_Data[[#This Row],[Reorder Level]],"Low Stock","In Stock")</f>
        <v>Low Stock</v>
      </c>
      <c r="P109" t="str">
        <f>TEXT(Inventory_Data[[#This Row],[Date]],"MMM")</f>
        <v>Jan</v>
      </c>
      <c r="Q109" t="str">
        <f>TEXT(Inventory_Data[[#This Row],[Date]],"YYYY")</f>
        <v>2025</v>
      </c>
    </row>
    <row r="110" spans="1:17" x14ac:dyDescent="0.3">
      <c r="A110" s="1">
        <v>45681</v>
      </c>
      <c r="B110" t="s">
        <v>27</v>
      </c>
      <c r="C110" t="s">
        <v>28</v>
      </c>
      <c r="D110" t="s">
        <v>23</v>
      </c>
      <c r="E110" t="s">
        <v>18</v>
      </c>
      <c r="F110">
        <v>46</v>
      </c>
      <c r="G110">
        <v>58</v>
      </c>
      <c r="H110">
        <v>79</v>
      </c>
      <c r="I110">
        <v>25</v>
      </c>
      <c r="J110">
        <v>42</v>
      </c>
      <c r="K110">
        <v>62992</v>
      </c>
      <c r="L110">
        <v>1574800</v>
      </c>
      <c r="M110">
        <f>Inventory_Data[[#This Row],[Opening Stock]]+Inventory_Data[[#This Row],[Purchase Qty]]-Inventory_Data[[#This Row],[Sales Qty]]-Inventory_Data[[#This Row],[Closing Stock]]</f>
        <v>0</v>
      </c>
      <c r="N110">
        <f>Inventory_Data[[#This Row],[Purchase Qty]]*Inventory_Data[[#This Row],[Unit Cost]]</f>
        <v>3653536</v>
      </c>
      <c r="O110" t="str">
        <f>IF(Inventory_Data[[#This Row],[Closing Stock]]&lt;=Inventory_Data[[#This Row],[Reorder Level]],"Low Stock","In Stock")</f>
        <v>Low Stock</v>
      </c>
      <c r="P110" t="str">
        <f>TEXT(Inventory_Data[[#This Row],[Date]],"MMM")</f>
        <v>Jan</v>
      </c>
      <c r="Q110" t="str">
        <f>TEXT(Inventory_Data[[#This Row],[Date]],"YYYY")</f>
        <v>2025</v>
      </c>
    </row>
    <row r="111" spans="1:17" x14ac:dyDescent="0.3">
      <c r="A111" s="1">
        <v>45681</v>
      </c>
      <c r="B111" t="s">
        <v>43</v>
      </c>
      <c r="C111" t="s">
        <v>22</v>
      </c>
      <c r="D111" t="s">
        <v>14</v>
      </c>
      <c r="E111" t="s">
        <v>15</v>
      </c>
      <c r="F111">
        <v>320</v>
      </c>
      <c r="G111">
        <v>124</v>
      </c>
      <c r="H111">
        <v>151</v>
      </c>
      <c r="I111">
        <v>293</v>
      </c>
      <c r="J111">
        <v>127</v>
      </c>
      <c r="K111">
        <v>921</v>
      </c>
      <c r="L111">
        <v>269853</v>
      </c>
      <c r="M111">
        <f>Inventory_Data[[#This Row],[Opening Stock]]+Inventory_Data[[#This Row],[Purchase Qty]]-Inventory_Data[[#This Row],[Sales Qty]]-Inventory_Data[[#This Row],[Closing Stock]]</f>
        <v>0</v>
      </c>
      <c r="N111">
        <f>Inventory_Data[[#This Row],[Purchase Qty]]*Inventory_Data[[#This Row],[Unit Cost]]</f>
        <v>114204</v>
      </c>
      <c r="O111" t="str">
        <f>IF(Inventory_Data[[#This Row],[Closing Stock]]&lt;=Inventory_Data[[#This Row],[Reorder Level]],"Low Stock","In Stock")</f>
        <v>In Stock</v>
      </c>
      <c r="P111" t="str">
        <f>TEXT(Inventory_Data[[#This Row],[Date]],"MMM")</f>
        <v>Jan</v>
      </c>
      <c r="Q111" t="str">
        <f>TEXT(Inventory_Data[[#This Row],[Date]],"YYYY")</f>
        <v>2025</v>
      </c>
    </row>
    <row r="112" spans="1:17" x14ac:dyDescent="0.3">
      <c r="A112" s="1">
        <v>45682</v>
      </c>
      <c r="B112" t="s">
        <v>12</v>
      </c>
      <c r="C112" t="s">
        <v>13</v>
      </c>
      <c r="D112" t="s">
        <v>14</v>
      </c>
      <c r="E112" t="s">
        <v>15</v>
      </c>
      <c r="F112">
        <v>82</v>
      </c>
      <c r="G112">
        <v>14</v>
      </c>
      <c r="H112">
        <v>5</v>
      </c>
      <c r="I112">
        <v>91</v>
      </c>
      <c r="J112">
        <v>27</v>
      </c>
      <c r="K112">
        <v>17316</v>
      </c>
      <c r="L112">
        <v>1575756</v>
      </c>
      <c r="M112">
        <f>Inventory_Data[[#This Row],[Opening Stock]]+Inventory_Data[[#This Row],[Purchase Qty]]-Inventory_Data[[#This Row],[Sales Qty]]-Inventory_Data[[#This Row],[Closing Stock]]</f>
        <v>0</v>
      </c>
      <c r="N112">
        <f>Inventory_Data[[#This Row],[Purchase Qty]]*Inventory_Data[[#This Row],[Unit Cost]]</f>
        <v>242424</v>
      </c>
      <c r="O112" t="str">
        <f>IF(Inventory_Data[[#This Row],[Closing Stock]]&lt;=Inventory_Data[[#This Row],[Reorder Level]],"Low Stock","In Stock")</f>
        <v>In Stock</v>
      </c>
      <c r="P112" t="str">
        <f>TEXT(Inventory_Data[[#This Row],[Date]],"MMM")</f>
        <v>Jan</v>
      </c>
      <c r="Q112" t="str">
        <f>TEXT(Inventory_Data[[#This Row],[Date]],"YYYY")</f>
        <v>2025</v>
      </c>
    </row>
    <row r="113" spans="1:17" x14ac:dyDescent="0.3">
      <c r="A113" s="1">
        <v>45682</v>
      </c>
      <c r="B113" t="s">
        <v>40</v>
      </c>
      <c r="C113" t="s">
        <v>28</v>
      </c>
      <c r="D113" t="s">
        <v>37</v>
      </c>
      <c r="E113" t="s">
        <v>20</v>
      </c>
      <c r="F113">
        <v>151</v>
      </c>
      <c r="G113">
        <v>103</v>
      </c>
      <c r="H113">
        <v>98</v>
      </c>
      <c r="I113">
        <v>156</v>
      </c>
      <c r="J113">
        <v>33</v>
      </c>
      <c r="K113">
        <v>46252</v>
      </c>
      <c r="L113">
        <v>7215312</v>
      </c>
      <c r="M113">
        <f>Inventory_Data[[#This Row],[Opening Stock]]+Inventory_Data[[#This Row],[Purchase Qty]]-Inventory_Data[[#This Row],[Sales Qty]]-Inventory_Data[[#This Row],[Closing Stock]]</f>
        <v>0</v>
      </c>
      <c r="N113">
        <f>Inventory_Data[[#This Row],[Purchase Qty]]*Inventory_Data[[#This Row],[Unit Cost]]</f>
        <v>4763956</v>
      </c>
      <c r="O113" t="str">
        <f>IF(Inventory_Data[[#This Row],[Closing Stock]]&lt;=Inventory_Data[[#This Row],[Reorder Level]],"Low Stock","In Stock")</f>
        <v>In Stock</v>
      </c>
      <c r="P113" t="str">
        <f>TEXT(Inventory_Data[[#This Row],[Date]],"MMM")</f>
        <v>Jan</v>
      </c>
      <c r="Q113" t="str">
        <f>TEXT(Inventory_Data[[#This Row],[Date]],"YYYY")</f>
        <v>2025</v>
      </c>
    </row>
    <row r="114" spans="1:17" x14ac:dyDescent="0.3">
      <c r="A114" s="1">
        <v>45682</v>
      </c>
      <c r="B114" t="s">
        <v>40</v>
      </c>
      <c r="C114" t="s">
        <v>28</v>
      </c>
      <c r="D114" t="s">
        <v>26</v>
      </c>
      <c r="E114" t="s">
        <v>15</v>
      </c>
      <c r="F114">
        <v>156</v>
      </c>
      <c r="G114">
        <v>112</v>
      </c>
      <c r="H114">
        <v>66</v>
      </c>
      <c r="I114">
        <v>202</v>
      </c>
      <c r="J114">
        <v>45</v>
      </c>
      <c r="K114">
        <v>4107</v>
      </c>
      <c r="L114">
        <v>829614</v>
      </c>
      <c r="M114">
        <f>Inventory_Data[[#This Row],[Opening Stock]]+Inventory_Data[[#This Row],[Purchase Qty]]-Inventory_Data[[#This Row],[Sales Qty]]-Inventory_Data[[#This Row],[Closing Stock]]</f>
        <v>0</v>
      </c>
      <c r="N114">
        <f>Inventory_Data[[#This Row],[Purchase Qty]]*Inventory_Data[[#This Row],[Unit Cost]]</f>
        <v>459984</v>
      </c>
      <c r="O114" t="str">
        <f>IF(Inventory_Data[[#This Row],[Closing Stock]]&lt;=Inventory_Data[[#This Row],[Reorder Level]],"Low Stock","In Stock")</f>
        <v>In Stock</v>
      </c>
      <c r="P114" t="str">
        <f>TEXT(Inventory_Data[[#This Row],[Date]],"MMM")</f>
        <v>Jan</v>
      </c>
      <c r="Q114" t="str">
        <f>TEXT(Inventory_Data[[#This Row],[Date]],"YYYY")</f>
        <v>2025</v>
      </c>
    </row>
    <row r="115" spans="1:17" x14ac:dyDescent="0.3">
      <c r="A115" s="1">
        <v>45682</v>
      </c>
      <c r="B115" t="s">
        <v>42</v>
      </c>
      <c r="C115" t="s">
        <v>17</v>
      </c>
      <c r="D115" t="s">
        <v>23</v>
      </c>
      <c r="E115" t="s">
        <v>24</v>
      </c>
      <c r="F115">
        <v>47</v>
      </c>
      <c r="G115">
        <v>25</v>
      </c>
      <c r="H115">
        <v>25</v>
      </c>
      <c r="I115">
        <v>47</v>
      </c>
      <c r="J115">
        <v>28</v>
      </c>
      <c r="K115">
        <v>11251</v>
      </c>
      <c r="L115">
        <v>528797</v>
      </c>
      <c r="M115">
        <f>Inventory_Data[[#This Row],[Opening Stock]]+Inventory_Data[[#This Row],[Purchase Qty]]-Inventory_Data[[#This Row],[Sales Qty]]-Inventory_Data[[#This Row],[Closing Stock]]</f>
        <v>0</v>
      </c>
      <c r="N115">
        <f>Inventory_Data[[#This Row],[Purchase Qty]]*Inventory_Data[[#This Row],[Unit Cost]]</f>
        <v>281275</v>
      </c>
      <c r="O115" t="str">
        <f>IF(Inventory_Data[[#This Row],[Closing Stock]]&lt;=Inventory_Data[[#This Row],[Reorder Level]],"Low Stock","In Stock")</f>
        <v>In Stock</v>
      </c>
      <c r="P115" t="str">
        <f>TEXT(Inventory_Data[[#This Row],[Date]],"MMM")</f>
        <v>Jan</v>
      </c>
      <c r="Q115" t="str">
        <f>TEXT(Inventory_Data[[#This Row],[Date]],"YYYY")</f>
        <v>2025</v>
      </c>
    </row>
    <row r="116" spans="1:17" x14ac:dyDescent="0.3">
      <c r="A116" s="1">
        <v>45682</v>
      </c>
      <c r="B116" t="s">
        <v>36</v>
      </c>
      <c r="C116" t="s">
        <v>22</v>
      </c>
      <c r="D116" t="s">
        <v>23</v>
      </c>
      <c r="E116" t="s">
        <v>34</v>
      </c>
      <c r="F116">
        <v>88</v>
      </c>
      <c r="G116">
        <v>160</v>
      </c>
      <c r="H116">
        <v>238</v>
      </c>
      <c r="I116">
        <v>10</v>
      </c>
      <c r="J116">
        <v>93</v>
      </c>
      <c r="K116">
        <v>127</v>
      </c>
      <c r="L116">
        <v>1270</v>
      </c>
      <c r="M116">
        <f>Inventory_Data[[#This Row],[Opening Stock]]+Inventory_Data[[#This Row],[Purchase Qty]]-Inventory_Data[[#This Row],[Sales Qty]]-Inventory_Data[[#This Row],[Closing Stock]]</f>
        <v>0</v>
      </c>
      <c r="N116">
        <f>Inventory_Data[[#This Row],[Purchase Qty]]*Inventory_Data[[#This Row],[Unit Cost]]</f>
        <v>20320</v>
      </c>
      <c r="O116" t="str">
        <f>IF(Inventory_Data[[#This Row],[Closing Stock]]&lt;=Inventory_Data[[#This Row],[Reorder Level]],"Low Stock","In Stock")</f>
        <v>Low Stock</v>
      </c>
      <c r="P116" t="str">
        <f>TEXT(Inventory_Data[[#This Row],[Date]],"MMM")</f>
        <v>Jan</v>
      </c>
      <c r="Q116" t="str">
        <f>TEXT(Inventory_Data[[#This Row],[Date]],"YYYY")</f>
        <v>2025</v>
      </c>
    </row>
    <row r="117" spans="1:17" x14ac:dyDescent="0.3">
      <c r="A117" s="1">
        <v>45682</v>
      </c>
      <c r="B117" t="s">
        <v>27</v>
      </c>
      <c r="C117" t="s">
        <v>28</v>
      </c>
      <c r="D117" t="s">
        <v>26</v>
      </c>
      <c r="E117" t="s">
        <v>29</v>
      </c>
      <c r="F117">
        <v>47</v>
      </c>
      <c r="G117">
        <v>74</v>
      </c>
      <c r="H117">
        <v>49</v>
      </c>
      <c r="I117">
        <v>72</v>
      </c>
      <c r="J117">
        <v>26</v>
      </c>
      <c r="K117">
        <v>42851</v>
      </c>
      <c r="L117">
        <v>3085272</v>
      </c>
      <c r="M117">
        <f>Inventory_Data[[#This Row],[Opening Stock]]+Inventory_Data[[#This Row],[Purchase Qty]]-Inventory_Data[[#This Row],[Sales Qty]]-Inventory_Data[[#This Row],[Closing Stock]]</f>
        <v>0</v>
      </c>
      <c r="N117">
        <f>Inventory_Data[[#This Row],[Purchase Qty]]*Inventory_Data[[#This Row],[Unit Cost]]</f>
        <v>3170974</v>
      </c>
      <c r="O117" t="str">
        <f>IF(Inventory_Data[[#This Row],[Closing Stock]]&lt;=Inventory_Data[[#This Row],[Reorder Level]],"Low Stock","In Stock")</f>
        <v>In Stock</v>
      </c>
      <c r="P117" t="str">
        <f>TEXT(Inventory_Data[[#This Row],[Date]],"MMM")</f>
        <v>Jan</v>
      </c>
      <c r="Q117" t="str">
        <f>TEXT(Inventory_Data[[#This Row],[Date]],"YYYY")</f>
        <v>2025</v>
      </c>
    </row>
    <row r="118" spans="1:17" x14ac:dyDescent="0.3">
      <c r="A118" s="1">
        <v>45683</v>
      </c>
      <c r="B118" t="s">
        <v>41</v>
      </c>
      <c r="C118" t="s">
        <v>22</v>
      </c>
      <c r="D118" t="s">
        <v>26</v>
      </c>
      <c r="E118" t="s">
        <v>18</v>
      </c>
      <c r="F118">
        <v>357</v>
      </c>
      <c r="G118">
        <v>122</v>
      </c>
      <c r="H118">
        <v>241</v>
      </c>
      <c r="I118">
        <v>238</v>
      </c>
      <c r="J118">
        <v>100</v>
      </c>
      <c r="K118">
        <v>552</v>
      </c>
      <c r="L118">
        <v>131376</v>
      </c>
      <c r="M118">
        <f>Inventory_Data[[#This Row],[Opening Stock]]+Inventory_Data[[#This Row],[Purchase Qty]]-Inventory_Data[[#This Row],[Sales Qty]]-Inventory_Data[[#This Row],[Closing Stock]]</f>
        <v>0</v>
      </c>
      <c r="N118">
        <f>Inventory_Data[[#This Row],[Purchase Qty]]*Inventory_Data[[#This Row],[Unit Cost]]</f>
        <v>67344</v>
      </c>
      <c r="O118" t="str">
        <f>IF(Inventory_Data[[#This Row],[Closing Stock]]&lt;=Inventory_Data[[#This Row],[Reorder Level]],"Low Stock","In Stock")</f>
        <v>In Stock</v>
      </c>
      <c r="P118" t="str">
        <f>TEXT(Inventory_Data[[#This Row],[Date]],"MMM")</f>
        <v>Jan</v>
      </c>
      <c r="Q118" t="str">
        <f>TEXT(Inventory_Data[[#This Row],[Date]],"YYYY")</f>
        <v>2025</v>
      </c>
    </row>
    <row r="119" spans="1:17" x14ac:dyDescent="0.3">
      <c r="A119" s="1">
        <v>45683</v>
      </c>
      <c r="B119" t="s">
        <v>43</v>
      </c>
      <c r="C119" t="s">
        <v>22</v>
      </c>
      <c r="D119" t="s">
        <v>14</v>
      </c>
      <c r="E119" t="s">
        <v>34</v>
      </c>
      <c r="F119">
        <v>459</v>
      </c>
      <c r="G119">
        <v>275</v>
      </c>
      <c r="H119">
        <v>28</v>
      </c>
      <c r="I119">
        <v>706</v>
      </c>
      <c r="J119">
        <v>99</v>
      </c>
      <c r="K119">
        <v>1149</v>
      </c>
      <c r="L119">
        <v>811194</v>
      </c>
      <c r="M119">
        <f>Inventory_Data[[#This Row],[Opening Stock]]+Inventory_Data[[#This Row],[Purchase Qty]]-Inventory_Data[[#This Row],[Sales Qty]]-Inventory_Data[[#This Row],[Closing Stock]]</f>
        <v>0</v>
      </c>
      <c r="N119">
        <f>Inventory_Data[[#This Row],[Purchase Qty]]*Inventory_Data[[#This Row],[Unit Cost]]</f>
        <v>315975</v>
      </c>
      <c r="O119" t="str">
        <f>IF(Inventory_Data[[#This Row],[Closing Stock]]&lt;=Inventory_Data[[#This Row],[Reorder Level]],"Low Stock","In Stock")</f>
        <v>In Stock</v>
      </c>
      <c r="P119" t="str">
        <f>TEXT(Inventory_Data[[#This Row],[Date]],"MMM")</f>
        <v>Jan</v>
      </c>
      <c r="Q119" t="str">
        <f>TEXT(Inventory_Data[[#This Row],[Date]],"YYYY")</f>
        <v>2025</v>
      </c>
    </row>
    <row r="120" spans="1:17" x14ac:dyDescent="0.3">
      <c r="A120" s="1">
        <v>45683</v>
      </c>
      <c r="B120" t="s">
        <v>35</v>
      </c>
      <c r="C120" t="s">
        <v>22</v>
      </c>
      <c r="D120" t="s">
        <v>37</v>
      </c>
      <c r="E120" t="s">
        <v>20</v>
      </c>
      <c r="F120">
        <v>170</v>
      </c>
      <c r="G120">
        <v>211</v>
      </c>
      <c r="H120">
        <v>208</v>
      </c>
      <c r="I120">
        <v>173</v>
      </c>
      <c r="J120">
        <v>80</v>
      </c>
      <c r="K120">
        <v>833</v>
      </c>
      <c r="L120">
        <v>144109</v>
      </c>
      <c r="M120">
        <f>Inventory_Data[[#This Row],[Opening Stock]]+Inventory_Data[[#This Row],[Purchase Qty]]-Inventory_Data[[#This Row],[Sales Qty]]-Inventory_Data[[#This Row],[Closing Stock]]</f>
        <v>0</v>
      </c>
      <c r="N120">
        <f>Inventory_Data[[#This Row],[Purchase Qty]]*Inventory_Data[[#This Row],[Unit Cost]]</f>
        <v>175763</v>
      </c>
      <c r="O120" t="str">
        <f>IF(Inventory_Data[[#This Row],[Closing Stock]]&lt;=Inventory_Data[[#This Row],[Reorder Level]],"Low Stock","In Stock")</f>
        <v>In Stock</v>
      </c>
      <c r="P120" t="str">
        <f>TEXT(Inventory_Data[[#This Row],[Date]],"MMM")</f>
        <v>Jan</v>
      </c>
      <c r="Q120" t="str">
        <f>TEXT(Inventory_Data[[#This Row],[Date]],"YYYY")</f>
        <v>2025</v>
      </c>
    </row>
    <row r="121" spans="1:17" x14ac:dyDescent="0.3">
      <c r="A121" s="1">
        <v>45684</v>
      </c>
      <c r="B121" t="s">
        <v>32</v>
      </c>
      <c r="C121" t="s">
        <v>28</v>
      </c>
      <c r="D121" t="s">
        <v>26</v>
      </c>
      <c r="E121" t="s">
        <v>18</v>
      </c>
      <c r="F121">
        <v>55</v>
      </c>
      <c r="G121">
        <v>41</v>
      </c>
      <c r="H121">
        <v>45</v>
      </c>
      <c r="I121">
        <v>51</v>
      </c>
      <c r="J121">
        <v>50</v>
      </c>
      <c r="K121">
        <v>64686</v>
      </c>
      <c r="L121">
        <v>3298986</v>
      </c>
      <c r="M121">
        <f>Inventory_Data[[#This Row],[Opening Stock]]+Inventory_Data[[#This Row],[Purchase Qty]]-Inventory_Data[[#This Row],[Sales Qty]]-Inventory_Data[[#This Row],[Closing Stock]]</f>
        <v>0</v>
      </c>
      <c r="N121">
        <f>Inventory_Data[[#This Row],[Purchase Qty]]*Inventory_Data[[#This Row],[Unit Cost]]</f>
        <v>2652126</v>
      </c>
      <c r="O121" t="str">
        <f>IF(Inventory_Data[[#This Row],[Closing Stock]]&lt;=Inventory_Data[[#This Row],[Reorder Level]],"Low Stock","In Stock")</f>
        <v>In Stock</v>
      </c>
      <c r="P121" t="str">
        <f>TEXT(Inventory_Data[[#This Row],[Date]],"MMM")</f>
        <v>Jan</v>
      </c>
      <c r="Q121" t="str">
        <f>TEXT(Inventory_Data[[#This Row],[Date]],"YYYY")</f>
        <v>2025</v>
      </c>
    </row>
    <row r="122" spans="1:17" x14ac:dyDescent="0.3">
      <c r="A122" s="1">
        <v>45684</v>
      </c>
      <c r="B122" t="s">
        <v>33</v>
      </c>
      <c r="C122" t="s">
        <v>13</v>
      </c>
      <c r="D122" t="s">
        <v>23</v>
      </c>
      <c r="E122" t="s">
        <v>29</v>
      </c>
      <c r="F122">
        <v>106</v>
      </c>
      <c r="G122">
        <v>22</v>
      </c>
      <c r="H122">
        <v>61</v>
      </c>
      <c r="I122">
        <v>67</v>
      </c>
      <c r="J122">
        <v>31</v>
      </c>
      <c r="K122">
        <v>1378</v>
      </c>
      <c r="L122">
        <v>92326</v>
      </c>
      <c r="M122">
        <f>Inventory_Data[[#This Row],[Opening Stock]]+Inventory_Data[[#This Row],[Purchase Qty]]-Inventory_Data[[#This Row],[Sales Qty]]-Inventory_Data[[#This Row],[Closing Stock]]</f>
        <v>0</v>
      </c>
      <c r="N122">
        <f>Inventory_Data[[#This Row],[Purchase Qty]]*Inventory_Data[[#This Row],[Unit Cost]]</f>
        <v>30316</v>
      </c>
      <c r="O122" t="str">
        <f>IF(Inventory_Data[[#This Row],[Closing Stock]]&lt;=Inventory_Data[[#This Row],[Reorder Level]],"Low Stock","In Stock")</f>
        <v>In Stock</v>
      </c>
      <c r="P122" t="str">
        <f>TEXT(Inventory_Data[[#This Row],[Date]],"MMM")</f>
        <v>Jan</v>
      </c>
      <c r="Q122" t="str">
        <f>TEXT(Inventory_Data[[#This Row],[Date]],"YYYY")</f>
        <v>2025</v>
      </c>
    </row>
    <row r="123" spans="1:17" x14ac:dyDescent="0.3">
      <c r="A123" s="1">
        <v>45684</v>
      </c>
      <c r="B123" t="s">
        <v>16</v>
      </c>
      <c r="C123" t="s">
        <v>17</v>
      </c>
      <c r="D123" t="s">
        <v>14</v>
      </c>
      <c r="E123" t="s">
        <v>29</v>
      </c>
      <c r="F123">
        <v>37</v>
      </c>
      <c r="G123">
        <v>9</v>
      </c>
      <c r="H123">
        <v>42</v>
      </c>
      <c r="I123">
        <v>4</v>
      </c>
      <c r="J123">
        <v>25</v>
      </c>
      <c r="K123">
        <v>15179</v>
      </c>
      <c r="L123">
        <v>60716</v>
      </c>
      <c r="M123">
        <f>Inventory_Data[[#This Row],[Opening Stock]]+Inventory_Data[[#This Row],[Purchase Qty]]-Inventory_Data[[#This Row],[Sales Qty]]-Inventory_Data[[#This Row],[Closing Stock]]</f>
        <v>0</v>
      </c>
      <c r="N123">
        <f>Inventory_Data[[#This Row],[Purchase Qty]]*Inventory_Data[[#This Row],[Unit Cost]]</f>
        <v>136611</v>
      </c>
      <c r="O123" t="str">
        <f>IF(Inventory_Data[[#This Row],[Closing Stock]]&lt;=Inventory_Data[[#This Row],[Reorder Level]],"Low Stock","In Stock")</f>
        <v>Low Stock</v>
      </c>
      <c r="P123" t="str">
        <f>TEXT(Inventory_Data[[#This Row],[Date]],"MMM")</f>
        <v>Jan</v>
      </c>
      <c r="Q123" t="str">
        <f>TEXT(Inventory_Data[[#This Row],[Date]],"YYYY")</f>
        <v>2025</v>
      </c>
    </row>
    <row r="124" spans="1:17" x14ac:dyDescent="0.3">
      <c r="A124" s="1">
        <v>45684</v>
      </c>
      <c r="B124" t="s">
        <v>42</v>
      </c>
      <c r="C124" t="s">
        <v>17</v>
      </c>
      <c r="D124" t="s">
        <v>26</v>
      </c>
      <c r="E124" t="s">
        <v>18</v>
      </c>
      <c r="F124">
        <v>97</v>
      </c>
      <c r="G124">
        <v>33</v>
      </c>
      <c r="H124">
        <v>18</v>
      </c>
      <c r="I124">
        <v>112</v>
      </c>
      <c r="J124">
        <v>16</v>
      </c>
      <c r="K124">
        <v>21551</v>
      </c>
      <c r="L124">
        <v>2413712</v>
      </c>
      <c r="M124">
        <f>Inventory_Data[[#This Row],[Opening Stock]]+Inventory_Data[[#This Row],[Purchase Qty]]-Inventory_Data[[#This Row],[Sales Qty]]-Inventory_Data[[#This Row],[Closing Stock]]</f>
        <v>0</v>
      </c>
      <c r="N124">
        <f>Inventory_Data[[#This Row],[Purchase Qty]]*Inventory_Data[[#This Row],[Unit Cost]]</f>
        <v>711183</v>
      </c>
      <c r="O124" t="str">
        <f>IF(Inventory_Data[[#This Row],[Closing Stock]]&lt;=Inventory_Data[[#This Row],[Reorder Level]],"Low Stock","In Stock")</f>
        <v>In Stock</v>
      </c>
      <c r="P124" t="str">
        <f>TEXT(Inventory_Data[[#This Row],[Date]],"MMM")</f>
        <v>Jan</v>
      </c>
      <c r="Q124" t="str">
        <f>TEXT(Inventory_Data[[#This Row],[Date]],"YYYY")</f>
        <v>2025</v>
      </c>
    </row>
    <row r="125" spans="1:17" x14ac:dyDescent="0.3">
      <c r="A125" s="1">
        <v>45684</v>
      </c>
      <c r="B125" t="s">
        <v>33</v>
      </c>
      <c r="C125" t="s">
        <v>13</v>
      </c>
      <c r="D125" t="s">
        <v>23</v>
      </c>
      <c r="E125" t="s">
        <v>20</v>
      </c>
      <c r="F125">
        <v>32</v>
      </c>
      <c r="G125">
        <v>64</v>
      </c>
      <c r="H125">
        <v>12</v>
      </c>
      <c r="I125">
        <v>84</v>
      </c>
      <c r="J125">
        <v>24</v>
      </c>
      <c r="K125">
        <v>3509</v>
      </c>
      <c r="L125">
        <v>294756</v>
      </c>
      <c r="M125">
        <f>Inventory_Data[[#This Row],[Opening Stock]]+Inventory_Data[[#This Row],[Purchase Qty]]-Inventory_Data[[#This Row],[Sales Qty]]-Inventory_Data[[#This Row],[Closing Stock]]</f>
        <v>0</v>
      </c>
      <c r="N125">
        <f>Inventory_Data[[#This Row],[Purchase Qty]]*Inventory_Data[[#This Row],[Unit Cost]]</f>
        <v>224576</v>
      </c>
      <c r="O125" t="str">
        <f>IF(Inventory_Data[[#This Row],[Closing Stock]]&lt;=Inventory_Data[[#This Row],[Reorder Level]],"Low Stock","In Stock")</f>
        <v>In Stock</v>
      </c>
      <c r="P125" t="str">
        <f>TEXT(Inventory_Data[[#This Row],[Date]],"MMM")</f>
        <v>Jan</v>
      </c>
      <c r="Q125" t="str">
        <f>TEXT(Inventory_Data[[#This Row],[Date]],"YYYY")</f>
        <v>2025</v>
      </c>
    </row>
    <row r="126" spans="1:17" x14ac:dyDescent="0.3">
      <c r="A126" s="1">
        <v>45684</v>
      </c>
      <c r="B126" t="s">
        <v>35</v>
      </c>
      <c r="C126" t="s">
        <v>22</v>
      </c>
      <c r="D126" t="s">
        <v>26</v>
      </c>
      <c r="E126" t="s">
        <v>24</v>
      </c>
      <c r="F126">
        <v>295</v>
      </c>
      <c r="G126">
        <v>164</v>
      </c>
      <c r="H126">
        <v>211</v>
      </c>
      <c r="I126">
        <v>248</v>
      </c>
      <c r="J126">
        <v>128</v>
      </c>
      <c r="K126">
        <v>1064</v>
      </c>
      <c r="L126">
        <v>263872</v>
      </c>
      <c r="M126">
        <f>Inventory_Data[[#This Row],[Opening Stock]]+Inventory_Data[[#This Row],[Purchase Qty]]-Inventory_Data[[#This Row],[Sales Qty]]-Inventory_Data[[#This Row],[Closing Stock]]</f>
        <v>0</v>
      </c>
      <c r="N126">
        <f>Inventory_Data[[#This Row],[Purchase Qty]]*Inventory_Data[[#This Row],[Unit Cost]]</f>
        <v>174496</v>
      </c>
      <c r="O126" t="str">
        <f>IF(Inventory_Data[[#This Row],[Closing Stock]]&lt;=Inventory_Data[[#This Row],[Reorder Level]],"Low Stock","In Stock")</f>
        <v>In Stock</v>
      </c>
      <c r="P126" t="str">
        <f>TEXT(Inventory_Data[[#This Row],[Date]],"MMM")</f>
        <v>Jan</v>
      </c>
      <c r="Q126" t="str">
        <f>TEXT(Inventory_Data[[#This Row],[Date]],"YYYY")</f>
        <v>2025</v>
      </c>
    </row>
    <row r="127" spans="1:17" x14ac:dyDescent="0.3">
      <c r="A127" s="1">
        <v>45684</v>
      </c>
      <c r="B127" t="s">
        <v>12</v>
      </c>
      <c r="C127" t="s">
        <v>13</v>
      </c>
      <c r="D127" t="s">
        <v>14</v>
      </c>
      <c r="E127" t="s">
        <v>18</v>
      </c>
      <c r="F127">
        <v>37</v>
      </c>
      <c r="G127">
        <v>51</v>
      </c>
      <c r="H127">
        <v>33</v>
      </c>
      <c r="I127">
        <v>55</v>
      </c>
      <c r="J127">
        <v>35</v>
      </c>
      <c r="K127">
        <v>3015</v>
      </c>
      <c r="L127">
        <v>165825</v>
      </c>
      <c r="M127">
        <f>Inventory_Data[[#This Row],[Opening Stock]]+Inventory_Data[[#This Row],[Purchase Qty]]-Inventory_Data[[#This Row],[Sales Qty]]-Inventory_Data[[#This Row],[Closing Stock]]</f>
        <v>0</v>
      </c>
      <c r="N127">
        <f>Inventory_Data[[#This Row],[Purchase Qty]]*Inventory_Data[[#This Row],[Unit Cost]]</f>
        <v>153765</v>
      </c>
      <c r="O127" t="str">
        <f>IF(Inventory_Data[[#This Row],[Closing Stock]]&lt;=Inventory_Data[[#This Row],[Reorder Level]],"Low Stock","In Stock")</f>
        <v>In Stock</v>
      </c>
      <c r="P127" t="str">
        <f>TEXT(Inventory_Data[[#This Row],[Date]],"MMM")</f>
        <v>Jan</v>
      </c>
      <c r="Q127" t="str">
        <f>TEXT(Inventory_Data[[#This Row],[Date]],"YYYY")</f>
        <v>2025</v>
      </c>
    </row>
    <row r="128" spans="1:17" x14ac:dyDescent="0.3">
      <c r="A128" s="1">
        <v>45684</v>
      </c>
      <c r="B128" t="s">
        <v>21</v>
      </c>
      <c r="C128" t="s">
        <v>22</v>
      </c>
      <c r="D128" t="s">
        <v>26</v>
      </c>
      <c r="E128" t="s">
        <v>15</v>
      </c>
      <c r="F128">
        <v>87</v>
      </c>
      <c r="G128">
        <v>225</v>
      </c>
      <c r="H128">
        <v>212</v>
      </c>
      <c r="I128">
        <v>100</v>
      </c>
      <c r="J128">
        <v>113</v>
      </c>
      <c r="K128">
        <v>104</v>
      </c>
      <c r="L128">
        <v>10400</v>
      </c>
      <c r="M128">
        <f>Inventory_Data[[#This Row],[Opening Stock]]+Inventory_Data[[#This Row],[Purchase Qty]]-Inventory_Data[[#This Row],[Sales Qty]]-Inventory_Data[[#This Row],[Closing Stock]]</f>
        <v>0</v>
      </c>
      <c r="N128">
        <f>Inventory_Data[[#This Row],[Purchase Qty]]*Inventory_Data[[#This Row],[Unit Cost]]</f>
        <v>23400</v>
      </c>
      <c r="O128" t="str">
        <f>IF(Inventory_Data[[#This Row],[Closing Stock]]&lt;=Inventory_Data[[#This Row],[Reorder Level]],"Low Stock","In Stock")</f>
        <v>Low Stock</v>
      </c>
      <c r="P128" t="str">
        <f>TEXT(Inventory_Data[[#This Row],[Date]],"MMM")</f>
        <v>Jan</v>
      </c>
      <c r="Q128" t="str">
        <f>TEXT(Inventory_Data[[#This Row],[Date]],"YYYY")</f>
        <v>2025</v>
      </c>
    </row>
    <row r="129" spans="1:17" x14ac:dyDescent="0.3">
      <c r="A129" s="1">
        <v>45685</v>
      </c>
      <c r="B129" t="s">
        <v>32</v>
      </c>
      <c r="C129" t="s">
        <v>28</v>
      </c>
      <c r="D129" t="s">
        <v>14</v>
      </c>
      <c r="E129" t="s">
        <v>24</v>
      </c>
      <c r="F129">
        <v>45</v>
      </c>
      <c r="G129">
        <v>100</v>
      </c>
      <c r="H129">
        <v>53</v>
      </c>
      <c r="I129">
        <v>92</v>
      </c>
      <c r="J129">
        <v>40</v>
      </c>
      <c r="K129">
        <v>57865</v>
      </c>
      <c r="L129">
        <v>5323580</v>
      </c>
      <c r="M129">
        <f>Inventory_Data[[#This Row],[Opening Stock]]+Inventory_Data[[#This Row],[Purchase Qty]]-Inventory_Data[[#This Row],[Sales Qty]]-Inventory_Data[[#This Row],[Closing Stock]]</f>
        <v>0</v>
      </c>
      <c r="N129">
        <f>Inventory_Data[[#This Row],[Purchase Qty]]*Inventory_Data[[#This Row],[Unit Cost]]</f>
        <v>5786500</v>
      </c>
      <c r="O129" t="str">
        <f>IF(Inventory_Data[[#This Row],[Closing Stock]]&lt;=Inventory_Data[[#This Row],[Reorder Level]],"Low Stock","In Stock")</f>
        <v>In Stock</v>
      </c>
      <c r="P129" t="str">
        <f>TEXT(Inventory_Data[[#This Row],[Date]],"MMM")</f>
        <v>Jan</v>
      </c>
      <c r="Q129" t="str">
        <f>TEXT(Inventory_Data[[#This Row],[Date]],"YYYY")</f>
        <v>2025</v>
      </c>
    </row>
    <row r="130" spans="1:17" x14ac:dyDescent="0.3">
      <c r="A130" s="1">
        <v>45686</v>
      </c>
      <c r="B130" t="s">
        <v>44</v>
      </c>
      <c r="C130" t="s">
        <v>28</v>
      </c>
      <c r="D130" t="s">
        <v>23</v>
      </c>
      <c r="E130" t="s">
        <v>24</v>
      </c>
      <c r="F130">
        <v>108</v>
      </c>
      <c r="G130">
        <v>22</v>
      </c>
      <c r="H130">
        <v>55</v>
      </c>
      <c r="I130">
        <v>75</v>
      </c>
      <c r="J130">
        <v>38</v>
      </c>
      <c r="K130">
        <v>13451</v>
      </c>
      <c r="L130">
        <v>1008825</v>
      </c>
      <c r="M130">
        <f>Inventory_Data[[#This Row],[Opening Stock]]+Inventory_Data[[#This Row],[Purchase Qty]]-Inventory_Data[[#This Row],[Sales Qty]]-Inventory_Data[[#This Row],[Closing Stock]]</f>
        <v>0</v>
      </c>
      <c r="N130">
        <f>Inventory_Data[[#This Row],[Purchase Qty]]*Inventory_Data[[#This Row],[Unit Cost]]</f>
        <v>295922</v>
      </c>
      <c r="O130" t="str">
        <f>IF(Inventory_Data[[#This Row],[Closing Stock]]&lt;=Inventory_Data[[#This Row],[Reorder Level]],"Low Stock","In Stock")</f>
        <v>In Stock</v>
      </c>
      <c r="P130" t="str">
        <f>TEXT(Inventory_Data[[#This Row],[Date]],"MMM")</f>
        <v>Jan</v>
      </c>
      <c r="Q130" t="str">
        <f>TEXT(Inventory_Data[[#This Row],[Date]],"YYYY")</f>
        <v>2025</v>
      </c>
    </row>
    <row r="131" spans="1:17" x14ac:dyDescent="0.3">
      <c r="A131" s="1">
        <v>45686</v>
      </c>
      <c r="B131" t="s">
        <v>41</v>
      </c>
      <c r="C131" t="s">
        <v>22</v>
      </c>
      <c r="D131" t="s">
        <v>26</v>
      </c>
      <c r="E131" t="s">
        <v>24</v>
      </c>
      <c r="F131">
        <v>320</v>
      </c>
      <c r="G131">
        <v>203</v>
      </c>
      <c r="H131">
        <v>262</v>
      </c>
      <c r="I131">
        <v>261</v>
      </c>
      <c r="J131">
        <v>109</v>
      </c>
      <c r="K131">
        <v>404</v>
      </c>
      <c r="L131">
        <v>105444</v>
      </c>
      <c r="M131">
        <f>Inventory_Data[[#This Row],[Opening Stock]]+Inventory_Data[[#This Row],[Purchase Qty]]-Inventory_Data[[#This Row],[Sales Qty]]-Inventory_Data[[#This Row],[Closing Stock]]</f>
        <v>0</v>
      </c>
      <c r="N131">
        <f>Inventory_Data[[#This Row],[Purchase Qty]]*Inventory_Data[[#This Row],[Unit Cost]]</f>
        <v>82012</v>
      </c>
      <c r="O131" t="str">
        <f>IF(Inventory_Data[[#This Row],[Closing Stock]]&lt;=Inventory_Data[[#This Row],[Reorder Level]],"Low Stock","In Stock")</f>
        <v>In Stock</v>
      </c>
      <c r="P131" t="str">
        <f>TEXT(Inventory_Data[[#This Row],[Date]],"MMM")</f>
        <v>Jan</v>
      </c>
      <c r="Q131" t="str">
        <f>TEXT(Inventory_Data[[#This Row],[Date]],"YYYY")</f>
        <v>2025</v>
      </c>
    </row>
    <row r="132" spans="1:17" x14ac:dyDescent="0.3">
      <c r="A132" s="1">
        <v>45686</v>
      </c>
      <c r="B132" t="s">
        <v>39</v>
      </c>
      <c r="C132" t="s">
        <v>28</v>
      </c>
      <c r="D132" t="s">
        <v>26</v>
      </c>
      <c r="E132" t="s">
        <v>24</v>
      </c>
      <c r="F132">
        <v>22</v>
      </c>
      <c r="G132">
        <v>67</v>
      </c>
      <c r="H132">
        <v>37</v>
      </c>
      <c r="I132">
        <v>52</v>
      </c>
      <c r="J132">
        <v>24</v>
      </c>
      <c r="K132">
        <v>35690</v>
      </c>
      <c r="L132">
        <v>1855880</v>
      </c>
      <c r="M132">
        <f>Inventory_Data[[#This Row],[Opening Stock]]+Inventory_Data[[#This Row],[Purchase Qty]]-Inventory_Data[[#This Row],[Sales Qty]]-Inventory_Data[[#This Row],[Closing Stock]]</f>
        <v>0</v>
      </c>
      <c r="N132">
        <f>Inventory_Data[[#This Row],[Purchase Qty]]*Inventory_Data[[#This Row],[Unit Cost]]</f>
        <v>2391230</v>
      </c>
      <c r="O132" t="str">
        <f>IF(Inventory_Data[[#This Row],[Closing Stock]]&lt;=Inventory_Data[[#This Row],[Reorder Level]],"Low Stock","In Stock")</f>
        <v>In Stock</v>
      </c>
      <c r="P132" t="str">
        <f>TEXT(Inventory_Data[[#This Row],[Date]],"MMM")</f>
        <v>Jan</v>
      </c>
      <c r="Q132" t="str">
        <f>TEXT(Inventory_Data[[#This Row],[Date]],"YYYY")</f>
        <v>2025</v>
      </c>
    </row>
    <row r="133" spans="1:17" x14ac:dyDescent="0.3">
      <c r="A133" s="1">
        <v>45686</v>
      </c>
      <c r="B133" t="s">
        <v>35</v>
      </c>
      <c r="C133" t="s">
        <v>22</v>
      </c>
      <c r="D133" t="s">
        <v>26</v>
      </c>
      <c r="E133" t="s">
        <v>18</v>
      </c>
      <c r="F133">
        <v>79</v>
      </c>
      <c r="G133">
        <v>167</v>
      </c>
      <c r="H133">
        <v>60</v>
      </c>
      <c r="I133">
        <v>186</v>
      </c>
      <c r="J133">
        <v>85</v>
      </c>
      <c r="K133">
        <v>454</v>
      </c>
      <c r="L133">
        <v>84444</v>
      </c>
      <c r="M133">
        <f>Inventory_Data[[#This Row],[Opening Stock]]+Inventory_Data[[#This Row],[Purchase Qty]]-Inventory_Data[[#This Row],[Sales Qty]]-Inventory_Data[[#This Row],[Closing Stock]]</f>
        <v>0</v>
      </c>
      <c r="N133">
        <f>Inventory_Data[[#This Row],[Purchase Qty]]*Inventory_Data[[#This Row],[Unit Cost]]</f>
        <v>75818</v>
      </c>
      <c r="O133" t="str">
        <f>IF(Inventory_Data[[#This Row],[Closing Stock]]&lt;=Inventory_Data[[#This Row],[Reorder Level]],"Low Stock","In Stock")</f>
        <v>In Stock</v>
      </c>
      <c r="P133" t="str">
        <f>TEXT(Inventory_Data[[#This Row],[Date]],"MMM")</f>
        <v>Jan</v>
      </c>
      <c r="Q133" t="str">
        <f>TEXT(Inventory_Data[[#This Row],[Date]],"YYYY")</f>
        <v>2025</v>
      </c>
    </row>
    <row r="134" spans="1:17" x14ac:dyDescent="0.3">
      <c r="A134" s="1">
        <v>45687</v>
      </c>
      <c r="B134" t="s">
        <v>19</v>
      </c>
      <c r="C134" t="s">
        <v>13</v>
      </c>
      <c r="D134" t="s">
        <v>14</v>
      </c>
      <c r="E134" t="s">
        <v>15</v>
      </c>
      <c r="F134">
        <v>87</v>
      </c>
      <c r="G134">
        <v>46</v>
      </c>
      <c r="H134">
        <v>63</v>
      </c>
      <c r="I134">
        <v>70</v>
      </c>
      <c r="J134">
        <v>34</v>
      </c>
      <c r="K134">
        <v>11243</v>
      </c>
      <c r="L134">
        <v>787010</v>
      </c>
      <c r="M134">
        <f>Inventory_Data[[#This Row],[Opening Stock]]+Inventory_Data[[#This Row],[Purchase Qty]]-Inventory_Data[[#This Row],[Sales Qty]]-Inventory_Data[[#This Row],[Closing Stock]]</f>
        <v>0</v>
      </c>
      <c r="N134">
        <f>Inventory_Data[[#This Row],[Purchase Qty]]*Inventory_Data[[#This Row],[Unit Cost]]</f>
        <v>517178</v>
      </c>
      <c r="O134" t="str">
        <f>IF(Inventory_Data[[#This Row],[Closing Stock]]&lt;=Inventory_Data[[#This Row],[Reorder Level]],"Low Stock","In Stock")</f>
        <v>In Stock</v>
      </c>
      <c r="P134" t="str">
        <f>TEXT(Inventory_Data[[#This Row],[Date]],"MMM")</f>
        <v>Jan</v>
      </c>
      <c r="Q134" t="str">
        <f>TEXT(Inventory_Data[[#This Row],[Date]],"YYYY")</f>
        <v>2025</v>
      </c>
    </row>
    <row r="135" spans="1:17" x14ac:dyDescent="0.3">
      <c r="A135" s="1">
        <v>45687</v>
      </c>
      <c r="B135" t="s">
        <v>19</v>
      </c>
      <c r="C135" t="s">
        <v>13</v>
      </c>
      <c r="D135" t="s">
        <v>14</v>
      </c>
      <c r="E135" t="s">
        <v>29</v>
      </c>
      <c r="F135">
        <v>77</v>
      </c>
      <c r="G135">
        <v>8</v>
      </c>
      <c r="H135">
        <v>15</v>
      </c>
      <c r="I135">
        <v>70</v>
      </c>
      <c r="J135">
        <v>22</v>
      </c>
      <c r="K135">
        <v>6290</v>
      </c>
      <c r="L135">
        <v>440300</v>
      </c>
      <c r="M135">
        <f>Inventory_Data[[#This Row],[Opening Stock]]+Inventory_Data[[#This Row],[Purchase Qty]]-Inventory_Data[[#This Row],[Sales Qty]]-Inventory_Data[[#This Row],[Closing Stock]]</f>
        <v>0</v>
      </c>
      <c r="N135">
        <f>Inventory_Data[[#This Row],[Purchase Qty]]*Inventory_Data[[#This Row],[Unit Cost]]</f>
        <v>50320</v>
      </c>
      <c r="O135" t="str">
        <f>IF(Inventory_Data[[#This Row],[Closing Stock]]&lt;=Inventory_Data[[#This Row],[Reorder Level]],"Low Stock","In Stock")</f>
        <v>In Stock</v>
      </c>
      <c r="P135" t="str">
        <f>TEXT(Inventory_Data[[#This Row],[Date]],"MMM")</f>
        <v>Jan</v>
      </c>
      <c r="Q135" t="str">
        <f>TEXT(Inventory_Data[[#This Row],[Date]],"YYYY")</f>
        <v>2025</v>
      </c>
    </row>
    <row r="136" spans="1:17" x14ac:dyDescent="0.3">
      <c r="A136" s="1">
        <v>45687</v>
      </c>
      <c r="B136" t="s">
        <v>43</v>
      </c>
      <c r="C136" t="s">
        <v>22</v>
      </c>
      <c r="D136" t="s">
        <v>26</v>
      </c>
      <c r="E136" t="s">
        <v>20</v>
      </c>
      <c r="F136">
        <v>94</v>
      </c>
      <c r="G136">
        <v>63</v>
      </c>
      <c r="H136">
        <v>150</v>
      </c>
      <c r="I136">
        <v>7</v>
      </c>
      <c r="J136">
        <v>142</v>
      </c>
      <c r="K136">
        <v>849</v>
      </c>
      <c r="L136">
        <v>5943</v>
      </c>
      <c r="M136">
        <f>Inventory_Data[[#This Row],[Opening Stock]]+Inventory_Data[[#This Row],[Purchase Qty]]-Inventory_Data[[#This Row],[Sales Qty]]-Inventory_Data[[#This Row],[Closing Stock]]</f>
        <v>0</v>
      </c>
      <c r="N136">
        <f>Inventory_Data[[#This Row],[Purchase Qty]]*Inventory_Data[[#This Row],[Unit Cost]]</f>
        <v>53487</v>
      </c>
      <c r="O136" t="str">
        <f>IF(Inventory_Data[[#This Row],[Closing Stock]]&lt;=Inventory_Data[[#This Row],[Reorder Level]],"Low Stock","In Stock")</f>
        <v>Low Stock</v>
      </c>
      <c r="P136" t="str">
        <f>TEXT(Inventory_Data[[#This Row],[Date]],"MMM")</f>
        <v>Jan</v>
      </c>
      <c r="Q136" t="str">
        <f>TEXT(Inventory_Data[[#This Row],[Date]],"YYYY")</f>
        <v>2025</v>
      </c>
    </row>
    <row r="137" spans="1:17" x14ac:dyDescent="0.3">
      <c r="A137" s="1">
        <v>45687</v>
      </c>
      <c r="B137" t="s">
        <v>44</v>
      </c>
      <c r="C137" t="s">
        <v>28</v>
      </c>
      <c r="D137" t="s">
        <v>23</v>
      </c>
      <c r="E137" t="s">
        <v>15</v>
      </c>
      <c r="F137">
        <v>30</v>
      </c>
      <c r="G137">
        <v>101</v>
      </c>
      <c r="H137">
        <v>80</v>
      </c>
      <c r="I137">
        <v>51</v>
      </c>
      <c r="J137">
        <v>45</v>
      </c>
      <c r="K137">
        <v>4806</v>
      </c>
      <c r="L137">
        <v>245106</v>
      </c>
      <c r="M137">
        <f>Inventory_Data[[#This Row],[Opening Stock]]+Inventory_Data[[#This Row],[Purchase Qty]]-Inventory_Data[[#This Row],[Sales Qty]]-Inventory_Data[[#This Row],[Closing Stock]]</f>
        <v>0</v>
      </c>
      <c r="N137">
        <f>Inventory_Data[[#This Row],[Purchase Qty]]*Inventory_Data[[#This Row],[Unit Cost]]</f>
        <v>485406</v>
      </c>
      <c r="O137" t="str">
        <f>IF(Inventory_Data[[#This Row],[Closing Stock]]&lt;=Inventory_Data[[#This Row],[Reorder Level]],"Low Stock","In Stock")</f>
        <v>In Stock</v>
      </c>
      <c r="P137" t="str">
        <f>TEXT(Inventory_Data[[#This Row],[Date]],"MMM")</f>
        <v>Jan</v>
      </c>
      <c r="Q137" t="str">
        <f>TEXT(Inventory_Data[[#This Row],[Date]],"YYYY")</f>
        <v>2025</v>
      </c>
    </row>
    <row r="138" spans="1:17" x14ac:dyDescent="0.3">
      <c r="A138" s="1">
        <v>45688</v>
      </c>
      <c r="B138" t="s">
        <v>25</v>
      </c>
      <c r="C138" t="s">
        <v>17</v>
      </c>
      <c r="D138" t="s">
        <v>23</v>
      </c>
      <c r="E138" t="s">
        <v>18</v>
      </c>
      <c r="F138">
        <v>62</v>
      </c>
      <c r="G138">
        <v>38</v>
      </c>
      <c r="H138">
        <v>39</v>
      </c>
      <c r="I138">
        <v>61</v>
      </c>
      <c r="J138">
        <v>14</v>
      </c>
      <c r="K138">
        <v>12180</v>
      </c>
      <c r="L138">
        <v>742980</v>
      </c>
      <c r="M138">
        <f>Inventory_Data[[#This Row],[Opening Stock]]+Inventory_Data[[#This Row],[Purchase Qty]]-Inventory_Data[[#This Row],[Sales Qty]]-Inventory_Data[[#This Row],[Closing Stock]]</f>
        <v>0</v>
      </c>
      <c r="N138">
        <f>Inventory_Data[[#This Row],[Purchase Qty]]*Inventory_Data[[#This Row],[Unit Cost]]</f>
        <v>462840</v>
      </c>
      <c r="O138" t="str">
        <f>IF(Inventory_Data[[#This Row],[Closing Stock]]&lt;=Inventory_Data[[#This Row],[Reorder Level]],"Low Stock","In Stock")</f>
        <v>In Stock</v>
      </c>
      <c r="P138" t="str">
        <f>TEXT(Inventory_Data[[#This Row],[Date]],"MMM")</f>
        <v>Jan</v>
      </c>
      <c r="Q138" t="str">
        <f>TEXT(Inventory_Data[[#This Row],[Date]],"YYYY")</f>
        <v>2025</v>
      </c>
    </row>
    <row r="139" spans="1:17" x14ac:dyDescent="0.3">
      <c r="A139" s="1">
        <v>45688</v>
      </c>
      <c r="B139" t="s">
        <v>30</v>
      </c>
      <c r="C139" t="s">
        <v>28</v>
      </c>
      <c r="D139" t="s">
        <v>14</v>
      </c>
      <c r="E139" t="s">
        <v>18</v>
      </c>
      <c r="F139">
        <v>144</v>
      </c>
      <c r="G139">
        <v>21</v>
      </c>
      <c r="H139">
        <v>15</v>
      </c>
      <c r="I139">
        <v>150</v>
      </c>
      <c r="J139">
        <v>27</v>
      </c>
      <c r="K139">
        <v>44151</v>
      </c>
      <c r="L139">
        <v>6622650</v>
      </c>
      <c r="M139">
        <f>Inventory_Data[[#This Row],[Opening Stock]]+Inventory_Data[[#This Row],[Purchase Qty]]-Inventory_Data[[#This Row],[Sales Qty]]-Inventory_Data[[#This Row],[Closing Stock]]</f>
        <v>0</v>
      </c>
      <c r="N139">
        <f>Inventory_Data[[#This Row],[Purchase Qty]]*Inventory_Data[[#This Row],[Unit Cost]]</f>
        <v>927171</v>
      </c>
      <c r="O139" t="str">
        <f>IF(Inventory_Data[[#This Row],[Closing Stock]]&lt;=Inventory_Data[[#This Row],[Reorder Level]],"Low Stock","In Stock")</f>
        <v>In Stock</v>
      </c>
      <c r="P139" t="str">
        <f>TEXT(Inventory_Data[[#This Row],[Date]],"MMM")</f>
        <v>Jan</v>
      </c>
      <c r="Q139" t="str">
        <f>TEXT(Inventory_Data[[#This Row],[Date]],"YYYY")</f>
        <v>2025</v>
      </c>
    </row>
    <row r="140" spans="1:17" x14ac:dyDescent="0.3">
      <c r="A140" s="1">
        <v>45688</v>
      </c>
      <c r="B140" t="s">
        <v>45</v>
      </c>
      <c r="C140" t="s">
        <v>13</v>
      </c>
      <c r="D140" t="s">
        <v>14</v>
      </c>
      <c r="E140" t="s">
        <v>18</v>
      </c>
      <c r="F140">
        <v>95</v>
      </c>
      <c r="G140">
        <v>59</v>
      </c>
      <c r="H140">
        <v>25</v>
      </c>
      <c r="I140">
        <v>129</v>
      </c>
      <c r="J140">
        <v>24</v>
      </c>
      <c r="K140">
        <v>6265</v>
      </c>
      <c r="L140">
        <v>808185</v>
      </c>
      <c r="M140">
        <f>Inventory_Data[[#This Row],[Opening Stock]]+Inventory_Data[[#This Row],[Purchase Qty]]-Inventory_Data[[#This Row],[Sales Qty]]-Inventory_Data[[#This Row],[Closing Stock]]</f>
        <v>0</v>
      </c>
      <c r="N140">
        <f>Inventory_Data[[#This Row],[Purchase Qty]]*Inventory_Data[[#This Row],[Unit Cost]]</f>
        <v>369635</v>
      </c>
      <c r="O140" t="str">
        <f>IF(Inventory_Data[[#This Row],[Closing Stock]]&lt;=Inventory_Data[[#This Row],[Reorder Level]],"Low Stock","In Stock")</f>
        <v>In Stock</v>
      </c>
      <c r="P140" t="str">
        <f>TEXT(Inventory_Data[[#This Row],[Date]],"MMM")</f>
        <v>Jan</v>
      </c>
      <c r="Q140" t="str">
        <f>TEXT(Inventory_Data[[#This Row],[Date]],"YYYY")</f>
        <v>2025</v>
      </c>
    </row>
    <row r="141" spans="1:17" x14ac:dyDescent="0.3">
      <c r="A141" s="1">
        <v>45688</v>
      </c>
      <c r="B141" t="s">
        <v>38</v>
      </c>
      <c r="C141" t="s">
        <v>17</v>
      </c>
      <c r="D141" t="s">
        <v>23</v>
      </c>
      <c r="E141" t="s">
        <v>15</v>
      </c>
      <c r="F141">
        <v>83</v>
      </c>
      <c r="G141">
        <v>57</v>
      </c>
      <c r="H141">
        <v>35</v>
      </c>
      <c r="I141">
        <v>105</v>
      </c>
      <c r="J141">
        <v>19</v>
      </c>
      <c r="K141">
        <v>19076</v>
      </c>
      <c r="L141">
        <v>2002980</v>
      </c>
      <c r="M141">
        <f>Inventory_Data[[#This Row],[Opening Stock]]+Inventory_Data[[#This Row],[Purchase Qty]]-Inventory_Data[[#This Row],[Sales Qty]]-Inventory_Data[[#This Row],[Closing Stock]]</f>
        <v>0</v>
      </c>
      <c r="N141">
        <f>Inventory_Data[[#This Row],[Purchase Qty]]*Inventory_Data[[#This Row],[Unit Cost]]</f>
        <v>1087332</v>
      </c>
      <c r="O141" t="str">
        <f>IF(Inventory_Data[[#This Row],[Closing Stock]]&lt;=Inventory_Data[[#This Row],[Reorder Level]],"Low Stock","In Stock")</f>
        <v>In Stock</v>
      </c>
      <c r="P141" t="str">
        <f>TEXT(Inventory_Data[[#This Row],[Date]],"MMM")</f>
        <v>Jan</v>
      </c>
      <c r="Q141" t="str">
        <f>TEXT(Inventory_Data[[#This Row],[Date]],"YYYY")</f>
        <v>2025</v>
      </c>
    </row>
    <row r="142" spans="1:17" x14ac:dyDescent="0.3">
      <c r="A142" s="1">
        <v>45688</v>
      </c>
      <c r="B142" t="s">
        <v>43</v>
      </c>
      <c r="C142" t="s">
        <v>22</v>
      </c>
      <c r="D142" t="s">
        <v>23</v>
      </c>
      <c r="E142" t="s">
        <v>34</v>
      </c>
      <c r="F142">
        <v>272</v>
      </c>
      <c r="G142">
        <v>295</v>
      </c>
      <c r="H142">
        <v>53</v>
      </c>
      <c r="I142">
        <v>514</v>
      </c>
      <c r="J142">
        <v>122</v>
      </c>
      <c r="K142">
        <v>81</v>
      </c>
      <c r="L142">
        <v>41634</v>
      </c>
      <c r="M142">
        <f>Inventory_Data[[#This Row],[Opening Stock]]+Inventory_Data[[#This Row],[Purchase Qty]]-Inventory_Data[[#This Row],[Sales Qty]]-Inventory_Data[[#This Row],[Closing Stock]]</f>
        <v>0</v>
      </c>
      <c r="N142">
        <f>Inventory_Data[[#This Row],[Purchase Qty]]*Inventory_Data[[#This Row],[Unit Cost]]</f>
        <v>23895</v>
      </c>
      <c r="O142" t="str">
        <f>IF(Inventory_Data[[#This Row],[Closing Stock]]&lt;=Inventory_Data[[#This Row],[Reorder Level]],"Low Stock","In Stock")</f>
        <v>In Stock</v>
      </c>
      <c r="P142" t="str">
        <f>TEXT(Inventory_Data[[#This Row],[Date]],"MMM")</f>
        <v>Jan</v>
      </c>
      <c r="Q142" t="str">
        <f>TEXT(Inventory_Data[[#This Row],[Date]],"YYYY")</f>
        <v>2025</v>
      </c>
    </row>
    <row r="143" spans="1:17" x14ac:dyDescent="0.3">
      <c r="A143" s="1">
        <v>45688</v>
      </c>
      <c r="B143" t="s">
        <v>39</v>
      </c>
      <c r="C143" t="s">
        <v>28</v>
      </c>
      <c r="D143" t="s">
        <v>14</v>
      </c>
      <c r="E143" t="s">
        <v>29</v>
      </c>
      <c r="F143">
        <v>77</v>
      </c>
      <c r="G143">
        <v>113</v>
      </c>
      <c r="H143">
        <v>46</v>
      </c>
      <c r="I143">
        <v>144</v>
      </c>
      <c r="J143">
        <v>37</v>
      </c>
      <c r="K143">
        <v>46041</v>
      </c>
      <c r="L143">
        <v>6629904</v>
      </c>
      <c r="M143">
        <f>Inventory_Data[[#This Row],[Opening Stock]]+Inventory_Data[[#This Row],[Purchase Qty]]-Inventory_Data[[#This Row],[Sales Qty]]-Inventory_Data[[#This Row],[Closing Stock]]</f>
        <v>0</v>
      </c>
      <c r="N143">
        <f>Inventory_Data[[#This Row],[Purchase Qty]]*Inventory_Data[[#This Row],[Unit Cost]]</f>
        <v>5202633</v>
      </c>
      <c r="O143" t="str">
        <f>IF(Inventory_Data[[#This Row],[Closing Stock]]&lt;=Inventory_Data[[#This Row],[Reorder Level]],"Low Stock","In Stock")</f>
        <v>In Stock</v>
      </c>
      <c r="P143" t="str">
        <f>TEXT(Inventory_Data[[#This Row],[Date]],"MMM")</f>
        <v>Jan</v>
      </c>
      <c r="Q143" t="str">
        <f>TEXT(Inventory_Data[[#This Row],[Date]],"YYYY")</f>
        <v>2025</v>
      </c>
    </row>
    <row r="144" spans="1:17" x14ac:dyDescent="0.3">
      <c r="A144" s="1">
        <v>45689</v>
      </c>
      <c r="B144" t="s">
        <v>38</v>
      </c>
      <c r="C144" t="s">
        <v>17</v>
      </c>
      <c r="D144" t="s">
        <v>26</v>
      </c>
      <c r="E144" t="s">
        <v>29</v>
      </c>
      <c r="F144">
        <v>75</v>
      </c>
      <c r="G144">
        <v>55</v>
      </c>
      <c r="H144">
        <v>12</v>
      </c>
      <c r="I144">
        <v>118</v>
      </c>
      <c r="J144">
        <v>29</v>
      </c>
      <c r="K144">
        <v>7062</v>
      </c>
      <c r="L144">
        <v>833316</v>
      </c>
      <c r="M144">
        <f>Inventory_Data[[#This Row],[Opening Stock]]+Inventory_Data[[#This Row],[Purchase Qty]]-Inventory_Data[[#This Row],[Sales Qty]]-Inventory_Data[[#This Row],[Closing Stock]]</f>
        <v>0</v>
      </c>
      <c r="N144">
        <f>Inventory_Data[[#This Row],[Purchase Qty]]*Inventory_Data[[#This Row],[Unit Cost]]</f>
        <v>388410</v>
      </c>
      <c r="O144" t="str">
        <f>IF(Inventory_Data[[#This Row],[Closing Stock]]&lt;=Inventory_Data[[#This Row],[Reorder Level]],"Low Stock","In Stock")</f>
        <v>In Stock</v>
      </c>
      <c r="P144" t="str">
        <f>TEXT(Inventory_Data[[#This Row],[Date]],"MMM")</f>
        <v>Feb</v>
      </c>
      <c r="Q144" t="str">
        <f>TEXT(Inventory_Data[[#This Row],[Date]],"YYYY")</f>
        <v>2025</v>
      </c>
    </row>
    <row r="145" spans="1:17" x14ac:dyDescent="0.3">
      <c r="A145" s="1">
        <v>45689</v>
      </c>
      <c r="B145" t="s">
        <v>38</v>
      </c>
      <c r="C145" t="s">
        <v>17</v>
      </c>
      <c r="D145" t="s">
        <v>37</v>
      </c>
      <c r="E145" t="s">
        <v>34</v>
      </c>
      <c r="F145">
        <v>40</v>
      </c>
      <c r="G145">
        <v>22</v>
      </c>
      <c r="H145">
        <v>44</v>
      </c>
      <c r="I145">
        <v>18</v>
      </c>
      <c r="J145">
        <v>10</v>
      </c>
      <c r="K145">
        <v>18500</v>
      </c>
      <c r="L145">
        <v>333000</v>
      </c>
      <c r="M145">
        <f>Inventory_Data[[#This Row],[Opening Stock]]+Inventory_Data[[#This Row],[Purchase Qty]]-Inventory_Data[[#This Row],[Sales Qty]]-Inventory_Data[[#This Row],[Closing Stock]]</f>
        <v>0</v>
      </c>
      <c r="N145">
        <f>Inventory_Data[[#This Row],[Purchase Qty]]*Inventory_Data[[#This Row],[Unit Cost]]</f>
        <v>407000</v>
      </c>
      <c r="O145" t="str">
        <f>IF(Inventory_Data[[#This Row],[Closing Stock]]&lt;=Inventory_Data[[#This Row],[Reorder Level]],"Low Stock","In Stock")</f>
        <v>In Stock</v>
      </c>
      <c r="P145" t="str">
        <f>TEXT(Inventory_Data[[#This Row],[Date]],"MMM")</f>
        <v>Feb</v>
      </c>
      <c r="Q145" t="str">
        <f>TEXT(Inventory_Data[[#This Row],[Date]],"YYYY")</f>
        <v>2025</v>
      </c>
    </row>
    <row r="146" spans="1:17" x14ac:dyDescent="0.3">
      <c r="A146" s="1">
        <v>45689</v>
      </c>
      <c r="B146" t="s">
        <v>41</v>
      </c>
      <c r="C146" t="s">
        <v>22</v>
      </c>
      <c r="D146" t="s">
        <v>23</v>
      </c>
      <c r="E146" t="s">
        <v>18</v>
      </c>
      <c r="F146">
        <v>82</v>
      </c>
      <c r="G146">
        <v>229</v>
      </c>
      <c r="H146">
        <v>243</v>
      </c>
      <c r="I146">
        <v>68</v>
      </c>
      <c r="J146">
        <v>91</v>
      </c>
      <c r="K146">
        <v>1069</v>
      </c>
      <c r="L146">
        <v>72692</v>
      </c>
      <c r="M146">
        <f>Inventory_Data[[#This Row],[Opening Stock]]+Inventory_Data[[#This Row],[Purchase Qty]]-Inventory_Data[[#This Row],[Sales Qty]]-Inventory_Data[[#This Row],[Closing Stock]]</f>
        <v>0</v>
      </c>
      <c r="N146">
        <f>Inventory_Data[[#This Row],[Purchase Qty]]*Inventory_Data[[#This Row],[Unit Cost]]</f>
        <v>244801</v>
      </c>
      <c r="O146" t="str">
        <f>IF(Inventory_Data[[#This Row],[Closing Stock]]&lt;=Inventory_Data[[#This Row],[Reorder Level]],"Low Stock","In Stock")</f>
        <v>Low Stock</v>
      </c>
      <c r="P146" t="str">
        <f>TEXT(Inventory_Data[[#This Row],[Date]],"MMM")</f>
        <v>Feb</v>
      </c>
      <c r="Q146" t="str">
        <f>TEXT(Inventory_Data[[#This Row],[Date]],"YYYY")</f>
        <v>2025</v>
      </c>
    </row>
    <row r="147" spans="1:17" x14ac:dyDescent="0.3">
      <c r="A147" s="1">
        <v>45689</v>
      </c>
      <c r="B147" t="s">
        <v>36</v>
      </c>
      <c r="C147" t="s">
        <v>22</v>
      </c>
      <c r="D147" t="s">
        <v>14</v>
      </c>
      <c r="E147" t="s">
        <v>18</v>
      </c>
      <c r="F147">
        <v>77</v>
      </c>
      <c r="G147">
        <v>235</v>
      </c>
      <c r="H147">
        <v>237</v>
      </c>
      <c r="I147">
        <v>75</v>
      </c>
      <c r="J147">
        <v>140</v>
      </c>
      <c r="K147">
        <v>659</v>
      </c>
      <c r="L147">
        <v>49425</v>
      </c>
      <c r="M147">
        <f>Inventory_Data[[#This Row],[Opening Stock]]+Inventory_Data[[#This Row],[Purchase Qty]]-Inventory_Data[[#This Row],[Sales Qty]]-Inventory_Data[[#This Row],[Closing Stock]]</f>
        <v>0</v>
      </c>
      <c r="N147">
        <f>Inventory_Data[[#This Row],[Purchase Qty]]*Inventory_Data[[#This Row],[Unit Cost]]</f>
        <v>154865</v>
      </c>
      <c r="O147" t="str">
        <f>IF(Inventory_Data[[#This Row],[Closing Stock]]&lt;=Inventory_Data[[#This Row],[Reorder Level]],"Low Stock","In Stock")</f>
        <v>Low Stock</v>
      </c>
      <c r="P147" t="str">
        <f>TEXT(Inventory_Data[[#This Row],[Date]],"MMM")</f>
        <v>Feb</v>
      </c>
      <c r="Q147" t="str">
        <f>TEXT(Inventory_Data[[#This Row],[Date]],"YYYY")</f>
        <v>2025</v>
      </c>
    </row>
    <row r="148" spans="1:17" x14ac:dyDescent="0.3">
      <c r="A148" s="1">
        <v>45689</v>
      </c>
      <c r="B148" t="s">
        <v>45</v>
      </c>
      <c r="C148" t="s">
        <v>13</v>
      </c>
      <c r="D148" t="s">
        <v>37</v>
      </c>
      <c r="E148" t="s">
        <v>18</v>
      </c>
      <c r="F148">
        <v>21</v>
      </c>
      <c r="G148">
        <v>25</v>
      </c>
      <c r="H148">
        <v>22</v>
      </c>
      <c r="I148">
        <v>24</v>
      </c>
      <c r="J148">
        <v>18</v>
      </c>
      <c r="K148">
        <v>10069</v>
      </c>
      <c r="L148">
        <v>241656</v>
      </c>
      <c r="M148">
        <f>Inventory_Data[[#This Row],[Opening Stock]]+Inventory_Data[[#This Row],[Purchase Qty]]-Inventory_Data[[#This Row],[Sales Qty]]-Inventory_Data[[#This Row],[Closing Stock]]</f>
        <v>0</v>
      </c>
      <c r="N148">
        <f>Inventory_Data[[#This Row],[Purchase Qty]]*Inventory_Data[[#This Row],[Unit Cost]]</f>
        <v>251725</v>
      </c>
      <c r="O148" t="str">
        <f>IF(Inventory_Data[[#This Row],[Closing Stock]]&lt;=Inventory_Data[[#This Row],[Reorder Level]],"Low Stock","In Stock")</f>
        <v>In Stock</v>
      </c>
      <c r="P148" t="str">
        <f>TEXT(Inventory_Data[[#This Row],[Date]],"MMM")</f>
        <v>Feb</v>
      </c>
      <c r="Q148" t="str">
        <f>TEXT(Inventory_Data[[#This Row],[Date]],"YYYY")</f>
        <v>2025</v>
      </c>
    </row>
    <row r="149" spans="1:17" x14ac:dyDescent="0.3">
      <c r="A149" s="1">
        <v>45690</v>
      </c>
      <c r="B149" t="s">
        <v>32</v>
      </c>
      <c r="C149" t="s">
        <v>28</v>
      </c>
      <c r="D149" t="s">
        <v>23</v>
      </c>
      <c r="E149" t="s">
        <v>18</v>
      </c>
      <c r="F149">
        <v>54</v>
      </c>
      <c r="G149">
        <v>113</v>
      </c>
      <c r="H149">
        <v>54</v>
      </c>
      <c r="I149">
        <v>113</v>
      </c>
      <c r="J149">
        <v>43</v>
      </c>
      <c r="K149">
        <v>46135</v>
      </c>
      <c r="L149">
        <v>5213255</v>
      </c>
      <c r="M149">
        <f>Inventory_Data[[#This Row],[Opening Stock]]+Inventory_Data[[#This Row],[Purchase Qty]]-Inventory_Data[[#This Row],[Sales Qty]]-Inventory_Data[[#This Row],[Closing Stock]]</f>
        <v>0</v>
      </c>
      <c r="N149">
        <f>Inventory_Data[[#This Row],[Purchase Qty]]*Inventory_Data[[#This Row],[Unit Cost]]</f>
        <v>5213255</v>
      </c>
      <c r="O149" t="str">
        <f>IF(Inventory_Data[[#This Row],[Closing Stock]]&lt;=Inventory_Data[[#This Row],[Reorder Level]],"Low Stock","In Stock")</f>
        <v>In Stock</v>
      </c>
      <c r="P149" t="str">
        <f>TEXT(Inventory_Data[[#This Row],[Date]],"MMM")</f>
        <v>Feb</v>
      </c>
      <c r="Q149" t="str">
        <f>TEXT(Inventory_Data[[#This Row],[Date]],"YYYY")</f>
        <v>2025</v>
      </c>
    </row>
    <row r="150" spans="1:17" x14ac:dyDescent="0.3">
      <c r="A150" s="1">
        <v>45690</v>
      </c>
      <c r="B150" t="s">
        <v>19</v>
      </c>
      <c r="C150" t="s">
        <v>13</v>
      </c>
      <c r="D150" t="s">
        <v>23</v>
      </c>
      <c r="E150" t="s">
        <v>24</v>
      </c>
      <c r="F150">
        <v>56</v>
      </c>
      <c r="G150">
        <v>19</v>
      </c>
      <c r="H150">
        <v>6</v>
      </c>
      <c r="I150">
        <v>69</v>
      </c>
      <c r="J150">
        <v>25</v>
      </c>
      <c r="K150">
        <v>13915</v>
      </c>
      <c r="L150">
        <v>960135</v>
      </c>
      <c r="M150">
        <f>Inventory_Data[[#This Row],[Opening Stock]]+Inventory_Data[[#This Row],[Purchase Qty]]-Inventory_Data[[#This Row],[Sales Qty]]-Inventory_Data[[#This Row],[Closing Stock]]</f>
        <v>0</v>
      </c>
      <c r="N150">
        <f>Inventory_Data[[#This Row],[Purchase Qty]]*Inventory_Data[[#This Row],[Unit Cost]]</f>
        <v>264385</v>
      </c>
      <c r="O150" t="str">
        <f>IF(Inventory_Data[[#This Row],[Closing Stock]]&lt;=Inventory_Data[[#This Row],[Reorder Level]],"Low Stock","In Stock")</f>
        <v>In Stock</v>
      </c>
      <c r="P150" t="str">
        <f>TEXT(Inventory_Data[[#This Row],[Date]],"MMM")</f>
        <v>Feb</v>
      </c>
      <c r="Q150" t="str">
        <f>TEXT(Inventory_Data[[#This Row],[Date]],"YYYY")</f>
        <v>2025</v>
      </c>
    </row>
    <row r="151" spans="1:17" x14ac:dyDescent="0.3">
      <c r="A151" s="1">
        <v>45690</v>
      </c>
      <c r="B151" t="s">
        <v>32</v>
      </c>
      <c r="C151" t="s">
        <v>28</v>
      </c>
      <c r="D151" t="s">
        <v>26</v>
      </c>
      <c r="E151" t="s">
        <v>18</v>
      </c>
      <c r="F151">
        <v>31</v>
      </c>
      <c r="G151">
        <v>103</v>
      </c>
      <c r="H151">
        <v>31</v>
      </c>
      <c r="I151">
        <v>103</v>
      </c>
      <c r="J151">
        <v>28</v>
      </c>
      <c r="K151">
        <v>20678</v>
      </c>
      <c r="L151">
        <v>2129834</v>
      </c>
      <c r="M151">
        <f>Inventory_Data[[#This Row],[Opening Stock]]+Inventory_Data[[#This Row],[Purchase Qty]]-Inventory_Data[[#This Row],[Sales Qty]]-Inventory_Data[[#This Row],[Closing Stock]]</f>
        <v>0</v>
      </c>
      <c r="N151">
        <f>Inventory_Data[[#This Row],[Purchase Qty]]*Inventory_Data[[#This Row],[Unit Cost]]</f>
        <v>2129834</v>
      </c>
      <c r="O151" t="str">
        <f>IF(Inventory_Data[[#This Row],[Closing Stock]]&lt;=Inventory_Data[[#This Row],[Reorder Level]],"Low Stock","In Stock")</f>
        <v>In Stock</v>
      </c>
      <c r="P151" t="str">
        <f>TEXT(Inventory_Data[[#This Row],[Date]],"MMM")</f>
        <v>Feb</v>
      </c>
      <c r="Q151" t="str">
        <f>TEXT(Inventory_Data[[#This Row],[Date]],"YYYY")</f>
        <v>2025</v>
      </c>
    </row>
    <row r="152" spans="1:17" x14ac:dyDescent="0.3">
      <c r="A152" s="1">
        <v>45690</v>
      </c>
      <c r="B152" t="s">
        <v>43</v>
      </c>
      <c r="C152" t="s">
        <v>22</v>
      </c>
      <c r="D152" t="s">
        <v>26</v>
      </c>
      <c r="E152" t="s">
        <v>15</v>
      </c>
      <c r="F152">
        <v>164</v>
      </c>
      <c r="G152">
        <v>32</v>
      </c>
      <c r="H152">
        <v>13</v>
      </c>
      <c r="I152">
        <v>183</v>
      </c>
      <c r="J152">
        <v>58</v>
      </c>
      <c r="K152">
        <v>61</v>
      </c>
      <c r="L152">
        <v>11163</v>
      </c>
      <c r="M152">
        <f>Inventory_Data[[#This Row],[Opening Stock]]+Inventory_Data[[#This Row],[Purchase Qty]]-Inventory_Data[[#This Row],[Sales Qty]]-Inventory_Data[[#This Row],[Closing Stock]]</f>
        <v>0</v>
      </c>
      <c r="N152">
        <f>Inventory_Data[[#This Row],[Purchase Qty]]*Inventory_Data[[#This Row],[Unit Cost]]</f>
        <v>1952</v>
      </c>
      <c r="O152" t="str">
        <f>IF(Inventory_Data[[#This Row],[Closing Stock]]&lt;=Inventory_Data[[#This Row],[Reorder Level]],"Low Stock","In Stock")</f>
        <v>In Stock</v>
      </c>
      <c r="P152" t="str">
        <f>TEXT(Inventory_Data[[#This Row],[Date]],"MMM")</f>
        <v>Feb</v>
      </c>
      <c r="Q152" t="str">
        <f>TEXT(Inventory_Data[[#This Row],[Date]],"YYYY")</f>
        <v>2025</v>
      </c>
    </row>
    <row r="153" spans="1:17" x14ac:dyDescent="0.3">
      <c r="A153" s="1">
        <v>45690</v>
      </c>
      <c r="B153" t="s">
        <v>38</v>
      </c>
      <c r="C153" t="s">
        <v>17</v>
      </c>
      <c r="D153" t="s">
        <v>14</v>
      </c>
      <c r="E153" t="s">
        <v>15</v>
      </c>
      <c r="F153">
        <v>57</v>
      </c>
      <c r="G153">
        <v>59</v>
      </c>
      <c r="H153">
        <v>24</v>
      </c>
      <c r="I153">
        <v>92</v>
      </c>
      <c r="J153">
        <v>14</v>
      </c>
      <c r="K153">
        <v>13337</v>
      </c>
      <c r="L153">
        <v>1227004</v>
      </c>
      <c r="M153">
        <f>Inventory_Data[[#This Row],[Opening Stock]]+Inventory_Data[[#This Row],[Purchase Qty]]-Inventory_Data[[#This Row],[Sales Qty]]-Inventory_Data[[#This Row],[Closing Stock]]</f>
        <v>0</v>
      </c>
      <c r="N153">
        <f>Inventory_Data[[#This Row],[Purchase Qty]]*Inventory_Data[[#This Row],[Unit Cost]]</f>
        <v>786883</v>
      </c>
      <c r="O153" t="str">
        <f>IF(Inventory_Data[[#This Row],[Closing Stock]]&lt;=Inventory_Data[[#This Row],[Reorder Level]],"Low Stock","In Stock")</f>
        <v>In Stock</v>
      </c>
      <c r="P153" t="str">
        <f>TEXT(Inventory_Data[[#This Row],[Date]],"MMM")</f>
        <v>Feb</v>
      </c>
      <c r="Q153" t="str">
        <f>TEXT(Inventory_Data[[#This Row],[Date]],"YYYY")</f>
        <v>2025</v>
      </c>
    </row>
    <row r="154" spans="1:17" x14ac:dyDescent="0.3">
      <c r="A154" s="1">
        <v>45690</v>
      </c>
      <c r="B154" t="s">
        <v>36</v>
      </c>
      <c r="C154" t="s">
        <v>22</v>
      </c>
      <c r="D154" t="s">
        <v>14</v>
      </c>
      <c r="E154" t="s">
        <v>15</v>
      </c>
      <c r="F154">
        <v>452</v>
      </c>
      <c r="G154">
        <v>140</v>
      </c>
      <c r="H154">
        <v>130</v>
      </c>
      <c r="I154">
        <v>462</v>
      </c>
      <c r="J154">
        <v>148</v>
      </c>
      <c r="K154">
        <v>35</v>
      </c>
      <c r="L154">
        <v>16170</v>
      </c>
      <c r="M154">
        <f>Inventory_Data[[#This Row],[Opening Stock]]+Inventory_Data[[#This Row],[Purchase Qty]]-Inventory_Data[[#This Row],[Sales Qty]]-Inventory_Data[[#This Row],[Closing Stock]]</f>
        <v>0</v>
      </c>
      <c r="N154">
        <f>Inventory_Data[[#This Row],[Purchase Qty]]*Inventory_Data[[#This Row],[Unit Cost]]</f>
        <v>4900</v>
      </c>
      <c r="O154" t="str">
        <f>IF(Inventory_Data[[#This Row],[Closing Stock]]&lt;=Inventory_Data[[#This Row],[Reorder Level]],"Low Stock","In Stock")</f>
        <v>In Stock</v>
      </c>
      <c r="P154" t="str">
        <f>TEXT(Inventory_Data[[#This Row],[Date]],"MMM")</f>
        <v>Feb</v>
      </c>
      <c r="Q154" t="str">
        <f>TEXT(Inventory_Data[[#This Row],[Date]],"YYYY")</f>
        <v>2025</v>
      </c>
    </row>
    <row r="155" spans="1:17" x14ac:dyDescent="0.3">
      <c r="A155" s="1">
        <v>45691</v>
      </c>
      <c r="B155" t="s">
        <v>32</v>
      </c>
      <c r="C155" t="s">
        <v>28</v>
      </c>
      <c r="D155" t="s">
        <v>37</v>
      </c>
      <c r="E155" t="s">
        <v>24</v>
      </c>
      <c r="F155">
        <v>72</v>
      </c>
      <c r="G155">
        <v>21</v>
      </c>
      <c r="H155">
        <v>66</v>
      </c>
      <c r="I155">
        <v>27</v>
      </c>
      <c r="J155">
        <v>21</v>
      </c>
      <c r="K155">
        <v>19839</v>
      </c>
      <c r="L155">
        <v>535653</v>
      </c>
      <c r="M155">
        <f>Inventory_Data[[#This Row],[Opening Stock]]+Inventory_Data[[#This Row],[Purchase Qty]]-Inventory_Data[[#This Row],[Sales Qty]]-Inventory_Data[[#This Row],[Closing Stock]]</f>
        <v>0</v>
      </c>
      <c r="N155">
        <f>Inventory_Data[[#This Row],[Purchase Qty]]*Inventory_Data[[#This Row],[Unit Cost]]</f>
        <v>416619</v>
      </c>
      <c r="O155" t="str">
        <f>IF(Inventory_Data[[#This Row],[Closing Stock]]&lt;=Inventory_Data[[#This Row],[Reorder Level]],"Low Stock","In Stock")</f>
        <v>In Stock</v>
      </c>
      <c r="P155" t="str">
        <f>TEXT(Inventory_Data[[#This Row],[Date]],"MMM")</f>
        <v>Feb</v>
      </c>
      <c r="Q155" t="str">
        <f>TEXT(Inventory_Data[[#This Row],[Date]],"YYYY")</f>
        <v>2025</v>
      </c>
    </row>
    <row r="156" spans="1:17" x14ac:dyDescent="0.3">
      <c r="A156" s="1">
        <v>45691</v>
      </c>
      <c r="B156" t="s">
        <v>31</v>
      </c>
      <c r="C156" t="s">
        <v>22</v>
      </c>
      <c r="D156" t="s">
        <v>14</v>
      </c>
      <c r="E156" t="s">
        <v>18</v>
      </c>
      <c r="F156">
        <v>429</v>
      </c>
      <c r="G156">
        <v>237</v>
      </c>
      <c r="H156">
        <v>208</v>
      </c>
      <c r="I156">
        <v>458</v>
      </c>
      <c r="J156">
        <v>120</v>
      </c>
      <c r="K156">
        <v>611</v>
      </c>
      <c r="L156">
        <v>279838</v>
      </c>
      <c r="M156">
        <f>Inventory_Data[[#This Row],[Opening Stock]]+Inventory_Data[[#This Row],[Purchase Qty]]-Inventory_Data[[#This Row],[Sales Qty]]-Inventory_Data[[#This Row],[Closing Stock]]</f>
        <v>0</v>
      </c>
      <c r="N156">
        <f>Inventory_Data[[#This Row],[Purchase Qty]]*Inventory_Data[[#This Row],[Unit Cost]]</f>
        <v>144807</v>
      </c>
      <c r="O156" t="str">
        <f>IF(Inventory_Data[[#This Row],[Closing Stock]]&lt;=Inventory_Data[[#This Row],[Reorder Level]],"Low Stock","In Stock")</f>
        <v>In Stock</v>
      </c>
      <c r="P156" t="str">
        <f>TEXT(Inventory_Data[[#This Row],[Date]],"MMM")</f>
        <v>Feb</v>
      </c>
      <c r="Q156" t="str">
        <f>TEXT(Inventory_Data[[#This Row],[Date]],"YYYY")</f>
        <v>2025</v>
      </c>
    </row>
    <row r="157" spans="1:17" x14ac:dyDescent="0.3">
      <c r="A157" s="1">
        <v>45692</v>
      </c>
      <c r="B157" t="s">
        <v>25</v>
      </c>
      <c r="C157" t="s">
        <v>17</v>
      </c>
      <c r="D157" t="s">
        <v>14</v>
      </c>
      <c r="E157" t="s">
        <v>34</v>
      </c>
      <c r="F157">
        <v>92</v>
      </c>
      <c r="G157">
        <v>10</v>
      </c>
      <c r="H157">
        <v>20</v>
      </c>
      <c r="I157">
        <v>82</v>
      </c>
      <c r="J157">
        <v>29</v>
      </c>
      <c r="K157">
        <v>18832</v>
      </c>
      <c r="L157">
        <v>1544224</v>
      </c>
      <c r="M157">
        <f>Inventory_Data[[#This Row],[Opening Stock]]+Inventory_Data[[#This Row],[Purchase Qty]]-Inventory_Data[[#This Row],[Sales Qty]]-Inventory_Data[[#This Row],[Closing Stock]]</f>
        <v>0</v>
      </c>
      <c r="N157">
        <f>Inventory_Data[[#This Row],[Purchase Qty]]*Inventory_Data[[#This Row],[Unit Cost]]</f>
        <v>188320</v>
      </c>
      <c r="O157" t="str">
        <f>IF(Inventory_Data[[#This Row],[Closing Stock]]&lt;=Inventory_Data[[#This Row],[Reorder Level]],"Low Stock","In Stock")</f>
        <v>In Stock</v>
      </c>
      <c r="P157" t="str">
        <f>TEXT(Inventory_Data[[#This Row],[Date]],"MMM")</f>
        <v>Feb</v>
      </c>
      <c r="Q157" t="str">
        <f>TEXT(Inventory_Data[[#This Row],[Date]],"YYYY")</f>
        <v>2025</v>
      </c>
    </row>
    <row r="158" spans="1:17" x14ac:dyDescent="0.3">
      <c r="A158" s="1">
        <v>45692</v>
      </c>
      <c r="B158" t="s">
        <v>35</v>
      </c>
      <c r="C158" t="s">
        <v>22</v>
      </c>
      <c r="D158" t="s">
        <v>23</v>
      </c>
      <c r="E158" t="s">
        <v>34</v>
      </c>
      <c r="F158">
        <v>266</v>
      </c>
      <c r="G158">
        <v>238</v>
      </c>
      <c r="H158">
        <v>169</v>
      </c>
      <c r="I158">
        <v>335</v>
      </c>
      <c r="J158">
        <v>73</v>
      </c>
      <c r="K158">
        <v>1035</v>
      </c>
      <c r="L158">
        <v>346725</v>
      </c>
      <c r="M158">
        <f>Inventory_Data[[#This Row],[Opening Stock]]+Inventory_Data[[#This Row],[Purchase Qty]]-Inventory_Data[[#This Row],[Sales Qty]]-Inventory_Data[[#This Row],[Closing Stock]]</f>
        <v>0</v>
      </c>
      <c r="N158">
        <f>Inventory_Data[[#This Row],[Purchase Qty]]*Inventory_Data[[#This Row],[Unit Cost]]</f>
        <v>246330</v>
      </c>
      <c r="O158" t="str">
        <f>IF(Inventory_Data[[#This Row],[Closing Stock]]&lt;=Inventory_Data[[#This Row],[Reorder Level]],"Low Stock","In Stock")</f>
        <v>In Stock</v>
      </c>
      <c r="P158" t="str">
        <f>TEXT(Inventory_Data[[#This Row],[Date]],"MMM")</f>
        <v>Feb</v>
      </c>
      <c r="Q158" t="str">
        <f>TEXT(Inventory_Data[[#This Row],[Date]],"YYYY")</f>
        <v>2025</v>
      </c>
    </row>
    <row r="159" spans="1:17" x14ac:dyDescent="0.3">
      <c r="A159" s="1">
        <v>45692</v>
      </c>
      <c r="B159" t="s">
        <v>38</v>
      </c>
      <c r="C159" t="s">
        <v>17</v>
      </c>
      <c r="D159" t="s">
        <v>23</v>
      </c>
      <c r="E159" t="s">
        <v>34</v>
      </c>
      <c r="F159">
        <v>43</v>
      </c>
      <c r="G159">
        <v>57</v>
      </c>
      <c r="H159">
        <v>23</v>
      </c>
      <c r="I159">
        <v>77</v>
      </c>
      <c r="J159">
        <v>28</v>
      </c>
      <c r="K159">
        <v>20730</v>
      </c>
      <c r="L159">
        <v>1596210</v>
      </c>
      <c r="M159">
        <f>Inventory_Data[[#This Row],[Opening Stock]]+Inventory_Data[[#This Row],[Purchase Qty]]-Inventory_Data[[#This Row],[Sales Qty]]-Inventory_Data[[#This Row],[Closing Stock]]</f>
        <v>0</v>
      </c>
      <c r="N159">
        <f>Inventory_Data[[#This Row],[Purchase Qty]]*Inventory_Data[[#This Row],[Unit Cost]]</f>
        <v>1181610</v>
      </c>
      <c r="O159" t="str">
        <f>IF(Inventory_Data[[#This Row],[Closing Stock]]&lt;=Inventory_Data[[#This Row],[Reorder Level]],"Low Stock","In Stock")</f>
        <v>In Stock</v>
      </c>
      <c r="P159" t="str">
        <f>TEXT(Inventory_Data[[#This Row],[Date]],"MMM")</f>
        <v>Feb</v>
      </c>
      <c r="Q159" t="str">
        <f>TEXT(Inventory_Data[[#This Row],[Date]],"YYYY")</f>
        <v>2025</v>
      </c>
    </row>
    <row r="160" spans="1:17" x14ac:dyDescent="0.3">
      <c r="A160" s="1">
        <v>45692</v>
      </c>
      <c r="B160" t="s">
        <v>39</v>
      </c>
      <c r="C160" t="s">
        <v>28</v>
      </c>
      <c r="D160" t="s">
        <v>14</v>
      </c>
      <c r="E160" t="s">
        <v>24</v>
      </c>
      <c r="F160">
        <v>100</v>
      </c>
      <c r="G160">
        <v>99</v>
      </c>
      <c r="H160">
        <v>12</v>
      </c>
      <c r="I160">
        <v>187</v>
      </c>
      <c r="J160">
        <v>45</v>
      </c>
      <c r="K160">
        <v>23932</v>
      </c>
      <c r="L160">
        <v>4475284</v>
      </c>
      <c r="M160">
        <f>Inventory_Data[[#This Row],[Opening Stock]]+Inventory_Data[[#This Row],[Purchase Qty]]-Inventory_Data[[#This Row],[Sales Qty]]-Inventory_Data[[#This Row],[Closing Stock]]</f>
        <v>0</v>
      </c>
      <c r="N160">
        <f>Inventory_Data[[#This Row],[Purchase Qty]]*Inventory_Data[[#This Row],[Unit Cost]]</f>
        <v>2369268</v>
      </c>
      <c r="O160" t="str">
        <f>IF(Inventory_Data[[#This Row],[Closing Stock]]&lt;=Inventory_Data[[#This Row],[Reorder Level]],"Low Stock","In Stock")</f>
        <v>In Stock</v>
      </c>
      <c r="P160" t="str">
        <f>TEXT(Inventory_Data[[#This Row],[Date]],"MMM")</f>
        <v>Feb</v>
      </c>
      <c r="Q160" t="str">
        <f>TEXT(Inventory_Data[[#This Row],[Date]],"YYYY")</f>
        <v>2025</v>
      </c>
    </row>
    <row r="161" spans="1:17" x14ac:dyDescent="0.3">
      <c r="A161" s="1">
        <v>45693</v>
      </c>
      <c r="B161" t="s">
        <v>21</v>
      </c>
      <c r="C161" t="s">
        <v>22</v>
      </c>
      <c r="D161" t="s">
        <v>37</v>
      </c>
      <c r="E161" t="s">
        <v>29</v>
      </c>
      <c r="F161">
        <v>422</v>
      </c>
      <c r="G161">
        <v>288</v>
      </c>
      <c r="H161">
        <v>28</v>
      </c>
      <c r="I161">
        <v>682</v>
      </c>
      <c r="J161">
        <v>72</v>
      </c>
      <c r="K161">
        <v>943</v>
      </c>
      <c r="L161">
        <v>643126</v>
      </c>
      <c r="M161">
        <f>Inventory_Data[[#This Row],[Opening Stock]]+Inventory_Data[[#This Row],[Purchase Qty]]-Inventory_Data[[#This Row],[Sales Qty]]-Inventory_Data[[#This Row],[Closing Stock]]</f>
        <v>0</v>
      </c>
      <c r="N161">
        <f>Inventory_Data[[#This Row],[Purchase Qty]]*Inventory_Data[[#This Row],[Unit Cost]]</f>
        <v>271584</v>
      </c>
      <c r="O161" t="str">
        <f>IF(Inventory_Data[[#This Row],[Closing Stock]]&lt;=Inventory_Data[[#This Row],[Reorder Level]],"Low Stock","In Stock")</f>
        <v>In Stock</v>
      </c>
      <c r="P161" t="str">
        <f>TEXT(Inventory_Data[[#This Row],[Date]],"MMM")</f>
        <v>Feb</v>
      </c>
      <c r="Q161" t="str">
        <f>TEXT(Inventory_Data[[#This Row],[Date]],"YYYY")</f>
        <v>2025</v>
      </c>
    </row>
    <row r="162" spans="1:17" x14ac:dyDescent="0.3">
      <c r="A162" s="1">
        <v>45694</v>
      </c>
      <c r="B162" t="s">
        <v>33</v>
      </c>
      <c r="C162" t="s">
        <v>13</v>
      </c>
      <c r="D162" t="s">
        <v>26</v>
      </c>
      <c r="E162" t="s">
        <v>34</v>
      </c>
      <c r="F162">
        <v>40</v>
      </c>
      <c r="G162">
        <v>13</v>
      </c>
      <c r="H162">
        <v>53</v>
      </c>
      <c r="I162">
        <v>0</v>
      </c>
      <c r="J162">
        <v>34</v>
      </c>
      <c r="K162">
        <v>6659</v>
      </c>
      <c r="L162">
        <v>0</v>
      </c>
      <c r="M162">
        <f>Inventory_Data[[#This Row],[Opening Stock]]+Inventory_Data[[#This Row],[Purchase Qty]]-Inventory_Data[[#This Row],[Sales Qty]]-Inventory_Data[[#This Row],[Closing Stock]]</f>
        <v>0</v>
      </c>
      <c r="N162">
        <f>Inventory_Data[[#This Row],[Purchase Qty]]*Inventory_Data[[#This Row],[Unit Cost]]</f>
        <v>86567</v>
      </c>
      <c r="O162" t="str">
        <f>IF(Inventory_Data[[#This Row],[Closing Stock]]&lt;=Inventory_Data[[#This Row],[Reorder Level]],"Low Stock","In Stock")</f>
        <v>Low Stock</v>
      </c>
      <c r="P162" t="str">
        <f>TEXT(Inventory_Data[[#This Row],[Date]],"MMM")</f>
        <v>Feb</v>
      </c>
      <c r="Q162" t="str">
        <f>TEXT(Inventory_Data[[#This Row],[Date]],"YYYY")</f>
        <v>2025</v>
      </c>
    </row>
    <row r="163" spans="1:17" x14ac:dyDescent="0.3">
      <c r="A163" s="1">
        <v>45694</v>
      </c>
      <c r="B163" t="s">
        <v>43</v>
      </c>
      <c r="C163" t="s">
        <v>22</v>
      </c>
      <c r="D163" t="s">
        <v>23</v>
      </c>
      <c r="E163" t="s">
        <v>29</v>
      </c>
      <c r="F163">
        <v>113</v>
      </c>
      <c r="G163">
        <v>248</v>
      </c>
      <c r="H163">
        <v>43</v>
      </c>
      <c r="I163">
        <v>318</v>
      </c>
      <c r="J163">
        <v>116</v>
      </c>
      <c r="K163">
        <v>58</v>
      </c>
      <c r="L163">
        <v>18444</v>
      </c>
      <c r="M163">
        <f>Inventory_Data[[#This Row],[Opening Stock]]+Inventory_Data[[#This Row],[Purchase Qty]]-Inventory_Data[[#This Row],[Sales Qty]]-Inventory_Data[[#This Row],[Closing Stock]]</f>
        <v>0</v>
      </c>
      <c r="N163">
        <f>Inventory_Data[[#This Row],[Purchase Qty]]*Inventory_Data[[#This Row],[Unit Cost]]</f>
        <v>14384</v>
      </c>
      <c r="O163" t="str">
        <f>IF(Inventory_Data[[#This Row],[Closing Stock]]&lt;=Inventory_Data[[#This Row],[Reorder Level]],"Low Stock","In Stock")</f>
        <v>In Stock</v>
      </c>
      <c r="P163" t="str">
        <f>TEXT(Inventory_Data[[#This Row],[Date]],"MMM")</f>
        <v>Feb</v>
      </c>
      <c r="Q163" t="str">
        <f>TEXT(Inventory_Data[[#This Row],[Date]],"YYYY")</f>
        <v>2025</v>
      </c>
    </row>
    <row r="164" spans="1:17" x14ac:dyDescent="0.3">
      <c r="A164" s="1">
        <v>45694</v>
      </c>
      <c r="B164" t="s">
        <v>16</v>
      </c>
      <c r="C164" t="s">
        <v>17</v>
      </c>
      <c r="D164" t="s">
        <v>37</v>
      </c>
      <c r="E164" t="s">
        <v>15</v>
      </c>
      <c r="F164">
        <v>23</v>
      </c>
      <c r="G164">
        <v>31</v>
      </c>
      <c r="H164">
        <v>20</v>
      </c>
      <c r="I164">
        <v>34</v>
      </c>
      <c r="J164">
        <v>23</v>
      </c>
      <c r="K164">
        <v>6778</v>
      </c>
      <c r="L164">
        <v>230452</v>
      </c>
      <c r="M164">
        <f>Inventory_Data[[#This Row],[Opening Stock]]+Inventory_Data[[#This Row],[Purchase Qty]]-Inventory_Data[[#This Row],[Sales Qty]]-Inventory_Data[[#This Row],[Closing Stock]]</f>
        <v>0</v>
      </c>
      <c r="N164">
        <f>Inventory_Data[[#This Row],[Purchase Qty]]*Inventory_Data[[#This Row],[Unit Cost]]</f>
        <v>210118</v>
      </c>
      <c r="O164" t="str">
        <f>IF(Inventory_Data[[#This Row],[Closing Stock]]&lt;=Inventory_Data[[#This Row],[Reorder Level]],"Low Stock","In Stock")</f>
        <v>In Stock</v>
      </c>
      <c r="P164" t="str">
        <f>TEXT(Inventory_Data[[#This Row],[Date]],"MMM")</f>
        <v>Feb</v>
      </c>
      <c r="Q164" t="str">
        <f>TEXT(Inventory_Data[[#This Row],[Date]],"YYYY")</f>
        <v>2025</v>
      </c>
    </row>
    <row r="165" spans="1:17" x14ac:dyDescent="0.3">
      <c r="A165" s="1">
        <v>45694</v>
      </c>
      <c r="B165" t="s">
        <v>33</v>
      </c>
      <c r="C165" t="s">
        <v>13</v>
      </c>
      <c r="D165" t="s">
        <v>14</v>
      </c>
      <c r="E165" t="s">
        <v>29</v>
      </c>
      <c r="F165">
        <v>26</v>
      </c>
      <c r="G165">
        <v>59</v>
      </c>
      <c r="H165">
        <v>15</v>
      </c>
      <c r="I165">
        <v>70</v>
      </c>
      <c r="J165">
        <v>39</v>
      </c>
      <c r="K165">
        <v>11218</v>
      </c>
      <c r="L165">
        <v>785260</v>
      </c>
      <c r="M165">
        <f>Inventory_Data[[#This Row],[Opening Stock]]+Inventory_Data[[#This Row],[Purchase Qty]]-Inventory_Data[[#This Row],[Sales Qty]]-Inventory_Data[[#This Row],[Closing Stock]]</f>
        <v>0</v>
      </c>
      <c r="N165">
        <f>Inventory_Data[[#This Row],[Purchase Qty]]*Inventory_Data[[#This Row],[Unit Cost]]</f>
        <v>661862</v>
      </c>
      <c r="O165" t="str">
        <f>IF(Inventory_Data[[#This Row],[Closing Stock]]&lt;=Inventory_Data[[#This Row],[Reorder Level]],"Low Stock","In Stock")</f>
        <v>In Stock</v>
      </c>
      <c r="P165" t="str">
        <f>TEXT(Inventory_Data[[#This Row],[Date]],"MMM")</f>
        <v>Feb</v>
      </c>
      <c r="Q165" t="str">
        <f>TEXT(Inventory_Data[[#This Row],[Date]],"YYYY")</f>
        <v>2025</v>
      </c>
    </row>
    <row r="166" spans="1:17" x14ac:dyDescent="0.3">
      <c r="A166" s="1">
        <v>45695</v>
      </c>
      <c r="B166" t="s">
        <v>44</v>
      </c>
      <c r="C166" t="s">
        <v>28</v>
      </c>
      <c r="D166" t="s">
        <v>26</v>
      </c>
      <c r="E166" t="s">
        <v>18</v>
      </c>
      <c r="F166">
        <v>98</v>
      </c>
      <c r="G166">
        <v>98</v>
      </c>
      <c r="H166">
        <v>74</v>
      </c>
      <c r="I166">
        <v>122</v>
      </c>
      <c r="J166">
        <v>20</v>
      </c>
      <c r="K166">
        <v>34929</v>
      </c>
      <c r="L166">
        <v>4261338</v>
      </c>
      <c r="M166">
        <f>Inventory_Data[[#This Row],[Opening Stock]]+Inventory_Data[[#This Row],[Purchase Qty]]-Inventory_Data[[#This Row],[Sales Qty]]-Inventory_Data[[#This Row],[Closing Stock]]</f>
        <v>0</v>
      </c>
      <c r="N166">
        <f>Inventory_Data[[#This Row],[Purchase Qty]]*Inventory_Data[[#This Row],[Unit Cost]]</f>
        <v>3423042</v>
      </c>
      <c r="O166" t="str">
        <f>IF(Inventory_Data[[#This Row],[Closing Stock]]&lt;=Inventory_Data[[#This Row],[Reorder Level]],"Low Stock","In Stock")</f>
        <v>In Stock</v>
      </c>
      <c r="P166" t="str">
        <f>TEXT(Inventory_Data[[#This Row],[Date]],"MMM")</f>
        <v>Feb</v>
      </c>
      <c r="Q166" t="str">
        <f>TEXT(Inventory_Data[[#This Row],[Date]],"YYYY")</f>
        <v>2025</v>
      </c>
    </row>
    <row r="167" spans="1:17" x14ac:dyDescent="0.3">
      <c r="A167" s="1">
        <v>45695</v>
      </c>
      <c r="B167" t="s">
        <v>44</v>
      </c>
      <c r="C167" t="s">
        <v>28</v>
      </c>
      <c r="D167" t="s">
        <v>14</v>
      </c>
      <c r="E167" t="s">
        <v>18</v>
      </c>
      <c r="F167">
        <v>44</v>
      </c>
      <c r="G167">
        <v>35</v>
      </c>
      <c r="H167">
        <v>79</v>
      </c>
      <c r="I167">
        <v>0</v>
      </c>
      <c r="J167">
        <v>47</v>
      </c>
      <c r="K167">
        <v>49498</v>
      </c>
      <c r="L167">
        <v>0</v>
      </c>
      <c r="M167">
        <f>Inventory_Data[[#This Row],[Opening Stock]]+Inventory_Data[[#This Row],[Purchase Qty]]-Inventory_Data[[#This Row],[Sales Qty]]-Inventory_Data[[#This Row],[Closing Stock]]</f>
        <v>0</v>
      </c>
      <c r="N167">
        <f>Inventory_Data[[#This Row],[Purchase Qty]]*Inventory_Data[[#This Row],[Unit Cost]]</f>
        <v>1732430</v>
      </c>
      <c r="O167" t="str">
        <f>IF(Inventory_Data[[#This Row],[Closing Stock]]&lt;=Inventory_Data[[#This Row],[Reorder Level]],"Low Stock","In Stock")</f>
        <v>Low Stock</v>
      </c>
      <c r="P167" t="str">
        <f>TEXT(Inventory_Data[[#This Row],[Date]],"MMM")</f>
        <v>Feb</v>
      </c>
      <c r="Q167" t="str">
        <f>TEXT(Inventory_Data[[#This Row],[Date]],"YYYY")</f>
        <v>2025</v>
      </c>
    </row>
    <row r="168" spans="1:17" x14ac:dyDescent="0.3">
      <c r="A168" s="1">
        <v>45695</v>
      </c>
      <c r="B168" t="s">
        <v>40</v>
      </c>
      <c r="C168" t="s">
        <v>28</v>
      </c>
      <c r="D168" t="s">
        <v>26</v>
      </c>
      <c r="E168" t="s">
        <v>34</v>
      </c>
      <c r="F168">
        <v>122</v>
      </c>
      <c r="G168">
        <v>65</v>
      </c>
      <c r="H168">
        <v>67</v>
      </c>
      <c r="I168">
        <v>120</v>
      </c>
      <c r="J168">
        <v>45</v>
      </c>
      <c r="K168">
        <v>57629</v>
      </c>
      <c r="L168">
        <v>6915480</v>
      </c>
      <c r="M168">
        <f>Inventory_Data[[#This Row],[Opening Stock]]+Inventory_Data[[#This Row],[Purchase Qty]]-Inventory_Data[[#This Row],[Sales Qty]]-Inventory_Data[[#This Row],[Closing Stock]]</f>
        <v>0</v>
      </c>
      <c r="N168">
        <f>Inventory_Data[[#This Row],[Purchase Qty]]*Inventory_Data[[#This Row],[Unit Cost]]</f>
        <v>3745885</v>
      </c>
      <c r="O168" t="str">
        <f>IF(Inventory_Data[[#This Row],[Closing Stock]]&lt;=Inventory_Data[[#This Row],[Reorder Level]],"Low Stock","In Stock")</f>
        <v>In Stock</v>
      </c>
      <c r="P168" t="str">
        <f>TEXT(Inventory_Data[[#This Row],[Date]],"MMM")</f>
        <v>Feb</v>
      </c>
      <c r="Q168" t="str">
        <f>TEXT(Inventory_Data[[#This Row],[Date]],"YYYY")</f>
        <v>2025</v>
      </c>
    </row>
    <row r="169" spans="1:17" x14ac:dyDescent="0.3">
      <c r="A169" s="1">
        <v>45695</v>
      </c>
      <c r="B169" t="s">
        <v>44</v>
      </c>
      <c r="C169" t="s">
        <v>28</v>
      </c>
      <c r="D169" t="s">
        <v>14</v>
      </c>
      <c r="E169" t="s">
        <v>29</v>
      </c>
      <c r="F169">
        <v>157</v>
      </c>
      <c r="G169">
        <v>66</v>
      </c>
      <c r="H169">
        <v>32</v>
      </c>
      <c r="I169">
        <v>191</v>
      </c>
      <c r="J169">
        <v>55</v>
      </c>
      <c r="K169">
        <v>50413</v>
      </c>
      <c r="L169">
        <v>9628883</v>
      </c>
      <c r="M169">
        <f>Inventory_Data[[#This Row],[Opening Stock]]+Inventory_Data[[#This Row],[Purchase Qty]]-Inventory_Data[[#This Row],[Sales Qty]]-Inventory_Data[[#This Row],[Closing Stock]]</f>
        <v>0</v>
      </c>
      <c r="N169">
        <f>Inventory_Data[[#This Row],[Purchase Qty]]*Inventory_Data[[#This Row],[Unit Cost]]</f>
        <v>3327258</v>
      </c>
      <c r="O169" t="str">
        <f>IF(Inventory_Data[[#This Row],[Closing Stock]]&lt;=Inventory_Data[[#This Row],[Reorder Level]],"Low Stock","In Stock")</f>
        <v>In Stock</v>
      </c>
      <c r="P169" t="str">
        <f>TEXT(Inventory_Data[[#This Row],[Date]],"MMM")</f>
        <v>Feb</v>
      </c>
      <c r="Q169" t="str">
        <f>TEXT(Inventory_Data[[#This Row],[Date]],"YYYY")</f>
        <v>2025</v>
      </c>
    </row>
    <row r="170" spans="1:17" x14ac:dyDescent="0.3">
      <c r="A170" s="1">
        <v>45695</v>
      </c>
      <c r="B170" t="s">
        <v>19</v>
      </c>
      <c r="C170" t="s">
        <v>13</v>
      </c>
      <c r="D170" t="s">
        <v>37</v>
      </c>
      <c r="E170" t="s">
        <v>20</v>
      </c>
      <c r="F170">
        <v>34</v>
      </c>
      <c r="G170">
        <v>29</v>
      </c>
      <c r="H170">
        <v>4</v>
      </c>
      <c r="I170">
        <v>59</v>
      </c>
      <c r="J170">
        <v>20</v>
      </c>
      <c r="K170">
        <v>10548</v>
      </c>
      <c r="L170">
        <v>622332</v>
      </c>
      <c r="M170">
        <f>Inventory_Data[[#This Row],[Opening Stock]]+Inventory_Data[[#This Row],[Purchase Qty]]-Inventory_Data[[#This Row],[Sales Qty]]-Inventory_Data[[#This Row],[Closing Stock]]</f>
        <v>0</v>
      </c>
      <c r="N170">
        <f>Inventory_Data[[#This Row],[Purchase Qty]]*Inventory_Data[[#This Row],[Unit Cost]]</f>
        <v>305892</v>
      </c>
      <c r="O170" t="str">
        <f>IF(Inventory_Data[[#This Row],[Closing Stock]]&lt;=Inventory_Data[[#This Row],[Reorder Level]],"Low Stock","In Stock")</f>
        <v>In Stock</v>
      </c>
      <c r="P170" t="str">
        <f>TEXT(Inventory_Data[[#This Row],[Date]],"MMM")</f>
        <v>Feb</v>
      </c>
      <c r="Q170" t="str">
        <f>TEXT(Inventory_Data[[#This Row],[Date]],"YYYY")</f>
        <v>2025</v>
      </c>
    </row>
    <row r="171" spans="1:17" x14ac:dyDescent="0.3">
      <c r="A171" s="1">
        <v>45695</v>
      </c>
      <c r="B171" t="s">
        <v>27</v>
      </c>
      <c r="C171" t="s">
        <v>28</v>
      </c>
      <c r="D171" t="s">
        <v>26</v>
      </c>
      <c r="E171" t="s">
        <v>24</v>
      </c>
      <c r="F171">
        <v>155</v>
      </c>
      <c r="G171">
        <v>113</v>
      </c>
      <c r="H171">
        <v>90</v>
      </c>
      <c r="I171">
        <v>178</v>
      </c>
      <c r="J171">
        <v>32</v>
      </c>
      <c r="K171">
        <v>16352</v>
      </c>
      <c r="L171">
        <v>2910656</v>
      </c>
      <c r="M171">
        <f>Inventory_Data[[#This Row],[Opening Stock]]+Inventory_Data[[#This Row],[Purchase Qty]]-Inventory_Data[[#This Row],[Sales Qty]]-Inventory_Data[[#This Row],[Closing Stock]]</f>
        <v>0</v>
      </c>
      <c r="N171">
        <f>Inventory_Data[[#This Row],[Purchase Qty]]*Inventory_Data[[#This Row],[Unit Cost]]</f>
        <v>1847776</v>
      </c>
      <c r="O171" t="str">
        <f>IF(Inventory_Data[[#This Row],[Closing Stock]]&lt;=Inventory_Data[[#This Row],[Reorder Level]],"Low Stock","In Stock")</f>
        <v>In Stock</v>
      </c>
      <c r="P171" t="str">
        <f>TEXT(Inventory_Data[[#This Row],[Date]],"MMM")</f>
        <v>Feb</v>
      </c>
      <c r="Q171" t="str">
        <f>TEXT(Inventory_Data[[#This Row],[Date]],"YYYY")</f>
        <v>2025</v>
      </c>
    </row>
    <row r="172" spans="1:17" x14ac:dyDescent="0.3">
      <c r="A172" s="1">
        <v>45696</v>
      </c>
      <c r="B172" t="s">
        <v>43</v>
      </c>
      <c r="C172" t="s">
        <v>22</v>
      </c>
      <c r="D172" t="s">
        <v>26</v>
      </c>
      <c r="E172" t="s">
        <v>34</v>
      </c>
      <c r="F172">
        <v>181</v>
      </c>
      <c r="G172">
        <v>59</v>
      </c>
      <c r="H172">
        <v>167</v>
      </c>
      <c r="I172">
        <v>73</v>
      </c>
      <c r="J172">
        <v>61</v>
      </c>
      <c r="K172">
        <v>1109</v>
      </c>
      <c r="L172">
        <v>80957</v>
      </c>
      <c r="M172">
        <f>Inventory_Data[[#This Row],[Opening Stock]]+Inventory_Data[[#This Row],[Purchase Qty]]-Inventory_Data[[#This Row],[Sales Qty]]-Inventory_Data[[#This Row],[Closing Stock]]</f>
        <v>0</v>
      </c>
      <c r="N172">
        <f>Inventory_Data[[#This Row],[Purchase Qty]]*Inventory_Data[[#This Row],[Unit Cost]]</f>
        <v>65431</v>
      </c>
      <c r="O172" t="str">
        <f>IF(Inventory_Data[[#This Row],[Closing Stock]]&lt;=Inventory_Data[[#This Row],[Reorder Level]],"Low Stock","In Stock")</f>
        <v>In Stock</v>
      </c>
      <c r="P172" t="str">
        <f>TEXT(Inventory_Data[[#This Row],[Date]],"MMM")</f>
        <v>Feb</v>
      </c>
      <c r="Q172" t="str">
        <f>TEXT(Inventory_Data[[#This Row],[Date]],"YYYY")</f>
        <v>2025</v>
      </c>
    </row>
    <row r="173" spans="1:17" x14ac:dyDescent="0.3">
      <c r="A173" s="1">
        <v>45696</v>
      </c>
      <c r="B173" t="s">
        <v>32</v>
      </c>
      <c r="C173" t="s">
        <v>28</v>
      </c>
      <c r="D173" t="s">
        <v>23</v>
      </c>
      <c r="E173" t="s">
        <v>34</v>
      </c>
      <c r="F173">
        <v>36</v>
      </c>
      <c r="G173">
        <v>112</v>
      </c>
      <c r="H173">
        <v>90</v>
      </c>
      <c r="I173">
        <v>58</v>
      </c>
      <c r="J173">
        <v>44</v>
      </c>
      <c r="K173">
        <v>57593</v>
      </c>
      <c r="L173">
        <v>3340394</v>
      </c>
      <c r="M173">
        <f>Inventory_Data[[#This Row],[Opening Stock]]+Inventory_Data[[#This Row],[Purchase Qty]]-Inventory_Data[[#This Row],[Sales Qty]]-Inventory_Data[[#This Row],[Closing Stock]]</f>
        <v>0</v>
      </c>
      <c r="N173">
        <f>Inventory_Data[[#This Row],[Purchase Qty]]*Inventory_Data[[#This Row],[Unit Cost]]</f>
        <v>6450416</v>
      </c>
      <c r="O173" t="str">
        <f>IF(Inventory_Data[[#This Row],[Closing Stock]]&lt;=Inventory_Data[[#This Row],[Reorder Level]],"Low Stock","In Stock")</f>
        <v>In Stock</v>
      </c>
      <c r="P173" t="str">
        <f>TEXT(Inventory_Data[[#This Row],[Date]],"MMM")</f>
        <v>Feb</v>
      </c>
      <c r="Q173" t="str">
        <f>TEXT(Inventory_Data[[#This Row],[Date]],"YYYY")</f>
        <v>2025</v>
      </c>
    </row>
    <row r="174" spans="1:17" x14ac:dyDescent="0.3">
      <c r="A174" s="1">
        <v>45696</v>
      </c>
      <c r="B174" t="s">
        <v>21</v>
      </c>
      <c r="C174" t="s">
        <v>22</v>
      </c>
      <c r="D174" t="s">
        <v>26</v>
      </c>
      <c r="E174" t="s">
        <v>24</v>
      </c>
      <c r="F174">
        <v>351</v>
      </c>
      <c r="G174">
        <v>58</v>
      </c>
      <c r="H174">
        <v>254</v>
      </c>
      <c r="I174">
        <v>155</v>
      </c>
      <c r="J174">
        <v>106</v>
      </c>
      <c r="K174">
        <v>767</v>
      </c>
      <c r="L174">
        <v>118885</v>
      </c>
      <c r="M174">
        <f>Inventory_Data[[#This Row],[Opening Stock]]+Inventory_Data[[#This Row],[Purchase Qty]]-Inventory_Data[[#This Row],[Sales Qty]]-Inventory_Data[[#This Row],[Closing Stock]]</f>
        <v>0</v>
      </c>
      <c r="N174">
        <f>Inventory_Data[[#This Row],[Purchase Qty]]*Inventory_Data[[#This Row],[Unit Cost]]</f>
        <v>44486</v>
      </c>
      <c r="O174" t="str">
        <f>IF(Inventory_Data[[#This Row],[Closing Stock]]&lt;=Inventory_Data[[#This Row],[Reorder Level]],"Low Stock","In Stock")</f>
        <v>In Stock</v>
      </c>
      <c r="P174" t="str">
        <f>TEXT(Inventory_Data[[#This Row],[Date]],"MMM")</f>
        <v>Feb</v>
      </c>
      <c r="Q174" t="str">
        <f>TEXT(Inventory_Data[[#This Row],[Date]],"YYYY")</f>
        <v>2025</v>
      </c>
    </row>
    <row r="175" spans="1:17" x14ac:dyDescent="0.3">
      <c r="A175" s="1">
        <v>45696</v>
      </c>
      <c r="B175" t="s">
        <v>41</v>
      </c>
      <c r="C175" t="s">
        <v>22</v>
      </c>
      <c r="D175" t="s">
        <v>14</v>
      </c>
      <c r="E175" t="s">
        <v>24</v>
      </c>
      <c r="F175">
        <v>168</v>
      </c>
      <c r="G175">
        <v>56</v>
      </c>
      <c r="H175">
        <v>113</v>
      </c>
      <c r="I175">
        <v>111</v>
      </c>
      <c r="J175">
        <v>112</v>
      </c>
      <c r="K175">
        <v>1117</v>
      </c>
      <c r="L175">
        <v>123987</v>
      </c>
      <c r="M175">
        <f>Inventory_Data[[#This Row],[Opening Stock]]+Inventory_Data[[#This Row],[Purchase Qty]]-Inventory_Data[[#This Row],[Sales Qty]]-Inventory_Data[[#This Row],[Closing Stock]]</f>
        <v>0</v>
      </c>
      <c r="N175">
        <f>Inventory_Data[[#This Row],[Purchase Qty]]*Inventory_Data[[#This Row],[Unit Cost]]</f>
        <v>62552</v>
      </c>
      <c r="O175" t="str">
        <f>IF(Inventory_Data[[#This Row],[Closing Stock]]&lt;=Inventory_Data[[#This Row],[Reorder Level]],"Low Stock","In Stock")</f>
        <v>Low Stock</v>
      </c>
      <c r="P175" t="str">
        <f>TEXT(Inventory_Data[[#This Row],[Date]],"MMM")</f>
        <v>Feb</v>
      </c>
      <c r="Q175" t="str">
        <f>TEXT(Inventory_Data[[#This Row],[Date]],"YYYY")</f>
        <v>2025</v>
      </c>
    </row>
    <row r="176" spans="1:17" x14ac:dyDescent="0.3">
      <c r="A176" s="1">
        <v>45696</v>
      </c>
      <c r="B176" t="s">
        <v>25</v>
      </c>
      <c r="C176" t="s">
        <v>17</v>
      </c>
      <c r="D176" t="s">
        <v>26</v>
      </c>
      <c r="E176" t="s">
        <v>24</v>
      </c>
      <c r="F176">
        <v>12</v>
      </c>
      <c r="G176">
        <v>16</v>
      </c>
      <c r="H176">
        <v>8</v>
      </c>
      <c r="I176">
        <v>20</v>
      </c>
      <c r="J176">
        <v>10</v>
      </c>
      <c r="K176">
        <v>3596</v>
      </c>
      <c r="L176">
        <v>71920</v>
      </c>
      <c r="M176">
        <f>Inventory_Data[[#This Row],[Opening Stock]]+Inventory_Data[[#This Row],[Purchase Qty]]-Inventory_Data[[#This Row],[Sales Qty]]-Inventory_Data[[#This Row],[Closing Stock]]</f>
        <v>0</v>
      </c>
      <c r="N176">
        <f>Inventory_Data[[#This Row],[Purchase Qty]]*Inventory_Data[[#This Row],[Unit Cost]]</f>
        <v>57536</v>
      </c>
      <c r="O176" t="str">
        <f>IF(Inventory_Data[[#This Row],[Closing Stock]]&lt;=Inventory_Data[[#This Row],[Reorder Level]],"Low Stock","In Stock")</f>
        <v>In Stock</v>
      </c>
      <c r="P176" t="str">
        <f>TEXT(Inventory_Data[[#This Row],[Date]],"MMM")</f>
        <v>Feb</v>
      </c>
      <c r="Q176" t="str">
        <f>TEXT(Inventory_Data[[#This Row],[Date]],"YYYY")</f>
        <v>2025</v>
      </c>
    </row>
    <row r="177" spans="1:17" x14ac:dyDescent="0.3">
      <c r="A177" s="1">
        <v>45697</v>
      </c>
      <c r="B177" t="s">
        <v>41</v>
      </c>
      <c r="C177" t="s">
        <v>22</v>
      </c>
      <c r="D177" t="s">
        <v>14</v>
      </c>
      <c r="E177" t="s">
        <v>15</v>
      </c>
      <c r="F177">
        <v>408</v>
      </c>
      <c r="G177">
        <v>91</v>
      </c>
      <c r="H177">
        <v>263</v>
      </c>
      <c r="I177">
        <v>236</v>
      </c>
      <c r="J177">
        <v>118</v>
      </c>
      <c r="K177">
        <v>985</v>
      </c>
      <c r="L177">
        <v>232460</v>
      </c>
      <c r="M177">
        <f>Inventory_Data[[#This Row],[Opening Stock]]+Inventory_Data[[#This Row],[Purchase Qty]]-Inventory_Data[[#This Row],[Sales Qty]]-Inventory_Data[[#This Row],[Closing Stock]]</f>
        <v>0</v>
      </c>
      <c r="N177">
        <f>Inventory_Data[[#This Row],[Purchase Qty]]*Inventory_Data[[#This Row],[Unit Cost]]</f>
        <v>89635</v>
      </c>
      <c r="O177" t="str">
        <f>IF(Inventory_Data[[#This Row],[Closing Stock]]&lt;=Inventory_Data[[#This Row],[Reorder Level]],"Low Stock","In Stock")</f>
        <v>In Stock</v>
      </c>
      <c r="P177" t="str">
        <f>TEXT(Inventory_Data[[#This Row],[Date]],"MMM")</f>
        <v>Feb</v>
      </c>
      <c r="Q177" t="str">
        <f>TEXT(Inventory_Data[[#This Row],[Date]],"YYYY")</f>
        <v>2025</v>
      </c>
    </row>
    <row r="178" spans="1:17" x14ac:dyDescent="0.3">
      <c r="A178" s="1">
        <v>45697</v>
      </c>
      <c r="B178" t="s">
        <v>36</v>
      </c>
      <c r="C178" t="s">
        <v>22</v>
      </c>
      <c r="D178" t="s">
        <v>26</v>
      </c>
      <c r="E178" t="s">
        <v>24</v>
      </c>
      <c r="F178">
        <v>286</v>
      </c>
      <c r="G178">
        <v>123</v>
      </c>
      <c r="H178">
        <v>231</v>
      </c>
      <c r="I178">
        <v>178</v>
      </c>
      <c r="J178">
        <v>59</v>
      </c>
      <c r="K178">
        <v>735</v>
      </c>
      <c r="L178">
        <v>130830</v>
      </c>
      <c r="M178">
        <f>Inventory_Data[[#This Row],[Opening Stock]]+Inventory_Data[[#This Row],[Purchase Qty]]-Inventory_Data[[#This Row],[Sales Qty]]-Inventory_Data[[#This Row],[Closing Stock]]</f>
        <v>0</v>
      </c>
      <c r="N178">
        <f>Inventory_Data[[#This Row],[Purchase Qty]]*Inventory_Data[[#This Row],[Unit Cost]]</f>
        <v>90405</v>
      </c>
      <c r="O178" t="str">
        <f>IF(Inventory_Data[[#This Row],[Closing Stock]]&lt;=Inventory_Data[[#This Row],[Reorder Level]],"Low Stock","In Stock")</f>
        <v>In Stock</v>
      </c>
      <c r="P178" t="str">
        <f>TEXT(Inventory_Data[[#This Row],[Date]],"MMM")</f>
        <v>Feb</v>
      </c>
      <c r="Q178" t="str">
        <f>TEXT(Inventory_Data[[#This Row],[Date]],"YYYY")</f>
        <v>2025</v>
      </c>
    </row>
    <row r="179" spans="1:17" x14ac:dyDescent="0.3">
      <c r="A179" s="1">
        <v>45698</v>
      </c>
      <c r="B179" t="s">
        <v>43</v>
      </c>
      <c r="C179" t="s">
        <v>22</v>
      </c>
      <c r="D179" t="s">
        <v>37</v>
      </c>
      <c r="E179" t="s">
        <v>34</v>
      </c>
      <c r="F179">
        <v>353</v>
      </c>
      <c r="G179">
        <v>202</v>
      </c>
      <c r="H179">
        <v>243</v>
      </c>
      <c r="I179">
        <v>312</v>
      </c>
      <c r="J179">
        <v>127</v>
      </c>
      <c r="K179">
        <v>812</v>
      </c>
      <c r="L179">
        <v>253344</v>
      </c>
      <c r="M179">
        <f>Inventory_Data[[#This Row],[Opening Stock]]+Inventory_Data[[#This Row],[Purchase Qty]]-Inventory_Data[[#This Row],[Sales Qty]]-Inventory_Data[[#This Row],[Closing Stock]]</f>
        <v>0</v>
      </c>
      <c r="N179">
        <f>Inventory_Data[[#This Row],[Purchase Qty]]*Inventory_Data[[#This Row],[Unit Cost]]</f>
        <v>164024</v>
      </c>
      <c r="O179" t="str">
        <f>IF(Inventory_Data[[#This Row],[Closing Stock]]&lt;=Inventory_Data[[#This Row],[Reorder Level]],"Low Stock","In Stock")</f>
        <v>In Stock</v>
      </c>
      <c r="P179" t="str">
        <f>TEXT(Inventory_Data[[#This Row],[Date]],"MMM")</f>
        <v>Feb</v>
      </c>
      <c r="Q179" t="str">
        <f>TEXT(Inventory_Data[[#This Row],[Date]],"YYYY")</f>
        <v>2025</v>
      </c>
    </row>
    <row r="180" spans="1:17" x14ac:dyDescent="0.3">
      <c r="A180" s="1">
        <v>45698</v>
      </c>
      <c r="B180" t="s">
        <v>16</v>
      </c>
      <c r="C180" t="s">
        <v>17</v>
      </c>
      <c r="D180" t="s">
        <v>14</v>
      </c>
      <c r="E180" t="s">
        <v>29</v>
      </c>
      <c r="F180">
        <v>28</v>
      </c>
      <c r="G180">
        <v>25</v>
      </c>
      <c r="H180">
        <v>42</v>
      </c>
      <c r="I180">
        <v>11</v>
      </c>
      <c r="J180">
        <v>19</v>
      </c>
      <c r="K180">
        <v>5172</v>
      </c>
      <c r="L180">
        <v>56892</v>
      </c>
      <c r="M180">
        <f>Inventory_Data[[#This Row],[Opening Stock]]+Inventory_Data[[#This Row],[Purchase Qty]]-Inventory_Data[[#This Row],[Sales Qty]]-Inventory_Data[[#This Row],[Closing Stock]]</f>
        <v>0</v>
      </c>
      <c r="N180">
        <f>Inventory_Data[[#This Row],[Purchase Qty]]*Inventory_Data[[#This Row],[Unit Cost]]</f>
        <v>129300</v>
      </c>
      <c r="O180" t="str">
        <f>IF(Inventory_Data[[#This Row],[Closing Stock]]&lt;=Inventory_Data[[#This Row],[Reorder Level]],"Low Stock","In Stock")</f>
        <v>Low Stock</v>
      </c>
      <c r="P180" t="str">
        <f>TEXT(Inventory_Data[[#This Row],[Date]],"MMM")</f>
        <v>Feb</v>
      </c>
      <c r="Q180" t="str">
        <f>TEXT(Inventory_Data[[#This Row],[Date]],"YYYY")</f>
        <v>2025</v>
      </c>
    </row>
    <row r="181" spans="1:17" x14ac:dyDescent="0.3">
      <c r="A181" s="1">
        <v>45698</v>
      </c>
      <c r="B181" t="s">
        <v>30</v>
      </c>
      <c r="C181" t="s">
        <v>28</v>
      </c>
      <c r="D181" t="s">
        <v>23</v>
      </c>
      <c r="E181" t="s">
        <v>34</v>
      </c>
      <c r="F181">
        <v>70</v>
      </c>
      <c r="G181">
        <v>56</v>
      </c>
      <c r="H181">
        <v>86</v>
      </c>
      <c r="I181">
        <v>40</v>
      </c>
      <c r="J181">
        <v>30</v>
      </c>
      <c r="K181">
        <v>6233</v>
      </c>
      <c r="L181">
        <v>249320</v>
      </c>
      <c r="M181">
        <f>Inventory_Data[[#This Row],[Opening Stock]]+Inventory_Data[[#This Row],[Purchase Qty]]-Inventory_Data[[#This Row],[Sales Qty]]-Inventory_Data[[#This Row],[Closing Stock]]</f>
        <v>0</v>
      </c>
      <c r="N181">
        <f>Inventory_Data[[#This Row],[Purchase Qty]]*Inventory_Data[[#This Row],[Unit Cost]]</f>
        <v>349048</v>
      </c>
      <c r="O181" t="str">
        <f>IF(Inventory_Data[[#This Row],[Closing Stock]]&lt;=Inventory_Data[[#This Row],[Reorder Level]],"Low Stock","In Stock")</f>
        <v>In Stock</v>
      </c>
      <c r="P181" t="str">
        <f>TEXT(Inventory_Data[[#This Row],[Date]],"MMM")</f>
        <v>Feb</v>
      </c>
      <c r="Q181" t="str">
        <f>TEXT(Inventory_Data[[#This Row],[Date]],"YYYY")</f>
        <v>2025</v>
      </c>
    </row>
    <row r="182" spans="1:17" x14ac:dyDescent="0.3">
      <c r="A182" s="1">
        <v>45699</v>
      </c>
      <c r="B182" t="s">
        <v>19</v>
      </c>
      <c r="C182" t="s">
        <v>13</v>
      </c>
      <c r="D182" t="s">
        <v>26</v>
      </c>
      <c r="E182" t="s">
        <v>20</v>
      </c>
      <c r="F182">
        <v>103</v>
      </c>
      <c r="G182">
        <v>9</v>
      </c>
      <c r="H182">
        <v>52</v>
      </c>
      <c r="I182">
        <v>60</v>
      </c>
      <c r="J182">
        <v>30</v>
      </c>
      <c r="K182">
        <v>5604</v>
      </c>
      <c r="L182">
        <v>336240</v>
      </c>
      <c r="M182">
        <f>Inventory_Data[[#This Row],[Opening Stock]]+Inventory_Data[[#This Row],[Purchase Qty]]-Inventory_Data[[#This Row],[Sales Qty]]-Inventory_Data[[#This Row],[Closing Stock]]</f>
        <v>0</v>
      </c>
      <c r="N182">
        <f>Inventory_Data[[#This Row],[Purchase Qty]]*Inventory_Data[[#This Row],[Unit Cost]]</f>
        <v>50436</v>
      </c>
      <c r="O182" t="str">
        <f>IF(Inventory_Data[[#This Row],[Closing Stock]]&lt;=Inventory_Data[[#This Row],[Reorder Level]],"Low Stock","In Stock")</f>
        <v>In Stock</v>
      </c>
      <c r="P182" t="str">
        <f>TEXT(Inventory_Data[[#This Row],[Date]],"MMM")</f>
        <v>Feb</v>
      </c>
      <c r="Q182" t="str">
        <f>TEXT(Inventory_Data[[#This Row],[Date]],"YYYY")</f>
        <v>2025</v>
      </c>
    </row>
    <row r="183" spans="1:17" x14ac:dyDescent="0.3">
      <c r="A183" s="1">
        <v>45699</v>
      </c>
      <c r="B183" t="s">
        <v>19</v>
      </c>
      <c r="C183" t="s">
        <v>13</v>
      </c>
      <c r="D183" t="s">
        <v>14</v>
      </c>
      <c r="E183" t="s">
        <v>34</v>
      </c>
      <c r="F183">
        <v>65</v>
      </c>
      <c r="G183">
        <v>39</v>
      </c>
      <c r="H183">
        <v>54</v>
      </c>
      <c r="I183">
        <v>50</v>
      </c>
      <c r="J183">
        <v>23</v>
      </c>
      <c r="K183">
        <v>14505</v>
      </c>
      <c r="L183">
        <v>725250</v>
      </c>
      <c r="M183">
        <f>Inventory_Data[[#This Row],[Opening Stock]]+Inventory_Data[[#This Row],[Purchase Qty]]-Inventory_Data[[#This Row],[Sales Qty]]-Inventory_Data[[#This Row],[Closing Stock]]</f>
        <v>0</v>
      </c>
      <c r="N183">
        <f>Inventory_Data[[#This Row],[Purchase Qty]]*Inventory_Data[[#This Row],[Unit Cost]]</f>
        <v>565695</v>
      </c>
      <c r="O183" t="str">
        <f>IF(Inventory_Data[[#This Row],[Closing Stock]]&lt;=Inventory_Data[[#This Row],[Reorder Level]],"Low Stock","In Stock")</f>
        <v>In Stock</v>
      </c>
      <c r="P183" t="str">
        <f>TEXT(Inventory_Data[[#This Row],[Date]],"MMM")</f>
        <v>Feb</v>
      </c>
      <c r="Q183" t="str">
        <f>TEXT(Inventory_Data[[#This Row],[Date]],"YYYY")</f>
        <v>2025</v>
      </c>
    </row>
    <row r="184" spans="1:17" x14ac:dyDescent="0.3">
      <c r="A184" s="1">
        <v>45699</v>
      </c>
      <c r="B184" t="s">
        <v>16</v>
      </c>
      <c r="C184" t="s">
        <v>17</v>
      </c>
      <c r="D184" t="s">
        <v>14</v>
      </c>
      <c r="E184" t="s">
        <v>15</v>
      </c>
      <c r="F184">
        <v>28</v>
      </c>
      <c r="G184">
        <v>22</v>
      </c>
      <c r="H184">
        <v>38</v>
      </c>
      <c r="I184">
        <v>12</v>
      </c>
      <c r="J184">
        <v>28</v>
      </c>
      <c r="K184">
        <v>22841</v>
      </c>
      <c r="L184">
        <v>274092</v>
      </c>
      <c r="M184">
        <f>Inventory_Data[[#This Row],[Opening Stock]]+Inventory_Data[[#This Row],[Purchase Qty]]-Inventory_Data[[#This Row],[Sales Qty]]-Inventory_Data[[#This Row],[Closing Stock]]</f>
        <v>0</v>
      </c>
      <c r="N184">
        <f>Inventory_Data[[#This Row],[Purchase Qty]]*Inventory_Data[[#This Row],[Unit Cost]]</f>
        <v>502502</v>
      </c>
      <c r="O184" t="str">
        <f>IF(Inventory_Data[[#This Row],[Closing Stock]]&lt;=Inventory_Data[[#This Row],[Reorder Level]],"Low Stock","In Stock")</f>
        <v>Low Stock</v>
      </c>
      <c r="P184" t="str">
        <f>TEXT(Inventory_Data[[#This Row],[Date]],"MMM")</f>
        <v>Feb</v>
      </c>
      <c r="Q184" t="str">
        <f>TEXT(Inventory_Data[[#This Row],[Date]],"YYYY")</f>
        <v>2025</v>
      </c>
    </row>
    <row r="185" spans="1:17" x14ac:dyDescent="0.3">
      <c r="A185" s="1">
        <v>45699</v>
      </c>
      <c r="B185" t="s">
        <v>33</v>
      </c>
      <c r="C185" t="s">
        <v>13</v>
      </c>
      <c r="D185" t="s">
        <v>26</v>
      </c>
      <c r="E185" t="s">
        <v>15</v>
      </c>
      <c r="F185">
        <v>26</v>
      </c>
      <c r="G185">
        <v>69</v>
      </c>
      <c r="H185">
        <v>44</v>
      </c>
      <c r="I185">
        <v>51</v>
      </c>
      <c r="J185">
        <v>17</v>
      </c>
      <c r="K185">
        <v>3588</v>
      </c>
      <c r="L185">
        <v>182988</v>
      </c>
      <c r="M185">
        <f>Inventory_Data[[#This Row],[Opening Stock]]+Inventory_Data[[#This Row],[Purchase Qty]]-Inventory_Data[[#This Row],[Sales Qty]]-Inventory_Data[[#This Row],[Closing Stock]]</f>
        <v>0</v>
      </c>
      <c r="N185">
        <f>Inventory_Data[[#This Row],[Purchase Qty]]*Inventory_Data[[#This Row],[Unit Cost]]</f>
        <v>247572</v>
      </c>
      <c r="O185" t="str">
        <f>IF(Inventory_Data[[#This Row],[Closing Stock]]&lt;=Inventory_Data[[#This Row],[Reorder Level]],"Low Stock","In Stock")</f>
        <v>In Stock</v>
      </c>
      <c r="P185" t="str">
        <f>TEXT(Inventory_Data[[#This Row],[Date]],"MMM")</f>
        <v>Feb</v>
      </c>
      <c r="Q185" t="str">
        <f>TEXT(Inventory_Data[[#This Row],[Date]],"YYYY")</f>
        <v>2025</v>
      </c>
    </row>
    <row r="186" spans="1:17" x14ac:dyDescent="0.3">
      <c r="A186" s="1">
        <v>45699</v>
      </c>
      <c r="B186" t="s">
        <v>39</v>
      </c>
      <c r="C186" t="s">
        <v>28</v>
      </c>
      <c r="D186" t="s">
        <v>23</v>
      </c>
      <c r="E186" t="s">
        <v>34</v>
      </c>
      <c r="F186">
        <v>112</v>
      </c>
      <c r="G186">
        <v>66</v>
      </c>
      <c r="H186">
        <v>91</v>
      </c>
      <c r="I186">
        <v>87</v>
      </c>
      <c r="J186">
        <v>28</v>
      </c>
      <c r="K186">
        <v>60720</v>
      </c>
      <c r="L186">
        <v>5282640</v>
      </c>
      <c r="M186">
        <f>Inventory_Data[[#This Row],[Opening Stock]]+Inventory_Data[[#This Row],[Purchase Qty]]-Inventory_Data[[#This Row],[Sales Qty]]-Inventory_Data[[#This Row],[Closing Stock]]</f>
        <v>0</v>
      </c>
      <c r="N186">
        <f>Inventory_Data[[#This Row],[Purchase Qty]]*Inventory_Data[[#This Row],[Unit Cost]]</f>
        <v>4007520</v>
      </c>
      <c r="O186" t="str">
        <f>IF(Inventory_Data[[#This Row],[Closing Stock]]&lt;=Inventory_Data[[#This Row],[Reorder Level]],"Low Stock","In Stock")</f>
        <v>In Stock</v>
      </c>
      <c r="P186" t="str">
        <f>TEXT(Inventory_Data[[#This Row],[Date]],"MMM")</f>
        <v>Feb</v>
      </c>
      <c r="Q186" t="str">
        <f>TEXT(Inventory_Data[[#This Row],[Date]],"YYYY")</f>
        <v>2025</v>
      </c>
    </row>
    <row r="187" spans="1:17" x14ac:dyDescent="0.3">
      <c r="A187" s="1">
        <v>45699</v>
      </c>
      <c r="B187" t="s">
        <v>27</v>
      </c>
      <c r="C187" t="s">
        <v>28</v>
      </c>
      <c r="D187" t="s">
        <v>37</v>
      </c>
      <c r="E187" t="s">
        <v>20</v>
      </c>
      <c r="F187">
        <v>22</v>
      </c>
      <c r="G187">
        <v>10</v>
      </c>
      <c r="H187">
        <v>32</v>
      </c>
      <c r="I187">
        <v>0</v>
      </c>
      <c r="J187">
        <v>40</v>
      </c>
      <c r="K187">
        <v>37422</v>
      </c>
      <c r="L187">
        <v>0</v>
      </c>
      <c r="M187">
        <f>Inventory_Data[[#This Row],[Opening Stock]]+Inventory_Data[[#This Row],[Purchase Qty]]-Inventory_Data[[#This Row],[Sales Qty]]-Inventory_Data[[#This Row],[Closing Stock]]</f>
        <v>0</v>
      </c>
      <c r="N187">
        <f>Inventory_Data[[#This Row],[Purchase Qty]]*Inventory_Data[[#This Row],[Unit Cost]]</f>
        <v>374220</v>
      </c>
      <c r="O187" t="str">
        <f>IF(Inventory_Data[[#This Row],[Closing Stock]]&lt;=Inventory_Data[[#This Row],[Reorder Level]],"Low Stock","In Stock")</f>
        <v>Low Stock</v>
      </c>
      <c r="P187" t="str">
        <f>TEXT(Inventory_Data[[#This Row],[Date]],"MMM")</f>
        <v>Feb</v>
      </c>
      <c r="Q187" t="str">
        <f>TEXT(Inventory_Data[[#This Row],[Date]],"YYYY")</f>
        <v>2025</v>
      </c>
    </row>
    <row r="188" spans="1:17" x14ac:dyDescent="0.3">
      <c r="A188" s="1">
        <v>45700</v>
      </c>
      <c r="B188" t="s">
        <v>45</v>
      </c>
      <c r="C188" t="s">
        <v>13</v>
      </c>
      <c r="D188" t="s">
        <v>37</v>
      </c>
      <c r="E188" t="s">
        <v>24</v>
      </c>
      <c r="F188">
        <v>110</v>
      </c>
      <c r="G188">
        <v>57</v>
      </c>
      <c r="H188">
        <v>22</v>
      </c>
      <c r="I188">
        <v>145</v>
      </c>
      <c r="J188">
        <v>22</v>
      </c>
      <c r="K188">
        <v>8750</v>
      </c>
      <c r="L188">
        <v>1268750</v>
      </c>
      <c r="M188">
        <f>Inventory_Data[[#This Row],[Opening Stock]]+Inventory_Data[[#This Row],[Purchase Qty]]-Inventory_Data[[#This Row],[Sales Qty]]-Inventory_Data[[#This Row],[Closing Stock]]</f>
        <v>0</v>
      </c>
      <c r="N188">
        <f>Inventory_Data[[#This Row],[Purchase Qty]]*Inventory_Data[[#This Row],[Unit Cost]]</f>
        <v>498750</v>
      </c>
      <c r="O188" t="str">
        <f>IF(Inventory_Data[[#This Row],[Closing Stock]]&lt;=Inventory_Data[[#This Row],[Reorder Level]],"Low Stock","In Stock")</f>
        <v>In Stock</v>
      </c>
      <c r="P188" t="str">
        <f>TEXT(Inventory_Data[[#This Row],[Date]],"MMM")</f>
        <v>Feb</v>
      </c>
      <c r="Q188" t="str">
        <f>TEXT(Inventory_Data[[#This Row],[Date]],"YYYY")</f>
        <v>2025</v>
      </c>
    </row>
    <row r="189" spans="1:17" x14ac:dyDescent="0.3">
      <c r="A189" s="1">
        <v>45700</v>
      </c>
      <c r="B189" t="s">
        <v>41</v>
      </c>
      <c r="C189" t="s">
        <v>22</v>
      </c>
      <c r="D189" t="s">
        <v>26</v>
      </c>
      <c r="E189" t="s">
        <v>34</v>
      </c>
      <c r="F189">
        <v>123</v>
      </c>
      <c r="G189">
        <v>271</v>
      </c>
      <c r="H189">
        <v>139</v>
      </c>
      <c r="I189">
        <v>255</v>
      </c>
      <c r="J189">
        <v>115</v>
      </c>
      <c r="K189">
        <v>369</v>
      </c>
      <c r="L189">
        <v>94095</v>
      </c>
      <c r="M189">
        <f>Inventory_Data[[#This Row],[Opening Stock]]+Inventory_Data[[#This Row],[Purchase Qty]]-Inventory_Data[[#This Row],[Sales Qty]]-Inventory_Data[[#This Row],[Closing Stock]]</f>
        <v>0</v>
      </c>
      <c r="N189">
        <f>Inventory_Data[[#This Row],[Purchase Qty]]*Inventory_Data[[#This Row],[Unit Cost]]</f>
        <v>99999</v>
      </c>
      <c r="O189" t="str">
        <f>IF(Inventory_Data[[#This Row],[Closing Stock]]&lt;=Inventory_Data[[#This Row],[Reorder Level]],"Low Stock","In Stock")</f>
        <v>In Stock</v>
      </c>
      <c r="P189" t="str">
        <f>TEXT(Inventory_Data[[#This Row],[Date]],"MMM")</f>
        <v>Feb</v>
      </c>
      <c r="Q189" t="str">
        <f>TEXT(Inventory_Data[[#This Row],[Date]],"YYYY")</f>
        <v>2025</v>
      </c>
    </row>
    <row r="190" spans="1:17" x14ac:dyDescent="0.3">
      <c r="A190" s="1">
        <v>45700</v>
      </c>
      <c r="B190" t="s">
        <v>45</v>
      </c>
      <c r="C190" t="s">
        <v>13</v>
      </c>
      <c r="D190" t="s">
        <v>26</v>
      </c>
      <c r="E190" t="s">
        <v>18</v>
      </c>
      <c r="F190">
        <v>56</v>
      </c>
      <c r="G190">
        <v>54</v>
      </c>
      <c r="H190">
        <v>64</v>
      </c>
      <c r="I190">
        <v>46</v>
      </c>
      <c r="J190">
        <v>33</v>
      </c>
      <c r="K190">
        <v>9276</v>
      </c>
      <c r="L190">
        <v>426696</v>
      </c>
      <c r="M190">
        <f>Inventory_Data[[#This Row],[Opening Stock]]+Inventory_Data[[#This Row],[Purchase Qty]]-Inventory_Data[[#This Row],[Sales Qty]]-Inventory_Data[[#This Row],[Closing Stock]]</f>
        <v>0</v>
      </c>
      <c r="N190">
        <f>Inventory_Data[[#This Row],[Purchase Qty]]*Inventory_Data[[#This Row],[Unit Cost]]</f>
        <v>500904</v>
      </c>
      <c r="O190" t="str">
        <f>IF(Inventory_Data[[#This Row],[Closing Stock]]&lt;=Inventory_Data[[#This Row],[Reorder Level]],"Low Stock","In Stock")</f>
        <v>In Stock</v>
      </c>
      <c r="P190" t="str">
        <f>TEXT(Inventory_Data[[#This Row],[Date]],"MMM")</f>
        <v>Feb</v>
      </c>
      <c r="Q190" t="str">
        <f>TEXT(Inventory_Data[[#This Row],[Date]],"YYYY")</f>
        <v>2025</v>
      </c>
    </row>
    <row r="191" spans="1:17" x14ac:dyDescent="0.3">
      <c r="A191" s="1">
        <v>45700</v>
      </c>
      <c r="B191" t="s">
        <v>42</v>
      </c>
      <c r="C191" t="s">
        <v>17</v>
      </c>
      <c r="D191" t="s">
        <v>26</v>
      </c>
      <c r="E191" t="s">
        <v>20</v>
      </c>
      <c r="F191">
        <v>98</v>
      </c>
      <c r="G191">
        <v>14</v>
      </c>
      <c r="H191">
        <v>30</v>
      </c>
      <c r="I191">
        <v>82</v>
      </c>
      <c r="J191">
        <v>15</v>
      </c>
      <c r="K191">
        <v>19173</v>
      </c>
      <c r="L191">
        <v>1572186</v>
      </c>
      <c r="M191">
        <f>Inventory_Data[[#This Row],[Opening Stock]]+Inventory_Data[[#This Row],[Purchase Qty]]-Inventory_Data[[#This Row],[Sales Qty]]-Inventory_Data[[#This Row],[Closing Stock]]</f>
        <v>0</v>
      </c>
      <c r="N191">
        <f>Inventory_Data[[#This Row],[Purchase Qty]]*Inventory_Data[[#This Row],[Unit Cost]]</f>
        <v>268422</v>
      </c>
      <c r="O191" t="str">
        <f>IF(Inventory_Data[[#This Row],[Closing Stock]]&lt;=Inventory_Data[[#This Row],[Reorder Level]],"Low Stock","In Stock")</f>
        <v>In Stock</v>
      </c>
      <c r="P191" t="str">
        <f>TEXT(Inventory_Data[[#This Row],[Date]],"MMM")</f>
        <v>Feb</v>
      </c>
      <c r="Q191" t="str">
        <f>TEXT(Inventory_Data[[#This Row],[Date]],"YYYY")</f>
        <v>2025</v>
      </c>
    </row>
    <row r="192" spans="1:17" x14ac:dyDescent="0.3">
      <c r="A192" s="1">
        <v>45700</v>
      </c>
      <c r="B192" t="s">
        <v>19</v>
      </c>
      <c r="C192" t="s">
        <v>13</v>
      </c>
      <c r="D192" t="s">
        <v>37</v>
      </c>
      <c r="E192" t="s">
        <v>20</v>
      </c>
      <c r="F192">
        <v>97</v>
      </c>
      <c r="G192">
        <v>76</v>
      </c>
      <c r="H192">
        <v>54</v>
      </c>
      <c r="I192">
        <v>119</v>
      </c>
      <c r="J192">
        <v>24</v>
      </c>
      <c r="K192">
        <v>12163</v>
      </c>
      <c r="L192">
        <v>1447397</v>
      </c>
      <c r="M192">
        <f>Inventory_Data[[#This Row],[Opening Stock]]+Inventory_Data[[#This Row],[Purchase Qty]]-Inventory_Data[[#This Row],[Sales Qty]]-Inventory_Data[[#This Row],[Closing Stock]]</f>
        <v>0</v>
      </c>
      <c r="N192">
        <f>Inventory_Data[[#This Row],[Purchase Qty]]*Inventory_Data[[#This Row],[Unit Cost]]</f>
        <v>924388</v>
      </c>
      <c r="O192" t="str">
        <f>IF(Inventory_Data[[#This Row],[Closing Stock]]&lt;=Inventory_Data[[#This Row],[Reorder Level]],"Low Stock","In Stock")</f>
        <v>In Stock</v>
      </c>
      <c r="P192" t="str">
        <f>TEXT(Inventory_Data[[#This Row],[Date]],"MMM")</f>
        <v>Feb</v>
      </c>
      <c r="Q192" t="str">
        <f>TEXT(Inventory_Data[[#This Row],[Date]],"YYYY")</f>
        <v>2025</v>
      </c>
    </row>
    <row r="193" spans="1:17" x14ac:dyDescent="0.3">
      <c r="A193" s="1">
        <v>45700</v>
      </c>
      <c r="B193" t="s">
        <v>45</v>
      </c>
      <c r="C193" t="s">
        <v>13</v>
      </c>
      <c r="D193" t="s">
        <v>23</v>
      </c>
      <c r="E193" t="s">
        <v>15</v>
      </c>
      <c r="F193">
        <v>55</v>
      </c>
      <c r="G193">
        <v>46</v>
      </c>
      <c r="H193">
        <v>52</v>
      </c>
      <c r="I193">
        <v>49</v>
      </c>
      <c r="J193">
        <v>27</v>
      </c>
      <c r="K193">
        <v>11151</v>
      </c>
      <c r="L193">
        <v>546399</v>
      </c>
      <c r="M193">
        <f>Inventory_Data[[#This Row],[Opening Stock]]+Inventory_Data[[#This Row],[Purchase Qty]]-Inventory_Data[[#This Row],[Sales Qty]]-Inventory_Data[[#This Row],[Closing Stock]]</f>
        <v>0</v>
      </c>
      <c r="N193">
        <f>Inventory_Data[[#This Row],[Purchase Qty]]*Inventory_Data[[#This Row],[Unit Cost]]</f>
        <v>512946</v>
      </c>
      <c r="O193" t="str">
        <f>IF(Inventory_Data[[#This Row],[Closing Stock]]&lt;=Inventory_Data[[#This Row],[Reorder Level]],"Low Stock","In Stock")</f>
        <v>In Stock</v>
      </c>
      <c r="P193" t="str">
        <f>TEXT(Inventory_Data[[#This Row],[Date]],"MMM")</f>
        <v>Feb</v>
      </c>
      <c r="Q193" t="str">
        <f>TEXT(Inventory_Data[[#This Row],[Date]],"YYYY")</f>
        <v>2025</v>
      </c>
    </row>
    <row r="194" spans="1:17" x14ac:dyDescent="0.3">
      <c r="A194" s="1">
        <v>45700</v>
      </c>
      <c r="B194" t="s">
        <v>33</v>
      </c>
      <c r="C194" t="s">
        <v>13</v>
      </c>
      <c r="D194" t="s">
        <v>14</v>
      </c>
      <c r="E194" t="s">
        <v>24</v>
      </c>
      <c r="F194">
        <v>49</v>
      </c>
      <c r="G194">
        <v>62</v>
      </c>
      <c r="H194">
        <v>35</v>
      </c>
      <c r="I194">
        <v>76</v>
      </c>
      <c r="J194">
        <v>37</v>
      </c>
      <c r="K194">
        <v>5469</v>
      </c>
      <c r="L194">
        <v>415644</v>
      </c>
      <c r="M194">
        <f>Inventory_Data[[#This Row],[Opening Stock]]+Inventory_Data[[#This Row],[Purchase Qty]]-Inventory_Data[[#This Row],[Sales Qty]]-Inventory_Data[[#This Row],[Closing Stock]]</f>
        <v>0</v>
      </c>
      <c r="N194">
        <f>Inventory_Data[[#This Row],[Purchase Qty]]*Inventory_Data[[#This Row],[Unit Cost]]</f>
        <v>339078</v>
      </c>
      <c r="O194" t="str">
        <f>IF(Inventory_Data[[#This Row],[Closing Stock]]&lt;=Inventory_Data[[#This Row],[Reorder Level]],"Low Stock","In Stock")</f>
        <v>In Stock</v>
      </c>
      <c r="P194" t="str">
        <f>TEXT(Inventory_Data[[#This Row],[Date]],"MMM")</f>
        <v>Feb</v>
      </c>
      <c r="Q194" t="str">
        <f>TEXT(Inventory_Data[[#This Row],[Date]],"YYYY")</f>
        <v>2025</v>
      </c>
    </row>
    <row r="195" spans="1:17" x14ac:dyDescent="0.3">
      <c r="A195" s="1">
        <v>45700</v>
      </c>
      <c r="B195" t="s">
        <v>21</v>
      </c>
      <c r="C195" t="s">
        <v>22</v>
      </c>
      <c r="D195" t="s">
        <v>37</v>
      </c>
      <c r="E195" t="s">
        <v>29</v>
      </c>
      <c r="F195">
        <v>483</v>
      </c>
      <c r="G195">
        <v>143</v>
      </c>
      <c r="H195">
        <v>90</v>
      </c>
      <c r="I195">
        <v>536</v>
      </c>
      <c r="J195">
        <v>62</v>
      </c>
      <c r="K195">
        <v>369</v>
      </c>
      <c r="L195">
        <v>197784</v>
      </c>
      <c r="M195">
        <f>Inventory_Data[[#This Row],[Opening Stock]]+Inventory_Data[[#This Row],[Purchase Qty]]-Inventory_Data[[#This Row],[Sales Qty]]-Inventory_Data[[#This Row],[Closing Stock]]</f>
        <v>0</v>
      </c>
      <c r="N195">
        <f>Inventory_Data[[#This Row],[Purchase Qty]]*Inventory_Data[[#This Row],[Unit Cost]]</f>
        <v>52767</v>
      </c>
      <c r="O195" t="str">
        <f>IF(Inventory_Data[[#This Row],[Closing Stock]]&lt;=Inventory_Data[[#This Row],[Reorder Level]],"Low Stock","In Stock")</f>
        <v>In Stock</v>
      </c>
      <c r="P195" t="str">
        <f>TEXT(Inventory_Data[[#This Row],[Date]],"MMM")</f>
        <v>Feb</v>
      </c>
      <c r="Q195" t="str">
        <f>TEXT(Inventory_Data[[#This Row],[Date]],"YYYY")</f>
        <v>2025</v>
      </c>
    </row>
    <row r="196" spans="1:17" x14ac:dyDescent="0.3">
      <c r="A196" s="1">
        <v>45701</v>
      </c>
      <c r="B196" t="s">
        <v>41</v>
      </c>
      <c r="C196" t="s">
        <v>22</v>
      </c>
      <c r="D196" t="s">
        <v>37</v>
      </c>
      <c r="E196" t="s">
        <v>20</v>
      </c>
      <c r="F196">
        <v>464</v>
      </c>
      <c r="G196">
        <v>215</v>
      </c>
      <c r="H196">
        <v>255</v>
      </c>
      <c r="I196">
        <v>424</v>
      </c>
      <c r="J196">
        <v>128</v>
      </c>
      <c r="K196">
        <v>1127</v>
      </c>
      <c r="L196">
        <v>477848</v>
      </c>
      <c r="M196">
        <f>Inventory_Data[[#This Row],[Opening Stock]]+Inventory_Data[[#This Row],[Purchase Qty]]-Inventory_Data[[#This Row],[Sales Qty]]-Inventory_Data[[#This Row],[Closing Stock]]</f>
        <v>0</v>
      </c>
      <c r="N196">
        <f>Inventory_Data[[#This Row],[Purchase Qty]]*Inventory_Data[[#This Row],[Unit Cost]]</f>
        <v>242305</v>
      </c>
      <c r="O196" t="str">
        <f>IF(Inventory_Data[[#This Row],[Closing Stock]]&lt;=Inventory_Data[[#This Row],[Reorder Level]],"Low Stock","In Stock")</f>
        <v>In Stock</v>
      </c>
      <c r="P196" t="str">
        <f>TEXT(Inventory_Data[[#This Row],[Date]],"MMM")</f>
        <v>Feb</v>
      </c>
      <c r="Q196" t="str">
        <f>TEXT(Inventory_Data[[#This Row],[Date]],"YYYY")</f>
        <v>2025</v>
      </c>
    </row>
    <row r="197" spans="1:17" x14ac:dyDescent="0.3">
      <c r="A197" s="1">
        <v>45701</v>
      </c>
      <c r="B197" t="s">
        <v>32</v>
      </c>
      <c r="C197" t="s">
        <v>28</v>
      </c>
      <c r="D197" t="s">
        <v>23</v>
      </c>
      <c r="E197" t="s">
        <v>24</v>
      </c>
      <c r="F197">
        <v>162</v>
      </c>
      <c r="G197">
        <v>92</v>
      </c>
      <c r="H197">
        <v>98</v>
      </c>
      <c r="I197">
        <v>156</v>
      </c>
      <c r="J197">
        <v>51</v>
      </c>
      <c r="K197">
        <v>38661</v>
      </c>
      <c r="L197">
        <v>6031116</v>
      </c>
      <c r="M197">
        <f>Inventory_Data[[#This Row],[Opening Stock]]+Inventory_Data[[#This Row],[Purchase Qty]]-Inventory_Data[[#This Row],[Sales Qty]]-Inventory_Data[[#This Row],[Closing Stock]]</f>
        <v>0</v>
      </c>
      <c r="N197">
        <f>Inventory_Data[[#This Row],[Purchase Qty]]*Inventory_Data[[#This Row],[Unit Cost]]</f>
        <v>3556812</v>
      </c>
      <c r="O197" t="str">
        <f>IF(Inventory_Data[[#This Row],[Closing Stock]]&lt;=Inventory_Data[[#This Row],[Reorder Level]],"Low Stock","In Stock")</f>
        <v>In Stock</v>
      </c>
      <c r="P197" t="str">
        <f>TEXT(Inventory_Data[[#This Row],[Date]],"MMM")</f>
        <v>Feb</v>
      </c>
      <c r="Q197" t="str">
        <f>TEXT(Inventory_Data[[#This Row],[Date]],"YYYY")</f>
        <v>2025</v>
      </c>
    </row>
    <row r="198" spans="1:17" x14ac:dyDescent="0.3">
      <c r="A198" s="1">
        <v>45701</v>
      </c>
      <c r="B198" t="s">
        <v>30</v>
      </c>
      <c r="C198" t="s">
        <v>28</v>
      </c>
      <c r="D198" t="s">
        <v>37</v>
      </c>
      <c r="E198" t="s">
        <v>20</v>
      </c>
      <c r="F198">
        <v>161</v>
      </c>
      <c r="G198">
        <v>13</v>
      </c>
      <c r="H198">
        <v>22</v>
      </c>
      <c r="I198">
        <v>152</v>
      </c>
      <c r="J198">
        <v>54</v>
      </c>
      <c r="K198">
        <v>62844</v>
      </c>
      <c r="L198">
        <v>9552288</v>
      </c>
      <c r="M198">
        <f>Inventory_Data[[#This Row],[Opening Stock]]+Inventory_Data[[#This Row],[Purchase Qty]]-Inventory_Data[[#This Row],[Sales Qty]]-Inventory_Data[[#This Row],[Closing Stock]]</f>
        <v>0</v>
      </c>
      <c r="N198">
        <f>Inventory_Data[[#This Row],[Purchase Qty]]*Inventory_Data[[#This Row],[Unit Cost]]</f>
        <v>816972</v>
      </c>
      <c r="O198" t="str">
        <f>IF(Inventory_Data[[#This Row],[Closing Stock]]&lt;=Inventory_Data[[#This Row],[Reorder Level]],"Low Stock","In Stock")</f>
        <v>In Stock</v>
      </c>
      <c r="P198" t="str">
        <f>TEXT(Inventory_Data[[#This Row],[Date]],"MMM")</f>
        <v>Feb</v>
      </c>
      <c r="Q198" t="str">
        <f>TEXT(Inventory_Data[[#This Row],[Date]],"YYYY")</f>
        <v>2025</v>
      </c>
    </row>
    <row r="199" spans="1:17" x14ac:dyDescent="0.3">
      <c r="A199" s="1">
        <v>45701</v>
      </c>
      <c r="B199" t="s">
        <v>21</v>
      </c>
      <c r="C199" t="s">
        <v>22</v>
      </c>
      <c r="D199" t="s">
        <v>26</v>
      </c>
      <c r="E199" t="s">
        <v>29</v>
      </c>
      <c r="F199">
        <v>249</v>
      </c>
      <c r="G199">
        <v>181</v>
      </c>
      <c r="H199">
        <v>95</v>
      </c>
      <c r="I199">
        <v>335</v>
      </c>
      <c r="J199">
        <v>67</v>
      </c>
      <c r="K199">
        <v>38</v>
      </c>
      <c r="L199">
        <v>12730</v>
      </c>
      <c r="M199">
        <f>Inventory_Data[[#This Row],[Opening Stock]]+Inventory_Data[[#This Row],[Purchase Qty]]-Inventory_Data[[#This Row],[Sales Qty]]-Inventory_Data[[#This Row],[Closing Stock]]</f>
        <v>0</v>
      </c>
      <c r="N199">
        <f>Inventory_Data[[#This Row],[Purchase Qty]]*Inventory_Data[[#This Row],[Unit Cost]]</f>
        <v>6878</v>
      </c>
      <c r="O199" t="str">
        <f>IF(Inventory_Data[[#This Row],[Closing Stock]]&lt;=Inventory_Data[[#This Row],[Reorder Level]],"Low Stock","In Stock")</f>
        <v>In Stock</v>
      </c>
      <c r="P199" t="str">
        <f>TEXT(Inventory_Data[[#This Row],[Date]],"MMM")</f>
        <v>Feb</v>
      </c>
      <c r="Q199" t="str">
        <f>TEXT(Inventory_Data[[#This Row],[Date]],"YYYY")</f>
        <v>2025</v>
      </c>
    </row>
    <row r="200" spans="1:17" x14ac:dyDescent="0.3">
      <c r="A200" s="1">
        <v>45701</v>
      </c>
      <c r="B200" t="s">
        <v>41</v>
      </c>
      <c r="C200" t="s">
        <v>22</v>
      </c>
      <c r="D200" t="s">
        <v>23</v>
      </c>
      <c r="E200" t="s">
        <v>34</v>
      </c>
      <c r="F200">
        <v>243</v>
      </c>
      <c r="G200">
        <v>287</v>
      </c>
      <c r="H200">
        <v>92</v>
      </c>
      <c r="I200">
        <v>438</v>
      </c>
      <c r="J200">
        <v>102</v>
      </c>
      <c r="K200">
        <v>77</v>
      </c>
      <c r="L200">
        <v>33726</v>
      </c>
      <c r="M200">
        <f>Inventory_Data[[#This Row],[Opening Stock]]+Inventory_Data[[#This Row],[Purchase Qty]]-Inventory_Data[[#This Row],[Sales Qty]]-Inventory_Data[[#This Row],[Closing Stock]]</f>
        <v>0</v>
      </c>
      <c r="N200">
        <f>Inventory_Data[[#This Row],[Purchase Qty]]*Inventory_Data[[#This Row],[Unit Cost]]</f>
        <v>22099</v>
      </c>
      <c r="O200" t="str">
        <f>IF(Inventory_Data[[#This Row],[Closing Stock]]&lt;=Inventory_Data[[#This Row],[Reorder Level]],"Low Stock","In Stock")</f>
        <v>In Stock</v>
      </c>
      <c r="P200" t="str">
        <f>TEXT(Inventory_Data[[#This Row],[Date]],"MMM")</f>
        <v>Feb</v>
      </c>
      <c r="Q200" t="str">
        <f>TEXT(Inventory_Data[[#This Row],[Date]],"YYYY")</f>
        <v>2025</v>
      </c>
    </row>
    <row r="201" spans="1:17" x14ac:dyDescent="0.3">
      <c r="A201" s="1">
        <v>45701</v>
      </c>
      <c r="B201" t="s">
        <v>42</v>
      </c>
      <c r="C201" t="s">
        <v>17</v>
      </c>
      <c r="D201" t="s">
        <v>14</v>
      </c>
      <c r="E201" t="s">
        <v>24</v>
      </c>
      <c r="F201">
        <v>29</v>
      </c>
      <c r="G201">
        <v>49</v>
      </c>
      <c r="H201">
        <v>7</v>
      </c>
      <c r="I201">
        <v>71</v>
      </c>
      <c r="J201">
        <v>19</v>
      </c>
      <c r="K201">
        <v>6341</v>
      </c>
      <c r="L201">
        <v>450211</v>
      </c>
      <c r="M201">
        <f>Inventory_Data[[#This Row],[Opening Stock]]+Inventory_Data[[#This Row],[Purchase Qty]]-Inventory_Data[[#This Row],[Sales Qty]]-Inventory_Data[[#This Row],[Closing Stock]]</f>
        <v>0</v>
      </c>
      <c r="N201">
        <f>Inventory_Data[[#This Row],[Purchase Qty]]*Inventory_Data[[#This Row],[Unit Cost]]</f>
        <v>310709</v>
      </c>
      <c r="O201" t="str">
        <f>IF(Inventory_Data[[#This Row],[Closing Stock]]&lt;=Inventory_Data[[#This Row],[Reorder Level]],"Low Stock","In Stock")</f>
        <v>In Stock</v>
      </c>
      <c r="P201" t="str">
        <f>TEXT(Inventory_Data[[#This Row],[Date]],"MMM")</f>
        <v>Feb</v>
      </c>
      <c r="Q201" t="str">
        <f>TEXT(Inventory_Data[[#This Row],[Date]],"YYYY")</f>
        <v>2025</v>
      </c>
    </row>
    <row r="202" spans="1:17" x14ac:dyDescent="0.3">
      <c r="A202" s="1">
        <v>45701</v>
      </c>
      <c r="B202" t="s">
        <v>43</v>
      </c>
      <c r="C202" t="s">
        <v>22</v>
      </c>
      <c r="D202" t="s">
        <v>14</v>
      </c>
      <c r="E202" t="s">
        <v>18</v>
      </c>
      <c r="F202">
        <v>446</v>
      </c>
      <c r="G202">
        <v>102</v>
      </c>
      <c r="H202">
        <v>270</v>
      </c>
      <c r="I202">
        <v>278</v>
      </c>
      <c r="J202">
        <v>82</v>
      </c>
      <c r="K202">
        <v>762</v>
      </c>
      <c r="L202">
        <v>211836</v>
      </c>
      <c r="M202">
        <f>Inventory_Data[[#This Row],[Opening Stock]]+Inventory_Data[[#This Row],[Purchase Qty]]-Inventory_Data[[#This Row],[Sales Qty]]-Inventory_Data[[#This Row],[Closing Stock]]</f>
        <v>0</v>
      </c>
      <c r="N202">
        <f>Inventory_Data[[#This Row],[Purchase Qty]]*Inventory_Data[[#This Row],[Unit Cost]]</f>
        <v>77724</v>
      </c>
      <c r="O202" t="str">
        <f>IF(Inventory_Data[[#This Row],[Closing Stock]]&lt;=Inventory_Data[[#This Row],[Reorder Level]],"Low Stock","In Stock")</f>
        <v>In Stock</v>
      </c>
      <c r="P202" t="str">
        <f>TEXT(Inventory_Data[[#This Row],[Date]],"MMM")</f>
        <v>Feb</v>
      </c>
      <c r="Q202" t="str">
        <f>TEXT(Inventory_Data[[#This Row],[Date]],"YYYY")</f>
        <v>2025</v>
      </c>
    </row>
    <row r="203" spans="1:17" x14ac:dyDescent="0.3">
      <c r="A203" s="1">
        <v>45702</v>
      </c>
      <c r="B203" t="s">
        <v>38</v>
      </c>
      <c r="C203" t="s">
        <v>17</v>
      </c>
      <c r="D203" t="s">
        <v>26</v>
      </c>
      <c r="E203" t="s">
        <v>18</v>
      </c>
      <c r="F203">
        <v>97</v>
      </c>
      <c r="G203">
        <v>57</v>
      </c>
      <c r="H203">
        <v>29</v>
      </c>
      <c r="I203">
        <v>125</v>
      </c>
      <c r="J203">
        <v>20</v>
      </c>
      <c r="K203">
        <v>21330</v>
      </c>
      <c r="L203">
        <v>2666250</v>
      </c>
      <c r="M203">
        <f>Inventory_Data[[#This Row],[Opening Stock]]+Inventory_Data[[#This Row],[Purchase Qty]]-Inventory_Data[[#This Row],[Sales Qty]]-Inventory_Data[[#This Row],[Closing Stock]]</f>
        <v>0</v>
      </c>
      <c r="N203">
        <f>Inventory_Data[[#This Row],[Purchase Qty]]*Inventory_Data[[#This Row],[Unit Cost]]</f>
        <v>1215810</v>
      </c>
      <c r="O203" t="str">
        <f>IF(Inventory_Data[[#This Row],[Closing Stock]]&lt;=Inventory_Data[[#This Row],[Reorder Level]],"Low Stock","In Stock")</f>
        <v>In Stock</v>
      </c>
      <c r="P203" t="str">
        <f>TEXT(Inventory_Data[[#This Row],[Date]],"MMM")</f>
        <v>Feb</v>
      </c>
      <c r="Q203" t="str">
        <f>TEXT(Inventory_Data[[#This Row],[Date]],"YYYY")</f>
        <v>2025</v>
      </c>
    </row>
    <row r="204" spans="1:17" x14ac:dyDescent="0.3">
      <c r="A204" s="1">
        <v>45702</v>
      </c>
      <c r="B204" t="s">
        <v>45</v>
      </c>
      <c r="C204" t="s">
        <v>13</v>
      </c>
      <c r="D204" t="s">
        <v>26</v>
      </c>
      <c r="E204" t="s">
        <v>29</v>
      </c>
      <c r="F204">
        <v>102</v>
      </c>
      <c r="G204">
        <v>35</v>
      </c>
      <c r="H204">
        <v>51</v>
      </c>
      <c r="I204">
        <v>86</v>
      </c>
      <c r="J204">
        <v>38</v>
      </c>
      <c r="K204">
        <v>2646</v>
      </c>
      <c r="L204">
        <v>227556</v>
      </c>
      <c r="M204">
        <f>Inventory_Data[[#This Row],[Opening Stock]]+Inventory_Data[[#This Row],[Purchase Qty]]-Inventory_Data[[#This Row],[Sales Qty]]-Inventory_Data[[#This Row],[Closing Stock]]</f>
        <v>0</v>
      </c>
      <c r="N204">
        <f>Inventory_Data[[#This Row],[Purchase Qty]]*Inventory_Data[[#This Row],[Unit Cost]]</f>
        <v>92610</v>
      </c>
      <c r="O204" t="str">
        <f>IF(Inventory_Data[[#This Row],[Closing Stock]]&lt;=Inventory_Data[[#This Row],[Reorder Level]],"Low Stock","In Stock")</f>
        <v>In Stock</v>
      </c>
      <c r="P204" t="str">
        <f>TEXT(Inventory_Data[[#This Row],[Date]],"MMM")</f>
        <v>Feb</v>
      </c>
      <c r="Q204" t="str">
        <f>TEXT(Inventory_Data[[#This Row],[Date]],"YYYY")</f>
        <v>2025</v>
      </c>
    </row>
    <row r="205" spans="1:17" x14ac:dyDescent="0.3">
      <c r="A205" s="1">
        <v>45702</v>
      </c>
      <c r="B205" t="s">
        <v>27</v>
      </c>
      <c r="C205" t="s">
        <v>28</v>
      </c>
      <c r="D205" t="s">
        <v>14</v>
      </c>
      <c r="E205" t="s">
        <v>18</v>
      </c>
      <c r="F205">
        <v>84</v>
      </c>
      <c r="G205">
        <v>20</v>
      </c>
      <c r="H205">
        <v>74</v>
      </c>
      <c r="I205">
        <v>30</v>
      </c>
      <c r="J205">
        <v>54</v>
      </c>
      <c r="K205">
        <v>56243</v>
      </c>
      <c r="L205">
        <v>1687290</v>
      </c>
      <c r="M205">
        <f>Inventory_Data[[#This Row],[Opening Stock]]+Inventory_Data[[#This Row],[Purchase Qty]]-Inventory_Data[[#This Row],[Sales Qty]]-Inventory_Data[[#This Row],[Closing Stock]]</f>
        <v>0</v>
      </c>
      <c r="N205">
        <f>Inventory_Data[[#This Row],[Purchase Qty]]*Inventory_Data[[#This Row],[Unit Cost]]</f>
        <v>1124860</v>
      </c>
      <c r="O205" t="str">
        <f>IF(Inventory_Data[[#This Row],[Closing Stock]]&lt;=Inventory_Data[[#This Row],[Reorder Level]],"Low Stock","In Stock")</f>
        <v>Low Stock</v>
      </c>
      <c r="P205" t="str">
        <f>TEXT(Inventory_Data[[#This Row],[Date]],"MMM")</f>
        <v>Feb</v>
      </c>
      <c r="Q205" t="str">
        <f>TEXT(Inventory_Data[[#This Row],[Date]],"YYYY")</f>
        <v>2025</v>
      </c>
    </row>
    <row r="206" spans="1:17" x14ac:dyDescent="0.3">
      <c r="A206" s="1">
        <v>45703</v>
      </c>
      <c r="B206" t="s">
        <v>38</v>
      </c>
      <c r="C206" t="s">
        <v>17</v>
      </c>
      <c r="D206" t="s">
        <v>37</v>
      </c>
      <c r="E206" t="s">
        <v>20</v>
      </c>
      <c r="F206">
        <v>27</v>
      </c>
      <c r="G206">
        <v>17</v>
      </c>
      <c r="H206">
        <v>26</v>
      </c>
      <c r="I206">
        <v>18</v>
      </c>
      <c r="J206">
        <v>17</v>
      </c>
      <c r="K206">
        <v>6595</v>
      </c>
      <c r="L206">
        <v>118710</v>
      </c>
      <c r="M206">
        <f>Inventory_Data[[#This Row],[Opening Stock]]+Inventory_Data[[#This Row],[Purchase Qty]]-Inventory_Data[[#This Row],[Sales Qty]]-Inventory_Data[[#This Row],[Closing Stock]]</f>
        <v>0</v>
      </c>
      <c r="N206">
        <f>Inventory_Data[[#This Row],[Purchase Qty]]*Inventory_Data[[#This Row],[Unit Cost]]</f>
        <v>112115</v>
      </c>
      <c r="O206" t="str">
        <f>IF(Inventory_Data[[#This Row],[Closing Stock]]&lt;=Inventory_Data[[#This Row],[Reorder Level]],"Low Stock","In Stock")</f>
        <v>In Stock</v>
      </c>
      <c r="P206" t="str">
        <f>TEXT(Inventory_Data[[#This Row],[Date]],"MMM")</f>
        <v>Feb</v>
      </c>
      <c r="Q206" t="str">
        <f>TEXT(Inventory_Data[[#This Row],[Date]],"YYYY")</f>
        <v>2025</v>
      </c>
    </row>
    <row r="207" spans="1:17" x14ac:dyDescent="0.3">
      <c r="A207" s="1">
        <v>45703</v>
      </c>
      <c r="B207" t="s">
        <v>31</v>
      </c>
      <c r="C207" t="s">
        <v>22</v>
      </c>
      <c r="D207" t="s">
        <v>37</v>
      </c>
      <c r="E207" t="s">
        <v>15</v>
      </c>
      <c r="F207">
        <v>285</v>
      </c>
      <c r="G207">
        <v>77</v>
      </c>
      <c r="H207">
        <v>207</v>
      </c>
      <c r="I207">
        <v>155</v>
      </c>
      <c r="J207">
        <v>80</v>
      </c>
      <c r="K207">
        <v>103</v>
      </c>
      <c r="L207">
        <v>15965</v>
      </c>
      <c r="M207">
        <f>Inventory_Data[[#This Row],[Opening Stock]]+Inventory_Data[[#This Row],[Purchase Qty]]-Inventory_Data[[#This Row],[Sales Qty]]-Inventory_Data[[#This Row],[Closing Stock]]</f>
        <v>0</v>
      </c>
      <c r="N207">
        <f>Inventory_Data[[#This Row],[Purchase Qty]]*Inventory_Data[[#This Row],[Unit Cost]]</f>
        <v>7931</v>
      </c>
      <c r="O207" t="str">
        <f>IF(Inventory_Data[[#This Row],[Closing Stock]]&lt;=Inventory_Data[[#This Row],[Reorder Level]],"Low Stock","In Stock")</f>
        <v>In Stock</v>
      </c>
      <c r="P207" t="str">
        <f>TEXT(Inventory_Data[[#This Row],[Date]],"MMM")</f>
        <v>Feb</v>
      </c>
      <c r="Q207" t="str">
        <f>TEXT(Inventory_Data[[#This Row],[Date]],"YYYY")</f>
        <v>2025</v>
      </c>
    </row>
    <row r="208" spans="1:17" x14ac:dyDescent="0.3">
      <c r="A208" s="1">
        <v>45704</v>
      </c>
      <c r="B208" t="s">
        <v>19</v>
      </c>
      <c r="C208" t="s">
        <v>13</v>
      </c>
      <c r="D208" t="s">
        <v>23</v>
      </c>
      <c r="E208" t="s">
        <v>15</v>
      </c>
      <c r="F208">
        <v>108</v>
      </c>
      <c r="G208">
        <v>48</v>
      </c>
      <c r="H208">
        <v>50</v>
      </c>
      <c r="I208">
        <v>106</v>
      </c>
      <c r="J208">
        <v>35</v>
      </c>
      <c r="K208">
        <v>10667</v>
      </c>
      <c r="L208">
        <v>1130702</v>
      </c>
      <c r="M208">
        <f>Inventory_Data[[#This Row],[Opening Stock]]+Inventory_Data[[#This Row],[Purchase Qty]]-Inventory_Data[[#This Row],[Sales Qty]]-Inventory_Data[[#This Row],[Closing Stock]]</f>
        <v>0</v>
      </c>
      <c r="N208">
        <f>Inventory_Data[[#This Row],[Purchase Qty]]*Inventory_Data[[#This Row],[Unit Cost]]</f>
        <v>512016</v>
      </c>
      <c r="O208" t="str">
        <f>IF(Inventory_Data[[#This Row],[Closing Stock]]&lt;=Inventory_Data[[#This Row],[Reorder Level]],"Low Stock","In Stock")</f>
        <v>In Stock</v>
      </c>
      <c r="P208" t="str">
        <f>TEXT(Inventory_Data[[#This Row],[Date]],"MMM")</f>
        <v>Feb</v>
      </c>
      <c r="Q208" t="str">
        <f>TEXT(Inventory_Data[[#This Row],[Date]],"YYYY")</f>
        <v>2025</v>
      </c>
    </row>
    <row r="209" spans="1:17" x14ac:dyDescent="0.3">
      <c r="A209" s="1">
        <v>45704</v>
      </c>
      <c r="B209" t="s">
        <v>41</v>
      </c>
      <c r="C209" t="s">
        <v>22</v>
      </c>
      <c r="D209" t="s">
        <v>23</v>
      </c>
      <c r="E209" t="s">
        <v>29</v>
      </c>
      <c r="F209">
        <v>396</v>
      </c>
      <c r="G209">
        <v>53</v>
      </c>
      <c r="H209">
        <v>154</v>
      </c>
      <c r="I209">
        <v>295</v>
      </c>
      <c r="J209">
        <v>95</v>
      </c>
      <c r="K209">
        <v>108</v>
      </c>
      <c r="L209">
        <v>31860</v>
      </c>
      <c r="M209">
        <f>Inventory_Data[[#This Row],[Opening Stock]]+Inventory_Data[[#This Row],[Purchase Qty]]-Inventory_Data[[#This Row],[Sales Qty]]-Inventory_Data[[#This Row],[Closing Stock]]</f>
        <v>0</v>
      </c>
      <c r="N209">
        <f>Inventory_Data[[#This Row],[Purchase Qty]]*Inventory_Data[[#This Row],[Unit Cost]]</f>
        <v>5724</v>
      </c>
      <c r="O209" t="str">
        <f>IF(Inventory_Data[[#This Row],[Closing Stock]]&lt;=Inventory_Data[[#This Row],[Reorder Level]],"Low Stock","In Stock")</f>
        <v>In Stock</v>
      </c>
      <c r="P209" t="str">
        <f>TEXT(Inventory_Data[[#This Row],[Date]],"MMM")</f>
        <v>Feb</v>
      </c>
      <c r="Q209" t="str">
        <f>TEXT(Inventory_Data[[#This Row],[Date]],"YYYY")</f>
        <v>2025</v>
      </c>
    </row>
    <row r="210" spans="1:17" x14ac:dyDescent="0.3">
      <c r="A210" s="1">
        <v>45704</v>
      </c>
      <c r="B210" t="s">
        <v>27</v>
      </c>
      <c r="C210" t="s">
        <v>28</v>
      </c>
      <c r="D210" t="s">
        <v>14</v>
      </c>
      <c r="E210" t="s">
        <v>20</v>
      </c>
      <c r="F210">
        <v>59</v>
      </c>
      <c r="G210">
        <v>16</v>
      </c>
      <c r="H210">
        <v>16</v>
      </c>
      <c r="I210">
        <v>59</v>
      </c>
      <c r="J210">
        <v>44</v>
      </c>
      <c r="K210">
        <v>25213</v>
      </c>
      <c r="L210">
        <v>1487567</v>
      </c>
      <c r="M210">
        <f>Inventory_Data[[#This Row],[Opening Stock]]+Inventory_Data[[#This Row],[Purchase Qty]]-Inventory_Data[[#This Row],[Sales Qty]]-Inventory_Data[[#This Row],[Closing Stock]]</f>
        <v>0</v>
      </c>
      <c r="N210">
        <f>Inventory_Data[[#This Row],[Purchase Qty]]*Inventory_Data[[#This Row],[Unit Cost]]</f>
        <v>403408</v>
      </c>
      <c r="O210" t="str">
        <f>IF(Inventory_Data[[#This Row],[Closing Stock]]&lt;=Inventory_Data[[#This Row],[Reorder Level]],"Low Stock","In Stock")</f>
        <v>In Stock</v>
      </c>
      <c r="P210" t="str">
        <f>TEXT(Inventory_Data[[#This Row],[Date]],"MMM")</f>
        <v>Feb</v>
      </c>
      <c r="Q210" t="str">
        <f>TEXT(Inventory_Data[[#This Row],[Date]],"YYYY")</f>
        <v>2025</v>
      </c>
    </row>
    <row r="211" spans="1:17" x14ac:dyDescent="0.3">
      <c r="A211" s="1">
        <v>45704</v>
      </c>
      <c r="B211" t="s">
        <v>43</v>
      </c>
      <c r="C211" t="s">
        <v>22</v>
      </c>
      <c r="D211" t="s">
        <v>26</v>
      </c>
      <c r="E211" t="s">
        <v>29</v>
      </c>
      <c r="F211">
        <v>255</v>
      </c>
      <c r="G211">
        <v>136</v>
      </c>
      <c r="H211">
        <v>132</v>
      </c>
      <c r="I211">
        <v>259</v>
      </c>
      <c r="J211">
        <v>98</v>
      </c>
      <c r="K211">
        <v>153</v>
      </c>
      <c r="L211">
        <v>39627</v>
      </c>
      <c r="M211">
        <f>Inventory_Data[[#This Row],[Opening Stock]]+Inventory_Data[[#This Row],[Purchase Qty]]-Inventory_Data[[#This Row],[Sales Qty]]-Inventory_Data[[#This Row],[Closing Stock]]</f>
        <v>0</v>
      </c>
      <c r="N211">
        <f>Inventory_Data[[#This Row],[Purchase Qty]]*Inventory_Data[[#This Row],[Unit Cost]]</f>
        <v>20808</v>
      </c>
      <c r="O211" t="str">
        <f>IF(Inventory_Data[[#This Row],[Closing Stock]]&lt;=Inventory_Data[[#This Row],[Reorder Level]],"Low Stock","In Stock")</f>
        <v>In Stock</v>
      </c>
      <c r="P211" t="str">
        <f>TEXT(Inventory_Data[[#This Row],[Date]],"MMM")</f>
        <v>Feb</v>
      </c>
      <c r="Q211" t="str">
        <f>TEXT(Inventory_Data[[#This Row],[Date]],"YYYY")</f>
        <v>2025</v>
      </c>
    </row>
    <row r="212" spans="1:17" x14ac:dyDescent="0.3">
      <c r="A212" s="1">
        <v>45705</v>
      </c>
      <c r="B212" t="s">
        <v>42</v>
      </c>
      <c r="C212" t="s">
        <v>17</v>
      </c>
      <c r="D212" t="s">
        <v>23</v>
      </c>
      <c r="E212" t="s">
        <v>24</v>
      </c>
      <c r="F212">
        <v>81</v>
      </c>
      <c r="G212">
        <v>53</v>
      </c>
      <c r="H212">
        <v>2</v>
      </c>
      <c r="I212">
        <v>132</v>
      </c>
      <c r="J212">
        <v>27</v>
      </c>
      <c r="K212">
        <v>15714</v>
      </c>
      <c r="L212">
        <v>2074248</v>
      </c>
      <c r="M212">
        <f>Inventory_Data[[#This Row],[Opening Stock]]+Inventory_Data[[#This Row],[Purchase Qty]]-Inventory_Data[[#This Row],[Sales Qty]]-Inventory_Data[[#This Row],[Closing Stock]]</f>
        <v>0</v>
      </c>
      <c r="N212">
        <f>Inventory_Data[[#This Row],[Purchase Qty]]*Inventory_Data[[#This Row],[Unit Cost]]</f>
        <v>832842</v>
      </c>
      <c r="O212" t="str">
        <f>IF(Inventory_Data[[#This Row],[Closing Stock]]&lt;=Inventory_Data[[#This Row],[Reorder Level]],"Low Stock","In Stock")</f>
        <v>In Stock</v>
      </c>
      <c r="P212" t="str">
        <f>TEXT(Inventory_Data[[#This Row],[Date]],"MMM")</f>
        <v>Feb</v>
      </c>
      <c r="Q212" t="str">
        <f>TEXT(Inventory_Data[[#This Row],[Date]],"YYYY")</f>
        <v>2025</v>
      </c>
    </row>
    <row r="213" spans="1:17" x14ac:dyDescent="0.3">
      <c r="A213" s="1">
        <v>45705</v>
      </c>
      <c r="B213" t="s">
        <v>32</v>
      </c>
      <c r="C213" t="s">
        <v>28</v>
      </c>
      <c r="D213" t="s">
        <v>37</v>
      </c>
      <c r="E213" t="s">
        <v>20</v>
      </c>
      <c r="F213">
        <v>35</v>
      </c>
      <c r="G213">
        <v>34</v>
      </c>
      <c r="H213">
        <v>69</v>
      </c>
      <c r="I213">
        <v>0</v>
      </c>
      <c r="J213">
        <v>44</v>
      </c>
      <c r="K213">
        <v>9788</v>
      </c>
      <c r="L213">
        <v>0</v>
      </c>
      <c r="M213">
        <f>Inventory_Data[[#This Row],[Opening Stock]]+Inventory_Data[[#This Row],[Purchase Qty]]-Inventory_Data[[#This Row],[Sales Qty]]-Inventory_Data[[#This Row],[Closing Stock]]</f>
        <v>0</v>
      </c>
      <c r="N213">
        <f>Inventory_Data[[#This Row],[Purchase Qty]]*Inventory_Data[[#This Row],[Unit Cost]]</f>
        <v>332792</v>
      </c>
      <c r="O213" t="str">
        <f>IF(Inventory_Data[[#This Row],[Closing Stock]]&lt;=Inventory_Data[[#This Row],[Reorder Level]],"Low Stock","In Stock")</f>
        <v>Low Stock</v>
      </c>
      <c r="P213" t="str">
        <f>TEXT(Inventory_Data[[#This Row],[Date]],"MMM")</f>
        <v>Feb</v>
      </c>
      <c r="Q213" t="str">
        <f>TEXT(Inventory_Data[[#This Row],[Date]],"YYYY")</f>
        <v>2025</v>
      </c>
    </row>
    <row r="214" spans="1:17" x14ac:dyDescent="0.3">
      <c r="A214" s="1">
        <v>45705</v>
      </c>
      <c r="B214" t="s">
        <v>36</v>
      </c>
      <c r="C214" t="s">
        <v>22</v>
      </c>
      <c r="D214" t="s">
        <v>23</v>
      </c>
      <c r="E214" t="s">
        <v>20</v>
      </c>
      <c r="F214">
        <v>136</v>
      </c>
      <c r="G214">
        <v>48</v>
      </c>
      <c r="H214">
        <v>55</v>
      </c>
      <c r="I214">
        <v>129</v>
      </c>
      <c r="J214">
        <v>51</v>
      </c>
      <c r="K214">
        <v>470</v>
      </c>
      <c r="L214">
        <v>60630</v>
      </c>
      <c r="M214">
        <f>Inventory_Data[[#This Row],[Opening Stock]]+Inventory_Data[[#This Row],[Purchase Qty]]-Inventory_Data[[#This Row],[Sales Qty]]-Inventory_Data[[#This Row],[Closing Stock]]</f>
        <v>0</v>
      </c>
      <c r="N214">
        <f>Inventory_Data[[#This Row],[Purchase Qty]]*Inventory_Data[[#This Row],[Unit Cost]]</f>
        <v>22560</v>
      </c>
      <c r="O214" t="str">
        <f>IF(Inventory_Data[[#This Row],[Closing Stock]]&lt;=Inventory_Data[[#This Row],[Reorder Level]],"Low Stock","In Stock")</f>
        <v>In Stock</v>
      </c>
      <c r="P214" t="str">
        <f>TEXT(Inventory_Data[[#This Row],[Date]],"MMM")</f>
        <v>Feb</v>
      </c>
      <c r="Q214" t="str">
        <f>TEXT(Inventory_Data[[#This Row],[Date]],"YYYY")</f>
        <v>2025</v>
      </c>
    </row>
    <row r="215" spans="1:17" x14ac:dyDescent="0.3">
      <c r="A215" s="1">
        <v>45706</v>
      </c>
      <c r="B215" t="s">
        <v>32</v>
      </c>
      <c r="C215" t="s">
        <v>28</v>
      </c>
      <c r="D215" t="s">
        <v>26</v>
      </c>
      <c r="E215" t="s">
        <v>15</v>
      </c>
      <c r="F215">
        <v>25</v>
      </c>
      <c r="G215">
        <v>19</v>
      </c>
      <c r="H215">
        <v>27</v>
      </c>
      <c r="I215">
        <v>17</v>
      </c>
      <c r="J215">
        <v>36</v>
      </c>
      <c r="K215">
        <v>50959</v>
      </c>
      <c r="L215">
        <v>866303</v>
      </c>
      <c r="M215">
        <f>Inventory_Data[[#This Row],[Opening Stock]]+Inventory_Data[[#This Row],[Purchase Qty]]-Inventory_Data[[#This Row],[Sales Qty]]-Inventory_Data[[#This Row],[Closing Stock]]</f>
        <v>0</v>
      </c>
      <c r="N215">
        <f>Inventory_Data[[#This Row],[Purchase Qty]]*Inventory_Data[[#This Row],[Unit Cost]]</f>
        <v>968221</v>
      </c>
      <c r="O215" t="str">
        <f>IF(Inventory_Data[[#This Row],[Closing Stock]]&lt;=Inventory_Data[[#This Row],[Reorder Level]],"Low Stock","In Stock")</f>
        <v>Low Stock</v>
      </c>
      <c r="P215" t="str">
        <f>TEXT(Inventory_Data[[#This Row],[Date]],"MMM")</f>
        <v>Feb</v>
      </c>
      <c r="Q215" t="str">
        <f>TEXT(Inventory_Data[[#This Row],[Date]],"YYYY")</f>
        <v>2025</v>
      </c>
    </row>
    <row r="216" spans="1:17" x14ac:dyDescent="0.3">
      <c r="A216" s="1">
        <v>45706</v>
      </c>
      <c r="B216" t="s">
        <v>19</v>
      </c>
      <c r="C216" t="s">
        <v>13</v>
      </c>
      <c r="D216" t="s">
        <v>14</v>
      </c>
      <c r="E216" t="s">
        <v>24</v>
      </c>
      <c r="F216">
        <v>17</v>
      </c>
      <c r="G216">
        <v>73</v>
      </c>
      <c r="H216">
        <v>62</v>
      </c>
      <c r="I216">
        <v>28</v>
      </c>
      <c r="J216">
        <v>37</v>
      </c>
      <c r="K216">
        <v>2045</v>
      </c>
      <c r="L216">
        <v>57260</v>
      </c>
      <c r="M216">
        <f>Inventory_Data[[#This Row],[Opening Stock]]+Inventory_Data[[#This Row],[Purchase Qty]]-Inventory_Data[[#This Row],[Sales Qty]]-Inventory_Data[[#This Row],[Closing Stock]]</f>
        <v>0</v>
      </c>
      <c r="N216">
        <f>Inventory_Data[[#This Row],[Purchase Qty]]*Inventory_Data[[#This Row],[Unit Cost]]</f>
        <v>149285</v>
      </c>
      <c r="O216" t="str">
        <f>IF(Inventory_Data[[#This Row],[Closing Stock]]&lt;=Inventory_Data[[#This Row],[Reorder Level]],"Low Stock","In Stock")</f>
        <v>Low Stock</v>
      </c>
      <c r="P216" t="str">
        <f>TEXT(Inventory_Data[[#This Row],[Date]],"MMM")</f>
        <v>Feb</v>
      </c>
      <c r="Q216" t="str">
        <f>TEXT(Inventory_Data[[#This Row],[Date]],"YYYY")</f>
        <v>2025</v>
      </c>
    </row>
    <row r="217" spans="1:17" x14ac:dyDescent="0.3">
      <c r="A217" s="1">
        <v>45706</v>
      </c>
      <c r="B217" t="s">
        <v>32</v>
      </c>
      <c r="C217" t="s">
        <v>28</v>
      </c>
      <c r="D217" t="s">
        <v>14</v>
      </c>
      <c r="E217" t="s">
        <v>29</v>
      </c>
      <c r="F217">
        <v>38</v>
      </c>
      <c r="G217">
        <v>64</v>
      </c>
      <c r="H217">
        <v>44</v>
      </c>
      <c r="I217">
        <v>58</v>
      </c>
      <c r="J217">
        <v>24</v>
      </c>
      <c r="K217">
        <v>7206</v>
      </c>
      <c r="L217">
        <v>417948</v>
      </c>
      <c r="M217">
        <f>Inventory_Data[[#This Row],[Opening Stock]]+Inventory_Data[[#This Row],[Purchase Qty]]-Inventory_Data[[#This Row],[Sales Qty]]-Inventory_Data[[#This Row],[Closing Stock]]</f>
        <v>0</v>
      </c>
      <c r="N217">
        <f>Inventory_Data[[#This Row],[Purchase Qty]]*Inventory_Data[[#This Row],[Unit Cost]]</f>
        <v>461184</v>
      </c>
      <c r="O217" t="str">
        <f>IF(Inventory_Data[[#This Row],[Closing Stock]]&lt;=Inventory_Data[[#This Row],[Reorder Level]],"Low Stock","In Stock")</f>
        <v>In Stock</v>
      </c>
      <c r="P217" t="str">
        <f>TEXT(Inventory_Data[[#This Row],[Date]],"MMM")</f>
        <v>Feb</v>
      </c>
      <c r="Q217" t="str">
        <f>TEXT(Inventory_Data[[#This Row],[Date]],"YYYY")</f>
        <v>2025</v>
      </c>
    </row>
    <row r="218" spans="1:17" x14ac:dyDescent="0.3">
      <c r="A218" s="1">
        <v>45707</v>
      </c>
      <c r="B218" t="s">
        <v>19</v>
      </c>
      <c r="C218" t="s">
        <v>13</v>
      </c>
      <c r="D218" t="s">
        <v>37</v>
      </c>
      <c r="E218" t="s">
        <v>34</v>
      </c>
      <c r="F218">
        <v>92</v>
      </c>
      <c r="G218">
        <v>74</v>
      </c>
      <c r="H218">
        <v>29</v>
      </c>
      <c r="I218">
        <v>137</v>
      </c>
      <c r="J218">
        <v>32</v>
      </c>
      <c r="K218">
        <v>7114</v>
      </c>
      <c r="L218">
        <v>974618</v>
      </c>
      <c r="M218">
        <f>Inventory_Data[[#This Row],[Opening Stock]]+Inventory_Data[[#This Row],[Purchase Qty]]-Inventory_Data[[#This Row],[Sales Qty]]-Inventory_Data[[#This Row],[Closing Stock]]</f>
        <v>0</v>
      </c>
      <c r="N218">
        <f>Inventory_Data[[#This Row],[Purchase Qty]]*Inventory_Data[[#This Row],[Unit Cost]]</f>
        <v>526436</v>
      </c>
      <c r="O218" t="str">
        <f>IF(Inventory_Data[[#This Row],[Closing Stock]]&lt;=Inventory_Data[[#This Row],[Reorder Level]],"Low Stock","In Stock")</f>
        <v>In Stock</v>
      </c>
      <c r="P218" t="str">
        <f>TEXT(Inventory_Data[[#This Row],[Date]],"MMM")</f>
        <v>Feb</v>
      </c>
      <c r="Q218" t="str">
        <f>TEXT(Inventory_Data[[#This Row],[Date]],"YYYY")</f>
        <v>2025</v>
      </c>
    </row>
    <row r="219" spans="1:17" x14ac:dyDescent="0.3">
      <c r="A219" s="1">
        <v>45707</v>
      </c>
      <c r="B219" t="s">
        <v>21</v>
      </c>
      <c r="C219" t="s">
        <v>22</v>
      </c>
      <c r="D219" t="s">
        <v>37</v>
      </c>
      <c r="E219" t="s">
        <v>18</v>
      </c>
      <c r="F219">
        <v>110</v>
      </c>
      <c r="G219">
        <v>272</v>
      </c>
      <c r="H219">
        <v>278</v>
      </c>
      <c r="I219">
        <v>104</v>
      </c>
      <c r="J219">
        <v>78</v>
      </c>
      <c r="K219">
        <v>1183</v>
      </c>
      <c r="L219">
        <v>123032</v>
      </c>
      <c r="M219">
        <f>Inventory_Data[[#This Row],[Opening Stock]]+Inventory_Data[[#This Row],[Purchase Qty]]-Inventory_Data[[#This Row],[Sales Qty]]-Inventory_Data[[#This Row],[Closing Stock]]</f>
        <v>0</v>
      </c>
      <c r="N219">
        <f>Inventory_Data[[#This Row],[Purchase Qty]]*Inventory_Data[[#This Row],[Unit Cost]]</f>
        <v>321776</v>
      </c>
      <c r="O219" t="str">
        <f>IF(Inventory_Data[[#This Row],[Closing Stock]]&lt;=Inventory_Data[[#This Row],[Reorder Level]],"Low Stock","In Stock")</f>
        <v>In Stock</v>
      </c>
      <c r="P219" t="str">
        <f>TEXT(Inventory_Data[[#This Row],[Date]],"MMM")</f>
        <v>Feb</v>
      </c>
      <c r="Q219" t="str">
        <f>TEXT(Inventory_Data[[#This Row],[Date]],"YYYY")</f>
        <v>2025</v>
      </c>
    </row>
    <row r="220" spans="1:17" x14ac:dyDescent="0.3">
      <c r="A220" s="1">
        <v>45707</v>
      </c>
      <c r="B220" t="s">
        <v>35</v>
      </c>
      <c r="C220" t="s">
        <v>22</v>
      </c>
      <c r="D220" t="s">
        <v>23</v>
      </c>
      <c r="E220" t="s">
        <v>20</v>
      </c>
      <c r="F220">
        <v>156</v>
      </c>
      <c r="G220">
        <v>38</v>
      </c>
      <c r="H220">
        <v>194</v>
      </c>
      <c r="I220">
        <v>0</v>
      </c>
      <c r="J220">
        <v>121</v>
      </c>
      <c r="K220">
        <v>719</v>
      </c>
      <c r="L220">
        <v>0</v>
      </c>
      <c r="M220">
        <f>Inventory_Data[[#This Row],[Opening Stock]]+Inventory_Data[[#This Row],[Purchase Qty]]-Inventory_Data[[#This Row],[Sales Qty]]-Inventory_Data[[#This Row],[Closing Stock]]</f>
        <v>0</v>
      </c>
      <c r="N220">
        <f>Inventory_Data[[#This Row],[Purchase Qty]]*Inventory_Data[[#This Row],[Unit Cost]]</f>
        <v>27322</v>
      </c>
      <c r="O220" t="str">
        <f>IF(Inventory_Data[[#This Row],[Closing Stock]]&lt;=Inventory_Data[[#This Row],[Reorder Level]],"Low Stock","In Stock")</f>
        <v>Low Stock</v>
      </c>
      <c r="P220" t="str">
        <f>TEXT(Inventory_Data[[#This Row],[Date]],"MMM")</f>
        <v>Feb</v>
      </c>
      <c r="Q220" t="str">
        <f>TEXT(Inventory_Data[[#This Row],[Date]],"YYYY")</f>
        <v>2025</v>
      </c>
    </row>
    <row r="221" spans="1:17" x14ac:dyDescent="0.3">
      <c r="A221" s="1">
        <v>45708</v>
      </c>
      <c r="B221" t="s">
        <v>44</v>
      </c>
      <c r="C221" t="s">
        <v>28</v>
      </c>
      <c r="D221" t="s">
        <v>37</v>
      </c>
      <c r="E221" t="s">
        <v>18</v>
      </c>
      <c r="F221">
        <v>33</v>
      </c>
      <c r="G221">
        <v>68</v>
      </c>
      <c r="H221">
        <v>87</v>
      </c>
      <c r="I221">
        <v>14</v>
      </c>
      <c r="J221">
        <v>53</v>
      </c>
      <c r="K221">
        <v>13905</v>
      </c>
      <c r="L221">
        <v>194670</v>
      </c>
      <c r="M221">
        <f>Inventory_Data[[#This Row],[Opening Stock]]+Inventory_Data[[#This Row],[Purchase Qty]]-Inventory_Data[[#This Row],[Sales Qty]]-Inventory_Data[[#This Row],[Closing Stock]]</f>
        <v>0</v>
      </c>
      <c r="N221">
        <f>Inventory_Data[[#This Row],[Purchase Qty]]*Inventory_Data[[#This Row],[Unit Cost]]</f>
        <v>945540</v>
      </c>
      <c r="O221" t="str">
        <f>IF(Inventory_Data[[#This Row],[Closing Stock]]&lt;=Inventory_Data[[#This Row],[Reorder Level]],"Low Stock","In Stock")</f>
        <v>Low Stock</v>
      </c>
      <c r="P221" t="str">
        <f>TEXT(Inventory_Data[[#This Row],[Date]],"MMM")</f>
        <v>Feb</v>
      </c>
      <c r="Q221" t="str">
        <f>TEXT(Inventory_Data[[#This Row],[Date]],"YYYY")</f>
        <v>2025</v>
      </c>
    </row>
    <row r="222" spans="1:17" x14ac:dyDescent="0.3">
      <c r="A222" s="1">
        <v>45708</v>
      </c>
      <c r="B222" t="s">
        <v>31</v>
      </c>
      <c r="C222" t="s">
        <v>22</v>
      </c>
      <c r="D222" t="s">
        <v>26</v>
      </c>
      <c r="E222" t="s">
        <v>15</v>
      </c>
      <c r="F222">
        <v>426</v>
      </c>
      <c r="G222">
        <v>282</v>
      </c>
      <c r="H222">
        <v>82</v>
      </c>
      <c r="I222">
        <v>626</v>
      </c>
      <c r="J222">
        <v>97</v>
      </c>
      <c r="K222">
        <v>231</v>
      </c>
      <c r="L222">
        <v>144606</v>
      </c>
      <c r="M222">
        <f>Inventory_Data[[#This Row],[Opening Stock]]+Inventory_Data[[#This Row],[Purchase Qty]]-Inventory_Data[[#This Row],[Sales Qty]]-Inventory_Data[[#This Row],[Closing Stock]]</f>
        <v>0</v>
      </c>
      <c r="N222">
        <f>Inventory_Data[[#This Row],[Purchase Qty]]*Inventory_Data[[#This Row],[Unit Cost]]</f>
        <v>65142</v>
      </c>
      <c r="O222" t="str">
        <f>IF(Inventory_Data[[#This Row],[Closing Stock]]&lt;=Inventory_Data[[#This Row],[Reorder Level]],"Low Stock","In Stock")</f>
        <v>In Stock</v>
      </c>
      <c r="P222" t="str">
        <f>TEXT(Inventory_Data[[#This Row],[Date]],"MMM")</f>
        <v>Feb</v>
      </c>
      <c r="Q222" t="str">
        <f>TEXT(Inventory_Data[[#This Row],[Date]],"YYYY")</f>
        <v>2025</v>
      </c>
    </row>
    <row r="223" spans="1:17" x14ac:dyDescent="0.3">
      <c r="A223" s="1">
        <v>45708</v>
      </c>
      <c r="B223" t="s">
        <v>39</v>
      </c>
      <c r="C223" t="s">
        <v>28</v>
      </c>
      <c r="D223" t="s">
        <v>26</v>
      </c>
      <c r="E223" t="s">
        <v>29</v>
      </c>
      <c r="F223">
        <v>172</v>
      </c>
      <c r="G223">
        <v>67</v>
      </c>
      <c r="H223">
        <v>67</v>
      </c>
      <c r="I223">
        <v>172</v>
      </c>
      <c r="J223">
        <v>41</v>
      </c>
      <c r="K223">
        <v>61405</v>
      </c>
      <c r="L223">
        <v>10561660</v>
      </c>
      <c r="M223">
        <f>Inventory_Data[[#This Row],[Opening Stock]]+Inventory_Data[[#This Row],[Purchase Qty]]-Inventory_Data[[#This Row],[Sales Qty]]-Inventory_Data[[#This Row],[Closing Stock]]</f>
        <v>0</v>
      </c>
      <c r="N223">
        <f>Inventory_Data[[#This Row],[Purchase Qty]]*Inventory_Data[[#This Row],[Unit Cost]]</f>
        <v>4114135</v>
      </c>
      <c r="O223" t="str">
        <f>IF(Inventory_Data[[#This Row],[Closing Stock]]&lt;=Inventory_Data[[#This Row],[Reorder Level]],"Low Stock","In Stock")</f>
        <v>In Stock</v>
      </c>
      <c r="P223" t="str">
        <f>TEXT(Inventory_Data[[#This Row],[Date]],"MMM")</f>
        <v>Feb</v>
      </c>
      <c r="Q223" t="str">
        <f>TEXT(Inventory_Data[[#This Row],[Date]],"YYYY")</f>
        <v>2025</v>
      </c>
    </row>
    <row r="224" spans="1:17" x14ac:dyDescent="0.3">
      <c r="A224" s="1">
        <v>45708</v>
      </c>
      <c r="B224" t="s">
        <v>31</v>
      </c>
      <c r="C224" t="s">
        <v>22</v>
      </c>
      <c r="D224" t="s">
        <v>37</v>
      </c>
      <c r="E224" t="s">
        <v>34</v>
      </c>
      <c r="F224">
        <v>452</v>
      </c>
      <c r="G224">
        <v>80</v>
      </c>
      <c r="H224">
        <v>96</v>
      </c>
      <c r="I224">
        <v>436</v>
      </c>
      <c r="J224">
        <v>133</v>
      </c>
      <c r="K224">
        <v>1111</v>
      </c>
      <c r="L224">
        <v>484396</v>
      </c>
      <c r="M224">
        <f>Inventory_Data[[#This Row],[Opening Stock]]+Inventory_Data[[#This Row],[Purchase Qty]]-Inventory_Data[[#This Row],[Sales Qty]]-Inventory_Data[[#This Row],[Closing Stock]]</f>
        <v>0</v>
      </c>
      <c r="N224">
        <f>Inventory_Data[[#This Row],[Purchase Qty]]*Inventory_Data[[#This Row],[Unit Cost]]</f>
        <v>88880</v>
      </c>
      <c r="O224" t="str">
        <f>IF(Inventory_Data[[#This Row],[Closing Stock]]&lt;=Inventory_Data[[#This Row],[Reorder Level]],"Low Stock","In Stock")</f>
        <v>In Stock</v>
      </c>
      <c r="P224" t="str">
        <f>TEXT(Inventory_Data[[#This Row],[Date]],"MMM")</f>
        <v>Feb</v>
      </c>
      <c r="Q224" t="str">
        <f>TEXT(Inventory_Data[[#This Row],[Date]],"YYYY")</f>
        <v>2025</v>
      </c>
    </row>
    <row r="225" spans="1:17" x14ac:dyDescent="0.3">
      <c r="A225" s="1">
        <v>45709</v>
      </c>
      <c r="B225" t="s">
        <v>44</v>
      </c>
      <c r="C225" t="s">
        <v>28</v>
      </c>
      <c r="D225" t="s">
        <v>23</v>
      </c>
      <c r="E225" t="s">
        <v>29</v>
      </c>
      <c r="F225">
        <v>133</v>
      </c>
      <c r="G225">
        <v>116</v>
      </c>
      <c r="H225">
        <v>33</v>
      </c>
      <c r="I225">
        <v>216</v>
      </c>
      <c r="J225">
        <v>45</v>
      </c>
      <c r="K225">
        <v>52916</v>
      </c>
      <c r="L225">
        <v>11429856</v>
      </c>
      <c r="M225">
        <f>Inventory_Data[[#This Row],[Opening Stock]]+Inventory_Data[[#This Row],[Purchase Qty]]-Inventory_Data[[#This Row],[Sales Qty]]-Inventory_Data[[#This Row],[Closing Stock]]</f>
        <v>0</v>
      </c>
      <c r="N225">
        <f>Inventory_Data[[#This Row],[Purchase Qty]]*Inventory_Data[[#This Row],[Unit Cost]]</f>
        <v>6138256</v>
      </c>
      <c r="O225" t="str">
        <f>IF(Inventory_Data[[#This Row],[Closing Stock]]&lt;=Inventory_Data[[#This Row],[Reorder Level]],"Low Stock","In Stock")</f>
        <v>In Stock</v>
      </c>
      <c r="P225" t="str">
        <f>TEXT(Inventory_Data[[#This Row],[Date]],"MMM")</f>
        <v>Feb</v>
      </c>
      <c r="Q225" t="str">
        <f>TEXT(Inventory_Data[[#This Row],[Date]],"YYYY")</f>
        <v>2025</v>
      </c>
    </row>
    <row r="226" spans="1:17" x14ac:dyDescent="0.3">
      <c r="A226" s="1">
        <v>45709</v>
      </c>
      <c r="B226" t="s">
        <v>35</v>
      </c>
      <c r="C226" t="s">
        <v>22</v>
      </c>
      <c r="D226" t="s">
        <v>23</v>
      </c>
      <c r="E226" t="s">
        <v>15</v>
      </c>
      <c r="F226">
        <v>189</v>
      </c>
      <c r="G226">
        <v>48</v>
      </c>
      <c r="H226">
        <v>84</v>
      </c>
      <c r="I226">
        <v>153</v>
      </c>
      <c r="J226">
        <v>146</v>
      </c>
      <c r="K226">
        <v>249</v>
      </c>
      <c r="L226">
        <v>38097</v>
      </c>
      <c r="M226">
        <f>Inventory_Data[[#This Row],[Opening Stock]]+Inventory_Data[[#This Row],[Purchase Qty]]-Inventory_Data[[#This Row],[Sales Qty]]-Inventory_Data[[#This Row],[Closing Stock]]</f>
        <v>0</v>
      </c>
      <c r="N226">
        <f>Inventory_Data[[#This Row],[Purchase Qty]]*Inventory_Data[[#This Row],[Unit Cost]]</f>
        <v>11952</v>
      </c>
      <c r="O226" t="str">
        <f>IF(Inventory_Data[[#This Row],[Closing Stock]]&lt;=Inventory_Data[[#This Row],[Reorder Level]],"Low Stock","In Stock")</f>
        <v>In Stock</v>
      </c>
      <c r="P226" t="str">
        <f>TEXT(Inventory_Data[[#This Row],[Date]],"MMM")</f>
        <v>Feb</v>
      </c>
      <c r="Q226" t="str">
        <f>TEXT(Inventory_Data[[#This Row],[Date]],"YYYY")</f>
        <v>2025</v>
      </c>
    </row>
    <row r="227" spans="1:17" x14ac:dyDescent="0.3">
      <c r="A227" s="1">
        <v>45709</v>
      </c>
      <c r="B227" t="s">
        <v>43</v>
      </c>
      <c r="C227" t="s">
        <v>22</v>
      </c>
      <c r="D227" t="s">
        <v>14</v>
      </c>
      <c r="E227" t="s">
        <v>20</v>
      </c>
      <c r="F227">
        <v>258</v>
      </c>
      <c r="G227">
        <v>67</v>
      </c>
      <c r="H227">
        <v>109</v>
      </c>
      <c r="I227">
        <v>216</v>
      </c>
      <c r="J227">
        <v>58</v>
      </c>
      <c r="K227">
        <v>1094</v>
      </c>
      <c r="L227">
        <v>236304</v>
      </c>
      <c r="M227">
        <f>Inventory_Data[[#This Row],[Opening Stock]]+Inventory_Data[[#This Row],[Purchase Qty]]-Inventory_Data[[#This Row],[Sales Qty]]-Inventory_Data[[#This Row],[Closing Stock]]</f>
        <v>0</v>
      </c>
      <c r="N227">
        <f>Inventory_Data[[#This Row],[Purchase Qty]]*Inventory_Data[[#This Row],[Unit Cost]]</f>
        <v>73298</v>
      </c>
      <c r="O227" t="str">
        <f>IF(Inventory_Data[[#This Row],[Closing Stock]]&lt;=Inventory_Data[[#This Row],[Reorder Level]],"Low Stock","In Stock")</f>
        <v>In Stock</v>
      </c>
      <c r="P227" t="str">
        <f>TEXT(Inventory_Data[[#This Row],[Date]],"MMM")</f>
        <v>Feb</v>
      </c>
      <c r="Q227" t="str">
        <f>TEXT(Inventory_Data[[#This Row],[Date]],"YYYY")</f>
        <v>2025</v>
      </c>
    </row>
    <row r="228" spans="1:17" x14ac:dyDescent="0.3">
      <c r="A228" s="1">
        <v>45709</v>
      </c>
      <c r="B228" t="s">
        <v>16</v>
      </c>
      <c r="C228" t="s">
        <v>17</v>
      </c>
      <c r="D228" t="s">
        <v>14</v>
      </c>
      <c r="E228" t="s">
        <v>18</v>
      </c>
      <c r="F228">
        <v>42</v>
      </c>
      <c r="G228">
        <v>26</v>
      </c>
      <c r="H228">
        <v>6</v>
      </c>
      <c r="I228">
        <v>62</v>
      </c>
      <c r="J228">
        <v>15</v>
      </c>
      <c r="K228">
        <v>4333</v>
      </c>
      <c r="L228">
        <v>268646</v>
      </c>
      <c r="M228">
        <f>Inventory_Data[[#This Row],[Opening Stock]]+Inventory_Data[[#This Row],[Purchase Qty]]-Inventory_Data[[#This Row],[Sales Qty]]-Inventory_Data[[#This Row],[Closing Stock]]</f>
        <v>0</v>
      </c>
      <c r="N228">
        <f>Inventory_Data[[#This Row],[Purchase Qty]]*Inventory_Data[[#This Row],[Unit Cost]]</f>
        <v>112658</v>
      </c>
      <c r="O228" t="str">
        <f>IF(Inventory_Data[[#This Row],[Closing Stock]]&lt;=Inventory_Data[[#This Row],[Reorder Level]],"Low Stock","In Stock")</f>
        <v>In Stock</v>
      </c>
      <c r="P228" t="str">
        <f>TEXT(Inventory_Data[[#This Row],[Date]],"MMM")</f>
        <v>Feb</v>
      </c>
      <c r="Q228" t="str">
        <f>TEXT(Inventory_Data[[#This Row],[Date]],"YYYY")</f>
        <v>2025</v>
      </c>
    </row>
    <row r="229" spans="1:17" x14ac:dyDescent="0.3">
      <c r="A229" s="1">
        <v>45709</v>
      </c>
      <c r="B229" t="s">
        <v>36</v>
      </c>
      <c r="C229" t="s">
        <v>22</v>
      </c>
      <c r="D229" t="s">
        <v>14</v>
      </c>
      <c r="E229" t="s">
        <v>20</v>
      </c>
      <c r="F229">
        <v>50</v>
      </c>
      <c r="G229">
        <v>40</v>
      </c>
      <c r="H229">
        <v>90</v>
      </c>
      <c r="I229">
        <v>0</v>
      </c>
      <c r="J229">
        <v>93</v>
      </c>
      <c r="K229">
        <v>975</v>
      </c>
      <c r="L229">
        <v>0</v>
      </c>
      <c r="M229">
        <f>Inventory_Data[[#This Row],[Opening Stock]]+Inventory_Data[[#This Row],[Purchase Qty]]-Inventory_Data[[#This Row],[Sales Qty]]-Inventory_Data[[#This Row],[Closing Stock]]</f>
        <v>0</v>
      </c>
      <c r="N229">
        <f>Inventory_Data[[#This Row],[Purchase Qty]]*Inventory_Data[[#This Row],[Unit Cost]]</f>
        <v>39000</v>
      </c>
      <c r="O229" t="str">
        <f>IF(Inventory_Data[[#This Row],[Closing Stock]]&lt;=Inventory_Data[[#This Row],[Reorder Level]],"Low Stock","In Stock")</f>
        <v>Low Stock</v>
      </c>
      <c r="P229" t="str">
        <f>TEXT(Inventory_Data[[#This Row],[Date]],"MMM")</f>
        <v>Feb</v>
      </c>
      <c r="Q229" t="str">
        <f>TEXT(Inventory_Data[[#This Row],[Date]],"YYYY")</f>
        <v>2025</v>
      </c>
    </row>
    <row r="230" spans="1:17" x14ac:dyDescent="0.3">
      <c r="A230" s="1">
        <v>45709</v>
      </c>
      <c r="B230" t="s">
        <v>44</v>
      </c>
      <c r="C230" t="s">
        <v>28</v>
      </c>
      <c r="D230" t="s">
        <v>23</v>
      </c>
      <c r="E230" t="s">
        <v>18</v>
      </c>
      <c r="F230">
        <v>64</v>
      </c>
      <c r="G230">
        <v>46</v>
      </c>
      <c r="H230">
        <v>46</v>
      </c>
      <c r="I230">
        <v>64</v>
      </c>
      <c r="J230">
        <v>36</v>
      </c>
      <c r="K230">
        <v>22091</v>
      </c>
      <c r="L230">
        <v>1413824</v>
      </c>
      <c r="M230">
        <f>Inventory_Data[[#This Row],[Opening Stock]]+Inventory_Data[[#This Row],[Purchase Qty]]-Inventory_Data[[#This Row],[Sales Qty]]-Inventory_Data[[#This Row],[Closing Stock]]</f>
        <v>0</v>
      </c>
      <c r="N230">
        <f>Inventory_Data[[#This Row],[Purchase Qty]]*Inventory_Data[[#This Row],[Unit Cost]]</f>
        <v>1016186</v>
      </c>
      <c r="O230" t="str">
        <f>IF(Inventory_Data[[#This Row],[Closing Stock]]&lt;=Inventory_Data[[#This Row],[Reorder Level]],"Low Stock","In Stock")</f>
        <v>In Stock</v>
      </c>
      <c r="P230" t="str">
        <f>TEXT(Inventory_Data[[#This Row],[Date]],"MMM")</f>
        <v>Feb</v>
      </c>
      <c r="Q230" t="str">
        <f>TEXT(Inventory_Data[[#This Row],[Date]],"YYYY")</f>
        <v>2025</v>
      </c>
    </row>
    <row r="231" spans="1:17" x14ac:dyDescent="0.3">
      <c r="A231" s="1">
        <v>45709</v>
      </c>
      <c r="B231" t="s">
        <v>40</v>
      </c>
      <c r="C231" t="s">
        <v>28</v>
      </c>
      <c r="D231" t="s">
        <v>23</v>
      </c>
      <c r="E231" t="s">
        <v>18</v>
      </c>
      <c r="F231">
        <v>56</v>
      </c>
      <c r="G231">
        <v>12</v>
      </c>
      <c r="H231">
        <v>12</v>
      </c>
      <c r="I231">
        <v>56</v>
      </c>
      <c r="J231">
        <v>28</v>
      </c>
      <c r="K231">
        <v>13993</v>
      </c>
      <c r="L231">
        <v>783608</v>
      </c>
      <c r="M231">
        <f>Inventory_Data[[#This Row],[Opening Stock]]+Inventory_Data[[#This Row],[Purchase Qty]]-Inventory_Data[[#This Row],[Sales Qty]]-Inventory_Data[[#This Row],[Closing Stock]]</f>
        <v>0</v>
      </c>
      <c r="N231">
        <f>Inventory_Data[[#This Row],[Purchase Qty]]*Inventory_Data[[#This Row],[Unit Cost]]</f>
        <v>167916</v>
      </c>
      <c r="O231" t="str">
        <f>IF(Inventory_Data[[#This Row],[Closing Stock]]&lt;=Inventory_Data[[#This Row],[Reorder Level]],"Low Stock","In Stock")</f>
        <v>In Stock</v>
      </c>
      <c r="P231" t="str">
        <f>TEXT(Inventory_Data[[#This Row],[Date]],"MMM")</f>
        <v>Feb</v>
      </c>
      <c r="Q231" t="str">
        <f>TEXT(Inventory_Data[[#This Row],[Date]],"YYYY")</f>
        <v>2025</v>
      </c>
    </row>
    <row r="232" spans="1:17" x14ac:dyDescent="0.3">
      <c r="A232" s="1">
        <v>45710</v>
      </c>
      <c r="B232" t="s">
        <v>25</v>
      </c>
      <c r="C232" t="s">
        <v>17</v>
      </c>
      <c r="D232" t="s">
        <v>14</v>
      </c>
      <c r="E232" t="s">
        <v>15</v>
      </c>
      <c r="F232">
        <v>83</v>
      </c>
      <c r="G232">
        <v>50</v>
      </c>
      <c r="H232">
        <v>14</v>
      </c>
      <c r="I232">
        <v>119</v>
      </c>
      <c r="J232">
        <v>15</v>
      </c>
      <c r="K232">
        <v>21632</v>
      </c>
      <c r="L232">
        <v>2574208</v>
      </c>
      <c r="M232">
        <f>Inventory_Data[[#This Row],[Opening Stock]]+Inventory_Data[[#This Row],[Purchase Qty]]-Inventory_Data[[#This Row],[Sales Qty]]-Inventory_Data[[#This Row],[Closing Stock]]</f>
        <v>0</v>
      </c>
      <c r="N232">
        <f>Inventory_Data[[#This Row],[Purchase Qty]]*Inventory_Data[[#This Row],[Unit Cost]]</f>
        <v>1081600</v>
      </c>
      <c r="O232" t="str">
        <f>IF(Inventory_Data[[#This Row],[Closing Stock]]&lt;=Inventory_Data[[#This Row],[Reorder Level]],"Low Stock","In Stock")</f>
        <v>In Stock</v>
      </c>
      <c r="P232" t="str">
        <f>TEXT(Inventory_Data[[#This Row],[Date]],"MMM")</f>
        <v>Feb</v>
      </c>
      <c r="Q232" t="str">
        <f>TEXT(Inventory_Data[[#This Row],[Date]],"YYYY")</f>
        <v>2025</v>
      </c>
    </row>
    <row r="233" spans="1:17" x14ac:dyDescent="0.3">
      <c r="A233" s="1">
        <v>45710</v>
      </c>
      <c r="B233" t="s">
        <v>30</v>
      </c>
      <c r="C233" t="s">
        <v>28</v>
      </c>
      <c r="D233" t="s">
        <v>14</v>
      </c>
      <c r="E233" t="s">
        <v>15</v>
      </c>
      <c r="F233">
        <v>110</v>
      </c>
      <c r="G233">
        <v>90</v>
      </c>
      <c r="H233">
        <v>70</v>
      </c>
      <c r="I233">
        <v>130</v>
      </c>
      <c r="J233">
        <v>50</v>
      </c>
      <c r="K233">
        <v>26768</v>
      </c>
      <c r="L233">
        <v>3479840</v>
      </c>
      <c r="M233">
        <f>Inventory_Data[[#This Row],[Opening Stock]]+Inventory_Data[[#This Row],[Purchase Qty]]-Inventory_Data[[#This Row],[Sales Qty]]-Inventory_Data[[#This Row],[Closing Stock]]</f>
        <v>0</v>
      </c>
      <c r="N233">
        <f>Inventory_Data[[#This Row],[Purchase Qty]]*Inventory_Data[[#This Row],[Unit Cost]]</f>
        <v>2409120</v>
      </c>
      <c r="O233" t="str">
        <f>IF(Inventory_Data[[#This Row],[Closing Stock]]&lt;=Inventory_Data[[#This Row],[Reorder Level]],"Low Stock","In Stock")</f>
        <v>In Stock</v>
      </c>
      <c r="P233" t="str">
        <f>TEXT(Inventory_Data[[#This Row],[Date]],"MMM")</f>
        <v>Feb</v>
      </c>
      <c r="Q233" t="str">
        <f>TEXT(Inventory_Data[[#This Row],[Date]],"YYYY")</f>
        <v>2025</v>
      </c>
    </row>
    <row r="234" spans="1:17" x14ac:dyDescent="0.3">
      <c r="A234" s="1">
        <v>45710</v>
      </c>
      <c r="B234" t="s">
        <v>25</v>
      </c>
      <c r="C234" t="s">
        <v>17</v>
      </c>
      <c r="D234" t="s">
        <v>26</v>
      </c>
      <c r="E234" t="s">
        <v>24</v>
      </c>
      <c r="F234">
        <v>72</v>
      </c>
      <c r="G234">
        <v>15</v>
      </c>
      <c r="H234">
        <v>32</v>
      </c>
      <c r="I234">
        <v>55</v>
      </c>
      <c r="J234">
        <v>16</v>
      </c>
      <c r="K234">
        <v>13259</v>
      </c>
      <c r="L234">
        <v>729245</v>
      </c>
      <c r="M234">
        <f>Inventory_Data[[#This Row],[Opening Stock]]+Inventory_Data[[#This Row],[Purchase Qty]]-Inventory_Data[[#This Row],[Sales Qty]]-Inventory_Data[[#This Row],[Closing Stock]]</f>
        <v>0</v>
      </c>
      <c r="N234">
        <f>Inventory_Data[[#This Row],[Purchase Qty]]*Inventory_Data[[#This Row],[Unit Cost]]</f>
        <v>198885</v>
      </c>
      <c r="O234" t="str">
        <f>IF(Inventory_Data[[#This Row],[Closing Stock]]&lt;=Inventory_Data[[#This Row],[Reorder Level]],"Low Stock","In Stock")</f>
        <v>In Stock</v>
      </c>
      <c r="P234" t="str">
        <f>TEXT(Inventory_Data[[#This Row],[Date]],"MMM")</f>
        <v>Feb</v>
      </c>
      <c r="Q234" t="str">
        <f>TEXT(Inventory_Data[[#This Row],[Date]],"YYYY")</f>
        <v>2025</v>
      </c>
    </row>
    <row r="235" spans="1:17" x14ac:dyDescent="0.3">
      <c r="A235" s="1">
        <v>45710</v>
      </c>
      <c r="B235" t="s">
        <v>33</v>
      </c>
      <c r="C235" t="s">
        <v>13</v>
      </c>
      <c r="D235" t="s">
        <v>26</v>
      </c>
      <c r="E235" t="s">
        <v>18</v>
      </c>
      <c r="F235">
        <v>35</v>
      </c>
      <c r="G235">
        <v>70</v>
      </c>
      <c r="H235">
        <v>29</v>
      </c>
      <c r="I235">
        <v>76</v>
      </c>
      <c r="J235">
        <v>18</v>
      </c>
      <c r="K235">
        <v>2000</v>
      </c>
      <c r="L235">
        <v>152000</v>
      </c>
      <c r="M235">
        <f>Inventory_Data[[#This Row],[Opening Stock]]+Inventory_Data[[#This Row],[Purchase Qty]]-Inventory_Data[[#This Row],[Sales Qty]]-Inventory_Data[[#This Row],[Closing Stock]]</f>
        <v>0</v>
      </c>
      <c r="N235">
        <f>Inventory_Data[[#This Row],[Purchase Qty]]*Inventory_Data[[#This Row],[Unit Cost]]</f>
        <v>140000</v>
      </c>
      <c r="O235" t="str">
        <f>IF(Inventory_Data[[#This Row],[Closing Stock]]&lt;=Inventory_Data[[#This Row],[Reorder Level]],"Low Stock","In Stock")</f>
        <v>In Stock</v>
      </c>
      <c r="P235" t="str">
        <f>TEXT(Inventory_Data[[#This Row],[Date]],"MMM")</f>
        <v>Feb</v>
      </c>
      <c r="Q235" t="str">
        <f>TEXT(Inventory_Data[[#This Row],[Date]],"YYYY")</f>
        <v>2025</v>
      </c>
    </row>
    <row r="236" spans="1:17" x14ac:dyDescent="0.3">
      <c r="A236" s="1">
        <v>45710</v>
      </c>
      <c r="B236" t="s">
        <v>44</v>
      </c>
      <c r="C236" t="s">
        <v>28</v>
      </c>
      <c r="D236" t="s">
        <v>14</v>
      </c>
      <c r="E236" t="s">
        <v>18</v>
      </c>
      <c r="F236">
        <v>137</v>
      </c>
      <c r="G236">
        <v>118</v>
      </c>
      <c r="H236">
        <v>35</v>
      </c>
      <c r="I236">
        <v>220</v>
      </c>
      <c r="J236">
        <v>27</v>
      </c>
      <c r="K236">
        <v>39645</v>
      </c>
      <c r="L236">
        <v>8721900</v>
      </c>
      <c r="M236">
        <f>Inventory_Data[[#This Row],[Opening Stock]]+Inventory_Data[[#This Row],[Purchase Qty]]-Inventory_Data[[#This Row],[Sales Qty]]-Inventory_Data[[#This Row],[Closing Stock]]</f>
        <v>0</v>
      </c>
      <c r="N236">
        <f>Inventory_Data[[#This Row],[Purchase Qty]]*Inventory_Data[[#This Row],[Unit Cost]]</f>
        <v>4678110</v>
      </c>
      <c r="O236" t="str">
        <f>IF(Inventory_Data[[#This Row],[Closing Stock]]&lt;=Inventory_Data[[#This Row],[Reorder Level]],"Low Stock","In Stock")</f>
        <v>In Stock</v>
      </c>
      <c r="P236" t="str">
        <f>TEXT(Inventory_Data[[#This Row],[Date]],"MMM")</f>
        <v>Feb</v>
      </c>
      <c r="Q236" t="str">
        <f>TEXT(Inventory_Data[[#This Row],[Date]],"YYYY")</f>
        <v>2025</v>
      </c>
    </row>
    <row r="237" spans="1:17" x14ac:dyDescent="0.3">
      <c r="A237" s="1">
        <v>45710</v>
      </c>
      <c r="B237" t="s">
        <v>40</v>
      </c>
      <c r="C237" t="s">
        <v>28</v>
      </c>
      <c r="D237" t="s">
        <v>23</v>
      </c>
      <c r="E237" t="s">
        <v>15</v>
      </c>
      <c r="F237">
        <v>175</v>
      </c>
      <c r="G237">
        <v>12</v>
      </c>
      <c r="H237">
        <v>84</v>
      </c>
      <c r="I237">
        <v>103</v>
      </c>
      <c r="J237">
        <v>51</v>
      </c>
      <c r="K237">
        <v>9397</v>
      </c>
      <c r="L237">
        <v>967891</v>
      </c>
      <c r="M237">
        <f>Inventory_Data[[#This Row],[Opening Stock]]+Inventory_Data[[#This Row],[Purchase Qty]]-Inventory_Data[[#This Row],[Sales Qty]]-Inventory_Data[[#This Row],[Closing Stock]]</f>
        <v>0</v>
      </c>
      <c r="N237">
        <f>Inventory_Data[[#This Row],[Purchase Qty]]*Inventory_Data[[#This Row],[Unit Cost]]</f>
        <v>112764</v>
      </c>
      <c r="O237" t="str">
        <f>IF(Inventory_Data[[#This Row],[Closing Stock]]&lt;=Inventory_Data[[#This Row],[Reorder Level]],"Low Stock","In Stock")</f>
        <v>In Stock</v>
      </c>
      <c r="P237" t="str">
        <f>TEXT(Inventory_Data[[#This Row],[Date]],"MMM")</f>
        <v>Feb</v>
      </c>
      <c r="Q237" t="str">
        <f>TEXT(Inventory_Data[[#This Row],[Date]],"YYYY")</f>
        <v>2025</v>
      </c>
    </row>
    <row r="238" spans="1:17" x14ac:dyDescent="0.3">
      <c r="A238" s="1">
        <v>45710</v>
      </c>
      <c r="B238" t="s">
        <v>35</v>
      </c>
      <c r="C238" t="s">
        <v>22</v>
      </c>
      <c r="D238" t="s">
        <v>37</v>
      </c>
      <c r="E238" t="s">
        <v>24</v>
      </c>
      <c r="F238">
        <v>267</v>
      </c>
      <c r="G238">
        <v>106</v>
      </c>
      <c r="H238">
        <v>213</v>
      </c>
      <c r="I238">
        <v>160</v>
      </c>
      <c r="J238">
        <v>77</v>
      </c>
      <c r="K238">
        <v>575</v>
      </c>
      <c r="L238">
        <v>92000</v>
      </c>
      <c r="M238">
        <f>Inventory_Data[[#This Row],[Opening Stock]]+Inventory_Data[[#This Row],[Purchase Qty]]-Inventory_Data[[#This Row],[Sales Qty]]-Inventory_Data[[#This Row],[Closing Stock]]</f>
        <v>0</v>
      </c>
      <c r="N238">
        <f>Inventory_Data[[#This Row],[Purchase Qty]]*Inventory_Data[[#This Row],[Unit Cost]]</f>
        <v>60950</v>
      </c>
      <c r="O238" t="str">
        <f>IF(Inventory_Data[[#This Row],[Closing Stock]]&lt;=Inventory_Data[[#This Row],[Reorder Level]],"Low Stock","In Stock")</f>
        <v>In Stock</v>
      </c>
      <c r="P238" t="str">
        <f>TEXT(Inventory_Data[[#This Row],[Date]],"MMM")</f>
        <v>Feb</v>
      </c>
      <c r="Q238" t="str">
        <f>TEXT(Inventory_Data[[#This Row],[Date]],"YYYY")</f>
        <v>2025</v>
      </c>
    </row>
    <row r="239" spans="1:17" x14ac:dyDescent="0.3">
      <c r="A239" s="1">
        <v>45711</v>
      </c>
      <c r="B239" t="s">
        <v>12</v>
      </c>
      <c r="C239" t="s">
        <v>13</v>
      </c>
      <c r="D239" t="s">
        <v>23</v>
      </c>
      <c r="E239" t="s">
        <v>34</v>
      </c>
      <c r="F239">
        <v>74</v>
      </c>
      <c r="G239">
        <v>12</v>
      </c>
      <c r="H239">
        <v>55</v>
      </c>
      <c r="I239">
        <v>31</v>
      </c>
      <c r="J239">
        <v>26</v>
      </c>
      <c r="K239">
        <v>3751</v>
      </c>
      <c r="L239">
        <v>116281</v>
      </c>
      <c r="M239">
        <f>Inventory_Data[[#This Row],[Opening Stock]]+Inventory_Data[[#This Row],[Purchase Qty]]-Inventory_Data[[#This Row],[Sales Qty]]-Inventory_Data[[#This Row],[Closing Stock]]</f>
        <v>0</v>
      </c>
      <c r="N239">
        <f>Inventory_Data[[#This Row],[Purchase Qty]]*Inventory_Data[[#This Row],[Unit Cost]]</f>
        <v>45012</v>
      </c>
      <c r="O239" t="str">
        <f>IF(Inventory_Data[[#This Row],[Closing Stock]]&lt;=Inventory_Data[[#This Row],[Reorder Level]],"Low Stock","In Stock")</f>
        <v>In Stock</v>
      </c>
      <c r="P239" t="str">
        <f>TEXT(Inventory_Data[[#This Row],[Date]],"MMM")</f>
        <v>Feb</v>
      </c>
      <c r="Q239" t="str">
        <f>TEXT(Inventory_Data[[#This Row],[Date]],"YYYY")</f>
        <v>2025</v>
      </c>
    </row>
    <row r="240" spans="1:17" x14ac:dyDescent="0.3">
      <c r="A240" s="1">
        <v>45711</v>
      </c>
      <c r="B240" t="s">
        <v>41</v>
      </c>
      <c r="C240" t="s">
        <v>22</v>
      </c>
      <c r="D240" t="s">
        <v>37</v>
      </c>
      <c r="E240" t="s">
        <v>20</v>
      </c>
      <c r="F240">
        <v>217</v>
      </c>
      <c r="G240">
        <v>55</v>
      </c>
      <c r="H240">
        <v>74</v>
      </c>
      <c r="I240">
        <v>198</v>
      </c>
      <c r="J240">
        <v>113</v>
      </c>
      <c r="K240">
        <v>605</v>
      </c>
      <c r="L240">
        <v>119790</v>
      </c>
      <c r="M240">
        <f>Inventory_Data[[#This Row],[Opening Stock]]+Inventory_Data[[#This Row],[Purchase Qty]]-Inventory_Data[[#This Row],[Sales Qty]]-Inventory_Data[[#This Row],[Closing Stock]]</f>
        <v>0</v>
      </c>
      <c r="N240">
        <f>Inventory_Data[[#This Row],[Purchase Qty]]*Inventory_Data[[#This Row],[Unit Cost]]</f>
        <v>33275</v>
      </c>
      <c r="O240" t="str">
        <f>IF(Inventory_Data[[#This Row],[Closing Stock]]&lt;=Inventory_Data[[#This Row],[Reorder Level]],"Low Stock","In Stock")</f>
        <v>In Stock</v>
      </c>
      <c r="P240" t="str">
        <f>TEXT(Inventory_Data[[#This Row],[Date]],"MMM")</f>
        <v>Feb</v>
      </c>
      <c r="Q240" t="str">
        <f>TEXT(Inventory_Data[[#This Row],[Date]],"YYYY")</f>
        <v>2025</v>
      </c>
    </row>
    <row r="241" spans="1:17" x14ac:dyDescent="0.3">
      <c r="A241" s="1">
        <v>45711</v>
      </c>
      <c r="B241" t="s">
        <v>40</v>
      </c>
      <c r="C241" t="s">
        <v>28</v>
      </c>
      <c r="D241" t="s">
        <v>14</v>
      </c>
      <c r="E241" t="s">
        <v>20</v>
      </c>
      <c r="F241">
        <v>66</v>
      </c>
      <c r="G241">
        <v>96</v>
      </c>
      <c r="H241">
        <v>53</v>
      </c>
      <c r="I241">
        <v>109</v>
      </c>
      <c r="J241">
        <v>54</v>
      </c>
      <c r="K241">
        <v>47400</v>
      </c>
      <c r="L241">
        <v>5166600</v>
      </c>
      <c r="M241">
        <f>Inventory_Data[[#This Row],[Opening Stock]]+Inventory_Data[[#This Row],[Purchase Qty]]-Inventory_Data[[#This Row],[Sales Qty]]-Inventory_Data[[#This Row],[Closing Stock]]</f>
        <v>0</v>
      </c>
      <c r="N241">
        <f>Inventory_Data[[#This Row],[Purchase Qty]]*Inventory_Data[[#This Row],[Unit Cost]]</f>
        <v>4550400</v>
      </c>
      <c r="O241" t="str">
        <f>IF(Inventory_Data[[#This Row],[Closing Stock]]&lt;=Inventory_Data[[#This Row],[Reorder Level]],"Low Stock","In Stock")</f>
        <v>In Stock</v>
      </c>
      <c r="P241" t="str">
        <f>TEXT(Inventory_Data[[#This Row],[Date]],"MMM")</f>
        <v>Feb</v>
      </c>
      <c r="Q241" t="str">
        <f>TEXT(Inventory_Data[[#This Row],[Date]],"YYYY")</f>
        <v>2025</v>
      </c>
    </row>
    <row r="242" spans="1:17" x14ac:dyDescent="0.3">
      <c r="A242" s="1">
        <v>45712</v>
      </c>
      <c r="B242" t="s">
        <v>39</v>
      </c>
      <c r="C242" t="s">
        <v>28</v>
      </c>
      <c r="D242" t="s">
        <v>14</v>
      </c>
      <c r="E242" t="s">
        <v>20</v>
      </c>
      <c r="F242">
        <v>80</v>
      </c>
      <c r="G242">
        <v>98</v>
      </c>
      <c r="H242">
        <v>12</v>
      </c>
      <c r="I242">
        <v>166</v>
      </c>
      <c r="J242">
        <v>34</v>
      </c>
      <c r="K242">
        <v>33839</v>
      </c>
      <c r="L242">
        <v>5617274</v>
      </c>
      <c r="M242">
        <f>Inventory_Data[[#This Row],[Opening Stock]]+Inventory_Data[[#This Row],[Purchase Qty]]-Inventory_Data[[#This Row],[Sales Qty]]-Inventory_Data[[#This Row],[Closing Stock]]</f>
        <v>0</v>
      </c>
      <c r="N242">
        <f>Inventory_Data[[#This Row],[Purchase Qty]]*Inventory_Data[[#This Row],[Unit Cost]]</f>
        <v>3316222</v>
      </c>
      <c r="O242" t="str">
        <f>IF(Inventory_Data[[#This Row],[Closing Stock]]&lt;=Inventory_Data[[#This Row],[Reorder Level]],"Low Stock","In Stock")</f>
        <v>In Stock</v>
      </c>
      <c r="P242" t="str">
        <f>TEXT(Inventory_Data[[#This Row],[Date]],"MMM")</f>
        <v>Feb</v>
      </c>
      <c r="Q242" t="str">
        <f>TEXT(Inventory_Data[[#This Row],[Date]],"YYYY")</f>
        <v>2025</v>
      </c>
    </row>
    <row r="243" spans="1:17" x14ac:dyDescent="0.3">
      <c r="A243" s="1">
        <v>45712</v>
      </c>
      <c r="B243" t="s">
        <v>39</v>
      </c>
      <c r="C243" t="s">
        <v>28</v>
      </c>
      <c r="D243" t="s">
        <v>26</v>
      </c>
      <c r="E243" t="s">
        <v>20</v>
      </c>
      <c r="F243">
        <v>29</v>
      </c>
      <c r="G243">
        <v>105</v>
      </c>
      <c r="H243">
        <v>46</v>
      </c>
      <c r="I243">
        <v>88</v>
      </c>
      <c r="J243">
        <v>32</v>
      </c>
      <c r="K243">
        <v>30792</v>
      </c>
      <c r="L243">
        <v>2709696</v>
      </c>
      <c r="M243">
        <f>Inventory_Data[[#This Row],[Opening Stock]]+Inventory_Data[[#This Row],[Purchase Qty]]-Inventory_Data[[#This Row],[Sales Qty]]-Inventory_Data[[#This Row],[Closing Stock]]</f>
        <v>0</v>
      </c>
      <c r="N243">
        <f>Inventory_Data[[#This Row],[Purchase Qty]]*Inventory_Data[[#This Row],[Unit Cost]]</f>
        <v>3233160</v>
      </c>
      <c r="O243" t="str">
        <f>IF(Inventory_Data[[#This Row],[Closing Stock]]&lt;=Inventory_Data[[#This Row],[Reorder Level]],"Low Stock","In Stock")</f>
        <v>In Stock</v>
      </c>
      <c r="P243" t="str">
        <f>TEXT(Inventory_Data[[#This Row],[Date]],"MMM")</f>
        <v>Feb</v>
      </c>
      <c r="Q243" t="str">
        <f>TEXT(Inventory_Data[[#This Row],[Date]],"YYYY")</f>
        <v>2025</v>
      </c>
    </row>
    <row r="244" spans="1:17" x14ac:dyDescent="0.3">
      <c r="A244" s="1">
        <v>45713</v>
      </c>
      <c r="B244" t="s">
        <v>32</v>
      </c>
      <c r="C244" t="s">
        <v>28</v>
      </c>
      <c r="D244" t="s">
        <v>23</v>
      </c>
      <c r="E244" t="s">
        <v>20</v>
      </c>
      <c r="F244">
        <v>138</v>
      </c>
      <c r="G244">
        <v>85</v>
      </c>
      <c r="H244">
        <v>40</v>
      </c>
      <c r="I244">
        <v>183</v>
      </c>
      <c r="J244">
        <v>57</v>
      </c>
      <c r="K244">
        <v>12990</v>
      </c>
      <c r="L244">
        <v>2377170</v>
      </c>
      <c r="M244">
        <f>Inventory_Data[[#This Row],[Opening Stock]]+Inventory_Data[[#This Row],[Purchase Qty]]-Inventory_Data[[#This Row],[Sales Qty]]-Inventory_Data[[#This Row],[Closing Stock]]</f>
        <v>0</v>
      </c>
      <c r="N244">
        <f>Inventory_Data[[#This Row],[Purchase Qty]]*Inventory_Data[[#This Row],[Unit Cost]]</f>
        <v>1104150</v>
      </c>
      <c r="O244" t="str">
        <f>IF(Inventory_Data[[#This Row],[Closing Stock]]&lt;=Inventory_Data[[#This Row],[Reorder Level]],"Low Stock","In Stock")</f>
        <v>In Stock</v>
      </c>
      <c r="P244" t="str">
        <f>TEXT(Inventory_Data[[#This Row],[Date]],"MMM")</f>
        <v>Feb</v>
      </c>
      <c r="Q244" t="str">
        <f>TEXT(Inventory_Data[[#This Row],[Date]],"YYYY")</f>
        <v>2025</v>
      </c>
    </row>
    <row r="245" spans="1:17" x14ac:dyDescent="0.3">
      <c r="A245" s="1">
        <v>45713</v>
      </c>
      <c r="B245" t="s">
        <v>43</v>
      </c>
      <c r="C245" t="s">
        <v>22</v>
      </c>
      <c r="D245" t="s">
        <v>23</v>
      </c>
      <c r="E245" t="s">
        <v>20</v>
      </c>
      <c r="F245">
        <v>272</v>
      </c>
      <c r="G245">
        <v>149</v>
      </c>
      <c r="H245">
        <v>188</v>
      </c>
      <c r="I245">
        <v>233</v>
      </c>
      <c r="J245">
        <v>99</v>
      </c>
      <c r="K245">
        <v>819</v>
      </c>
      <c r="L245">
        <v>190827</v>
      </c>
      <c r="M245">
        <f>Inventory_Data[[#This Row],[Opening Stock]]+Inventory_Data[[#This Row],[Purchase Qty]]-Inventory_Data[[#This Row],[Sales Qty]]-Inventory_Data[[#This Row],[Closing Stock]]</f>
        <v>0</v>
      </c>
      <c r="N245">
        <f>Inventory_Data[[#This Row],[Purchase Qty]]*Inventory_Data[[#This Row],[Unit Cost]]</f>
        <v>122031</v>
      </c>
      <c r="O245" t="str">
        <f>IF(Inventory_Data[[#This Row],[Closing Stock]]&lt;=Inventory_Data[[#This Row],[Reorder Level]],"Low Stock","In Stock")</f>
        <v>In Stock</v>
      </c>
      <c r="P245" t="str">
        <f>TEXT(Inventory_Data[[#This Row],[Date]],"MMM")</f>
        <v>Feb</v>
      </c>
      <c r="Q245" t="str">
        <f>TEXT(Inventory_Data[[#This Row],[Date]],"YYYY")</f>
        <v>2025</v>
      </c>
    </row>
    <row r="246" spans="1:17" x14ac:dyDescent="0.3">
      <c r="A246" s="1">
        <v>45713</v>
      </c>
      <c r="B246" t="s">
        <v>36</v>
      </c>
      <c r="C246" t="s">
        <v>22</v>
      </c>
      <c r="D246" t="s">
        <v>26</v>
      </c>
      <c r="E246" t="s">
        <v>20</v>
      </c>
      <c r="F246">
        <v>132</v>
      </c>
      <c r="G246">
        <v>128</v>
      </c>
      <c r="H246">
        <v>158</v>
      </c>
      <c r="I246">
        <v>102</v>
      </c>
      <c r="J246">
        <v>111</v>
      </c>
      <c r="K246">
        <v>1199</v>
      </c>
      <c r="L246">
        <v>122298</v>
      </c>
      <c r="M246">
        <f>Inventory_Data[[#This Row],[Opening Stock]]+Inventory_Data[[#This Row],[Purchase Qty]]-Inventory_Data[[#This Row],[Sales Qty]]-Inventory_Data[[#This Row],[Closing Stock]]</f>
        <v>0</v>
      </c>
      <c r="N246">
        <f>Inventory_Data[[#This Row],[Purchase Qty]]*Inventory_Data[[#This Row],[Unit Cost]]</f>
        <v>153472</v>
      </c>
      <c r="O246" t="str">
        <f>IF(Inventory_Data[[#This Row],[Closing Stock]]&lt;=Inventory_Data[[#This Row],[Reorder Level]],"Low Stock","In Stock")</f>
        <v>Low Stock</v>
      </c>
      <c r="P246" t="str">
        <f>TEXT(Inventory_Data[[#This Row],[Date]],"MMM")</f>
        <v>Feb</v>
      </c>
      <c r="Q246" t="str">
        <f>TEXT(Inventory_Data[[#This Row],[Date]],"YYYY")</f>
        <v>2025</v>
      </c>
    </row>
    <row r="247" spans="1:17" x14ac:dyDescent="0.3">
      <c r="A247" s="1">
        <v>45713</v>
      </c>
      <c r="B247" t="s">
        <v>19</v>
      </c>
      <c r="C247" t="s">
        <v>13</v>
      </c>
      <c r="D247" t="s">
        <v>14</v>
      </c>
      <c r="E247" t="s">
        <v>29</v>
      </c>
      <c r="F247">
        <v>114</v>
      </c>
      <c r="G247">
        <v>25</v>
      </c>
      <c r="H247">
        <v>48</v>
      </c>
      <c r="I247">
        <v>91</v>
      </c>
      <c r="J247">
        <v>28</v>
      </c>
      <c r="K247">
        <v>5963</v>
      </c>
      <c r="L247">
        <v>542633</v>
      </c>
      <c r="M247">
        <f>Inventory_Data[[#This Row],[Opening Stock]]+Inventory_Data[[#This Row],[Purchase Qty]]-Inventory_Data[[#This Row],[Sales Qty]]-Inventory_Data[[#This Row],[Closing Stock]]</f>
        <v>0</v>
      </c>
      <c r="N247">
        <f>Inventory_Data[[#This Row],[Purchase Qty]]*Inventory_Data[[#This Row],[Unit Cost]]</f>
        <v>149075</v>
      </c>
      <c r="O247" t="str">
        <f>IF(Inventory_Data[[#This Row],[Closing Stock]]&lt;=Inventory_Data[[#This Row],[Reorder Level]],"Low Stock","In Stock")</f>
        <v>In Stock</v>
      </c>
      <c r="P247" t="str">
        <f>TEXT(Inventory_Data[[#This Row],[Date]],"MMM")</f>
        <v>Feb</v>
      </c>
      <c r="Q247" t="str">
        <f>TEXT(Inventory_Data[[#This Row],[Date]],"YYYY")</f>
        <v>2025</v>
      </c>
    </row>
    <row r="248" spans="1:17" x14ac:dyDescent="0.3">
      <c r="A248" s="1">
        <v>45713</v>
      </c>
      <c r="B248" t="s">
        <v>41</v>
      </c>
      <c r="C248" t="s">
        <v>22</v>
      </c>
      <c r="D248" t="s">
        <v>14</v>
      </c>
      <c r="E248" t="s">
        <v>18</v>
      </c>
      <c r="F248">
        <v>128</v>
      </c>
      <c r="G248">
        <v>132</v>
      </c>
      <c r="H248">
        <v>202</v>
      </c>
      <c r="I248">
        <v>58</v>
      </c>
      <c r="J248">
        <v>71</v>
      </c>
      <c r="K248">
        <v>536</v>
      </c>
      <c r="L248">
        <v>31088</v>
      </c>
      <c r="M248">
        <f>Inventory_Data[[#This Row],[Opening Stock]]+Inventory_Data[[#This Row],[Purchase Qty]]-Inventory_Data[[#This Row],[Sales Qty]]-Inventory_Data[[#This Row],[Closing Stock]]</f>
        <v>0</v>
      </c>
      <c r="N248">
        <f>Inventory_Data[[#This Row],[Purchase Qty]]*Inventory_Data[[#This Row],[Unit Cost]]</f>
        <v>70752</v>
      </c>
      <c r="O248" t="str">
        <f>IF(Inventory_Data[[#This Row],[Closing Stock]]&lt;=Inventory_Data[[#This Row],[Reorder Level]],"Low Stock","In Stock")</f>
        <v>Low Stock</v>
      </c>
      <c r="P248" t="str">
        <f>TEXT(Inventory_Data[[#This Row],[Date]],"MMM")</f>
        <v>Feb</v>
      </c>
      <c r="Q248" t="str">
        <f>TEXT(Inventory_Data[[#This Row],[Date]],"YYYY")</f>
        <v>2025</v>
      </c>
    </row>
    <row r="249" spans="1:17" x14ac:dyDescent="0.3">
      <c r="A249" s="1">
        <v>45713</v>
      </c>
      <c r="B249" t="s">
        <v>31</v>
      </c>
      <c r="C249" t="s">
        <v>22</v>
      </c>
      <c r="D249" t="s">
        <v>14</v>
      </c>
      <c r="E249" t="s">
        <v>24</v>
      </c>
      <c r="F249">
        <v>400</v>
      </c>
      <c r="G249">
        <v>161</v>
      </c>
      <c r="H249">
        <v>235</v>
      </c>
      <c r="I249">
        <v>326</v>
      </c>
      <c r="J249">
        <v>140</v>
      </c>
      <c r="K249">
        <v>327</v>
      </c>
      <c r="L249">
        <v>106602</v>
      </c>
      <c r="M249">
        <f>Inventory_Data[[#This Row],[Opening Stock]]+Inventory_Data[[#This Row],[Purchase Qty]]-Inventory_Data[[#This Row],[Sales Qty]]-Inventory_Data[[#This Row],[Closing Stock]]</f>
        <v>0</v>
      </c>
      <c r="N249">
        <f>Inventory_Data[[#This Row],[Purchase Qty]]*Inventory_Data[[#This Row],[Unit Cost]]</f>
        <v>52647</v>
      </c>
      <c r="O249" t="str">
        <f>IF(Inventory_Data[[#This Row],[Closing Stock]]&lt;=Inventory_Data[[#This Row],[Reorder Level]],"Low Stock","In Stock")</f>
        <v>In Stock</v>
      </c>
      <c r="P249" t="str">
        <f>TEXT(Inventory_Data[[#This Row],[Date]],"MMM")</f>
        <v>Feb</v>
      </c>
      <c r="Q249" t="str">
        <f>TEXT(Inventory_Data[[#This Row],[Date]],"YYYY")</f>
        <v>2025</v>
      </c>
    </row>
    <row r="250" spans="1:17" x14ac:dyDescent="0.3">
      <c r="A250" s="1">
        <v>45713</v>
      </c>
      <c r="B250" t="s">
        <v>21</v>
      </c>
      <c r="C250" t="s">
        <v>22</v>
      </c>
      <c r="D250" t="s">
        <v>14</v>
      </c>
      <c r="E250" t="s">
        <v>15</v>
      </c>
      <c r="F250">
        <v>84</v>
      </c>
      <c r="G250">
        <v>141</v>
      </c>
      <c r="H250">
        <v>45</v>
      </c>
      <c r="I250">
        <v>180</v>
      </c>
      <c r="J250">
        <v>138</v>
      </c>
      <c r="K250">
        <v>458</v>
      </c>
      <c r="L250">
        <v>82440</v>
      </c>
      <c r="M250">
        <f>Inventory_Data[[#This Row],[Opening Stock]]+Inventory_Data[[#This Row],[Purchase Qty]]-Inventory_Data[[#This Row],[Sales Qty]]-Inventory_Data[[#This Row],[Closing Stock]]</f>
        <v>0</v>
      </c>
      <c r="N250">
        <f>Inventory_Data[[#This Row],[Purchase Qty]]*Inventory_Data[[#This Row],[Unit Cost]]</f>
        <v>64578</v>
      </c>
      <c r="O250" t="str">
        <f>IF(Inventory_Data[[#This Row],[Closing Stock]]&lt;=Inventory_Data[[#This Row],[Reorder Level]],"Low Stock","In Stock")</f>
        <v>In Stock</v>
      </c>
      <c r="P250" t="str">
        <f>TEXT(Inventory_Data[[#This Row],[Date]],"MMM")</f>
        <v>Feb</v>
      </c>
      <c r="Q250" t="str">
        <f>TEXT(Inventory_Data[[#This Row],[Date]],"YYYY")</f>
        <v>2025</v>
      </c>
    </row>
    <row r="251" spans="1:17" x14ac:dyDescent="0.3">
      <c r="A251" s="1">
        <v>45714</v>
      </c>
      <c r="B251" t="s">
        <v>33</v>
      </c>
      <c r="C251" t="s">
        <v>13</v>
      </c>
      <c r="D251" t="s">
        <v>37</v>
      </c>
      <c r="E251" t="s">
        <v>29</v>
      </c>
      <c r="F251">
        <v>107</v>
      </c>
      <c r="G251">
        <v>23</v>
      </c>
      <c r="H251">
        <v>35</v>
      </c>
      <c r="I251">
        <v>95</v>
      </c>
      <c r="J251">
        <v>17</v>
      </c>
      <c r="K251">
        <v>15272</v>
      </c>
      <c r="L251">
        <v>1450840</v>
      </c>
      <c r="M251">
        <f>Inventory_Data[[#This Row],[Opening Stock]]+Inventory_Data[[#This Row],[Purchase Qty]]-Inventory_Data[[#This Row],[Sales Qty]]-Inventory_Data[[#This Row],[Closing Stock]]</f>
        <v>0</v>
      </c>
      <c r="N251">
        <f>Inventory_Data[[#This Row],[Purchase Qty]]*Inventory_Data[[#This Row],[Unit Cost]]</f>
        <v>351256</v>
      </c>
      <c r="O251" t="str">
        <f>IF(Inventory_Data[[#This Row],[Closing Stock]]&lt;=Inventory_Data[[#This Row],[Reorder Level]],"Low Stock","In Stock")</f>
        <v>In Stock</v>
      </c>
      <c r="P251" t="str">
        <f>TEXT(Inventory_Data[[#This Row],[Date]],"MMM")</f>
        <v>Feb</v>
      </c>
      <c r="Q251" t="str">
        <f>TEXT(Inventory_Data[[#This Row],[Date]],"YYYY")</f>
        <v>2025</v>
      </c>
    </row>
    <row r="252" spans="1:17" x14ac:dyDescent="0.3">
      <c r="A252" s="1">
        <v>45714</v>
      </c>
      <c r="B252" t="s">
        <v>25</v>
      </c>
      <c r="C252" t="s">
        <v>17</v>
      </c>
      <c r="D252" t="s">
        <v>26</v>
      </c>
      <c r="E252" t="s">
        <v>18</v>
      </c>
      <c r="F252">
        <v>61</v>
      </c>
      <c r="G252">
        <v>44</v>
      </c>
      <c r="H252">
        <v>24</v>
      </c>
      <c r="I252">
        <v>81</v>
      </c>
      <c r="J252">
        <v>16</v>
      </c>
      <c r="K252">
        <v>23802</v>
      </c>
      <c r="L252">
        <v>1927962</v>
      </c>
      <c r="M252">
        <f>Inventory_Data[[#This Row],[Opening Stock]]+Inventory_Data[[#This Row],[Purchase Qty]]-Inventory_Data[[#This Row],[Sales Qty]]-Inventory_Data[[#This Row],[Closing Stock]]</f>
        <v>0</v>
      </c>
      <c r="N252">
        <f>Inventory_Data[[#This Row],[Purchase Qty]]*Inventory_Data[[#This Row],[Unit Cost]]</f>
        <v>1047288</v>
      </c>
      <c r="O252" t="str">
        <f>IF(Inventory_Data[[#This Row],[Closing Stock]]&lt;=Inventory_Data[[#This Row],[Reorder Level]],"Low Stock","In Stock")</f>
        <v>In Stock</v>
      </c>
      <c r="P252" t="str">
        <f>TEXT(Inventory_Data[[#This Row],[Date]],"MMM")</f>
        <v>Feb</v>
      </c>
      <c r="Q252" t="str">
        <f>TEXT(Inventory_Data[[#This Row],[Date]],"YYYY")</f>
        <v>2025</v>
      </c>
    </row>
    <row r="253" spans="1:17" x14ac:dyDescent="0.3">
      <c r="A253" s="1">
        <v>45714</v>
      </c>
      <c r="B253" t="s">
        <v>45</v>
      </c>
      <c r="C253" t="s">
        <v>13</v>
      </c>
      <c r="D253" t="s">
        <v>26</v>
      </c>
      <c r="E253" t="s">
        <v>24</v>
      </c>
      <c r="F253">
        <v>112</v>
      </c>
      <c r="G253">
        <v>72</v>
      </c>
      <c r="H253">
        <v>58</v>
      </c>
      <c r="I253">
        <v>126</v>
      </c>
      <c r="J253">
        <v>21</v>
      </c>
      <c r="K253">
        <v>2401</v>
      </c>
      <c r="L253">
        <v>302526</v>
      </c>
      <c r="M253">
        <f>Inventory_Data[[#This Row],[Opening Stock]]+Inventory_Data[[#This Row],[Purchase Qty]]-Inventory_Data[[#This Row],[Sales Qty]]-Inventory_Data[[#This Row],[Closing Stock]]</f>
        <v>0</v>
      </c>
      <c r="N253">
        <f>Inventory_Data[[#This Row],[Purchase Qty]]*Inventory_Data[[#This Row],[Unit Cost]]</f>
        <v>172872</v>
      </c>
      <c r="O253" t="str">
        <f>IF(Inventory_Data[[#This Row],[Closing Stock]]&lt;=Inventory_Data[[#This Row],[Reorder Level]],"Low Stock","In Stock")</f>
        <v>In Stock</v>
      </c>
      <c r="P253" t="str">
        <f>TEXT(Inventory_Data[[#This Row],[Date]],"MMM")</f>
        <v>Feb</v>
      </c>
      <c r="Q253" t="str">
        <f>TEXT(Inventory_Data[[#This Row],[Date]],"YYYY")</f>
        <v>2025</v>
      </c>
    </row>
    <row r="254" spans="1:17" x14ac:dyDescent="0.3">
      <c r="A254" s="1">
        <v>45714</v>
      </c>
      <c r="B254" t="s">
        <v>42</v>
      </c>
      <c r="C254" t="s">
        <v>17</v>
      </c>
      <c r="D254" t="s">
        <v>14</v>
      </c>
      <c r="E254" t="s">
        <v>15</v>
      </c>
      <c r="F254">
        <v>47</v>
      </c>
      <c r="G254">
        <v>12</v>
      </c>
      <c r="H254">
        <v>44</v>
      </c>
      <c r="I254">
        <v>15</v>
      </c>
      <c r="J254">
        <v>17</v>
      </c>
      <c r="K254">
        <v>4155</v>
      </c>
      <c r="L254">
        <v>62325</v>
      </c>
      <c r="M254">
        <f>Inventory_Data[[#This Row],[Opening Stock]]+Inventory_Data[[#This Row],[Purchase Qty]]-Inventory_Data[[#This Row],[Sales Qty]]-Inventory_Data[[#This Row],[Closing Stock]]</f>
        <v>0</v>
      </c>
      <c r="N254">
        <f>Inventory_Data[[#This Row],[Purchase Qty]]*Inventory_Data[[#This Row],[Unit Cost]]</f>
        <v>49860</v>
      </c>
      <c r="O254" t="str">
        <f>IF(Inventory_Data[[#This Row],[Closing Stock]]&lt;=Inventory_Data[[#This Row],[Reorder Level]],"Low Stock","In Stock")</f>
        <v>Low Stock</v>
      </c>
      <c r="P254" t="str">
        <f>TEXT(Inventory_Data[[#This Row],[Date]],"MMM")</f>
        <v>Feb</v>
      </c>
      <c r="Q254" t="str">
        <f>TEXT(Inventory_Data[[#This Row],[Date]],"YYYY")</f>
        <v>2025</v>
      </c>
    </row>
    <row r="255" spans="1:17" x14ac:dyDescent="0.3">
      <c r="A255" s="1">
        <v>45715</v>
      </c>
      <c r="B255" t="s">
        <v>35</v>
      </c>
      <c r="C255" t="s">
        <v>22</v>
      </c>
      <c r="D255" t="s">
        <v>14</v>
      </c>
      <c r="E255" t="s">
        <v>18</v>
      </c>
      <c r="F255">
        <v>377</v>
      </c>
      <c r="G255">
        <v>248</v>
      </c>
      <c r="H255">
        <v>118</v>
      </c>
      <c r="I255">
        <v>507</v>
      </c>
      <c r="J255">
        <v>57</v>
      </c>
      <c r="K255">
        <v>347</v>
      </c>
      <c r="L255">
        <v>175929</v>
      </c>
      <c r="M255">
        <f>Inventory_Data[[#This Row],[Opening Stock]]+Inventory_Data[[#This Row],[Purchase Qty]]-Inventory_Data[[#This Row],[Sales Qty]]-Inventory_Data[[#This Row],[Closing Stock]]</f>
        <v>0</v>
      </c>
      <c r="N255">
        <f>Inventory_Data[[#This Row],[Purchase Qty]]*Inventory_Data[[#This Row],[Unit Cost]]</f>
        <v>86056</v>
      </c>
      <c r="O255" t="str">
        <f>IF(Inventory_Data[[#This Row],[Closing Stock]]&lt;=Inventory_Data[[#This Row],[Reorder Level]],"Low Stock","In Stock")</f>
        <v>In Stock</v>
      </c>
      <c r="P255" t="str">
        <f>TEXT(Inventory_Data[[#This Row],[Date]],"MMM")</f>
        <v>Feb</v>
      </c>
      <c r="Q255" t="str">
        <f>TEXT(Inventory_Data[[#This Row],[Date]],"YYYY")</f>
        <v>2025</v>
      </c>
    </row>
    <row r="256" spans="1:17" x14ac:dyDescent="0.3">
      <c r="A256" s="1">
        <v>45715</v>
      </c>
      <c r="B256" t="s">
        <v>45</v>
      </c>
      <c r="C256" t="s">
        <v>13</v>
      </c>
      <c r="D256" t="s">
        <v>14</v>
      </c>
      <c r="E256" t="s">
        <v>24</v>
      </c>
      <c r="F256">
        <v>87</v>
      </c>
      <c r="G256">
        <v>8</v>
      </c>
      <c r="H256">
        <v>12</v>
      </c>
      <c r="I256">
        <v>83</v>
      </c>
      <c r="J256">
        <v>23</v>
      </c>
      <c r="K256">
        <v>2682</v>
      </c>
      <c r="L256">
        <v>222606</v>
      </c>
      <c r="M256">
        <f>Inventory_Data[[#This Row],[Opening Stock]]+Inventory_Data[[#This Row],[Purchase Qty]]-Inventory_Data[[#This Row],[Sales Qty]]-Inventory_Data[[#This Row],[Closing Stock]]</f>
        <v>0</v>
      </c>
      <c r="N256">
        <f>Inventory_Data[[#This Row],[Purchase Qty]]*Inventory_Data[[#This Row],[Unit Cost]]</f>
        <v>21456</v>
      </c>
      <c r="O256" t="str">
        <f>IF(Inventory_Data[[#This Row],[Closing Stock]]&lt;=Inventory_Data[[#This Row],[Reorder Level]],"Low Stock","In Stock")</f>
        <v>In Stock</v>
      </c>
      <c r="P256" t="str">
        <f>TEXT(Inventory_Data[[#This Row],[Date]],"MMM")</f>
        <v>Feb</v>
      </c>
      <c r="Q256" t="str">
        <f>TEXT(Inventory_Data[[#This Row],[Date]],"YYYY")</f>
        <v>2025</v>
      </c>
    </row>
    <row r="257" spans="1:17" x14ac:dyDescent="0.3">
      <c r="A257" s="1">
        <v>45715</v>
      </c>
      <c r="B257" t="s">
        <v>41</v>
      </c>
      <c r="C257" t="s">
        <v>22</v>
      </c>
      <c r="D257" t="s">
        <v>14</v>
      </c>
      <c r="E257" t="s">
        <v>18</v>
      </c>
      <c r="F257">
        <v>171</v>
      </c>
      <c r="G257">
        <v>30</v>
      </c>
      <c r="H257">
        <v>201</v>
      </c>
      <c r="I257">
        <v>0</v>
      </c>
      <c r="J257">
        <v>145</v>
      </c>
      <c r="K257">
        <v>821</v>
      </c>
      <c r="L257">
        <v>0</v>
      </c>
      <c r="M257">
        <f>Inventory_Data[[#This Row],[Opening Stock]]+Inventory_Data[[#This Row],[Purchase Qty]]-Inventory_Data[[#This Row],[Sales Qty]]-Inventory_Data[[#This Row],[Closing Stock]]</f>
        <v>0</v>
      </c>
      <c r="N257">
        <f>Inventory_Data[[#This Row],[Purchase Qty]]*Inventory_Data[[#This Row],[Unit Cost]]</f>
        <v>24630</v>
      </c>
      <c r="O257" t="str">
        <f>IF(Inventory_Data[[#This Row],[Closing Stock]]&lt;=Inventory_Data[[#This Row],[Reorder Level]],"Low Stock","In Stock")</f>
        <v>Low Stock</v>
      </c>
      <c r="P257" t="str">
        <f>TEXT(Inventory_Data[[#This Row],[Date]],"MMM")</f>
        <v>Feb</v>
      </c>
      <c r="Q257" t="str">
        <f>TEXT(Inventory_Data[[#This Row],[Date]],"YYYY")</f>
        <v>2025</v>
      </c>
    </row>
    <row r="258" spans="1:17" x14ac:dyDescent="0.3">
      <c r="A258" s="1">
        <v>45715</v>
      </c>
      <c r="B258" t="s">
        <v>31</v>
      </c>
      <c r="C258" t="s">
        <v>22</v>
      </c>
      <c r="D258" t="s">
        <v>37</v>
      </c>
      <c r="E258" t="s">
        <v>20</v>
      </c>
      <c r="F258">
        <v>333</v>
      </c>
      <c r="G258">
        <v>55</v>
      </c>
      <c r="H258">
        <v>75</v>
      </c>
      <c r="I258">
        <v>313</v>
      </c>
      <c r="J258">
        <v>146</v>
      </c>
      <c r="K258">
        <v>1087</v>
      </c>
      <c r="L258">
        <v>340231</v>
      </c>
      <c r="M258">
        <f>Inventory_Data[[#This Row],[Opening Stock]]+Inventory_Data[[#This Row],[Purchase Qty]]-Inventory_Data[[#This Row],[Sales Qty]]-Inventory_Data[[#This Row],[Closing Stock]]</f>
        <v>0</v>
      </c>
      <c r="N258">
        <f>Inventory_Data[[#This Row],[Purchase Qty]]*Inventory_Data[[#This Row],[Unit Cost]]</f>
        <v>59785</v>
      </c>
      <c r="O258" t="str">
        <f>IF(Inventory_Data[[#This Row],[Closing Stock]]&lt;=Inventory_Data[[#This Row],[Reorder Level]],"Low Stock","In Stock")</f>
        <v>In Stock</v>
      </c>
      <c r="P258" t="str">
        <f>TEXT(Inventory_Data[[#This Row],[Date]],"MMM")</f>
        <v>Feb</v>
      </c>
      <c r="Q258" t="str">
        <f>TEXT(Inventory_Data[[#This Row],[Date]],"YYYY")</f>
        <v>2025</v>
      </c>
    </row>
    <row r="259" spans="1:17" x14ac:dyDescent="0.3">
      <c r="A259" s="1">
        <v>45715</v>
      </c>
      <c r="B259" t="s">
        <v>42</v>
      </c>
      <c r="C259" t="s">
        <v>17</v>
      </c>
      <c r="D259" t="s">
        <v>26</v>
      </c>
      <c r="E259" t="s">
        <v>18</v>
      </c>
      <c r="F259">
        <v>50</v>
      </c>
      <c r="G259">
        <v>10</v>
      </c>
      <c r="H259">
        <v>12</v>
      </c>
      <c r="I259">
        <v>48</v>
      </c>
      <c r="J259">
        <v>15</v>
      </c>
      <c r="K259">
        <v>20180</v>
      </c>
      <c r="L259">
        <v>968640</v>
      </c>
      <c r="M259">
        <f>Inventory_Data[[#This Row],[Opening Stock]]+Inventory_Data[[#This Row],[Purchase Qty]]-Inventory_Data[[#This Row],[Sales Qty]]-Inventory_Data[[#This Row],[Closing Stock]]</f>
        <v>0</v>
      </c>
      <c r="N259">
        <f>Inventory_Data[[#This Row],[Purchase Qty]]*Inventory_Data[[#This Row],[Unit Cost]]</f>
        <v>201800</v>
      </c>
      <c r="O259" t="str">
        <f>IF(Inventory_Data[[#This Row],[Closing Stock]]&lt;=Inventory_Data[[#This Row],[Reorder Level]],"Low Stock","In Stock")</f>
        <v>In Stock</v>
      </c>
      <c r="P259" t="str">
        <f>TEXT(Inventory_Data[[#This Row],[Date]],"MMM")</f>
        <v>Feb</v>
      </c>
      <c r="Q259" t="str">
        <f>TEXT(Inventory_Data[[#This Row],[Date]],"YYYY")</f>
        <v>2025</v>
      </c>
    </row>
    <row r="260" spans="1:17" x14ac:dyDescent="0.3">
      <c r="A260" s="1">
        <v>45716</v>
      </c>
      <c r="B260" t="s">
        <v>32</v>
      </c>
      <c r="C260" t="s">
        <v>28</v>
      </c>
      <c r="D260" t="s">
        <v>23</v>
      </c>
      <c r="E260" t="s">
        <v>18</v>
      </c>
      <c r="F260">
        <v>150</v>
      </c>
      <c r="G260">
        <v>37</v>
      </c>
      <c r="H260">
        <v>78</v>
      </c>
      <c r="I260">
        <v>109</v>
      </c>
      <c r="J260">
        <v>54</v>
      </c>
      <c r="K260">
        <v>9746</v>
      </c>
      <c r="L260">
        <v>1062314</v>
      </c>
      <c r="M260">
        <f>Inventory_Data[[#This Row],[Opening Stock]]+Inventory_Data[[#This Row],[Purchase Qty]]-Inventory_Data[[#This Row],[Sales Qty]]-Inventory_Data[[#This Row],[Closing Stock]]</f>
        <v>0</v>
      </c>
      <c r="N260">
        <f>Inventory_Data[[#This Row],[Purchase Qty]]*Inventory_Data[[#This Row],[Unit Cost]]</f>
        <v>360602</v>
      </c>
      <c r="O260" t="str">
        <f>IF(Inventory_Data[[#This Row],[Closing Stock]]&lt;=Inventory_Data[[#This Row],[Reorder Level]],"Low Stock","In Stock")</f>
        <v>In Stock</v>
      </c>
      <c r="P260" t="str">
        <f>TEXT(Inventory_Data[[#This Row],[Date]],"MMM")</f>
        <v>Feb</v>
      </c>
      <c r="Q260" t="str">
        <f>TEXT(Inventory_Data[[#This Row],[Date]],"YYYY")</f>
        <v>2025</v>
      </c>
    </row>
    <row r="261" spans="1:17" x14ac:dyDescent="0.3">
      <c r="A261" s="1">
        <v>45716</v>
      </c>
      <c r="B261" t="s">
        <v>33</v>
      </c>
      <c r="C261" t="s">
        <v>13</v>
      </c>
      <c r="D261" t="s">
        <v>37</v>
      </c>
      <c r="E261" t="s">
        <v>34</v>
      </c>
      <c r="F261">
        <v>16</v>
      </c>
      <c r="G261">
        <v>19</v>
      </c>
      <c r="H261">
        <v>35</v>
      </c>
      <c r="I261">
        <v>0</v>
      </c>
      <c r="J261">
        <v>19</v>
      </c>
      <c r="K261">
        <v>4388</v>
      </c>
      <c r="L261">
        <v>0</v>
      </c>
      <c r="M261">
        <f>Inventory_Data[[#This Row],[Opening Stock]]+Inventory_Data[[#This Row],[Purchase Qty]]-Inventory_Data[[#This Row],[Sales Qty]]-Inventory_Data[[#This Row],[Closing Stock]]</f>
        <v>0</v>
      </c>
      <c r="N261">
        <f>Inventory_Data[[#This Row],[Purchase Qty]]*Inventory_Data[[#This Row],[Unit Cost]]</f>
        <v>83372</v>
      </c>
      <c r="O261" t="str">
        <f>IF(Inventory_Data[[#This Row],[Closing Stock]]&lt;=Inventory_Data[[#This Row],[Reorder Level]],"Low Stock","In Stock")</f>
        <v>Low Stock</v>
      </c>
      <c r="P261" t="str">
        <f>TEXT(Inventory_Data[[#This Row],[Date]],"MMM")</f>
        <v>Feb</v>
      </c>
      <c r="Q261" t="str">
        <f>TEXT(Inventory_Data[[#This Row],[Date]],"YYYY")</f>
        <v>2025</v>
      </c>
    </row>
    <row r="262" spans="1:17" x14ac:dyDescent="0.3">
      <c r="A262" s="1">
        <v>45716</v>
      </c>
      <c r="B262" t="s">
        <v>41</v>
      </c>
      <c r="C262" t="s">
        <v>22</v>
      </c>
      <c r="D262" t="s">
        <v>14</v>
      </c>
      <c r="E262" t="s">
        <v>34</v>
      </c>
      <c r="F262">
        <v>268</v>
      </c>
      <c r="G262">
        <v>295</v>
      </c>
      <c r="H262">
        <v>150</v>
      </c>
      <c r="I262">
        <v>413</v>
      </c>
      <c r="J262">
        <v>51</v>
      </c>
      <c r="K262">
        <v>255</v>
      </c>
      <c r="L262">
        <v>105315</v>
      </c>
      <c r="M262">
        <f>Inventory_Data[[#This Row],[Opening Stock]]+Inventory_Data[[#This Row],[Purchase Qty]]-Inventory_Data[[#This Row],[Sales Qty]]-Inventory_Data[[#This Row],[Closing Stock]]</f>
        <v>0</v>
      </c>
      <c r="N262">
        <f>Inventory_Data[[#This Row],[Purchase Qty]]*Inventory_Data[[#This Row],[Unit Cost]]</f>
        <v>75225</v>
      </c>
      <c r="O262" t="str">
        <f>IF(Inventory_Data[[#This Row],[Closing Stock]]&lt;=Inventory_Data[[#This Row],[Reorder Level]],"Low Stock","In Stock")</f>
        <v>In Stock</v>
      </c>
      <c r="P262" t="str">
        <f>TEXT(Inventory_Data[[#This Row],[Date]],"MMM")</f>
        <v>Feb</v>
      </c>
      <c r="Q262" t="str">
        <f>TEXT(Inventory_Data[[#This Row],[Date]],"YYYY")</f>
        <v>2025</v>
      </c>
    </row>
    <row r="263" spans="1:17" x14ac:dyDescent="0.3">
      <c r="A263" s="1">
        <v>45716</v>
      </c>
      <c r="B263" t="s">
        <v>19</v>
      </c>
      <c r="C263" t="s">
        <v>13</v>
      </c>
      <c r="D263" t="s">
        <v>23</v>
      </c>
      <c r="E263" t="s">
        <v>34</v>
      </c>
      <c r="F263">
        <v>90</v>
      </c>
      <c r="G263">
        <v>48</v>
      </c>
      <c r="H263">
        <v>26</v>
      </c>
      <c r="I263">
        <v>112</v>
      </c>
      <c r="J263">
        <v>18</v>
      </c>
      <c r="K263">
        <v>10047</v>
      </c>
      <c r="L263">
        <v>1125264</v>
      </c>
      <c r="M263">
        <f>Inventory_Data[[#This Row],[Opening Stock]]+Inventory_Data[[#This Row],[Purchase Qty]]-Inventory_Data[[#This Row],[Sales Qty]]-Inventory_Data[[#This Row],[Closing Stock]]</f>
        <v>0</v>
      </c>
      <c r="N263">
        <f>Inventory_Data[[#This Row],[Purchase Qty]]*Inventory_Data[[#This Row],[Unit Cost]]</f>
        <v>482256</v>
      </c>
      <c r="O263" t="str">
        <f>IF(Inventory_Data[[#This Row],[Closing Stock]]&lt;=Inventory_Data[[#This Row],[Reorder Level]],"Low Stock","In Stock")</f>
        <v>In Stock</v>
      </c>
      <c r="P263" t="str">
        <f>TEXT(Inventory_Data[[#This Row],[Date]],"MMM")</f>
        <v>Feb</v>
      </c>
      <c r="Q263" t="str">
        <f>TEXT(Inventory_Data[[#This Row],[Date]],"YYYY")</f>
        <v>2025</v>
      </c>
    </row>
    <row r="264" spans="1:17" x14ac:dyDescent="0.3">
      <c r="A264" s="1">
        <v>45716</v>
      </c>
      <c r="B264" t="s">
        <v>33</v>
      </c>
      <c r="C264" t="s">
        <v>13</v>
      </c>
      <c r="D264" t="s">
        <v>14</v>
      </c>
      <c r="E264" t="s">
        <v>15</v>
      </c>
      <c r="F264">
        <v>47</v>
      </c>
      <c r="G264">
        <v>32</v>
      </c>
      <c r="H264">
        <v>20</v>
      </c>
      <c r="I264">
        <v>59</v>
      </c>
      <c r="J264">
        <v>34</v>
      </c>
      <c r="K264">
        <v>15452</v>
      </c>
      <c r="L264">
        <v>911668</v>
      </c>
      <c r="M264">
        <f>Inventory_Data[[#This Row],[Opening Stock]]+Inventory_Data[[#This Row],[Purchase Qty]]-Inventory_Data[[#This Row],[Sales Qty]]-Inventory_Data[[#This Row],[Closing Stock]]</f>
        <v>0</v>
      </c>
      <c r="N264">
        <f>Inventory_Data[[#This Row],[Purchase Qty]]*Inventory_Data[[#This Row],[Unit Cost]]</f>
        <v>494464</v>
      </c>
      <c r="O264" t="str">
        <f>IF(Inventory_Data[[#This Row],[Closing Stock]]&lt;=Inventory_Data[[#This Row],[Reorder Level]],"Low Stock","In Stock")</f>
        <v>In Stock</v>
      </c>
      <c r="P264" t="str">
        <f>TEXT(Inventory_Data[[#This Row],[Date]],"MMM")</f>
        <v>Feb</v>
      </c>
      <c r="Q264" t="str">
        <f>TEXT(Inventory_Data[[#This Row],[Date]],"YYYY")</f>
        <v>2025</v>
      </c>
    </row>
    <row r="265" spans="1:17" x14ac:dyDescent="0.3">
      <c r="A265" s="1">
        <v>45716</v>
      </c>
      <c r="B265" t="s">
        <v>36</v>
      </c>
      <c r="C265" t="s">
        <v>22</v>
      </c>
      <c r="D265" t="s">
        <v>37</v>
      </c>
      <c r="E265" t="s">
        <v>29</v>
      </c>
      <c r="F265">
        <v>58</v>
      </c>
      <c r="G265">
        <v>196</v>
      </c>
      <c r="H265">
        <v>200</v>
      </c>
      <c r="I265">
        <v>54</v>
      </c>
      <c r="J265">
        <v>71</v>
      </c>
      <c r="K265">
        <v>261</v>
      </c>
      <c r="L265">
        <v>14094</v>
      </c>
      <c r="M265">
        <f>Inventory_Data[[#This Row],[Opening Stock]]+Inventory_Data[[#This Row],[Purchase Qty]]-Inventory_Data[[#This Row],[Sales Qty]]-Inventory_Data[[#This Row],[Closing Stock]]</f>
        <v>0</v>
      </c>
      <c r="N265">
        <f>Inventory_Data[[#This Row],[Purchase Qty]]*Inventory_Data[[#This Row],[Unit Cost]]</f>
        <v>51156</v>
      </c>
      <c r="O265" t="str">
        <f>IF(Inventory_Data[[#This Row],[Closing Stock]]&lt;=Inventory_Data[[#This Row],[Reorder Level]],"Low Stock","In Stock")</f>
        <v>Low Stock</v>
      </c>
      <c r="P265" t="str">
        <f>TEXT(Inventory_Data[[#This Row],[Date]],"MMM")</f>
        <v>Feb</v>
      </c>
      <c r="Q265" t="str">
        <f>TEXT(Inventory_Data[[#This Row],[Date]],"YYYY")</f>
        <v>2025</v>
      </c>
    </row>
    <row r="266" spans="1:17" x14ac:dyDescent="0.3">
      <c r="A266" s="1">
        <v>45716</v>
      </c>
      <c r="B266" t="s">
        <v>16</v>
      </c>
      <c r="C266" t="s">
        <v>17</v>
      </c>
      <c r="D266" t="s">
        <v>14</v>
      </c>
      <c r="E266" t="s">
        <v>29</v>
      </c>
      <c r="F266">
        <v>13</v>
      </c>
      <c r="G266">
        <v>44</v>
      </c>
      <c r="H266">
        <v>4</v>
      </c>
      <c r="I266">
        <v>53</v>
      </c>
      <c r="J266">
        <v>11</v>
      </c>
      <c r="K266">
        <v>10180</v>
      </c>
      <c r="L266">
        <v>539540</v>
      </c>
      <c r="M266">
        <f>Inventory_Data[[#This Row],[Opening Stock]]+Inventory_Data[[#This Row],[Purchase Qty]]-Inventory_Data[[#This Row],[Sales Qty]]-Inventory_Data[[#This Row],[Closing Stock]]</f>
        <v>0</v>
      </c>
      <c r="N266">
        <f>Inventory_Data[[#This Row],[Purchase Qty]]*Inventory_Data[[#This Row],[Unit Cost]]</f>
        <v>447920</v>
      </c>
      <c r="O266" t="str">
        <f>IF(Inventory_Data[[#This Row],[Closing Stock]]&lt;=Inventory_Data[[#This Row],[Reorder Level]],"Low Stock","In Stock")</f>
        <v>In Stock</v>
      </c>
      <c r="P266" t="str">
        <f>TEXT(Inventory_Data[[#This Row],[Date]],"MMM")</f>
        <v>Feb</v>
      </c>
      <c r="Q266" t="str">
        <f>TEXT(Inventory_Data[[#This Row],[Date]],"YYYY")</f>
        <v>2025</v>
      </c>
    </row>
    <row r="267" spans="1:17" x14ac:dyDescent="0.3">
      <c r="A267" s="1">
        <v>45717</v>
      </c>
      <c r="B267" t="s">
        <v>32</v>
      </c>
      <c r="C267" t="s">
        <v>28</v>
      </c>
      <c r="D267" t="s">
        <v>26</v>
      </c>
      <c r="E267" t="s">
        <v>15</v>
      </c>
      <c r="F267">
        <v>67</v>
      </c>
      <c r="G267">
        <v>108</v>
      </c>
      <c r="H267">
        <v>23</v>
      </c>
      <c r="I267">
        <v>152</v>
      </c>
      <c r="J267">
        <v>58</v>
      </c>
      <c r="K267">
        <v>46823</v>
      </c>
      <c r="L267">
        <v>7117096</v>
      </c>
      <c r="M267">
        <f>Inventory_Data[[#This Row],[Opening Stock]]+Inventory_Data[[#This Row],[Purchase Qty]]-Inventory_Data[[#This Row],[Sales Qty]]-Inventory_Data[[#This Row],[Closing Stock]]</f>
        <v>0</v>
      </c>
      <c r="N267">
        <f>Inventory_Data[[#This Row],[Purchase Qty]]*Inventory_Data[[#This Row],[Unit Cost]]</f>
        <v>5056884</v>
      </c>
      <c r="O267" t="str">
        <f>IF(Inventory_Data[[#This Row],[Closing Stock]]&lt;=Inventory_Data[[#This Row],[Reorder Level]],"Low Stock","In Stock")</f>
        <v>In Stock</v>
      </c>
      <c r="P267" t="str">
        <f>TEXT(Inventory_Data[[#This Row],[Date]],"MMM")</f>
        <v>Mar</v>
      </c>
      <c r="Q267" t="str">
        <f>TEXT(Inventory_Data[[#This Row],[Date]],"YYYY")</f>
        <v>2025</v>
      </c>
    </row>
    <row r="268" spans="1:17" x14ac:dyDescent="0.3">
      <c r="A268" s="1">
        <v>45717</v>
      </c>
      <c r="B268" t="s">
        <v>42</v>
      </c>
      <c r="C268" t="s">
        <v>17</v>
      </c>
      <c r="D268" t="s">
        <v>37</v>
      </c>
      <c r="E268" t="s">
        <v>15</v>
      </c>
      <c r="F268">
        <v>12</v>
      </c>
      <c r="G268">
        <v>58</v>
      </c>
      <c r="H268">
        <v>15</v>
      </c>
      <c r="I268">
        <v>55</v>
      </c>
      <c r="J268">
        <v>24</v>
      </c>
      <c r="K268">
        <v>15028</v>
      </c>
      <c r="L268">
        <v>826540</v>
      </c>
      <c r="M268">
        <f>Inventory_Data[[#This Row],[Opening Stock]]+Inventory_Data[[#This Row],[Purchase Qty]]-Inventory_Data[[#This Row],[Sales Qty]]-Inventory_Data[[#This Row],[Closing Stock]]</f>
        <v>0</v>
      </c>
      <c r="N268">
        <f>Inventory_Data[[#This Row],[Purchase Qty]]*Inventory_Data[[#This Row],[Unit Cost]]</f>
        <v>871624</v>
      </c>
      <c r="O268" t="str">
        <f>IF(Inventory_Data[[#This Row],[Closing Stock]]&lt;=Inventory_Data[[#This Row],[Reorder Level]],"Low Stock","In Stock")</f>
        <v>In Stock</v>
      </c>
      <c r="P268" t="str">
        <f>TEXT(Inventory_Data[[#This Row],[Date]],"MMM")</f>
        <v>Mar</v>
      </c>
      <c r="Q268" t="str">
        <f>TEXT(Inventory_Data[[#This Row],[Date]],"YYYY")</f>
        <v>2025</v>
      </c>
    </row>
    <row r="269" spans="1:17" x14ac:dyDescent="0.3">
      <c r="A269" s="1">
        <v>45717</v>
      </c>
      <c r="B269" t="s">
        <v>40</v>
      </c>
      <c r="C269" t="s">
        <v>28</v>
      </c>
      <c r="D269" t="s">
        <v>23</v>
      </c>
      <c r="E269" t="s">
        <v>15</v>
      </c>
      <c r="F269">
        <v>119</v>
      </c>
      <c r="G269">
        <v>10</v>
      </c>
      <c r="H269">
        <v>47</v>
      </c>
      <c r="I269">
        <v>82</v>
      </c>
      <c r="J269">
        <v>59</v>
      </c>
      <c r="K269">
        <v>46166</v>
      </c>
      <c r="L269">
        <v>3785612</v>
      </c>
      <c r="M269">
        <f>Inventory_Data[[#This Row],[Opening Stock]]+Inventory_Data[[#This Row],[Purchase Qty]]-Inventory_Data[[#This Row],[Sales Qty]]-Inventory_Data[[#This Row],[Closing Stock]]</f>
        <v>0</v>
      </c>
      <c r="N269">
        <f>Inventory_Data[[#This Row],[Purchase Qty]]*Inventory_Data[[#This Row],[Unit Cost]]</f>
        <v>461660</v>
      </c>
      <c r="O269" t="str">
        <f>IF(Inventory_Data[[#This Row],[Closing Stock]]&lt;=Inventory_Data[[#This Row],[Reorder Level]],"Low Stock","In Stock")</f>
        <v>In Stock</v>
      </c>
      <c r="P269" t="str">
        <f>TEXT(Inventory_Data[[#This Row],[Date]],"MMM")</f>
        <v>Mar</v>
      </c>
      <c r="Q269" t="str">
        <f>TEXT(Inventory_Data[[#This Row],[Date]],"YYYY")</f>
        <v>2025</v>
      </c>
    </row>
    <row r="270" spans="1:17" x14ac:dyDescent="0.3">
      <c r="A270" s="1">
        <v>45718</v>
      </c>
      <c r="B270" t="s">
        <v>36</v>
      </c>
      <c r="C270" t="s">
        <v>22</v>
      </c>
      <c r="D270" t="s">
        <v>14</v>
      </c>
      <c r="E270" t="s">
        <v>18</v>
      </c>
      <c r="F270">
        <v>172</v>
      </c>
      <c r="G270">
        <v>84</v>
      </c>
      <c r="H270">
        <v>172</v>
      </c>
      <c r="I270">
        <v>84</v>
      </c>
      <c r="J270">
        <v>108</v>
      </c>
      <c r="K270">
        <v>993</v>
      </c>
      <c r="L270">
        <v>83412</v>
      </c>
      <c r="M270">
        <f>Inventory_Data[[#This Row],[Opening Stock]]+Inventory_Data[[#This Row],[Purchase Qty]]-Inventory_Data[[#This Row],[Sales Qty]]-Inventory_Data[[#This Row],[Closing Stock]]</f>
        <v>0</v>
      </c>
      <c r="N270">
        <f>Inventory_Data[[#This Row],[Purchase Qty]]*Inventory_Data[[#This Row],[Unit Cost]]</f>
        <v>83412</v>
      </c>
      <c r="O270" t="str">
        <f>IF(Inventory_Data[[#This Row],[Closing Stock]]&lt;=Inventory_Data[[#This Row],[Reorder Level]],"Low Stock","In Stock")</f>
        <v>Low Stock</v>
      </c>
      <c r="P270" t="str">
        <f>TEXT(Inventory_Data[[#This Row],[Date]],"MMM")</f>
        <v>Mar</v>
      </c>
      <c r="Q270" t="str">
        <f>TEXT(Inventory_Data[[#This Row],[Date]],"YYYY")</f>
        <v>2025</v>
      </c>
    </row>
    <row r="271" spans="1:17" x14ac:dyDescent="0.3">
      <c r="A271" s="1">
        <v>45718</v>
      </c>
      <c r="B271" t="s">
        <v>45</v>
      </c>
      <c r="C271" t="s">
        <v>13</v>
      </c>
      <c r="D271" t="s">
        <v>26</v>
      </c>
      <c r="E271" t="s">
        <v>34</v>
      </c>
      <c r="F271">
        <v>86</v>
      </c>
      <c r="G271">
        <v>75</v>
      </c>
      <c r="H271">
        <v>8</v>
      </c>
      <c r="I271">
        <v>153</v>
      </c>
      <c r="J271">
        <v>26</v>
      </c>
      <c r="K271">
        <v>6726</v>
      </c>
      <c r="L271">
        <v>1029078</v>
      </c>
      <c r="M271">
        <f>Inventory_Data[[#This Row],[Opening Stock]]+Inventory_Data[[#This Row],[Purchase Qty]]-Inventory_Data[[#This Row],[Sales Qty]]-Inventory_Data[[#This Row],[Closing Stock]]</f>
        <v>0</v>
      </c>
      <c r="N271">
        <f>Inventory_Data[[#This Row],[Purchase Qty]]*Inventory_Data[[#This Row],[Unit Cost]]</f>
        <v>504450</v>
      </c>
      <c r="O271" t="str">
        <f>IF(Inventory_Data[[#This Row],[Closing Stock]]&lt;=Inventory_Data[[#This Row],[Reorder Level]],"Low Stock","In Stock")</f>
        <v>In Stock</v>
      </c>
      <c r="P271" t="str">
        <f>TEXT(Inventory_Data[[#This Row],[Date]],"MMM")</f>
        <v>Mar</v>
      </c>
      <c r="Q271" t="str">
        <f>TEXT(Inventory_Data[[#This Row],[Date]],"YYYY")</f>
        <v>2025</v>
      </c>
    </row>
    <row r="272" spans="1:17" x14ac:dyDescent="0.3">
      <c r="A272" s="1">
        <v>45718</v>
      </c>
      <c r="B272" t="s">
        <v>21</v>
      </c>
      <c r="C272" t="s">
        <v>22</v>
      </c>
      <c r="D272" t="s">
        <v>37</v>
      </c>
      <c r="E272" t="s">
        <v>34</v>
      </c>
      <c r="F272">
        <v>149</v>
      </c>
      <c r="G272">
        <v>233</v>
      </c>
      <c r="H272">
        <v>267</v>
      </c>
      <c r="I272">
        <v>115</v>
      </c>
      <c r="J272">
        <v>54</v>
      </c>
      <c r="K272">
        <v>505</v>
      </c>
      <c r="L272">
        <v>58075</v>
      </c>
      <c r="M272">
        <f>Inventory_Data[[#This Row],[Opening Stock]]+Inventory_Data[[#This Row],[Purchase Qty]]-Inventory_Data[[#This Row],[Sales Qty]]-Inventory_Data[[#This Row],[Closing Stock]]</f>
        <v>0</v>
      </c>
      <c r="N272">
        <f>Inventory_Data[[#This Row],[Purchase Qty]]*Inventory_Data[[#This Row],[Unit Cost]]</f>
        <v>117665</v>
      </c>
      <c r="O272" t="str">
        <f>IF(Inventory_Data[[#This Row],[Closing Stock]]&lt;=Inventory_Data[[#This Row],[Reorder Level]],"Low Stock","In Stock")</f>
        <v>In Stock</v>
      </c>
      <c r="P272" t="str">
        <f>TEXT(Inventory_Data[[#This Row],[Date]],"MMM")</f>
        <v>Mar</v>
      </c>
      <c r="Q272" t="str">
        <f>TEXT(Inventory_Data[[#This Row],[Date]],"YYYY")</f>
        <v>2025</v>
      </c>
    </row>
    <row r="273" spans="1:17" x14ac:dyDescent="0.3">
      <c r="A273" s="1">
        <v>45718</v>
      </c>
      <c r="B273" t="s">
        <v>32</v>
      </c>
      <c r="C273" t="s">
        <v>28</v>
      </c>
      <c r="D273" t="s">
        <v>26</v>
      </c>
      <c r="E273" t="s">
        <v>15</v>
      </c>
      <c r="F273">
        <v>132</v>
      </c>
      <c r="G273">
        <v>88</v>
      </c>
      <c r="H273">
        <v>38</v>
      </c>
      <c r="I273">
        <v>182</v>
      </c>
      <c r="J273">
        <v>36</v>
      </c>
      <c r="K273">
        <v>53605</v>
      </c>
      <c r="L273">
        <v>9756110</v>
      </c>
      <c r="M273">
        <f>Inventory_Data[[#This Row],[Opening Stock]]+Inventory_Data[[#This Row],[Purchase Qty]]-Inventory_Data[[#This Row],[Sales Qty]]-Inventory_Data[[#This Row],[Closing Stock]]</f>
        <v>0</v>
      </c>
      <c r="N273">
        <f>Inventory_Data[[#This Row],[Purchase Qty]]*Inventory_Data[[#This Row],[Unit Cost]]</f>
        <v>4717240</v>
      </c>
      <c r="O273" t="str">
        <f>IF(Inventory_Data[[#This Row],[Closing Stock]]&lt;=Inventory_Data[[#This Row],[Reorder Level]],"Low Stock","In Stock")</f>
        <v>In Stock</v>
      </c>
      <c r="P273" t="str">
        <f>TEXT(Inventory_Data[[#This Row],[Date]],"MMM")</f>
        <v>Mar</v>
      </c>
      <c r="Q273" t="str">
        <f>TEXT(Inventory_Data[[#This Row],[Date]],"YYYY")</f>
        <v>2025</v>
      </c>
    </row>
    <row r="274" spans="1:17" x14ac:dyDescent="0.3">
      <c r="A274" s="1">
        <v>45718</v>
      </c>
      <c r="B274" t="s">
        <v>41</v>
      </c>
      <c r="C274" t="s">
        <v>22</v>
      </c>
      <c r="D274" t="s">
        <v>23</v>
      </c>
      <c r="E274" t="s">
        <v>18</v>
      </c>
      <c r="F274">
        <v>334</v>
      </c>
      <c r="G274">
        <v>124</v>
      </c>
      <c r="H274">
        <v>50</v>
      </c>
      <c r="I274">
        <v>408</v>
      </c>
      <c r="J274">
        <v>53</v>
      </c>
      <c r="K274">
        <v>1190</v>
      </c>
      <c r="L274">
        <v>485520</v>
      </c>
      <c r="M274">
        <f>Inventory_Data[[#This Row],[Opening Stock]]+Inventory_Data[[#This Row],[Purchase Qty]]-Inventory_Data[[#This Row],[Sales Qty]]-Inventory_Data[[#This Row],[Closing Stock]]</f>
        <v>0</v>
      </c>
      <c r="N274">
        <f>Inventory_Data[[#This Row],[Purchase Qty]]*Inventory_Data[[#This Row],[Unit Cost]]</f>
        <v>147560</v>
      </c>
      <c r="O274" t="str">
        <f>IF(Inventory_Data[[#This Row],[Closing Stock]]&lt;=Inventory_Data[[#This Row],[Reorder Level]],"Low Stock","In Stock")</f>
        <v>In Stock</v>
      </c>
      <c r="P274" t="str">
        <f>TEXT(Inventory_Data[[#This Row],[Date]],"MMM")</f>
        <v>Mar</v>
      </c>
      <c r="Q274" t="str">
        <f>TEXT(Inventory_Data[[#This Row],[Date]],"YYYY")</f>
        <v>2025</v>
      </c>
    </row>
    <row r="275" spans="1:17" x14ac:dyDescent="0.3">
      <c r="A275" s="1">
        <v>45719</v>
      </c>
      <c r="B275" t="s">
        <v>32</v>
      </c>
      <c r="C275" t="s">
        <v>28</v>
      </c>
      <c r="D275" t="s">
        <v>23</v>
      </c>
      <c r="E275" t="s">
        <v>15</v>
      </c>
      <c r="F275">
        <v>36</v>
      </c>
      <c r="G275">
        <v>110</v>
      </c>
      <c r="H275">
        <v>24</v>
      </c>
      <c r="I275">
        <v>122</v>
      </c>
      <c r="J275">
        <v>56</v>
      </c>
      <c r="K275">
        <v>58146</v>
      </c>
      <c r="L275">
        <v>7093812</v>
      </c>
      <c r="M275">
        <f>Inventory_Data[[#This Row],[Opening Stock]]+Inventory_Data[[#This Row],[Purchase Qty]]-Inventory_Data[[#This Row],[Sales Qty]]-Inventory_Data[[#This Row],[Closing Stock]]</f>
        <v>0</v>
      </c>
      <c r="N275">
        <f>Inventory_Data[[#This Row],[Purchase Qty]]*Inventory_Data[[#This Row],[Unit Cost]]</f>
        <v>6396060</v>
      </c>
      <c r="O275" t="str">
        <f>IF(Inventory_Data[[#This Row],[Closing Stock]]&lt;=Inventory_Data[[#This Row],[Reorder Level]],"Low Stock","In Stock")</f>
        <v>In Stock</v>
      </c>
      <c r="P275" t="str">
        <f>TEXT(Inventory_Data[[#This Row],[Date]],"MMM")</f>
        <v>Mar</v>
      </c>
      <c r="Q275" t="str">
        <f>TEXT(Inventory_Data[[#This Row],[Date]],"YYYY")</f>
        <v>2025</v>
      </c>
    </row>
    <row r="276" spans="1:17" x14ac:dyDescent="0.3">
      <c r="A276" s="1">
        <v>45719</v>
      </c>
      <c r="B276" t="s">
        <v>42</v>
      </c>
      <c r="C276" t="s">
        <v>17</v>
      </c>
      <c r="D276" t="s">
        <v>26</v>
      </c>
      <c r="E276" t="s">
        <v>34</v>
      </c>
      <c r="F276">
        <v>12</v>
      </c>
      <c r="G276">
        <v>50</v>
      </c>
      <c r="H276">
        <v>5</v>
      </c>
      <c r="I276">
        <v>57</v>
      </c>
      <c r="J276">
        <v>28</v>
      </c>
      <c r="K276">
        <v>3060</v>
      </c>
      <c r="L276">
        <v>174420</v>
      </c>
      <c r="M276">
        <f>Inventory_Data[[#This Row],[Opening Stock]]+Inventory_Data[[#This Row],[Purchase Qty]]-Inventory_Data[[#This Row],[Sales Qty]]-Inventory_Data[[#This Row],[Closing Stock]]</f>
        <v>0</v>
      </c>
      <c r="N276">
        <f>Inventory_Data[[#This Row],[Purchase Qty]]*Inventory_Data[[#This Row],[Unit Cost]]</f>
        <v>153000</v>
      </c>
      <c r="O276" t="str">
        <f>IF(Inventory_Data[[#This Row],[Closing Stock]]&lt;=Inventory_Data[[#This Row],[Reorder Level]],"Low Stock","In Stock")</f>
        <v>In Stock</v>
      </c>
      <c r="P276" t="str">
        <f>TEXT(Inventory_Data[[#This Row],[Date]],"MMM")</f>
        <v>Mar</v>
      </c>
      <c r="Q276" t="str">
        <f>TEXT(Inventory_Data[[#This Row],[Date]],"YYYY")</f>
        <v>2025</v>
      </c>
    </row>
    <row r="277" spans="1:17" x14ac:dyDescent="0.3">
      <c r="A277" s="1">
        <v>45719</v>
      </c>
      <c r="B277" t="s">
        <v>33</v>
      </c>
      <c r="C277" t="s">
        <v>13</v>
      </c>
      <c r="D277" t="s">
        <v>14</v>
      </c>
      <c r="E277" t="s">
        <v>15</v>
      </c>
      <c r="F277">
        <v>68</v>
      </c>
      <c r="G277">
        <v>78</v>
      </c>
      <c r="H277">
        <v>57</v>
      </c>
      <c r="I277">
        <v>89</v>
      </c>
      <c r="J277">
        <v>22</v>
      </c>
      <c r="K277">
        <v>1965</v>
      </c>
      <c r="L277">
        <v>174885</v>
      </c>
      <c r="M277">
        <f>Inventory_Data[[#This Row],[Opening Stock]]+Inventory_Data[[#This Row],[Purchase Qty]]-Inventory_Data[[#This Row],[Sales Qty]]-Inventory_Data[[#This Row],[Closing Stock]]</f>
        <v>0</v>
      </c>
      <c r="N277">
        <f>Inventory_Data[[#This Row],[Purchase Qty]]*Inventory_Data[[#This Row],[Unit Cost]]</f>
        <v>153270</v>
      </c>
      <c r="O277" t="str">
        <f>IF(Inventory_Data[[#This Row],[Closing Stock]]&lt;=Inventory_Data[[#This Row],[Reorder Level]],"Low Stock","In Stock")</f>
        <v>In Stock</v>
      </c>
      <c r="P277" t="str">
        <f>TEXT(Inventory_Data[[#This Row],[Date]],"MMM")</f>
        <v>Mar</v>
      </c>
      <c r="Q277" t="str">
        <f>TEXT(Inventory_Data[[#This Row],[Date]],"YYYY")</f>
        <v>2025</v>
      </c>
    </row>
    <row r="278" spans="1:17" x14ac:dyDescent="0.3">
      <c r="A278" s="1">
        <v>45719</v>
      </c>
      <c r="B278" t="s">
        <v>42</v>
      </c>
      <c r="C278" t="s">
        <v>17</v>
      </c>
      <c r="D278" t="s">
        <v>23</v>
      </c>
      <c r="E278" t="s">
        <v>20</v>
      </c>
      <c r="F278">
        <v>57</v>
      </c>
      <c r="G278">
        <v>34</v>
      </c>
      <c r="H278">
        <v>13</v>
      </c>
      <c r="I278">
        <v>78</v>
      </c>
      <c r="J278">
        <v>20</v>
      </c>
      <c r="K278">
        <v>23038</v>
      </c>
      <c r="L278">
        <v>1796964</v>
      </c>
      <c r="M278">
        <f>Inventory_Data[[#This Row],[Opening Stock]]+Inventory_Data[[#This Row],[Purchase Qty]]-Inventory_Data[[#This Row],[Sales Qty]]-Inventory_Data[[#This Row],[Closing Stock]]</f>
        <v>0</v>
      </c>
      <c r="N278">
        <f>Inventory_Data[[#This Row],[Purchase Qty]]*Inventory_Data[[#This Row],[Unit Cost]]</f>
        <v>783292</v>
      </c>
      <c r="O278" t="str">
        <f>IF(Inventory_Data[[#This Row],[Closing Stock]]&lt;=Inventory_Data[[#This Row],[Reorder Level]],"Low Stock","In Stock")</f>
        <v>In Stock</v>
      </c>
      <c r="P278" t="str">
        <f>TEXT(Inventory_Data[[#This Row],[Date]],"MMM")</f>
        <v>Mar</v>
      </c>
      <c r="Q278" t="str">
        <f>TEXT(Inventory_Data[[#This Row],[Date]],"YYYY")</f>
        <v>2025</v>
      </c>
    </row>
    <row r="279" spans="1:17" x14ac:dyDescent="0.3">
      <c r="A279" s="1">
        <v>45720</v>
      </c>
      <c r="B279" t="s">
        <v>42</v>
      </c>
      <c r="C279" t="s">
        <v>17</v>
      </c>
      <c r="D279" t="s">
        <v>23</v>
      </c>
      <c r="E279" t="s">
        <v>24</v>
      </c>
      <c r="F279">
        <v>52</v>
      </c>
      <c r="G279">
        <v>7</v>
      </c>
      <c r="H279">
        <v>19</v>
      </c>
      <c r="I279">
        <v>40</v>
      </c>
      <c r="J279">
        <v>20</v>
      </c>
      <c r="K279">
        <v>24595</v>
      </c>
      <c r="L279">
        <v>983800</v>
      </c>
      <c r="M279">
        <f>Inventory_Data[[#This Row],[Opening Stock]]+Inventory_Data[[#This Row],[Purchase Qty]]-Inventory_Data[[#This Row],[Sales Qty]]-Inventory_Data[[#This Row],[Closing Stock]]</f>
        <v>0</v>
      </c>
      <c r="N279">
        <f>Inventory_Data[[#This Row],[Purchase Qty]]*Inventory_Data[[#This Row],[Unit Cost]]</f>
        <v>172165</v>
      </c>
      <c r="O279" t="str">
        <f>IF(Inventory_Data[[#This Row],[Closing Stock]]&lt;=Inventory_Data[[#This Row],[Reorder Level]],"Low Stock","In Stock")</f>
        <v>In Stock</v>
      </c>
      <c r="P279" t="str">
        <f>TEXT(Inventory_Data[[#This Row],[Date]],"MMM")</f>
        <v>Mar</v>
      </c>
      <c r="Q279" t="str">
        <f>TEXT(Inventory_Data[[#This Row],[Date]],"YYYY")</f>
        <v>2025</v>
      </c>
    </row>
    <row r="280" spans="1:17" x14ac:dyDescent="0.3">
      <c r="A280" s="1">
        <v>45720</v>
      </c>
      <c r="B280" t="s">
        <v>42</v>
      </c>
      <c r="C280" t="s">
        <v>17</v>
      </c>
      <c r="D280" t="s">
        <v>37</v>
      </c>
      <c r="E280" t="s">
        <v>29</v>
      </c>
      <c r="F280">
        <v>50</v>
      </c>
      <c r="G280">
        <v>57</v>
      </c>
      <c r="H280">
        <v>8</v>
      </c>
      <c r="I280">
        <v>99</v>
      </c>
      <c r="J280">
        <v>26</v>
      </c>
      <c r="K280">
        <v>2271</v>
      </c>
      <c r="L280">
        <v>224829</v>
      </c>
      <c r="M280">
        <f>Inventory_Data[[#This Row],[Opening Stock]]+Inventory_Data[[#This Row],[Purchase Qty]]-Inventory_Data[[#This Row],[Sales Qty]]-Inventory_Data[[#This Row],[Closing Stock]]</f>
        <v>0</v>
      </c>
      <c r="N280">
        <f>Inventory_Data[[#This Row],[Purchase Qty]]*Inventory_Data[[#This Row],[Unit Cost]]</f>
        <v>129447</v>
      </c>
      <c r="O280" t="str">
        <f>IF(Inventory_Data[[#This Row],[Closing Stock]]&lt;=Inventory_Data[[#This Row],[Reorder Level]],"Low Stock","In Stock")</f>
        <v>In Stock</v>
      </c>
      <c r="P280" t="str">
        <f>TEXT(Inventory_Data[[#This Row],[Date]],"MMM")</f>
        <v>Mar</v>
      </c>
      <c r="Q280" t="str">
        <f>TEXT(Inventory_Data[[#This Row],[Date]],"YYYY")</f>
        <v>2025</v>
      </c>
    </row>
    <row r="281" spans="1:17" x14ac:dyDescent="0.3">
      <c r="A281" s="1">
        <v>45720</v>
      </c>
      <c r="B281" t="s">
        <v>41</v>
      </c>
      <c r="C281" t="s">
        <v>22</v>
      </c>
      <c r="D281" t="s">
        <v>37</v>
      </c>
      <c r="E281" t="s">
        <v>18</v>
      </c>
      <c r="F281">
        <v>72</v>
      </c>
      <c r="G281">
        <v>104</v>
      </c>
      <c r="H281">
        <v>57</v>
      </c>
      <c r="I281">
        <v>119</v>
      </c>
      <c r="J281">
        <v>106</v>
      </c>
      <c r="K281">
        <v>691</v>
      </c>
      <c r="L281">
        <v>82229</v>
      </c>
      <c r="M281">
        <f>Inventory_Data[[#This Row],[Opening Stock]]+Inventory_Data[[#This Row],[Purchase Qty]]-Inventory_Data[[#This Row],[Sales Qty]]-Inventory_Data[[#This Row],[Closing Stock]]</f>
        <v>0</v>
      </c>
      <c r="N281">
        <f>Inventory_Data[[#This Row],[Purchase Qty]]*Inventory_Data[[#This Row],[Unit Cost]]</f>
        <v>71864</v>
      </c>
      <c r="O281" t="str">
        <f>IF(Inventory_Data[[#This Row],[Closing Stock]]&lt;=Inventory_Data[[#This Row],[Reorder Level]],"Low Stock","In Stock")</f>
        <v>In Stock</v>
      </c>
      <c r="P281" t="str">
        <f>TEXT(Inventory_Data[[#This Row],[Date]],"MMM")</f>
        <v>Mar</v>
      </c>
      <c r="Q281" t="str">
        <f>TEXT(Inventory_Data[[#This Row],[Date]],"YYYY")</f>
        <v>2025</v>
      </c>
    </row>
    <row r="282" spans="1:17" x14ac:dyDescent="0.3">
      <c r="A282" s="1">
        <v>45721</v>
      </c>
      <c r="B282" t="s">
        <v>35</v>
      </c>
      <c r="C282" t="s">
        <v>22</v>
      </c>
      <c r="D282" t="s">
        <v>14</v>
      </c>
      <c r="E282" t="s">
        <v>20</v>
      </c>
      <c r="F282">
        <v>175</v>
      </c>
      <c r="G282">
        <v>247</v>
      </c>
      <c r="H282">
        <v>245</v>
      </c>
      <c r="I282">
        <v>177</v>
      </c>
      <c r="J282">
        <v>87</v>
      </c>
      <c r="K282">
        <v>32</v>
      </c>
      <c r="L282">
        <v>5664</v>
      </c>
      <c r="M282">
        <f>Inventory_Data[[#This Row],[Opening Stock]]+Inventory_Data[[#This Row],[Purchase Qty]]-Inventory_Data[[#This Row],[Sales Qty]]-Inventory_Data[[#This Row],[Closing Stock]]</f>
        <v>0</v>
      </c>
      <c r="N282">
        <f>Inventory_Data[[#This Row],[Purchase Qty]]*Inventory_Data[[#This Row],[Unit Cost]]</f>
        <v>7904</v>
      </c>
      <c r="O282" t="str">
        <f>IF(Inventory_Data[[#This Row],[Closing Stock]]&lt;=Inventory_Data[[#This Row],[Reorder Level]],"Low Stock","In Stock")</f>
        <v>In Stock</v>
      </c>
      <c r="P282" t="str">
        <f>TEXT(Inventory_Data[[#This Row],[Date]],"MMM")</f>
        <v>Mar</v>
      </c>
      <c r="Q282" t="str">
        <f>TEXT(Inventory_Data[[#This Row],[Date]],"YYYY")</f>
        <v>2025</v>
      </c>
    </row>
    <row r="283" spans="1:17" x14ac:dyDescent="0.3">
      <c r="A283" s="1">
        <v>45721</v>
      </c>
      <c r="B283" t="s">
        <v>39</v>
      </c>
      <c r="C283" t="s">
        <v>28</v>
      </c>
      <c r="D283" t="s">
        <v>23</v>
      </c>
      <c r="E283" t="s">
        <v>24</v>
      </c>
      <c r="F283">
        <v>91</v>
      </c>
      <c r="G283">
        <v>30</v>
      </c>
      <c r="H283">
        <v>22</v>
      </c>
      <c r="I283">
        <v>99</v>
      </c>
      <c r="J283">
        <v>37</v>
      </c>
      <c r="K283">
        <v>27389</v>
      </c>
      <c r="L283">
        <v>2711511</v>
      </c>
      <c r="M283">
        <f>Inventory_Data[[#This Row],[Opening Stock]]+Inventory_Data[[#This Row],[Purchase Qty]]-Inventory_Data[[#This Row],[Sales Qty]]-Inventory_Data[[#This Row],[Closing Stock]]</f>
        <v>0</v>
      </c>
      <c r="N283">
        <f>Inventory_Data[[#This Row],[Purchase Qty]]*Inventory_Data[[#This Row],[Unit Cost]]</f>
        <v>821670</v>
      </c>
      <c r="O283" t="str">
        <f>IF(Inventory_Data[[#This Row],[Closing Stock]]&lt;=Inventory_Data[[#This Row],[Reorder Level]],"Low Stock","In Stock")</f>
        <v>In Stock</v>
      </c>
      <c r="P283" t="str">
        <f>TEXT(Inventory_Data[[#This Row],[Date]],"MMM")</f>
        <v>Mar</v>
      </c>
      <c r="Q283" t="str">
        <f>TEXT(Inventory_Data[[#This Row],[Date]],"YYYY")</f>
        <v>2025</v>
      </c>
    </row>
    <row r="284" spans="1:17" x14ac:dyDescent="0.3">
      <c r="A284" s="1">
        <v>45722</v>
      </c>
      <c r="B284" t="s">
        <v>42</v>
      </c>
      <c r="C284" t="s">
        <v>17</v>
      </c>
      <c r="D284" t="s">
        <v>14</v>
      </c>
      <c r="E284" t="s">
        <v>20</v>
      </c>
      <c r="F284">
        <v>98</v>
      </c>
      <c r="G284">
        <v>11</v>
      </c>
      <c r="H284">
        <v>10</v>
      </c>
      <c r="I284">
        <v>99</v>
      </c>
      <c r="J284">
        <v>10</v>
      </c>
      <c r="K284">
        <v>23347</v>
      </c>
      <c r="L284">
        <v>2311353</v>
      </c>
      <c r="M284">
        <f>Inventory_Data[[#This Row],[Opening Stock]]+Inventory_Data[[#This Row],[Purchase Qty]]-Inventory_Data[[#This Row],[Sales Qty]]-Inventory_Data[[#This Row],[Closing Stock]]</f>
        <v>0</v>
      </c>
      <c r="N284">
        <f>Inventory_Data[[#This Row],[Purchase Qty]]*Inventory_Data[[#This Row],[Unit Cost]]</f>
        <v>256817</v>
      </c>
      <c r="O284" t="str">
        <f>IF(Inventory_Data[[#This Row],[Closing Stock]]&lt;=Inventory_Data[[#This Row],[Reorder Level]],"Low Stock","In Stock")</f>
        <v>In Stock</v>
      </c>
      <c r="P284" t="str">
        <f>TEXT(Inventory_Data[[#This Row],[Date]],"MMM")</f>
        <v>Mar</v>
      </c>
      <c r="Q284" t="str">
        <f>TEXT(Inventory_Data[[#This Row],[Date]],"YYYY")</f>
        <v>2025</v>
      </c>
    </row>
    <row r="285" spans="1:17" x14ac:dyDescent="0.3">
      <c r="A285" s="1">
        <v>45722</v>
      </c>
      <c r="B285" t="s">
        <v>38</v>
      </c>
      <c r="C285" t="s">
        <v>17</v>
      </c>
      <c r="D285" t="s">
        <v>14</v>
      </c>
      <c r="E285" t="s">
        <v>29</v>
      </c>
      <c r="F285">
        <v>11</v>
      </c>
      <c r="G285">
        <v>8</v>
      </c>
      <c r="H285">
        <v>15</v>
      </c>
      <c r="I285">
        <v>4</v>
      </c>
      <c r="J285">
        <v>13</v>
      </c>
      <c r="K285">
        <v>5627</v>
      </c>
      <c r="L285">
        <v>22508</v>
      </c>
      <c r="M285">
        <f>Inventory_Data[[#This Row],[Opening Stock]]+Inventory_Data[[#This Row],[Purchase Qty]]-Inventory_Data[[#This Row],[Sales Qty]]-Inventory_Data[[#This Row],[Closing Stock]]</f>
        <v>0</v>
      </c>
      <c r="N285">
        <f>Inventory_Data[[#This Row],[Purchase Qty]]*Inventory_Data[[#This Row],[Unit Cost]]</f>
        <v>45016</v>
      </c>
      <c r="O285" t="str">
        <f>IF(Inventory_Data[[#This Row],[Closing Stock]]&lt;=Inventory_Data[[#This Row],[Reorder Level]],"Low Stock","In Stock")</f>
        <v>Low Stock</v>
      </c>
      <c r="P285" t="str">
        <f>TEXT(Inventory_Data[[#This Row],[Date]],"MMM")</f>
        <v>Mar</v>
      </c>
      <c r="Q285" t="str">
        <f>TEXT(Inventory_Data[[#This Row],[Date]],"YYYY")</f>
        <v>2025</v>
      </c>
    </row>
    <row r="286" spans="1:17" x14ac:dyDescent="0.3">
      <c r="A286" s="1">
        <v>45722</v>
      </c>
      <c r="B286" t="s">
        <v>43</v>
      </c>
      <c r="C286" t="s">
        <v>22</v>
      </c>
      <c r="D286" t="s">
        <v>14</v>
      </c>
      <c r="E286" t="s">
        <v>15</v>
      </c>
      <c r="F286">
        <v>367</v>
      </c>
      <c r="G286">
        <v>149</v>
      </c>
      <c r="H286">
        <v>252</v>
      </c>
      <c r="I286">
        <v>264</v>
      </c>
      <c r="J286">
        <v>58</v>
      </c>
      <c r="K286">
        <v>917</v>
      </c>
      <c r="L286">
        <v>242088</v>
      </c>
      <c r="M286">
        <f>Inventory_Data[[#This Row],[Opening Stock]]+Inventory_Data[[#This Row],[Purchase Qty]]-Inventory_Data[[#This Row],[Sales Qty]]-Inventory_Data[[#This Row],[Closing Stock]]</f>
        <v>0</v>
      </c>
      <c r="N286">
        <f>Inventory_Data[[#This Row],[Purchase Qty]]*Inventory_Data[[#This Row],[Unit Cost]]</f>
        <v>136633</v>
      </c>
      <c r="O286" t="str">
        <f>IF(Inventory_Data[[#This Row],[Closing Stock]]&lt;=Inventory_Data[[#This Row],[Reorder Level]],"Low Stock","In Stock")</f>
        <v>In Stock</v>
      </c>
      <c r="P286" t="str">
        <f>TEXT(Inventory_Data[[#This Row],[Date]],"MMM")</f>
        <v>Mar</v>
      </c>
      <c r="Q286" t="str">
        <f>TEXT(Inventory_Data[[#This Row],[Date]],"YYYY")</f>
        <v>2025</v>
      </c>
    </row>
    <row r="287" spans="1:17" x14ac:dyDescent="0.3">
      <c r="A287" s="1">
        <v>45722</v>
      </c>
      <c r="B287" t="s">
        <v>38</v>
      </c>
      <c r="C287" t="s">
        <v>17</v>
      </c>
      <c r="D287" t="s">
        <v>37</v>
      </c>
      <c r="E287" t="s">
        <v>34</v>
      </c>
      <c r="F287">
        <v>13</v>
      </c>
      <c r="G287">
        <v>33</v>
      </c>
      <c r="H287">
        <v>2</v>
      </c>
      <c r="I287">
        <v>44</v>
      </c>
      <c r="J287">
        <v>27</v>
      </c>
      <c r="K287">
        <v>16582</v>
      </c>
      <c r="L287">
        <v>729608</v>
      </c>
      <c r="M287">
        <f>Inventory_Data[[#This Row],[Opening Stock]]+Inventory_Data[[#This Row],[Purchase Qty]]-Inventory_Data[[#This Row],[Sales Qty]]-Inventory_Data[[#This Row],[Closing Stock]]</f>
        <v>0</v>
      </c>
      <c r="N287">
        <f>Inventory_Data[[#This Row],[Purchase Qty]]*Inventory_Data[[#This Row],[Unit Cost]]</f>
        <v>547206</v>
      </c>
      <c r="O287" t="str">
        <f>IF(Inventory_Data[[#This Row],[Closing Stock]]&lt;=Inventory_Data[[#This Row],[Reorder Level]],"Low Stock","In Stock")</f>
        <v>In Stock</v>
      </c>
      <c r="P287" t="str">
        <f>TEXT(Inventory_Data[[#This Row],[Date]],"MMM")</f>
        <v>Mar</v>
      </c>
      <c r="Q287" t="str">
        <f>TEXT(Inventory_Data[[#This Row],[Date]],"YYYY")</f>
        <v>2025</v>
      </c>
    </row>
    <row r="288" spans="1:17" x14ac:dyDescent="0.3">
      <c r="A288" s="1">
        <v>45722</v>
      </c>
      <c r="B288" t="s">
        <v>36</v>
      </c>
      <c r="C288" t="s">
        <v>22</v>
      </c>
      <c r="D288" t="s">
        <v>37</v>
      </c>
      <c r="E288" t="s">
        <v>34</v>
      </c>
      <c r="F288">
        <v>221</v>
      </c>
      <c r="G288">
        <v>179</v>
      </c>
      <c r="H288">
        <v>155</v>
      </c>
      <c r="I288">
        <v>245</v>
      </c>
      <c r="J288">
        <v>130</v>
      </c>
      <c r="K288">
        <v>962</v>
      </c>
      <c r="L288">
        <v>235690</v>
      </c>
      <c r="M288">
        <f>Inventory_Data[[#This Row],[Opening Stock]]+Inventory_Data[[#This Row],[Purchase Qty]]-Inventory_Data[[#This Row],[Sales Qty]]-Inventory_Data[[#This Row],[Closing Stock]]</f>
        <v>0</v>
      </c>
      <c r="N288">
        <f>Inventory_Data[[#This Row],[Purchase Qty]]*Inventory_Data[[#This Row],[Unit Cost]]</f>
        <v>172198</v>
      </c>
      <c r="O288" t="str">
        <f>IF(Inventory_Data[[#This Row],[Closing Stock]]&lt;=Inventory_Data[[#This Row],[Reorder Level]],"Low Stock","In Stock")</f>
        <v>In Stock</v>
      </c>
      <c r="P288" t="str">
        <f>TEXT(Inventory_Data[[#This Row],[Date]],"MMM")</f>
        <v>Mar</v>
      </c>
      <c r="Q288" t="str">
        <f>TEXT(Inventory_Data[[#This Row],[Date]],"YYYY")</f>
        <v>2025</v>
      </c>
    </row>
    <row r="289" spans="1:17" x14ac:dyDescent="0.3">
      <c r="A289" s="1">
        <v>45722</v>
      </c>
      <c r="B289" t="s">
        <v>33</v>
      </c>
      <c r="C289" t="s">
        <v>13</v>
      </c>
      <c r="D289" t="s">
        <v>14</v>
      </c>
      <c r="E289" t="s">
        <v>20</v>
      </c>
      <c r="F289">
        <v>29</v>
      </c>
      <c r="G289">
        <v>8</v>
      </c>
      <c r="H289">
        <v>37</v>
      </c>
      <c r="I289">
        <v>0</v>
      </c>
      <c r="J289">
        <v>23</v>
      </c>
      <c r="K289">
        <v>16402</v>
      </c>
      <c r="L289">
        <v>0</v>
      </c>
      <c r="M289">
        <f>Inventory_Data[[#This Row],[Opening Stock]]+Inventory_Data[[#This Row],[Purchase Qty]]-Inventory_Data[[#This Row],[Sales Qty]]-Inventory_Data[[#This Row],[Closing Stock]]</f>
        <v>0</v>
      </c>
      <c r="N289">
        <f>Inventory_Data[[#This Row],[Purchase Qty]]*Inventory_Data[[#This Row],[Unit Cost]]</f>
        <v>131216</v>
      </c>
      <c r="O289" t="str">
        <f>IF(Inventory_Data[[#This Row],[Closing Stock]]&lt;=Inventory_Data[[#This Row],[Reorder Level]],"Low Stock","In Stock")</f>
        <v>Low Stock</v>
      </c>
      <c r="P289" t="str">
        <f>TEXT(Inventory_Data[[#This Row],[Date]],"MMM")</f>
        <v>Mar</v>
      </c>
      <c r="Q289" t="str">
        <f>TEXT(Inventory_Data[[#This Row],[Date]],"YYYY")</f>
        <v>2025</v>
      </c>
    </row>
    <row r="290" spans="1:17" x14ac:dyDescent="0.3">
      <c r="A290" s="1">
        <v>45722</v>
      </c>
      <c r="B290" t="s">
        <v>38</v>
      </c>
      <c r="C290" t="s">
        <v>17</v>
      </c>
      <c r="D290" t="s">
        <v>37</v>
      </c>
      <c r="E290" t="s">
        <v>34</v>
      </c>
      <c r="F290">
        <v>78</v>
      </c>
      <c r="G290">
        <v>7</v>
      </c>
      <c r="H290">
        <v>28</v>
      </c>
      <c r="I290">
        <v>57</v>
      </c>
      <c r="J290">
        <v>27</v>
      </c>
      <c r="K290">
        <v>1614</v>
      </c>
      <c r="L290">
        <v>91998</v>
      </c>
      <c r="M290">
        <f>Inventory_Data[[#This Row],[Opening Stock]]+Inventory_Data[[#This Row],[Purchase Qty]]-Inventory_Data[[#This Row],[Sales Qty]]-Inventory_Data[[#This Row],[Closing Stock]]</f>
        <v>0</v>
      </c>
      <c r="N290">
        <f>Inventory_Data[[#This Row],[Purchase Qty]]*Inventory_Data[[#This Row],[Unit Cost]]</f>
        <v>11298</v>
      </c>
      <c r="O290" t="str">
        <f>IF(Inventory_Data[[#This Row],[Closing Stock]]&lt;=Inventory_Data[[#This Row],[Reorder Level]],"Low Stock","In Stock")</f>
        <v>In Stock</v>
      </c>
      <c r="P290" t="str">
        <f>TEXT(Inventory_Data[[#This Row],[Date]],"MMM")</f>
        <v>Mar</v>
      </c>
      <c r="Q290" t="str">
        <f>TEXT(Inventory_Data[[#This Row],[Date]],"YYYY")</f>
        <v>2025</v>
      </c>
    </row>
    <row r="291" spans="1:17" x14ac:dyDescent="0.3">
      <c r="A291" s="1">
        <v>45722</v>
      </c>
      <c r="B291" t="s">
        <v>16</v>
      </c>
      <c r="C291" t="s">
        <v>17</v>
      </c>
      <c r="D291" t="s">
        <v>26</v>
      </c>
      <c r="E291" t="s">
        <v>29</v>
      </c>
      <c r="F291">
        <v>30</v>
      </c>
      <c r="G291">
        <v>47</v>
      </c>
      <c r="H291">
        <v>36</v>
      </c>
      <c r="I291">
        <v>41</v>
      </c>
      <c r="J291">
        <v>26</v>
      </c>
      <c r="K291">
        <v>19432</v>
      </c>
      <c r="L291">
        <v>796712</v>
      </c>
      <c r="M291">
        <f>Inventory_Data[[#This Row],[Opening Stock]]+Inventory_Data[[#This Row],[Purchase Qty]]-Inventory_Data[[#This Row],[Sales Qty]]-Inventory_Data[[#This Row],[Closing Stock]]</f>
        <v>0</v>
      </c>
      <c r="N291">
        <f>Inventory_Data[[#This Row],[Purchase Qty]]*Inventory_Data[[#This Row],[Unit Cost]]</f>
        <v>913304</v>
      </c>
      <c r="O291" t="str">
        <f>IF(Inventory_Data[[#This Row],[Closing Stock]]&lt;=Inventory_Data[[#This Row],[Reorder Level]],"Low Stock","In Stock")</f>
        <v>In Stock</v>
      </c>
      <c r="P291" t="str">
        <f>TEXT(Inventory_Data[[#This Row],[Date]],"MMM")</f>
        <v>Mar</v>
      </c>
      <c r="Q291" t="str">
        <f>TEXT(Inventory_Data[[#This Row],[Date]],"YYYY")</f>
        <v>2025</v>
      </c>
    </row>
    <row r="292" spans="1:17" x14ac:dyDescent="0.3">
      <c r="A292" s="1">
        <v>45723</v>
      </c>
      <c r="B292" t="s">
        <v>39</v>
      </c>
      <c r="C292" t="s">
        <v>28</v>
      </c>
      <c r="D292" t="s">
        <v>26</v>
      </c>
      <c r="E292" t="s">
        <v>20</v>
      </c>
      <c r="F292">
        <v>46</v>
      </c>
      <c r="G292">
        <v>69</v>
      </c>
      <c r="H292">
        <v>43</v>
      </c>
      <c r="I292">
        <v>72</v>
      </c>
      <c r="J292">
        <v>57</v>
      </c>
      <c r="K292">
        <v>32075</v>
      </c>
      <c r="L292">
        <v>2309400</v>
      </c>
      <c r="M292">
        <f>Inventory_Data[[#This Row],[Opening Stock]]+Inventory_Data[[#This Row],[Purchase Qty]]-Inventory_Data[[#This Row],[Sales Qty]]-Inventory_Data[[#This Row],[Closing Stock]]</f>
        <v>0</v>
      </c>
      <c r="N292">
        <f>Inventory_Data[[#This Row],[Purchase Qty]]*Inventory_Data[[#This Row],[Unit Cost]]</f>
        <v>2213175</v>
      </c>
      <c r="O292" t="str">
        <f>IF(Inventory_Data[[#This Row],[Closing Stock]]&lt;=Inventory_Data[[#This Row],[Reorder Level]],"Low Stock","In Stock")</f>
        <v>In Stock</v>
      </c>
      <c r="P292" t="str">
        <f>TEXT(Inventory_Data[[#This Row],[Date]],"MMM")</f>
        <v>Mar</v>
      </c>
      <c r="Q292" t="str">
        <f>TEXT(Inventory_Data[[#This Row],[Date]],"YYYY")</f>
        <v>2025</v>
      </c>
    </row>
    <row r="293" spans="1:17" x14ac:dyDescent="0.3">
      <c r="A293" s="1">
        <v>45723</v>
      </c>
      <c r="B293" t="s">
        <v>41</v>
      </c>
      <c r="C293" t="s">
        <v>22</v>
      </c>
      <c r="D293" t="s">
        <v>26</v>
      </c>
      <c r="E293" t="s">
        <v>18</v>
      </c>
      <c r="F293">
        <v>129</v>
      </c>
      <c r="G293">
        <v>284</v>
      </c>
      <c r="H293">
        <v>134</v>
      </c>
      <c r="I293">
        <v>279</v>
      </c>
      <c r="J293">
        <v>50</v>
      </c>
      <c r="K293">
        <v>1189</v>
      </c>
      <c r="L293">
        <v>331731</v>
      </c>
      <c r="M293">
        <f>Inventory_Data[[#This Row],[Opening Stock]]+Inventory_Data[[#This Row],[Purchase Qty]]-Inventory_Data[[#This Row],[Sales Qty]]-Inventory_Data[[#This Row],[Closing Stock]]</f>
        <v>0</v>
      </c>
      <c r="N293">
        <f>Inventory_Data[[#This Row],[Purchase Qty]]*Inventory_Data[[#This Row],[Unit Cost]]</f>
        <v>337676</v>
      </c>
      <c r="O293" t="str">
        <f>IF(Inventory_Data[[#This Row],[Closing Stock]]&lt;=Inventory_Data[[#This Row],[Reorder Level]],"Low Stock","In Stock")</f>
        <v>In Stock</v>
      </c>
      <c r="P293" t="str">
        <f>TEXT(Inventory_Data[[#This Row],[Date]],"MMM")</f>
        <v>Mar</v>
      </c>
      <c r="Q293" t="str">
        <f>TEXT(Inventory_Data[[#This Row],[Date]],"YYYY")</f>
        <v>2025</v>
      </c>
    </row>
    <row r="294" spans="1:17" x14ac:dyDescent="0.3">
      <c r="A294" s="1">
        <v>45723</v>
      </c>
      <c r="B294" t="s">
        <v>31</v>
      </c>
      <c r="C294" t="s">
        <v>22</v>
      </c>
      <c r="D294" t="s">
        <v>37</v>
      </c>
      <c r="E294" t="s">
        <v>24</v>
      </c>
      <c r="F294">
        <v>474</v>
      </c>
      <c r="G294">
        <v>141</v>
      </c>
      <c r="H294">
        <v>22</v>
      </c>
      <c r="I294">
        <v>593</v>
      </c>
      <c r="J294">
        <v>85</v>
      </c>
      <c r="K294">
        <v>519</v>
      </c>
      <c r="L294">
        <v>307767</v>
      </c>
      <c r="M294">
        <f>Inventory_Data[[#This Row],[Opening Stock]]+Inventory_Data[[#This Row],[Purchase Qty]]-Inventory_Data[[#This Row],[Sales Qty]]-Inventory_Data[[#This Row],[Closing Stock]]</f>
        <v>0</v>
      </c>
      <c r="N294">
        <f>Inventory_Data[[#This Row],[Purchase Qty]]*Inventory_Data[[#This Row],[Unit Cost]]</f>
        <v>73179</v>
      </c>
      <c r="O294" t="str">
        <f>IF(Inventory_Data[[#This Row],[Closing Stock]]&lt;=Inventory_Data[[#This Row],[Reorder Level]],"Low Stock","In Stock")</f>
        <v>In Stock</v>
      </c>
      <c r="P294" t="str">
        <f>TEXT(Inventory_Data[[#This Row],[Date]],"MMM")</f>
        <v>Mar</v>
      </c>
      <c r="Q294" t="str">
        <f>TEXT(Inventory_Data[[#This Row],[Date]],"YYYY")</f>
        <v>2025</v>
      </c>
    </row>
    <row r="295" spans="1:17" x14ac:dyDescent="0.3">
      <c r="A295" s="1">
        <v>45724</v>
      </c>
      <c r="B295" t="s">
        <v>41</v>
      </c>
      <c r="C295" t="s">
        <v>22</v>
      </c>
      <c r="D295" t="s">
        <v>14</v>
      </c>
      <c r="E295" t="s">
        <v>24</v>
      </c>
      <c r="F295">
        <v>342</v>
      </c>
      <c r="G295">
        <v>118</v>
      </c>
      <c r="H295">
        <v>109</v>
      </c>
      <c r="I295">
        <v>351</v>
      </c>
      <c r="J295">
        <v>142</v>
      </c>
      <c r="K295">
        <v>208</v>
      </c>
      <c r="L295">
        <v>73008</v>
      </c>
      <c r="M295">
        <f>Inventory_Data[[#This Row],[Opening Stock]]+Inventory_Data[[#This Row],[Purchase Qty]]-Inventory_Data[[#This Row],[Sales Qty]]-Inventory_Data[[#This Row],[Closing Stock]]</f>
        <v>0</v>
      </c>
      <c r="N295">
        <f>Inventory_Data[[#This Row],[Purchase Qty]]*Inventory_Data[[#This Row],[Unit Cost]]</f>
        <v>24544</v>
      </c>
      <c r="O295" t="str">
        <f>IF(Inventory_Data[[#This Row],[Closing Stock]]&lt;=Inventory_Data[[#This Row],[Reorder Level]],"Low Stock","In Stock")</f>
        <v>In Stock</v>
      </c>
      <c r="P295" t="str">
        <f>TEXT(Inventory_Data[[#This Row],[Date]],"MMM")</f>
        <v>Mar</v>
      </c>
      <c r="Q295" t="str">
        <f>TEXT(Inventory_Data[[#This Row],[Date]],"YYYY")</f>
        <v>2025</v>
      </c>
    </row>
    <row r="296" spans="1:17" x14ac:dyDescent="0.3">
      <c r="A296" s="1">
        <v>45724</v>
      </c>
      <c r="B296" t="s">
        <v>43</v>
      </c>
      <c r="C296" t="s">
        <v>22</v>
      </c>
      <c r="D296" t="s">
        <v>14</v>
      </c>
      <c r="E296" t="s">
        <v>24</v>
      </c>
      <c r="F296">
        <v>489</v>
      </c>
      <c r="G296">
        <v>277</v>
      </c>
      <c r="H296">
        <v>50</v>
      </c>
      <c r="I296">
        <v>716</v>
      </c>
      <c r="J296">
        <v>87</v>
      </c>
      <c r="K296">
        <v>1078</v>
      </c>
      <c r="L296">
        <v>771848</v>
      </c>
      <c r="M296">
        <f>Inventory_Data[[#This Row],[Opening Stock]]+Inventory_Data[[#This Row],[Purchase Qty]]-Inventory_Data[[#This Row],[Sales Qty]]-Inventory_Data[[#This Row],[Closing Stock]]</f>
        <v>0</v>
      </c>
      <c r="N296">
        <f>Inventory_Data[[#This Row],[Purchase Qty]]*Inventory_Data[[#This Row],[Unit Cost]]</f>
        <v>298606</v>
      </c>
      <c r="O296" t="str">
        <f>IF(Inventory_Data[[#This Row],[Closing Stock]]&lt;=Inventory_Data[[#This Row],[Reorder Level]],"Low Stock","In Stock")</f>
        <v>In Stock</v>
      </c>
      <c r="P296" t="str">
        <f>TEXT(Inventory_Data[[#This Row],[Date]],"MMM")</f>
        <v>Mar</v>
      </c>
      <c r="Q296" t="str">
        <f>TEXT(Inventory_Data[[#This Row],[Date]],"YYYY")</f>
        <v>2025</v>
      </c>
    </row>
    <row r="297" spans="1:17" x14ac:dyDescent="0.3">
      <c r="A297" s="1">
        <v>45724</v>
      </c>
      <c r="B297" t="s">
        <v>16</v>
      </c>
      <c r="C297" t="s">
        <v>17</v>
      </c>
      <c r="D297" t="s">
        <v>23</v>
      </c>
      <c r="E297" t="s">
        <v>29</v>
      </c>
      <c r="F297">
        <v>91</v>
      </c>
      <c r="G297">
        <v>54</v>
      </c>
      <c r="H297">
        <v>39</v>
      </c>
      <c r="I297">
        <v>106</v>
      </c>
      <c r="J297">
        <v>12</v>
      </c>
      <c r="K297">
        <v>3782</v>
      </c>
      <c r="L297">
        <v>400892</v>
      </c>
      <c r="M297">
        <f>Inventory_Data[[#This Row],[Opening Stock]]+Inventory_Data[[#This Row],[Purchase Qty]]-Inventory_Data[[#This Row],[Sales Qty]]-Inventory_Data[[#This Row],[Closing Stock]]</f>
        <v>0</v>
      </c>
      <c r="N297">
        <f>Inventory_Data[[#This Row],[Purchase Qty]]*Inventory_Data[[#This Row],[Unit Cost]]</f>
        <v>204228</v>
      </c>
      <c r="O297" t="str">
        <f>IF(Inventory_Data[[#This Row],[Closing Stock]]&lt;=Inventory_Data[[#This Row],[Reorder Level]],"Low Stock","In Stock")</f>
        <v>In Stock</v>
      </c>
      <c r="P297" t="str">
        <f>TEXT(Inventory_Data[[#This Row],[Date]],"MMM")</f>
        <v>Mar</v>
      </c>
      <c r="Q297" t="str">
        <f>TEXT(Inventory_Data[[#This Row],[Date]],"YYYY")</f>
        <v>2025</v>
      </c>
    </row>
    <row r="298" spans="1:17" x14ac:dyDescent="0.3">
      <c r="A298" s="1">
        <v>45724</v>
      </c>
      <c r="B298" t="s">
        <v>25</v>
      </c>
      <c r="C298" t="s">
        <v>17</v>
      </c>
      <c r="D298" t="s">
        <v>14</v>
      </c>
      <c r="E298" t="s">
        <v>18</v>
      </c>
      <c r="F298">
        <v>18</v>
      </c>
      <c r="G298">
        <v>9</v>
      </c>
      <c r="H298">
        <v>27</v>
      </c>
      <c r="I298">
        <v>0</v>
      </c>
      <c r="J298">
        <v>21</v>
      </c>
      <c r="K298">
        <v>10085</v>
      </c>
      <c r="L298">
        <v>0</v>
      </c>
      <c r="M298">
        <f>Inventory_Data[[#This Row],[Opening Stock]]+Inventory_Data[[#This Row],[Purchase Qty]]-Inventory_Data[[#This Row],[Sales Qty]]-Inventory_Data[[#This Row],[Closing Stock]]</f>
        <v>0</v>
      </c>
      <c r="N298">
        <f>Inventory_Data[[#This Row],[Purchase Qty]]*Inventory_Data[[#This Row],[Unit Cost]]</f>
        <v>90765</v>
      </c>
      <c r="O298" t="str">
        <f>IF(Inventory_Data[[#This Row],[Closing Stock]]&lt;=Inventory_Data[[#This Row],[Reorder Level]],"Low Stock","In Stock")</f>
        <v>Low Stock</v>
      </c>
      <c r="P298" t="str">
        <f>TEXT(Inventory_Data[[#This Row],[Date]],"MMM")</f>
        <v>Mar</v>
      </c>
      <c r="Q298" t="str">
        <f>TEXT(Inventory_Data[[#This Row],[Date]],"YYYY")</f>
        <v>2025</v>
      </c>
    </row>
    <row r="299" spans="1:17" x14ac:dyDescent="0.3">
      <c r="A299" s="1">
        <v>45724</v>
      </c>
      <c r="B299" t="s">
        <v>40</v>
      </c>
      <c r="C299" t="s">
        <v>28</v>
      </c>
      <c r="D299" t="s">
        <v>23</v>
      </c>
      <c r="E299" t="s">
        <v>34</v>
      </c>
      <c r="F299">
        <v>63</v>
      </c>
      <c r="G299">
        <v>67</v>
      </c>
      <c r="H299">
        <v>7</v>
      </c>
      <c r="I299">
        <v>123</v>
      </c>
      <c r="J299">
        <v>25</v>
      </c>
      <c r="K299">
        <v>9333</v>
      </c>
      <c r="L299">
        <v>1147959</v>
      </c>
      <c r="M299">
        <f>Inventory_Data[[#This Row],[Opening Stock]]+Inventory_Data[[#This Row],[Purchase Qty]]-Inventory_Data[[#This Row],[Sales Qty]]-Inventory_Data[[#This Row],[Closing Stock]]</f>
        <v>0</v>
      </c>
      <c r="N299">
        <f>Inventory_Data[[#This Row],[Purchase Qty]]*Inventory_Data[[#This Row],[Unit Cost]]</f>
        <v>625311</v>
      </c>
      <c r="O299" t="str">
        <f>IF(Inventory_Data[[#This Row],[Closing Stock]]&lt;=Inventory_Data[[#This Row],[Reorder Level]],"Low Stock","In Stock")</f>
        <v>In Stock</v>
      </c>
      <c r="P299" t="str">
        <f>TEXT(Inventory_Data[[#This Row],[Date]],"MMM")</f>
        <v>Mar</v>
      </c>
      <c r="Q299" t="str">
        <f>TEXT(Inventory_Data[[#This Row],[Date]],"YYYY")</f>
        <v>2025</v>
      </c>
    </row>
    <row r="300" spans="1:17" x14ac:dyDescent="0.3">
      <c r="A300" s="1">
        <v>45725</v>
      </c>
      <c r="B300" t="s">
        <v>33</v>
      </c>
      <c r="C300" t="s">
        <v>13</v>
      </c>
      <c r="D300" t="s">
        <v>23</v>
      </c>
      <c r="E300" t="s">
        <v>20</v>
      </c>
      <c r="F300">
        <v>114</v>
      </c>
      <c r="G300">
        <v>49</v>
      </c>
      <c r="H300">
        <v>18</v>
      </c>
      <c r="I300">
        <v>145</v>
      </c>
      <c r="J300">
        <v>36</v>
      </c>
      <c r="K300">
        <v>1885</v>
      </c>
      <c r="L300">
        <v>273325</v>
      </c>
      <c r="M300">
        <f>Inventory_Data[[#This Row],[Opening Stock]]+Inventory_Data[[#This Row],[Purchase Qty]]-Inventory_Data[[#This Row],[Sales Qty]]-Inventory_Data[[#This Row],[Closing Stock]]</f>
        <v>0</v>
      </c>
      <c r="N300">
        <f>Inventory_Data[[#This Row],[Purchase Qty]]*Inventory_Data[[#This Row],[Unit Cost]]</f>
        <v>92365</v>
      </c>
      <c r="O300" t="str">
        <f>IF(Inventory_Data[[#This Row],[Closing Stock]]&lt;=Inventory_Data[[#This Row],[Reorder Level]],"Low Stock","In Stock")</f>
        <v>In Stock</v>
      </c>
      <c r="P300" t="str">
        <f>TEXT(Inventory_Data[[#This Row],[Date]],"MMM")</f>
        <v>Mar</v>
      </c>
      <c r="Q300" t="str">
        <f>TEXT(Inventory_Data[[#This Row],[Date]],"YYYY")</f>
        <v>2025</v>
      </c>
    </row>
    <row r="301" spans="1:17" x14ac:dyDescent="0.3">
      <c r="A301" s="1">
        <v>45725</v>
      </c>
      <c r="B301" t="s">
        <v>42</v>
      </c>
      <c r="C301" t="s">
        <v>17</v>
      </c>
      <c r="D301" t="s">
        <v>23</v>
      </c>
      <c r="E301" t="s">
        <v>24</v>
      </c>
      <c r="F301">
        <v>17</v>
      </c>
      <c r="G301">
        <v>6</v>
      </c>
      <c r="H301">
        <v>23</v>
      </c>
      <c r="I301">
        <v>0</v>
      </c>
      <c r="J301">
        <v>23</v>
      </c>
      <c r="K301">
        <v>9304</v>
      </c>
      <c r="L301">
        <v>0</v>
      </c>
      <c r="M301">
        <f>Inventory_Data[[#This Row],[Opening Stock]]+Inventory_Data[[#This Row],[Purchase Qty]]-Inventory_Data[[#This Row],[Sales Qty]]-Inventory_Data[[#This Row],[Closing Stock]]</f>
        <v>0</v>
      </c>
      <c r="N301">
        <f>Inventory_Data[[#This Row],[Purchase Qty]]*Inventory_Data[[#This Row],[Unit Cost]]</f>
        <v>55824</v>
      </c>
      <c r="O301" t="str">
        <f>IF(Inventory_Data[[#This Row],[Closing Stock]]&lt;=Inventory_Data[[#This Row],[Reorder Level]],"Low Stock","In Stock")</f>
        <v>Low Stock</v>
      </c>
      <c r="P301" t="str">
        <f>TEXT(Inventory_Data[[#This Row],[Date]],"MMM")</f>
        <v>Mar</v>
      </c>
      <c r="Q301" t="str">
        <f>TEXT(Inventory_Data[[#This Row],[Date]],"YYYY")</f>
        <v>2025</v>
      </c>
    </row>
    <row r="302" spans="1:17" x14ac:dyDescent="0.3">
      <c r="A302" s="1">
        <v>45725</v>
      </c>
      <c r="B302" t="s">
        <v>21</v>
      </c>
      <c r="C302" t="s">
        <v>22</v>
      </c>
      <c r="D302" t="s">
        <v>23</v>
      </c>
      <c r="E302" t="s">
        <v>29</v>
      </c>
      <c r="F302">
        <v>118</v>
      </c>
      <c r="G302">
        <v>194</v>
      </c>
      <c r="H302">
        <v>171</v>
      </c>
      <c r="I302">
        <v>141</v>
      </c>
      <c r="J302">
        <v>135</v>
      </c>
      <c r="K302">
        <v>384</v>
      </c>
      <c r="L302">
        <v>54144</v>
      </c>
      <c r="M302">
        <f>Inventory_Data[[#This Row],[Opening Stock]]+Inventory_Data[[#This Row],[Purchase Qty]]-Inventory_Data[[#This Row],[Sales Qty]]-Inventory_Data[[#This Row],[Closing Stock]]</f>
        <v>0</v>
      </c>
      <c r="N302">
        <f>Inventory_Data[[#This Row],[Purchase Qty]]*Inventory_Data[[#This Row],[Unit Cost]]</f>
        <v>74496</v>
      </c>
      <c r="O302" t="str">
        <f>IF(Inventory_Data[[#This Row],[Closing Stock]]&lt;=Inventory_Data[[#This Row],[Reorder Level]],"Low Stock","In Stock")</f>
        <v>In Stock</v>
      </c>
      <c r="P302" t="str">
        <f>TEXT(Inventory_Data[[#This Row],[Date]],"MMM")</f>
        <v>Mar</v>
      </c>
      <c r="Q302" t="str">
        <f>TEXT(Inventory_Data[[#This Row],[Date]],"YYYY")</f>
        <v>2025</v>
      </c>
    </row>
    <row r="303" spans="1:17" x14ac:dyDescent="0.3">
      <c r="A303" s="1">
        <v>45725</v>
      </c>
      <c r="B303" t="s">
        <v>25</v>
      </c>
      <c r="C303" t="s">
        <v>17</v>
      </c>
      <c r="D303" t="s">
        <v>23</v>
      </c>
      <c r="E303" t="s">
        <v>20</v>
      </c>
      <c r="F303">
        <v>37</v>
      </c>
      <c r="G303">
        <v>57</v>
      </c>
      <c r="H303">
        <v>5</v>
      </c>
      <c r="I303">
        <v>89</v>
      </c>
      <c r="J303">
        <v>26</v>
      </c>
      <c r="K303">
        <v>14378</v>
      </c>
      <c r="L303">
        <v>1279642</v>
      </c>
      <c r="M303">
        <f>Inventory_Data[[#This Row],[Opening Stock]]+Inventory_Data[[#This Row],[Purchase Qty]]-Inventory_Data[[#This Row],[Sales Qty]]-Inventory_Data[[#This Row],[Closing Stock]]</f>
        <v>0</v>
      </c>
      <c r="N303">
        <f>Inventory_Data[[#This Row],[Purchase Qty]]*Inventory_Data[[#This Row],[Unit Cost]]</f>
        <v>819546</v>
      </c>
      <c r="O303" t="str">
        <f>IF(Inventory_Data[[#This Row],[Closing Stock]]&lt;=Inventory_Data[[#This Row],[Reorder Level]],"Low Stock","In Stock")</f>
        <v>In Stock</v>
      </c>
      <c r="P303" t="str">
        <f>TEXT(Inventory_Data[[#This Row],[Date]],"MMM")</f>
        <v>Mar</v>
      </c>
      <c r="Q303" t="str">
        <f>TEXT(Inventory_Data[[#This Row],[Date]],"YYYY")</f>
        <v>2025</v>
      </c>
    </row>
    <row r="304" spans="1:17" x14ac:dyDescent="0.3">
      <c r="A304" s="1">
        <v>45725</v>
      </c>
      <c r="B304" t="s">
        <v>35</v>
      </c>
      <c r="C304" t="s">
        <v>22</v>
      </c>
      <c r="D304" t="s">
        <v>26</v>
      </c>
      <c r="E304" t="s">
        <v>18</v>
      </c>
      <c r="F304">
        <v>237</v>
      </c>
      <c r="G304">
        <v>160</v>
      </c>
      <c r="H304">
        <v>230</v>
      </c>
      <c r="I304">
        <v>167</v>
      </c>
      <c r="J304">
        <v>50</v>
      </c>
      <c r="K304">
        <v>532</v>
      </c>
      <c r="L304">
        <v>88844</v>
      </c>
      <c r="M304">
        <f>Inventory_Data[[#This Row],[Opening Stock]]+Inventory_Data[[#This Row],[Purchase Qty]]-Inventory_Data[[#This Row],[Sales Qty]]-Inventory_Data[[#This Row],[Closing Stock]]</f>
        <v>0</v>
      </c>
      <c r="N304">
        <f>Inventory_Data[[#This Row],[Purchase Qty]]*Inventory_Data[[#This Row],[Unit Cost]]</f>
        <v>85120</v>
      </c>
      <c r="O304" t="str">
        <f>IF(Inventory_Data[[#This Row],[Closing Stock]]&lt;=Inventory_Data[[#This Row],[Reorder Level]],"Low Stock","In Stock")</f>
        <v>In Stock</v>
      </c>
      <c r="P304" t="str">
        <f>TEXT(Inventory_Data[[#This Row],[Date]],"MMM")</f>
        <v>Mar</v>
      </c>
      <c r="Q304" t="str">
        <f>TEXT(Inventory_Data[[#This Row],[Date]],"YYYY")</f>
        <v>2025</v>
      </c>
    </row>
    <row r="305" spans="1:17" x14ac:dyDescent="0.3">
      <c r="A305" s="1">
        <v>45726</v>
      </c>
      <c r="B305" t="s">
        <v>39</v>
      </c>
      <c r="C305" t="s">
        <v>28</v>
      </c>
      <c r="D305" t="s">
        <v>37</v>
      </c>
      <c r="E305" t="s">
        <v>15</v>
      </c>
      <c r="F305">
        <v>162</v>
      </c>
      <c r="G305">
        <v>52</v>
      </c>
      <c r="H305">
        <v>78</v>
      </c>
      <c r="I305">
        <v>136</v>
      </c>
      <c r="J305">
        <v>53</v>
      </c>
      <c r="K305">
        <v>2352</v>
      </c>
      <c r="L305">
        <v>319872</v>
      </c>
      <c r="M305">
        <f>Inventory_Data[[#This Row],[Opening Stock]]+Inventory_Data[[#This Row],[Purchase Qty]]-Inventory_Data[[#This Row],[Sales Qty]]-Inventory_Data[[#This Row],[Closing Stock]]</f>
        <v>0</v>
      </c>
      <c r="N305">
        <f>Inventory_Data[[#This Row],[Purchase Qty]]*Inventory_Data[[#This Row],[Unit Cost]]</f>
        <v>122304</v>
      </c>
      <c r="O305" t="str">
        <f>IF(Inventory_Data[[#This Row],[Closing Stock]]&lt;=Inventory_Data[[#This Row],[Reorder Level]],"Low Stock","In Stock")</f>
        <v>In Stock</v>
      </c>
      <c r="P305" t="str">
        <f>TEXT(Inventory_Data[[#This Row],[Date]],"MMM")</f>
        <v>Mar</v>
      </c>
      <c r="Q305" t="str">
        <f>TEXT(Inventory_Data[[#This Row],[Date]],"YYYY")</f>
        <v>2025</v>
      </c>
    </row>
    <row r="306" spans="1:17" x14ac:dyDescent="0.3">
      <c r="A306" s="1">
        <v>45726</v>
      </c>
      <c r="B306" t="s">
        <v>12</v>
      </c>
      <c r="C306" t="s">
        <v>13</v>
      </c>
      <c r="D306" t="s">
        <v>37</v>
      </c>
      <c r="E306" t="s">
        <v>15</v>
      </c>
      <c r="F306">
        <v>72</v>
      </c>
      <c r="G306">
        <v>67</v>
      </c>
      <c r="H306">
        <v>31</v>
      </c>
      <c r="I306">
        <v>108</v>
      </c>
      <c r="J306">
        <v>34</v>
      </c>
      <c r="K306">
        <v>7433</v>
      </c>
      <c r="L306">
        <v>802764</v>
      </c>
      <c r="M306">
        <f>Inventory_Data[[#This Row],[Opening Stock]]+Inventory_Data[[#This Row],[Purchase Qty]]-Inventory_Data[[#This Row],[Sales Qty]]-Inventory_Data[[#This Row],[Closing Stock]]</f>
        <v>0</v>
      </c>
      <c r="N306">
        <f>Inventory_Data[[#This Row],[Purchase Qty]]*Inventory_Data[[#This Row],[Unit Cost]]</f>
        <v>498011</v>
      </c>
      <c r="O306" t="str">
        <f>IF(Inventory_Data[[#This Row],[Closing Stock]]&lt;=Inventory_Data[[#This Row],[Reorder Level]],"Low Stock","In Stock")</f>
        <v>In Stock</v>
      </c>
      <c r="P306" t="str">
        <f>TEXT(Inventory_Data[[#This Row],[Date]],"MMM")</f>
        <v>Mar</v>
      </c>
      <c r="Q306" t="str">
        <f>TEXT(Inventory_Data[[#This Row],[Date]],"YYYY")</f>
        <v>2025</v>
      </c>
    </row>
    <row r="307" spans="1:17" x14ac:dyDescent="0.3">
      <c r="A307" s="1">
        <v>45726</v>
      </c>
      <c r="B307" t="s">
        <v>42</v>
      </c>
      <c r="C307" t="s">
        <v>17</v>
      </c>
      <c r="D307" t="s">
        <v>14</v>
      </c>
      <c r="E307" t="s">
        <v>24</v>
      </c>
      <c r="F307">
        <v>75</v>
      </c>
      <c r="G307">
        <v>28</v>
      </c>
      <c r="H307">
        <v>32</v>
      </c>
      <c r="I307">
        <v>71</v>
      </c>
      <c r="J307">
        <v>16</v>
      </c>
      <c r="K307">
        <v>10364</v>
      </c>
      <c r="L307">
        <v>735844</v>
      </c>
      <c r="M307">
        <f>Inventory_Data[[#This Row],[Opening Stock]]+Inventory_Data[[#This Row],[Purchase Qty]]-Inventory_Data[[#This Row],[Sales Qty]]-Inventory_Data[[#This Row],[Closing Stock]]</f>
        <v>0</v>
      </c>
      <c r="N307">
        <f>Inventory_Data[[#This Row],[Purchase Qty]]*Inventory_Data[[#This Row],[Unit Cost]]</f>
        <v>290192</v>
      </c>
      <c r="O307" t="str">
        <f>IF(Inventory_Data[[#This Row],[Closing Stock]]&lt;=Inventory_Data[[#This Row],[Reorder Level]],"Low Stock","In Stock")</f>
        <v>In Stock</v>
      </c>
      <c r="P307" t="str">
        <f>TEXT(Inventory_Data[[#This Row],[Date]],"MMM")</f>
        <v>Mar</v>
      </c>
      <c r="Q307" t="str">
        <f>TEXT(Inventory_Data[[#This Row],[Date]],"YYYY")</f>
        <v>2025</v>
      </c>
    </row>
    <row r="308" spans="1:17" x14ac:dyDescent="0.3">
      <c r="A308" s="1">
        <v>45726</v>
      </c>
      <c r="B308" t="s">
        <v>31</v>
      </c>
      <c r="C308" t="s">
        <v>22</v>
      </c>
      <c r="D308" t="s">
        <v>14</v>
      </c>
      <c r="E308" t="s">
        <v>18</v>
      </c>
      <c r="F308">
        <v>129</v>
      </c>
      <c r="G308">
        <v>220</v>
      </c>
      <c r="H308">
        <v>110</v>
      </c>
      <c r="I308">
        <v>239</v>
      </c>
      <c r="J308">
        <v>142</v>
      </c>
      <c r="K308">
        <v>933</v>
      </c>
      <c r="L308">
        <v>222987</v>
      </c>
      <c r="M308">
        <f>Inventory_Data[[#This Row],[Opening Stock]]+Inventory_Data[[#This Row],[Purchase Qty]]-Inventory_Data[[#This Row],[Sales Qty]]-Inventory_Data[[#This Row],[Closing Stock]]</f>
        <v>0</v>
      </c>
      <c r="N308">
        <f>Inventory_Data[[#This Row],[Purchase Qty]]*Inventory_Data[[#This Row],[Unit Cost]]</f>
        <v>205260</v>
      </c>
      <c r="O308" t="str">
        <f>IF(Inventory_Data[[#This Row],[Closing Stock]]&lt;=Inventory_Data[[#This Row],[Reorder Level]],"Low Stock","In Stock")</f>
        <v>In Stock</v>
      </c>
      <c r="P308" t="str">
        <f>TEXT(Inventory_Data[[#This Row],[Date]],"MMM")</f>
        <v>Mar</v>
      </c>
      <c r="Q308" t="str">
        <f>TEXT(Inventory_Data[[#This Row],[Date]],"YYYY")</f>
        <v>2025</v>
      </c>
    </row>
    <row r="309" spans="1:17" x14ac:dyDescent="0.3">
      <c r="A309" s="1">
        <v>45726</v>
      </c>
      <c r="B309" t="s">
        <v>39</v>
      </c>
      <c r="C309" t="s">
        <v>28</v>
      </c>
      <c r="D309" t="s">
        <v>26</v>
      </c>
      <c r="E309" t="s">
        <v>29</v>
      </c>
      <c r="F309">
        <v>152</v>
      </c>
      <c r="G309">
        <v>70</v>
      </c>
      <c r="H309">
        <v>87</v>
      </c>
      <c r="I309">
        <v>135</v>
      </c>
      <c r="J309">
        <v>57</v>
      </c>
      <c r="K309">
        <v>29202</v>
      </c>
      <c r="L309">
        <v>3942270</v>
      </c>
      <c r="M309">
        <f>Inventory_Data[[#This Row],[Opening Stock]]+Inventory_Data[[#This Row],[Purchase Qty]]-Inventory_Data[[#This Row],[Sales Qty]]-Inventory_Data[[#This Row],[Closing Stock]]</f>
        <v>0</v>
      </c>
      <c r="N309">
        <f>Inventory_Data[[#This Row],[Purchase Qty]]*Inventory_Data[[#This Row],[Unit Cost]]</f>
        <v>2044140</v>
      </c>
      <c r="O309" t="str">
        <f>IF(Inventory_Data[[#This Row],[Closing Stock]]&lt;=Inventory_Data[[#This Row],[Reorder Level]],"Low Stock","In Stock")</f>
        <v>In Stock</v>
      </c>
      <c r="P309" t="str">
        <f>TEXT(Inventory_Data[[#This Row],[Date]],"MMM")</f>
        <v>Mar</v>
      </c>
      <c r="Q309" t="str">
        <f>TEXT(Inventory_Data[[#This Row],[Date]],"YYYY")</f>
        <v>2025</v>
      </c>
    </row>
    <row r="310" spans="1:17" x14ac:dyDescent="0.3">
      <c r="A310" s="1">
        <v>45726</v>
      </c>
      <c r="B310" t="s">
        <v>38</v>
      </c>
      <c r="C310" t="s">
        <v>17</v>
      </c>
      <c r="D310" t="s">
        <v>37</v>
      </c>
      <c r="E310" t="s">
        <v>20</v>
      </c>
      <c r="F310">
        <v>90</v>
      </c>
      <c r="G310">
        <v>34</v>
      </c>
      <c r="H310">
        <v>10</v>
      </c>
      <c r="I310">
        <v>114</v>
      </c>
      <c r="J310">
        <v>28</v>
      </c>
      <c r="K310">
        <v>13025</v>
      </c>
      <c r="L310">
        <v>1484850</v>
      </c>
      <c r="M310">
        <f>Inventory_Data[[#This Row],[Opening Stock]]+Inventory_Data[[#This Row],[Purchase Qty]]-Inventory_Data[[#This Row],[Sales Qty]]-Inventory_Data[[#This Row],[Closing Stock]]</f>
        <v>0</v>
      </c>
      <c r="N310">
        <f>Inventory_Data[[#This Row],[Purchase Qty]]*Inventory_Data[[#This Row],[Unit Cost]]</f>
        <v>442850</v>
      </c>
      <c r="O310" t="str">
        <f>IF(Inventory_Data[[#This Row],[Closing Stock]]&lt;=Inventory_Data[[#This Row],[Reorder Level]],"Low Stock","In Stock")</f>
        <v>In Stock</v>
      </c>
      <c r="P310" t="str">
        <f>TEXT(Inventory_Data[[#This Row],[Date]],"MMM")</f>
        <v>Mar</v>
      </c>
      <c r="Q310" t="str">
        <f>TEXT(Inventory_Data[[#This Row],[Date]],"YYYY")</f>
        <v>2025</v>
      </c>
    </row>
    <row r="311" spans="1:17" x14ac:dyDescent="0.3">
      <c r="A311" s="1">
        <v>45727</v>
      </c>
      <c r="B311" t="s">
        <v>38</v>
      </c>
      <c r="C311" t="s">
        <v>17</v>
      </c>
      <c r="D311" t="s">
        <v>14</v>
      </c>
      <c r="E311" t="s">
        <v>29</v>
      </c>
      <c r="F311">
        <v>97</v>
      </c>
      <c r="G311">
        <v>44</v>
      </c>
      <c r="H311">
        <v>24</v>
      </c>
      <c r="I311">
        <v>117</v>
      </c>
      <c r="J311">
        <v>19</v>
      </c>
      <c r="K311">
        <v>16641</v>
      </c>
      <c r="L311">
        <v>1946997</v>
      </c>
      <c r="M311">
        <f>Inventory_Data[[#This Row],[Opening Stock]]+Inventory_Data[[#This Row],[Purchase Qty]]-Inventory_Data[[#This Row],[Sales Qty]]-Inventory_Data[[#This Row],[Closing Stock]]</f>
        <v>0</v>
      </c>
      <c r="N311">
        <f>Inventory_Data[[#This Row],[Purchase Qty]]*Inventory_Data[[#This Row],[Unit Cost]]</f>
        <v>732204</v>
      </c>
      <c r="O311" t="str">
        <f>IF(Inventory_Data[[#This Row],[Closing Stock]]&lt;=Inventory_Data[[#This Row],[Reorder Level]],"Low Stock","In Stock")</f>
        <v>In Stock</v>
      </c>
      <c r="P311" t="str">
        <f>TEXT(Inventory_Data[[#This Row],[Date]],"MMM")</f>
        <v>Mar</v>
      </c>
      <c r="Q311" t="str">
        <f>TEXT(Inventory_Data[[#This Row],[Date]],"YYYY")</f>
        <v>2025</v>
      </c>
    </row>
    <row r="312" spans="1:17" x14ac:dyDescent="0.3">
      <c r="A312" s="1">
        <v>45727</v>
      </c>
      <c r="B312" t="s">
        <v>19</v>
      </c>
      <c r="C312" t="s">
        <v>13</v>
      </c>
      <c r="D312" t="s">
        <v>37</v>
      </c>
      <c r="E312" t="s">
        <v>24</v>
      </c>
      <c r="F312">
        <v>70</v>
      </c>
      <c r="G312">
        <v>62</v>
      </c>
      <c r="H312">
        <v>6</v>
      </c>
      <c r="I312">
        <v>126</v>
      </c>
      <c r="J312">
        <v>18</v>
      </c>
      <c r="K312">
        <v>10296</v>
      </c>
      <c r="L312">
        <v>1297296</v>
      </c>
      <c r="M312">
        <f>Inventory_Data[[#This Row],[Opening Stock]]+Inventory_Data[[#This Row],[Purchase Qty]]-Inventory_Data[[#This Row],[Sales Qty]]-Inventory_Data[[#This Row],[Closing Stock]]</f>
        <v>0</v>
      </c>
      <c r="N312">
        <f>Inventory_Data[[#This Row],[Purchase Qty]]*Inventory_Data[[#This Row],[Unit Cost]]</f>
        <v>638352</v>
      </c>
      <c r="O312" t="str">
        <f>IF(Inventory_Data[[#This Row],[Closing Stock]]&lt;=Inventory_Data[[#This Row],[Reorder Level]],"Low Stock","In Stock")</f>
        <v>In Stock</v>
      </c>
      <c r="P312" t="str">
        <f>TEXT(Inventory_Data[[#This Row],[Date]],"MMM")</f>
        <v>Mar</v>
      </c>
      <c r="Q312" t="str">
        <f>TEXT(Inventory_Data[[#This Row],[Date]],"YYYY")</f>
        <v>2025</v>
      </c>
    </row>
    <row r="313" spans="1:17" x14ac:dyDescent="0.3">
      <c r="A313" s="1">
        <v>45727</v>
      </c>
      <c r="B313" t="s">
        <v>38</v>
      </c>
      <c r="C313" t="s">
        <v>17</v>
      </c>
      <c r="D313" t="s">
        <v>14</v>
      </c>
      <c r="E313" t="s">
        <v>34</v>
      </c>
      <c r="F313">
        <v>50</v>
      </c>
      <c r="G313">
        <v>36</v>
      </c>
      <c r="H313">
        <v>21</v>
      </c>
      <c r="I313">
        <v>65</v>
      </c>
      <c r="J313">
        <v>11</v>
      </c>
      <c r="K313">
        <v>12180</v>
      </c>
      <c r="L313">
        <v>791700</v>
      </c>
      <c r="M313">
        <f>Inventory_Data[[#This Row],[Opening Stock]]+Inventory_Data[[#This Row],[Purchase Qty]]-Inventory_Data[[#This Row],[Sales Qty]]-Inventory_Data[[#This Row],[Closing Stock]]</f>
        <v>0</v>
      </c>
      <c r="N313">
        <f>Inventory_Data[[#This Row],[Purchase Qty]]*Inventory_Data[[#This Row],[Unit Cost]]</f>
        <v>438480</v>
      </c>
      <c r="O313" t="str">
        <f>IF(Inventory_Data[[#This Row],[Closing Stock]]&lt;=Inventory_Data[[#This Row],[Reorder Level]],"Low Stock","In Stock")</f>
        <v>In Stock</v>
      </c>
      <c r="P313" t="str">
        <f>TEXT(Inventory_Data[[#This Row],[Date]],"MMM")</f>
        <v>Mar</v>
      </c>
      <c r="Q313" t="str">
        <f>TEXT(Inventory_Data[[#This Row],[Date]],"YYYY")</f>
        <v>2025</v>
      </c>
    </row>
    <row r="314" spans="1:17" x14ac:dyDescent="0.3">
      <c r="A314" s="1">
        <v>45728</v>
      </c>
      <c r="B314" t="s">
        <v>38</v>
      </c>
      <c r="C314" t="s">
        <v>17</v>
      </c>
      <c r="D314" t="s">
        <v>14</v>
      </c>
      <c r="E314" t="s">
        <v>29</v>
      </c>
      <c r="F314">
        <v>55</v>
      </c>
      <c r="G314">
        <v>51</v>
      </c>
      <c r="H314">
        <v>16</v>
      </c>
      <c r="I314">
        <v>90</v>
      </c>
      <c r="J314">
        <v>11</v>
      </c>
      <c r="K314">
        <v>24937</v>
      </c>
      <c r="L314">
        <v>2244330</v>
      </c>
      <c r="M314">
        <f>Inventory_Data[[#This Row],[Opening Stock]]+Inventory_Data[[#This Row],[Purchase Qty]]-Inventory_Data[[#This Row],[Sales Qty]]-Inventory_Data[[#This Row],[Closing Stock]]</f>
        <v>0</v>
      </c>
      <c r="N314">
        <f>Inventory_Data[[#This Row],[Purchase Qty]]*Inventory_Data[[#This Row],[Unit Cost]]</f>
        <v>1271787</v>
      </c>
      <c r="O314" t="str">
        <f>IF(Inventory_Data[[#This Row],[Closing Stock]]&lt;=Inventory_Data[[#This Row],[Reorder Level]],"Low Stock","In Stock")</f>
        <v>In Stock</v>
      </c>
      <c r="P314" t="str">
        <f>TEXT(Inventory_Data[[#This Row],[Date]],"MMM")</f>
        <v>Mar</v>
      </c>
      <c r="Q314" t="str">
        <f>TEXT(Inventory_Data[[#This Row],[Date]],"YYYY")</f>
        <v>2025</v>
      </c>
    </row>
    <row r="315" spans="1:17" x14ac:dyDescent="0.3">
      <c r="A315" s="1">
        <v>45728</v>
      </c>
      <c r="B315" t="s">
        <v>25</v>
      </c>
      <c r="C315" t="s">
        <v>17</v>
      </c>
      <c r="D315" t="s">
        <v>37</v>
      </c>
      <c r="E315" t="s">
        <v>29</v>
      </c>
      <c r="F315">
        <v>67</v>
      </c>
      <c r="G315">
        <v>31</v>
      </c>
      <c r="H315">
        <v>22</v>
      </c>
      <c r="I315">
        <v>76</v>
      </c>
      <c r="J315">
        <v>25</v>
      </c>
      <c r="K315">
        <v>22106</v>
      </c>
      <c r="L315">
        <v>1680056</v>
      </c>
      <c r="M315">
        <f>Inventory_Data[[#This Row],[Opening Stock]]+Inventory_Data[[#This Row],[Purchase Qty]]-Inventory_Data[[#This Row],[Sales Qty]]-Inventory_Data[[#This Row],[Closing Stock]]</f>
        <v>0</v>
      </c>
      <c r="N315">
        <f>Inventory_Data[[#This Row],[Purchase Qty]]*Inventory_Data[[#This Row],[Unit Cost]]</f>
        <v>685286</v>
      </c>
      <c r="O315" t="str">
        <f>IF(Inventory_Data[[#This Row],[Closing Stock]]&lt;=Inventory_Data[[#This Row],[Reorder Level]],"Low Stock","In Stock")</f>
        <v>In Stock</v>
      </c>
      <c r="P315" t="str">
        <f>TEXT(Inventory_Data[[#This Row],[Date]],"MMM")</f>
        <v>Mar</v>
      </c>
      <c r="Q315" t="str">
        <f>TEXT(Inventory_Data[[#This Row],[Date]],"YYYY")</f>
        <v>2025</v>
      </c>
    </row>
    <row r="316" spans="1:17" x14ac:dyDescent="0.3">
      <c r="A316" s="1">
        <v>45728</v>
      </c>
      <c r="B316" t="s">
        <v>43</v>
      </c>
      <c r="C316" t="s">
        <v>22</v>
      </c>
      <c r="D316" t="s">
        <v>26</v>
      </c>
      <c r="E316" t="s">
        <v>34</v>
      </c>
      <c r="F316">
        <v>229</v>
      </c>
      <c r="G316">
        <v>153</v>
      </c>
      <c r="H316">
        <v>204</v>
      </c>
      <c r="I316">
        <v>178</v>
      </c>
      <c r="J316">
        <v>96</v>
      </c>
      <c r="K316">
        <v>247</v>
      </c>
      <c r="L316">
        <v>43966</v>
      </c>
      <c r="M316">
        <f>Inventory_Data[[#This Row],[Opening Stock]]+Inventory_Data[[#This Row],[Purchase Qty]]-Inventory_Data[[#This Row],[Sales Qty]]-Inventory_Data[[#This Row],[Closing Stock]]</f>
        <v>0</v>
      </c>
      <c r="N316">
        <f>Inventory_Data[[#This Row],[Purchase Qty]]*Inventory_Data[[#This Row],[Unit Cost]]</f>
        <v>37791</v>
      </c>
      <c r="O316" t="str">
        <f>IF(Inventory_Data[[#This Row],[Closing Stock]]&lt;=Inventory_Data[[#This Row],[Reorder Level]],"Low Stock","In Stock")</f>
        <v>In Stock</v>
      </c>
      <c r="P316" t="str">
        <f>TEXT(Inventory_Data[[#This Row],[Date]],"MMM")</f>
        <v>Mar</v>
      </c>
      <c r="Q316" t="str">
        <f>TEXT(Inventory_Data[[#This Row],[Date]],"YYYY")</f>
        <v>2025</v>
      </c>
    </row>
    <row r="317" spans="1:17" x14ac:dyDescent="0.3">
      <c r="A317" s="1">
        <v>45728</v>
      </c>
      <c r="B317" t="s">
        <v>31</v>
      </c>
      <c r="C317" t="s">
        <v>22</v>
      </c>
      <c r="D317" t="s">
        <v>23</v>
      </c>
      <c r="E317" t="s">
        <v>34</v>
      </c>
      <c r="F317">
        <v>372</v>
      </c>
      <c r="G317">
        <v>129</v>
      </c>
      <c r="H317">
        <v>70</v>
      </c>
      <c r="I317">
        <v>431</v>
      </c>
      <c r="J317">
        <v>117</v>
      </c>
      <c r="K317">
        <v>634</v>
      </c>
      <c r="L317">
        <v>273254</v>
      </c>
      <c r="M317">
        <f>Inventory_Data[[#This Row],[Opening Stock]]+Inventory_Data[[#This Row],[Purchase Qty]]-Inventory_Data[[#This Row],[Sales Qty]]-Inventory_Data[[#This Row],[Closing Stock]]</f>
        <v>0</v>
      </c>
      <c r="N317">
        <f>Inventory_Data[[#This Row],[Purchase Qty]]*Inventory_Data[[#This Row],[Unit Cost]]</f>
        <v>81786</v>
      </c>
      <c r="O317" t="str">
        <f>IF(Inventory_Data[[#This Row],[Closing Stock]]&lt;=Inventory_Data[[#This Row],[Reorder Level]],"Low Stock","In Stock")</f>
        <v>In Stock</v>
      </c>
      <c r="P317" t="str">
        <f>TEXT(Inventory_Data[[#This Row],[Date]],"MMM")</f>
        <v>Mar</v>
      </c>
      <c r="Q317" t="str">
        <f>TEXT(Inventory_Data[[#This Row],[Date]],"YYYY")</f>
        <v>2025</v>
      </c>
    </row>
    <row r="318" spans="1:17" x14ac:dyDescent="0.3">
      <c r="A318" s="1">
        <v>45728</v>
      </c>
      <c r="B318" t="s">
        <v>36</v>
      </c>
      <c r="C318" t="s">
        <v>22</v>
      </c>
      <c r="D318" t="s">
        <v>26</v>
      </c>
      <c r="E318" t="s">
        <v>29</v>
      </c>
      <c r="F318">
        <v>201</v>
      </c>
      <c r="G318">
        <v>104</v>
      </c>
      <c r="H318">
        <v>224</v>
      </c>
      <c r="I318">
        <v>81</v>
      </c>
      <c r="J318">
        <v>100</v>
      </c>
      <c r="K318">
        <v>387</v>
      </c>
      <c r="L318">
        <v>31347</v>
      </c>
      <c r="M318">
        <f>Inventory_Data[[#This Row],[Opening Stock]]+Inventory_Data[[#This Row],[Purchase Qty]]-Inventory_Data[[#This Row],[Sales Qty]]-Inventory_Data[[#This Row],[Closing Stock]]</f>
        <v>0</v>
      </c>
      <c r="N318">
        <f>Inventory_Data[[#This Row],[Purchase Qty]]*Inventory_Data[[#This Row],[Unit Cost]]</f>
        <v>40248</v>
      </c>
      <c r="O318" t="str">
        <f>IF(Inventory_Data[[#This Row],[Closing Stock]]&lt;=Inventory_Data[[#This Row],[Reorder Level]],"Low Stock","In Stock")</f>
        <v>Low Stock</v>
      </c>
      <c r="P318" t="str">
        <f>TEXT(Inventory_Data[[#This Row],[Date]],"MMM")</f>
        <v>Mar</v>
      </c>
      <c r="Q318" t="str">
        <f>TEXT(Inventory_Data[[#This Row],[Date]],"YYYY")</f>
        <v>2025</v>
      </c>
    </row>
    <row r="319" spans="1:17" x14ac:dyDescent="0.3">
      <c r="A319" s="1">
        <v>45728</v>
      </c>
      <c r="B319" t="s">
        <v>27</v>
      </c>
      <c r="C319" t="s">
        <v>28</v>
      </c>
      <c r="D319" t="s">
        <v>26</v>
      </c>
      <c r="E319" t="s">
        <v>24</v>
      </c>
      <c r="F319">
        <v>78</v>
      </c>
      <c r="G319">
        <v>76</v>
      </c>
      <c r="H319">
        <v>48</v>
      </c>
      <c r="I319">
        <v>106</v>
      </c>
      <c r="J319">
        <v>30</v>
      </c>
      <c r="K319">
        <v>16063</v>
      </c>
      <c r="L319">
        <v>1702678</v>
      </c>
      <c r="M319">
        <f>Inventory_Data[[#This Row],[Opening Stock]]+Inventory_Data[[#This Row],[Purchase Qty]]-Inventory_Data[[#This Row],[Sales Qty]]-Inventory_Data[[#This Row],[Closing Stock]]</f>
        <v>0</v>
      </c>
      <c r="N319">
        <f>Inventory_Data[[#This Row],[Purchase Qty]]*Inventory_Data[[#This Row],[Unit Cost]]</f>
        <v>1220788</v>
      </c>
      <c r="O319" t="str">
        <f>IF(Inventory_Data[[#This Row],[Closing Stock]]&lt;=Inventory_Data[[#This Row],[Reorder Level]],"Low Stock","In Stock")</f>
        <v>In Stock</v>
      </c>
      <c r="P319" t="str">
        <f>TEXT(Inventory_Data[[#This Row],[Date]],"MMM")</f>
        <v>Mar</v>
      </c>
      <c r="Q319" t="str">
        <f>TEXT(Inventory_Data[[#This Row],[Date]],"YYYY")</f>
        <v>2025</v>
      </c>
    </row>
    <row r="320" spans="1:17" x14ac:dyDescent="0.3">
      <c r="A320" s="1">
        <v>45728</v>
      </c>
      <c r="B320" t="s">
        <v>39</v>
      </c>
      <c r="C320" t="s">
        <v>28</v>
      </c>
      <c r="D320" t="s">
        <v>26</v>
      </c>
      <c r="E320" t="s">
        <v>15</v>
      </c>
      <c r="F320">
        <v>165</v>
      </c>
      <c r="G320">
        <v>115</v>
      </c>
      <c r="H320">
        <v>11</v>
      </c>
      <c r="I320">
        <v>269</v>
      </c>
      <c r="J320">
        <v>25</v>
      </c>
      <c r="K320">
        <v>30791</v>
      </c>
      <c r="L320">
        <v>8282779</v>
      </c>
      <c r="M320">
        <f>Inventory_Data[[#This Row],[Opening Stock]]+Inventory_Data[[#This Row],[Purchase Qty]]-Inventory_Data[[#This Row],[Sales Qty]]-Inventory_Data[[#This Row],[Closing Stock]]</f>
        <v>0</v>
      </c>
      <c r="N320">
        <f>Inventory_Data[[#This Row],[Purchase Qty]]*Inventory_Data[[#This Row],[Unit Cost]]</f>
        <v>3540965</v>
      </c>
      <c r="O320" t="str">
        <f>IF(Inventory_Data[[#This Row],[Closing Stock]]&lt;=Inventory_Data[[#This Row],[Reorder Level]],"Low Stock","In Stock")</f>
        <v>In Stock</v>
      </c>
      <c r="P320" t="str">
        <f>TEXT(Inventory_Data[[#This Row],[Date]],"MMM")</f>
        <v>Mar</v>
      </c>
      <c r="Q320" t="str">
        <f>TEXT(Inventory_Data[[#This Row],[Date]],"YYYY")</f>
        <v>2025</v>
      </c>
    </row>
    <row r="321" spans="1:17" x14ac:dyDescent="0.3">
      <c r="A321" s="1">
        <v>45728</v>
      </c>
      <c r="B321" t="s">
        <v>21</v>
      </c>
      <c r="C321" t="s">
        <v>22</v>
      </c>
      <c r="D321" t="s">
        <v>37</v>
      </c>
      <c r="E321" t="s">
        <v>15</v>
      </c>
      <c r="F321">
        <v>493</v>
      </c>
      <c r="G321">
        <v>297</v>
      </c>
      <c r="H321">
        <v>68</v>
      </c>
      <c r="I321">
        <v>722</v>
      </c>
      <c r="J321">
        <v>103</v>
      </c>
      <c r="K321">
        <v>992</v>
      </c>
      <c r="L321">
        <v>716224</v>
      </c>
      <c r="M321">
        <f>Inventory_Data[[#This Row],[Opening Stock]]+Inventory_Data[[#This Row],[Purchase Qty]]-Inventory_Data[[#This Row],[Sales Qty]]-Inventory_Data[[#This Row],[Closing Stock]]</f>
        <v>0</v>
      </c>
      <c r="N321">
        <f>Inventory_Data[[#This Row],[Purchase Qty]]*Inventory_Data[[#This Row],[Unit Cost]]</f>
        <v>294624</v>
      </c>
      <c r="O321" t="str">
        <f>IF(Inventory_Data[[#This Row],[Closing Stock]]&lt;=Inventory_Data[[#This Row],[Reorder Level]],"Low Stock","In Stock")</f>
        <v>In Stock</v>
      </c>
      <c r="P321" t="str">
        <f>TEXT(Inventory_Data[[#This Row],[Date]],"MMM")</f>
        <v>Mar</v>
      </c>
      <c r="Q321" t="str">
        <f>TEXT(Inventory_Data[[#This Row],[Date]],"YYYY")</f>
        <v>2025</v>
      </c>
    </row>
    <row r="322" spans="1:17" x14ac:dyDescent="0.3">
      <c r="A322" s="1">
        <v>45729</v>
      </c>
      <c r="B322" t="s">
        <v>32</v>
      </c>
      <c r="C322" t="s">
        <v>28</v>
      </c>
      <c r="D322" t="s">
        <v>26</v>
      </c>
      <c r="E322" t="s">
        <v>24</v>
      </c>
      <c r="F322">
        <v>126</v>
      </c>
      <c r="G322">
        <v>105</v>
      </c>
      <c r="H322">
        <v>17</v>
      </c>
      <c r="I322">
        <v>214</v>
      </c>
      <c r="J322">
        <v>55</v>
      </c>
      <c r="K322">
        <v>41843</v>
      </c>
      <c r="L322">
        <v>8954402</v>
      </c>
      <c r="M322">
        <f>Inventory_Data[[#This Row],[Opening Stock]]+Inventory_Data[[#This Row],[Purchase Qty]]-Inventory_Data[[#This Row],[Sales Qty]]-Inventory_Data[[#This Row],[Closing Stock]]</f>
        <v>0</v>
      </c>
      <c r="N322">
        <f>Inventory_Data[[#This Row],[Purchase Qty]]*Inventory_Data[[#This Row],[Unit Cost]]</f>
        <v>4393515</v>
      </c>
      <c r="O322" t="str">
        <f>IF(Inventory_Data[[#This Row],[Closing Stock]]&lt;=Inventory_Data[[#This Row],[Reorder Level]],"Low Stock","In Stock")</f>
        <v>In Stock</v>
      </c>
      <c r="P322" t="str">
        <f>TEXT(Inventory_Data[[#This Row],[Date]],"MMM")</f>
        <v>Mar</v>
      </c>
      <c r="Q322" t="str">
        <f>TEXT(Inventory_Data[[#This Row],[Date]],"YYYY")</f>
        <v>2025</v>
      </c>
    </row>
    <row r="323" spans="1:17" x14ac:dyDescent="0.3">
      <c r="A323" s="1">
        <v>45729</v>
      </c>
      <c r="B323" t="s">
        <v>35</v>
      </c>
      <c r="C323" t="s">
        <v>22</v>
      </c>
      <c r="D323" t="s">
        <v>37</v>
      </c>
      <c r="E323" t="s">
        <v>24</v>
      </c>
      <c r="F323">
        <v>467</v>
      </c>
      <c r="G323">
        <v>103</v>
      </c>
      <c r="H323">
        <v>224</v>
      </c>
      <c r="I323">
        <v>346</v>
      </c>
      <c r="J323">
        <v>121</v>
      </c>
      <c r="K323">
        <v>516</v>
      </c>
      <c r="L323">
        <v>178536</v>
      </c>
      <c r="M323">
        <f>Inventory_Data[[#This Row],[Opening Stock]]+Inventory_Data[[#This Row],[Purchase Qty]]-Inventory_Data[[#This Row],[Sales Qty]]-Inventory_Data[[#This Row],[Closing Stock]]</f>
        <v>0</v>
      </c>
      <c r="N323">
        <f>Inventory_Data[[#This Row],[Purchase Qty]]*Inventory_Data[[#This Row],[Unit Cost]]</f>
        <v>53148</v>
      </c>
      <c r="O323" t="str">
        <f>IF(Inventory_Data[[#This Row],[Closing Stock]]&lt;=Inventory_Data[[#This Row],[Reorder Level]],"Low Stock","In Stock")</f>
        <v>In Stock</v>
      </c>
      <c r="P323" t="str">
        <f>TEXT(Inventory_Data[[#This Row],[Date]],"MMM")</f>
        <v>Mar</v>
      </c>
      <c r="Q323" t="str">
        <f>TEXT(Inventory_Data[[#This Row],[Date]],"YYYY")</f>
        <v>2025</v>
      </c>
    </row>
    <row r="324" spans="1:17" x14ac:dyDescent="0.3">
      <c r="A324" s="1">
        <v>45729</v>
      </c>
      <c r="B324" t="s">
        <v>40</v>
      </c>
      <c r="C324" t="s">
        <v>28</v>
      </c>
      <c r="D324" t="s">
        <v>23</v>
      </c>
      <c r="E324" t="s">
        <v>15</v>
      </c>
      <c r="F324">
        <v>47</v>
      </c>
      <c r="G324">
        <v>94</v>
      </c>
      <c r="H324">
        <v>20</v>
      </c>
      <c r="I324">
        <v>121</v>
      </c>
      <c r="J324">
        <v>35</v>
      </c>
      <c r="K324">
        <v>26139</v>
      </c>
      <c r="L324">
        <v>3162819</v>
      </c>
      <c r="M324">
        <f>Inventory_Data[[#This Row],[Opening Stock]]+Inventory_Data[[#This Row],[Purchase Qty]]-Inventory_Data[[#This Row],[Sales Qty]]-Inventory_Data[[#This Row],[Closing Stock]]</f>
        <v>0</v>
      </c>
      <c r="N324">
        <f>Inventory_Data[[#This Row],[Purchase Qty]]*Inventory_Data[[#This Row],[Unit Cost]]</f>
        <v>2457066</v>
      </c>
      <c r="O324" t="str">
        <f>IF(Inventory_Data[[#This Row],[Closing Stock]]&lt;=Inventory_Data[[#This Row],[Reorder Level]],"Low Stock","In Stock")</f>
        <v>In Stock</v>
      </c>
      <c r="P324" t="str">
        <f>TEXT(Inventory_Data[[#This Row],[Date]],"MMM")</f>
        <v>Mar</v>
      </c>
      <c r="Q324" t="str">
        <f>TEXT(Inventory_Data[[#This Row],[Date]],"YYYY")</f>
        <v>2025</v>
      </c>
    </row>
    <row r="325" spans="1:17" x14ac:dyDescent="0.3">
      <c r="A325" s="1">
        <v>45730</v>
      </c>
      <c r="B325" t="s">
        <v>21</v>
      </c>
      <c r="C325" t="s">
        <v>22</v>
      </c>
      <c r="D325" t="s">
        <v>23</v>
      </c>
      <c r="E325" t="s">
        <v>24</v>
      </c>
      <c r="F325">
        <v>246</v>
      </c>
      <c r="G325">
        <v>272</v>
      </c>
      <c r="H325">
        <v>95</v>
      </c>
      <c r="I325">
        <v>423</v>
      </c>
      <c r="J325">
        <v>52</v>
      </c>
      <c r="K325">
        <v>818</v>
      </c>
      <c r="L325">
        <v>346014</v>
      </c>
      <c r="M325">
        <f>Inventory_Data[[#This Row],[Opening Stock]]+Inventory_Data[[#This Row],[Purchase Qty]]-Inventory_Data[[#This Row],[Sales Qty]]-Inventory_Data[[#This Row],[Closing Stock]]</f>
        <v>0</v>
      </c>
      <c r="N325">
        <f>Inventory_Data[[#This Row],[Purchase Qty]]*Inventory_Data[[#This Row],[Unit Cost]]</f>
        <v>222496</v>
      </c>
      <c r="O325" t="str">
        <f>IF(Inventory_Data[[#This Row],[Closing Stock]]&lt;=Inventory_Data[[#This Row],[Reorder Level]],"Low Stock","In Stock")</f>
        <v>In Stock</v>
      </c>
      <c r="P325" t="str">
        <f>TEXT(Inventory_Data[[#This Row],[Date]],"MMM")</f>
        <v>Mar</v>
      </c>
      <c r="Q325" t="str">
        <f>TEXT(Inventory_Data[[#This Row],[Date]],"YYYY")</f>
        <v>2025</v>
      </c>
    </row>
    <row r="326" spans="1:17" x14ac:dyDescent="0.3">
      <c r="A326" s="1">
        <v>45730</v>
      </c>
      <c r="B326" t="s">
        <v>43</v>
      </c>
      <c r="C326" t="s">
        <v>22</v>
      </c>
      <c r="D326" t="s">
        <v>14</v>
      </c>
      <c r="E326" t="s">
        <v>29</v>
      </c>
      <c r="F326">
        <v>169</v>
      </c>
      <c r="G326">
        <v>122</v>
      </c>
      <c r="H326">
        <v>95</v>
      </c>
      <c r="I326">
        <v>196</v>
      </c>
      <c r="J326">
        <v>90</v>
      </c>
      <c r="K326">
        <v>355</v>
      </c>
      <c r="L326">
        <v>69580</v>
      </c>
      <c r="M326">
        <f>Inventory_Data[[#This Row],[Opening Stock]]+Inventory_Data[[#This Row],[Purchase Qty]]-Inventory_Data[[#This Row],[Sales Qty]]-Inventory_Data[[#This Row],[Closing Stock]]</f>
        <v>0</v>
      </c>
      <c r="N326">
        <f>Inventory_Data[[#This Row],[Purchase Qty]]*Inventory_Data[[#This Row],[Unit Cost]]</f>
        <v>43310</v>
      </c>
      <c r="O326" t="str">
        <f>IF(Inventory_Data[[#This Row],[Closing Stock]]&lt;=Inventory_Data[[#This Row],[Reorder Level]],"Low Stock","In Stock")</f>
        <v>In Stock</v>
      </c>
      <c r="P326" t="str">
        <f>TEXT(Inventory_Data[[#This Row],[Date]],"MMM")</f>
        <v>Mar</v>
      </c>
      <c r="Q326" t="str">
        <f>TEXT(Inventory_Data[[#This Row],[Date]],"YYYY")</f>
        <v>2025</v>
      </c>
    </row>
    <row r="327" spans="1:17" x14ac:dyDescent="0.3">
      <c r="A327" s="1">
        <v>45731</v>
      </c>
      <c r="B327" t="s">
        <v>45</v>
      </c>
      <c r="C327" t="s">
        <v>13</v>
      </c>
      <c r="D327" t="s">
        <v>37</v>
      </c>
      <c r="E327" t="s">
        <v>29</v>
      </c>
      <c r="F327">
        <v>75</v>
      </c>
      <c r="G327">
        <v>62</v>
      </c>
      <c r="H327">
        <v>33</v>
      </c>
      <c r="I327">
        <v>104</v>
      </c>
      <c r="J327">
        <v>28</v>
      </c>
      <c r="K327">
        <v>10951</v>
      </c>
      <c r="L327">
        <v>1138904</v>
      </c>
      <c r="M327">
        <f>Inventory_Data[[#This Row],[Opening Stock]]+Inventory_Data[[#This Row],[Purchase Qty]]-Inventory_Data[[#This Row],[Sales Qty]]-Inventory_Data[[#This Row],[Closing Stock]]</f>
        <v>0</v>
      </c>
      <c r="N327">
        <f>Inventory_Data[[#This Row],[Purchase Qty]]*Inventory_Data[[#This Row],[Unit Cost]]</f>
        <v>678962</v>
      </c>
      <c r="O327" t="str">
        <f>IF(Inventory_Data[[#This Row],[Closing Stock]]&lt;=Inventory_Data[[#This Row],[Reorder Level]],"Low Stock","In Stock")</f>
        <v>In Stock</v>
      </c>
      <c r="P327" t="str">
        <f>TEXT(Inventory_Data[[#This Row],[Date]],"MMM")</f>
        <v>Mar</v>
      </c>
      <c r="Q327" t="str">
        <f>TEXT(Inventory_Data[[#This Row],[Date]],"YYYY")</f>
        <v>2025</v>
      </c>
    </row>
    <row r="328" spans="1:17" x14ac:dyDescent="0.3">
      <c r="A328" s="1">
        <v>45731</v>
      </c>
      <c r="B328" t="s">
        <v>30</v>
      </c>
      <c r="C328" t="s">
        <v>28</v>
      </c>
      <c r="D328" t="s">
        <v>37</v>
      </c>
      <c r="E328" t="s">
        <v>29</v>
      </c>
      <c r="F328">
        <v>70</v>
      </c>
      <c r="G328">
        <v>76</v>
      </c>
      <c r="H328">
        <v>80</v>
      </c>
      <c r="I328">
        <v>66</v>
      </c>
      <c r="J328">
        <v>36</v>
      </c>
      <c r="K328">
        <v>61308</v>
      </c>
      <c r="L328">
        <v>4046328</v>
      </c>
      <c r="M328">
        <f>Inventory_Data[[#This Row],[Opening Stock]]+Inventory_Data[[#This Row],[Purchase Qty]]-Inventory_Data[[#This Row],[Sales Qty]]-Inventory_Data[[#This Row],[Closing Stock]]</f>
        <v>0</v>
      </c>
      <c r="N328">
        <f>Inventory_Data[[#This Row],[Purchase Qty]]*Inventory_Data[[#This Row],[Unit Cost]]</f>
        <v>4659408</v>
      </c>
      <c r="O328" t="str">
        <f>IF(Inventory_Data[[#This Row],[Closing Stock]]&lt;=Inventory_Data[[#This Row],[Reorder Level]],"Low Stock","In Stock")</f>
        <v>In Stock</v>
      </c>
      <c r="P328" t="str">
        <f>TEXT(Inventory_Data[[#This Row],[Date]],"MMM")</f>
        <v>Mar</v>
      </c>
      <c r="Q328" t="str">
        <f>TEXT(Inventory_Data[[#This Row],[Date]],"YYYY")</f>
        <v>2025</v>
      </c>
    </row>
    <row r="329" spans="1:17" x14ac:dyDescent="0.3">
      <c r="A329" s="1">
        <v>45731</v>
      </c>
      <c r="B329" t="s">
        <v>45</v>
      </c>
      <c r="C329" t="s">
        <v>13</v>
      </c>
      <c r="D329" t="s">
        <v>37</v>
      </c>
      <c r="E329" t="s">
        <v>34</v>
      </c>
      <c r="F329">
        <v>75</v>
      </c>
      <c r="G329">
        <v>47</v>
      </c>
      <c r="H329">
        <v>27</v>
      </c>
      <c r="I329">
        <v>95</v>
      </c>
      <c r="J329">
        <v>30</v>
      </c>
      <c r="K329">
        <v>6095</v>
      </c>
      <c r="L329">
        <v>579025</v>
      </c>
      <c r="M329">
        <f>Inventory_Data[[#This Row],[Opening Stock]]+Inventory_Data[[#This Row],[Purchase Qty]]-Inventory_Data[[#This Row],[Sales Qty]]-Inventory_Data[[#This Row],[Closing Stock]]</f>
        <v>0</v>
      </c>
      <c r="N329">
        <f>Inventory_Data[[#This Row],[Purchase Qty]]*Inventory_Data[[#This Row],[Unit Cost]]</f>
        <v>286465</v>
      </c>
      <c r="O329" t="str">
        <f>IF(Inventory_Data[[#This Row],[Closing Stock]]&lt;=Inventory_Data[[#This Row],[Reorder Level]],"Low Stock","In Stock")</f>
        <v>In Stock</v>
      </c>
      <c r="P329" t="str">
        <f>TEXT(Inventory_Data[[#This Row],[Date]],"MMM")</f>
        <v>Mar</v>
      </c>
      <c r="Q329" t="str">
        <f>TEXT(Inventory_Data[[#This Row],[Date]],"YYYY")</f>
        <v>2025</v>
      </c>
    </row>
    <row r="330" spans="1:17" x14ac:dyDescent="0.3">
      <c r="A330" s="1">
        <v>45731</v>
      </c>
      <c r="B330" t="s">
        <v>38</v>
      </c>
      <c r="C330" t="s">
        <v>17</v>
      </c>
      <c r="D330" t="s">
        <v>37</v>
      </c>
      <c r="E330" t="s">
        <v>20</v>
      </c>
      <c r="F330">
        <v>64</v>
      </c>
      <c r="G330">
        <v>6</v>
      </c>
      <c r="H330">
        <v>25</v>
      </c>
      <c r="I330">
        <v>45</v>
      </c>
      <c r="J330">
        <v>21</v>
      </c>
      <c r="K330">
        <v>5559</v>
      </c>
      <c r="L330">
        <v>250155</v>
      </c>
      <c r="M330">
        <f>Inventory_Data[[#This Row],[Opening Stock]]+Inventory_Data[[#This Row],[Purchase Qty]]-Inventory_Data[[#This Row],[Sales Qty]]-Inventory_Data[[#This Row],[Closing Stock]]</f>
        <v>0</v>
      </c>
      <c r="N330">
        <f>Inventory_Data[[#This Row],[Purchase Qty]]*Inventory_Data[[#This Row],[Unit Cost]]</f>
        <v>33354</v>
      </c>
      <c r="O330" t="str">
        <f>IF(Inventory_Data[[#This Row],[Closing Stock]]&lt;=Inventory_Data[[#This Row],[Reorder Level]],"Low Stock","In Stock")</f>
        <v>In Stock</v>
      </c>
      <c r="P330" t="str">
        <f>TEXT(Inventory_Data[[#This Row],[Date]],"MMM")</f>
        <v>Mar</v>
      </c>
      <c r="Q330" t="str">
        <f>TEXT(Inventory_Data[[#This Row],[Date]],"YYYY")</f>
        <v>2025</v>
      </c>
    </row>
    <row r="331" spans="1:17" x14ac:dyDescent="0.3">
      <c r="A331" s="1">
        <v>45731</v>
      </c>
      <c r="B331" t="s">
        <v>19</v>
      </c>
      <c r="C331" t="s">
        <v>13</v>
      </c>
      <c r="D331" t="s">
        <v>23</v>
      </c>
      <c r="E331" t="s">
        <v>20</v>
      </c>
      <c r="F331">
        <v>72</v>
      </c>
      <c r="G331">
        <v>68</v>
      </c>
      <c r="H331">
        <v>32</v>
      </c>
      <c r="I331">
        <v>108</v>
      </c>
      <c r="J331">
        <v>21</v>
      </c>
      <c r="K331">
        <v>9048</v>
      </c>
      <c r="L331">
        <v>977184</v>
      </c>
      <c r="M331">
        <f>Inventory_Data[[#This Row],[Opening Stock]]+Inventory_Data[[#This Row],[Purchase Qty]]-Inventory_Data[[#This Row],[Sales Qty]]-Inventory_Data[[#This Row],[Closing Stock]]</f>
        <v>0</v>
      </c>
      <c r="N331">
        <f>Inventory_Data[[#This Row],[Purchase Qty]]*Inventory_Data[[#This Row],[Unit Cost]]</f>
        <v>615264</v>
      </c>
      <c r="O331" t="str">
        <f>IF(Inventory_Data[[#This Row],[Closing Stock]]&lt;=Inventory_Data[[#This Row],[Reorder Level]],"Low Stock","In Stock")</f>
        <v>In Stock</v>
      </c>
      <c r="P331" t="str">
        <f>TEXT(Inventory_Data[[#This Row],[Date]],"MMM")</f>
        <v>Mar</v>
      </c>
      <c r="Q331" t="str">
        <f>TEXT(Inventory_Data[[#This Row],[Date]],"YYYY")</f>
        <v>2025</v>
      </c>
    </row>
    <row r="332" spans="1:17" x14ac:dyDescent="0.3">
      <c r="A332" s="1">
        <v>45731</v>
      </c>
      <c r="B332" t="s">
        <v>31</v>
      </c>
      <c r="C332" t="s">
        <v>22</v>
      </c>
      <c r="D332" t="s">
        <v>26</v>
      </c>
      <c r="E332" t="s">
        <v>24</v>
      </c>
      <c r="F332">
        <v>236</v>
      </c>
      <c r="G332">
        <v>91</v>
      </c>
      <c r="H332">
        <v>173</v>
      </c>
      <c r="I332">
        <v>154</v>
      </c>
      <c r="J332">
        <v>139</v>
      </c>
      <c r="K332">
        <v>642</v>
      </c>
      <c r="L332">
        <v>98868</v>
      </c>
      <c r="M332">
        <f>Inventory_Data[[#This Row],[Opening Stock]]+Inventory_Data[[#This Row],[Purchase Qty]]-Inventory_Data[[#This Row],[Sales Qty]]-Inventory_Data[[#This Row],[Closing Stock]]</f>
        <v>0</v>
      </c>
      <c r="N332">
        <f>Inventory_Data[[#This Row],[Purchase Qty]]*Inventory_Data[[#This Row],[Unit Cost]]</f>
        <v>58422</v>
      </c>
      <c r="O332" t="str">
        <f>IF(Inventory_Data[[#This Row],[Closing Stock]]&lt;=Inventory_Data[[#This Row],[Reorder Level]],"Low Stock","In Stock")</f>
        <v>In Stock</v>
      </c>
      <c r="P332" t="str">
        <f>TEXT(Inventory_Data[[#This Row],[Date]],"MMM")</f>
        <v>Mar</v>
      </c>
      <c r="Q332" t="str">
        <f>TEXT(Inventory_Data[[#This Row],[Date]],"YYYY")</f>
        <v>2025</v>
      </c>
    </row>
    <row r="333" spans="1:17" x14ac:dyDescent="0.3">
      <c r="A333" s="1">
        <v>45731</v>
      </c>
      <c r="B333" t="s">
        <v>45</v>
      </c>
      <c r="C333" t="s">
        <v>13</v>
      </c>
      <c r="D333" t="s">
        <v>37</v>
      </c>
      <c r="E333" t="s">
        <v>18</v>
      </c>
      <c r="F333">
        <v>90</v>
      </c>
      <c r="G333">
        <v>45</v>
      </c>
      <c r="H333">
        <v>9</v>
      </c>
      <c r="I333">
        <v>126</v>
      </c>
      <c r="J333">
        <v>26</v>
      </c>
      <c r="K333">
        <v>6011</v>
      </c>
      <c r="L333">
        <v>757386</v>
      </c>
      <c r="M333">
        <f>Inventory_Data[[#This Row],[Opening Stock]]+Inventory_Data[[#This Row],[Purchase Qty]]-Inventory_Data[[#This Row],[Sales Qty]]-Inventory_Data[[#This Row],[Closing Stock]]</f>
        <v>0</v>
      </c>
      <c r="N333">
        <f>Inventory_Data[[#This Row],[Purchase Qty]]*Inventory_Data[[#This Row],[Unit Cost]]</f>
        <v>270495</v>
      </c>
      <c r="O333" t="str">
        <f>IF(Inventory_Data[[#This Row],[Closing Stock]]&lt;=Inventory_Data[[#This Row],[Reorder Level]],"Low Stock","In Stock")</f>
        <v>In Stock</v>
      </c>
      <c r="P333" t="str">
        <f>TEXT(Inventory_Data[[#This Row],[Date]],"MMM")</f>
        <v>Mar</v>
      </c>
      <c r="Q333" t="str">
        <f>TEXT(Inventory_Data[[#This Row],[Date]],"YYYY")</f>
        <v>2025</v>
      </c>
    </row>
    <row r="334" spans="1:17" x14ac:dyDescent="0.3">
      <c r="A334" s="1">
        <v>45732</v>
      </c>
      <c r="B334" t="s">
        <v>19</v>
      </c>
      <c r="C334" t="s">
        <v>13</v>
      </c>
      <c r="D334" t="s">
        <v>26</v>
      </c>
      <c r="E334" t="s">
        <v>15</v>
      </c>
      <c r="F334">
        <v>110</v>
      </c>
      <c r="G334">
        <v>53</v>
      </c>
      <c r="H334">
        <v>9</v>
      </c>
      <c r="I334">
        <v>154</v>
      </c>
      <c r="J334">
        <v>25</v>
      </c>
      <c r="K334">
        <v>14645</v>
      </c>
      <c r="L334">
        <v>2255330</v>
      </c>
      <c r="M334">
        <f>Inventory_Data[[#This Row],[Opening Stock]]+Inventory_Data[[#This Row],[Purchase Qty]]-Inventory_Data[[#This Row],[Sales Qty]]-Inventory_Data[[#This Row],[Closing Stock]]</f>
        <v>0</v>
      </c>
      <c r="N334">
        <f>Inventory_Data[[#This Row],[Purchase Qty]]*Inventory_Data[[#This Row],[Unit Cost]]</f>
        <v>776185</v>
      </c>
      <c r="O334" t="str">
        <f>IF(Inventory_Data[[#This Row],[Closing Stock]]&lt;=Inventory_Data[[#This Row],[Reorder Level]],"Low Stock","In Stock")</f>
        <v>In Stock</v>
      </c>
      <c r="P334" t="str">
        <f>TEXT(Inventory_Data[[#This Row],[Date]],"MMM")</f>
        <v>Mar</v>
      </c>
      <c r="Q334" t="str">
        <f>TEXT(Inventory_Data[[#This Row],[Date]],"YYYY")</f>
        <v>2025</v>
      </c>
    </row>
    <row r="335" spans="1:17" x14ac:dyDescent="0.3">
      <c r="A335" s="1">
        <v>45732</v>
      </c>
      <c r="B335" t="s">
        <v>44</v>
      </c>
      <c r="C335" t="s">
        <v>28</v>
      </c>
      <c r="D335" t="s">
        <v>37</v>
      </c>
      <c r="E335" t="s">
        <v>34</v>
      </c>
      <c r="F335">
        <v>107</v>
      </c>
      <c r="G335">
        <v>83</v>
      </c>
      <c r="H335">
        <v>18</v>
      </c>
      <c r="I335">
        <v>172</v>
      </c>
      <c r="J335">
        <v>26</v>
      </c>
      <c r="K335">
        <v>36333</v>
      </c>
      <c r="L335">
        <v>6249276</v>
      </c>
      <c r="M335">
        <f>Inventory_Data[[#This Row],[Opening Stock]]+Inventory_Data[[#This Row],[Purchase Qty]]-Inventory_Data[[#This Row],[Sales Qty]]-Inventory_Data[[#This Row],[Closing Stock]]</f>
        <v>0</v>
      </c>
      <c r="N335">
        <f>Inventory_Data[[#This Row],[Purchase Qty]]*Inventory_Data[[#This Row],[Unit Cost]]</f>
        <v>3015639</v>
      </c>
      <c r="O335" t="str">
        <f>IF(Inventory_Data[[#This Row],[Closing Stock]]&lt;=Inventory_Data[[#This Row],[Reorder Level]],"Low Stock","In Stock")</f>
        <v>In Stock</v>
      </c>
      <c r="P335" t="str">
        <f>TEXT(Inventory_Data[[#This Row],[Date]],"MMM")</f>
        <v>Mar</v>
      </c>
      <c r="Q335" t="str">
        <f>TEXT(Inventory_Data[[#This Row],[Date]],"YYYY")</f>
        <v>2025</v>
      </c>
    </row>
    <row r="336" spans="1:17" x14ac:dyDescent="0.3">
      <c r="A336" s="1">
        <v>45732</v>
      </c>
      <c r="B336" t="s">
        <v>41</v>
      </c>
      <c r="C336" t="s">
        <v>22</v>
      </c>
      <c r="D336" t="s">
        <v>14</v>
      </c>
      <c r="E336" t="s">
        <v>20</v>
      </c>
      <c r="F336">
        <v>429</v>
      </c>
      <c r="G336">
        <v>258</v>
      </c>
      <c r="H336">
        <v>71</v>
      </c>
      <c r="I336">
        <v>616</v>
      </c>
      <c r="J336">
        <v>67</v>
      </c>
      <c r="K336">
        <v>589</v>
      </c>
      <c r="L336">
        <v>362824</v>
      </c>
      <c r="M336">
        <f>Inventory_Data[[#This Row],[Opening Stock]]+Inventory_Data[[#This Row],[Purchase Qty]]-Inventory_Data[[#This Row],[Sales Qty]]-Inventory_Data[[#This Row],[Closing Stock]]</f>
        <v>0</v>
      </c>
      <c r="N336">
        <f>Inventory_Data[[#This Row],[Purchase Qty]]*Inventory_Data[[#This Row],[Unit Cost]]</f>
        <v>151962</v>
      </c>
      <c r="O336" t="str">
        <f>IF(Inventory_Data[[#This Row],[Closing Stock]]&lt;=Inventory_Data[[#This Row],[Reorder Level]],"Low Stock","In Stock")</f>
        <v>In Stock</v>
      </c>
      <c r="P336" t="str">
        <f>TEXT(Inventory_Data[[#This Row],[Date]],"MMM")</f>
        <v>Mar</v>
      </c>
      <c r="Q336" t="str">
        <f>TEXT(Inventory_Data[[#This Row],[Date]],"YYYY")</f>
        <v>2025</v>
      </c>
    </row>
    <row r="337" spans="1:17" x14ac:dyDescent="0.3">
      <c r="A337" s="1">
        <v>45732</v>
      </c>
      <c r="B337" t="s">
        <v>41</v>
      </c>
      <c r="C337" t="s">
        <v>22</v>
      </c>
      <c r="D337" t="s">
        <v>26</v>
      </c>
      <c r="E337" t="s">
        <v>15</v>
      </c>
      <c r="F337">
        <v>261</v>
      </c>
      <c r="G337">
        <v>208</v>
      </c>
      <c r="H337">
        <v>138</v>
      </c>
      <c r="I337">
        <v>331</v>
      </c>
      <c r="J337">
        <v>116</v>
      </c>
      <c r="K337">
        <v>302</v>
      </c>
      <c r="L337">
        <v>99962</v>
      </c>
      <c r="M337">
        <f>Inventory_Data[[#This Row],[Opening Stock]]+Inventory_Data[[#This Row],[Purchase Qty]]-Inventory_Data[[#This Row],[Sales Qty]]-Inventory_Data[[#This Row],[Closing Stock]]</f>
        <v>0</v>
      </c>
      <c r="N337">
        <f>Inventory_Data[[#This Row],[Purchase Qty]]*Inventory_Data[[#This Row],[Unit Cost]]</f>
        <v>62816</v>
      </c>
      <c r="O337" t="str">
        <f>IF(Inventory_Data[[#This Row],[Closing Stock]]&lt;=Inventory_Data[[#This Row],[Reorder Level]],"Low Stock","In Stock")</f>
        <v>In Stock</v>
      </c>
      <c r="P337" t="str">
        <f>TEXT(Inventory_Data[[#This Row],[Date]],"MMM")</f>
        <v>Mar</v>
      </c>
      <c r="Q337" t="str">
        <f>TEXT(Inventory_Data[[#This Row],[Date]],"YYYY")</f>
        <v>2025</v>
      </c>
    </row>
    <row r="338" spans="1:17" x14ac:dyDescent="0.3">
      <c r="A338" s="1">
        <v>45733</v>
      </c>
      <c r="B338" t="s">
        <v>35</v>
      </c>
      <c r="C338" t="s">
        <v>22</v>
      </c>
      <c r="D338" t="s">
        <v>23</v>
      </c>
      <c r="E338" t="s">
        <v>34</v>
      </c>
      <c r="F338">
        <v>237</v>
      </c>
      <c r="G338">
        <v>275</v>
      </c>
      <c r="H338">
        <v>139</v>
      </c>
      <c r="I338">
        <v>373</v>
      </c>
      <c r="J338">
        <v>76</v>
      </c>
      <c r="K338">
        <v>846</v>
      </c>
      <c r="L338">
        <v>315558</v>
      </c>
      <c r="M338">
        <f>Inventory_Data[[#This Row],[Opening Stock]]+Inventory_Data[[#This Row],[Purchase Qty]]-Inventory_Data[[#This Row],[Sales Qty]]-Inventory_Data[[#This Row],[Closing Stock]]</f>
        <v>0</v>
      </c>
      <c r="N338">
        <f>Inventory_Data[[#This Row],[Purchase Qty]]*Inventory_Data[[#This Row],[Unit Cost]]</f>
        <v>232650</v>
      </c>
      <c r="O338" t="str">
        <f>IF(Inventory_Data[[#This Row],[Closing Stock]]&lt;=Inventory_Data[[#This Row],[Reorder Level]],"Low Stock","In Stock")</f>
        <v>In Stock</v>
      </c>
      <c r="P338" t="str">
        <f>TEXT(Inventory_Data[[#This Row],[Date]],"MMM")</f>
        <v>Mar</v>
      </c>
      <c r="Q338" t="str">
        <f>TEXT(Inventory_Data[[#This Row],[Date]],"YYYY")</f>
        <v>2025</v>
      </c>
    </row>
    <row r="339" spans="1:17" x14ac:dyDescent="0.3">
      <c r="A339" s="1">
        <v>45733</v>
      </c>
      <c r="B339" t="s">
        <v>40</v>
      </c>
      <c r="C339" t="s">
        <v>28</v>
      </c>
      <c r="D339" t="s">
        <v>23</v>
      </c>
      <c r="E339" t="s">
        <v>18</v>
      </c>
      <c r="F339">
        <v>48</v>
      </c>
      <c r="G339">
        <v>91</v>
      </c>
      <c r="H339">
        <v>6</v>
      </c>
      <c r="I339">
        <v>133</v>
      </c>
      <c r="J339">
        <v>21</v>
      </c>
      <c r="K339">
        <v>63189</v>
      </c>
      <c r="L339">
        <v>8404137</v>
      </c>
      <c r="M339">
        <f>Inventory_Data[[#This Row],[Opening Stock]]+Inventory_Data[[#This Row],[Purchase Qty]]-Inventory_Data[[#This Row],[Sales Qty]]-Inventory_Data[[#This Row],[Closing Stock]]</f>
        <v>0</v>
      </c>
      <c r="N339">
        <f>Inventory_Data[[#This Row],[Purchase Qty]]*Inventory_Data[[#This Row],[Unit Cost]]</f>
        <v>5750199</v>
      </c>
      <c r="O339" t="str">
        <f>IF(Inventory_Data[[#This Row],[Closing Stock]]&lt;=Inventory_Data[[#This Row],[Reorder Level]],"Low Stock","In Stock")</f>
        <v>In Stock</v>
      </c>
      <c r="P339" t="str">
        <f>TEXT(Inventory_Data[[#This Row],[Date]],"MMM")</f>
        <v>Mar</v>
      </c>
      <c r="Q339" t="str">
        <f>TEXT(Inventory_Data[[#This Row],[Date]],"YYYY")</f>
        <v>2025</v>
      </c>
    </row>
    <row r="340" spans="1:17" x14ac:dyDescent="0.3">
      <c r="A340" s="1">
        <v>45733</v>
      </c>
      <c r="B340" t="s">
        <v>30</v>
      </c>
      <c r="C340" t="s">
        <v>28</v>
      </c>
      <c r="D340" t="s">
        <v>26</v>
      </c>
      <c r="E340" t="s">
        <v>20</v>
      </c>
      <c r="F340">
        <v>26</v>
      </c>
      <c r="G340">
        <v>50</v>
      </c>
      <c r="H340">
        <v>6</v>
      </c>
      <c r="I340">
        <v>70</v>
      </c>
      <c r="J340">
        <v>29</v>
      </c>
      <c r="K340">
        <v>17656</v>
      </c>
      <c r="L340">
        <v>1235920</v>
      </c>
      <c r="M340">
        <f>Inventory_Data[[#This Row],[Opening Stock]]+Inventory_Data[[#This Row],[Purchase Qty]]-Inventory_Data[[#This Row],[Sales Qty]]-Inventory_Data[[#This Row],[Closing Stock]]</f>
        <v>0</v>
      </c>
      <c r="N340">
        <f>Inventory_Data[[#This Row],[Purchase Qty]]*Inventory_Data[[#This Row],[Unit Cost]]</f>
        <v>882800</v>
      </c>
      <c r="O340" t="str">
        <f>IF(Inventory_Data[[#This Row],[Closing Stock]]&lt;=Inventory_Data[[#This Row],[Reorder Level]],"Low Stock","In Stock")</f>
        <v>In Stock</v>
      </c>
      <c r="P340" t="str">
        <f>TEXT(Inventory_Data[[#This Row],[Date]],"MMM")</f>
        <v>Mar</v>
      </c>
      <c r="Q340" t="str">
        <f>TEXT(Inventory_Data[[#This Row],[Date]],"YYYY")</f>
        <v>2025</v>
      </c>
    </row>
    <row r="341" spans="1:17" x14ac:dyDescent="0.3">
      <c r="A341" s="1">
        <v>45733</v>
      </c>
      <c r="B341" t="s">
        <v>25</v>
      </c>
      <c r="C341" t="s">
        <v>17</v>
      </c>
      <c r="D341" t="s">
        <v>23</v>
      </c>
      <c r="E341" t="s">
        <v>24</v>
      </c>
      <c r="F341">
        <v>18</v>
      </c>
      <c r="G341">
        <v>8</v>
      </c>
      <c r="H341">
        <v>26</v>
      </c>
      <c r="I341">
        <v>0</v>
      </c>
      <c r="J341">
        <v>11</v>
      </c>
      <c r="K341">
        <v>4440</v>
      </c>
      <c r="L341">
        <v>0</v>
      </c>
      <c r="M341">
        <f>Inventory_Data[[#This Row],[Opening Stock]]+Inventory_Data[[#This Row],[Purchase Qty]]-Inventory_Data[[#This Row],[Sales Qty]]-Inventory_Data[[#This Row],[Closing Stock]]</f>
        <v>0</v>
      </c>
      <c r="N341">
        <f>Inventory_Data[[#This Row],[Purchase Qty]]*Inventory_Data[[#This Row],[Unit Cost]]</f>
        <v>35520</v>
      </c>
      <c r="O341" t="str">
        <f>IF(Inventory_Data[[#This Row],[Closing Stock]]&lt;=Inventory_Data[[#This Row],[Reorder Level]],"Low Stock","In Stock")</f>
        <v>Low Stock</v>
      </c>
      <c r="P341" t="str">
        <f>TEXT(Inventory_Data[[#This Row],[Date]],"MMM")</f>
        <v>Mar</v>
      </c>
      <c r="Q341" t="str">
        <f>TEXT(Inventory_Data[[#This Row],[Date]],"YYYY")</f>
        <v>2025</v>
      </c>
    </row>
    <row r="342" spans="1:17" x14ac:dyDescent="0.3">
      <c r="A342" s="1">
        <v>45733</v>
      </c>
      <c r="B342" t="s">
        <v>32</v>
      </c>
      <c r="C342" t="s">
        <v>28</v>
      </c>
      <c r="D342" t="s">
        <v>26</v>
      </c>
      <c r="E342" t="s">
        <v>18</v>
      </c>
      <c r="F342">
        <v>177</v>
      </c>
      <c r="G342">
        <v>66</v>
      </c>
      <c r="H342">
        <v>90</v>
      </c>
      <c r="I342">
        <v>153</v>
      </c>
      <c r="J342">
        <v>48</v>
      </c>
      <c r="K342">
        <v>60648</v>
      </c>
      <c r="L342">
        <v>9279144</v>
      </c>
      <c r="M342">
        <f>Inventory_Data[[#This Row],[Opening Stock]]+Inventory_Data[[#This Row],[Purchase Qty]]-Inventory_Data[[#This Row],[Sales Qty]]-Inventory_Data[[#This Row],[Closing Stock]]</f>
        <v>0</v>
      </c>
      <c r="N342">
        <f>Inventory_Data[[#This Row],[Purchase Qty]]*Inventory_Data[[#This Row],[Unit Cost]]</f>
        <v>4002768</v>
      </c>
      <c r="O342" t="str">
        <f>IF(Inventory_Data[[#This Row],[Closing Stock]]&lt;=Inventory_Data[[#This Row],[Reorder Level]],"Low Stock","In Stock")</f>
        <v>In Stock</v>
      </c>
      <c r="P342" t="str">
        <f>TEXT(Inventory_Data[[#This Row],[Date]],"MMM")</f>
        <v>Mar</v>
      </c>
      <c r="Q342" t="str">
        <f>TEXT(Inventory_Data[[#This Row],[Date]],"YYYY")</f>
        <v>2025</v>
      </c>
    </row>
    <row r="343" spans="1:17" x14ac:dyDescent="0.3">
      <c r="A343" s="1">
        <v>45733</v>
      </c>
      <c r="B343" t="s">
        <v>12</v>
      </c>
      <c r="C343" t="s">
        <v>13</v>
      </c>
      <c r="D343" t="s">
        <v>37</v>
      </c>
      <c r="E343" t="s">
        <v>34</v>
      </c>
      <c r="F343">
        <v>102</v>
      </c>
      <c r="G343">
        <v>74</v>
      </c>
      <c r="H343">
        <v>44</v>
      </c>
      <c r="I343">
        <v>132</v>
      </c>
      <c r="J343">
        <v>30</v>
      </c>
      <c r="K343">
        <v>3270</v>
      </c>
      <c r="L343">
        <v>431640</v>
      </c>
      <c r="M343">
        <f>Inventory_Data[[#This Row],[Opening Stock]]+Inventory_Data[[#This Row],[Purchase Qty]]-Inventory_Data[[#This Row],[Sales Qty]]-Inventory_Data[[#This Row],[Closing Stock]]</f>
        <v>0</v>
      </c>
      <c r="N343">
        <f>Inventory_Data[[#This Row],[Purchase Qty]]*Inventory_Data[[#This Row],[Unit Cost]]</f>
        <v>241980</v>
      </c>
      <c r="O343" t="str">
        <f>IF(Inventory_Data[[#This Row],[Closing Stock]]&lt;=Inventory_Data[[#This Row],[Reorder Level]],"Low Stock","In Stock")</f>
        <v>In Stock</v>
      </c>
      <c r="P343" t="str">
        <f>TEXT(Inventory_Data[[#This Row],[Date]],"MMM")</f>
        <v>Mar</v>
      </c>
      <c r="Q343" t="str">
        <f>TEXT(Inventory_Data[[#This Row],[Date]],"YYYY")</f>
        <v>2025</v>
      </c>
    </row>
    <row r="344" spans="1:17" x14ac:dyDescent="0.3">
      <c r="A344" s="1">
        <v>45733</v>
      </c>
      <c r="B344" t="s">
        <v>30</v>
      </c>
      <c r="C344" t="s">
        <v>28</v>
      </c>
      <c r="D344" t="s">
        <v>23</v>
      </c>
      <c r="E344" t="s">
        <v>24</v>
      </c>
      <c r="F344">
        <v>78</v>
      </c>
      <c r="G344">
        <v>40</v>
      </c>
      <c r="H344">
        <v>97</v>
      </c>
      <c r="I344">
        <v>21</v>
      </c>
      <c r="J344">
        <v>24</v>
      </c>
      <c r="K344">
        <v>55326</v>
      </c>
      <c r="L344">
        <v>1161846</v>
      </c>
      <c r="M344">
        <f>Inventory_Data[[#This Row],[Opening Stock]]+Inventory_Data[[#This Row],[Purchase Qty]]-Inventory_Data[[#This Row],[Sales Qty]]-Inventory_Data[[#This Row],[Closing Stock]]</f>
        <v>0</v>
      </c>
      <c r="N344">
        <f>Inventory_Data[[#This Row],[Purchase Qty]]*Inventory_Data[[#This Row],[Unit Cost]]</f>
        <v>2213040</v>
      </c>
      <c r="O344" t="str">
        <f>IF(Inventory_Data[[#This Row],[Closing Stock]]&lt;=Inventory_Data[[#This Row],[Reorder Level]],"Low Stock","In Stock")</f>
        <v>Low Stock</v>
      </c>
      <c r="P344" t="str">
        <f>TEXT(Inventory_Data[[#This Row],[Date]],"MMM")</f>
        <v>Mar</v>
      </c>
      <c r="Q344" t="str">
        <f>TEXT(Inventory_Data[[#This Row],[Date]],"YYYY")</f>
        <v>2025</v>
      </c>
    </row>
    <row r="345" spans="1:17" x14ac:dyDescent="0.3">
      <c r="A345" s="1">
        <v>45734</v>
      </c>
      <c r="B345" t="s">
        <v>32</v>
      </c>
      <c r="C345" t="s">
        <v>28</v>
      </c>
      <c r="D345" t="s">
        <v>37</v>
      </c>
      <c r="E345" t="s">
        <v>24</v>
      </c>
      <c r="F345">
        <v>88</v>
      </c>
      <c r="G345">
        <v>53</v>
      </c>
      <c r="H345">
        <v>82</v>
      </c>
      <c r="I345">
        <v>59</v>
      </c>
      <c r="J345">
        <v>41</v>
      </c>
      <c r="K345">
        <v>57669</v>
      </c>
      <c r="L345">
        <v>3402471</v>
      </c>
      <c r="M345">
        <f>Inventory_Data[[#This Row],[Opening Stock]]+Inventory_Data[[#This Row],[Purchase Qty]]-Inventory_Data[[#This Row],[Sales Qty]]-Inventory_Data[[#This Row],[Closing Stock]]</f>
        <v>0</v>
      </c>
      <c r="N345">
        <f>Inventory_Data[[#This Row],[Purchase Qty]]*Inventory_Data[[#This Row],[Unit Cost]]</f>
        <v>3056457</v>
      </c>
      <c r="O345" t="str">
        <f>IF(Inventory_Data[[#This Row],[Closing Stock]]&lt;=Inventory_Data[[#This Row],[Reorder Level]],"Low Stock","In Stock")</f>
        <v>In Stock</v>
      </c>
      <c r="P345" t="str">
        <f>TEXT(Inventory_Data[[#This Row],[Date]],"MMM")</f>
        <v>Mar</v>
      </c>
      <c r="Q345" t="str">
        <f>TEXT(Inventory_Data[[#This Row],[Date]],"YYYY")</f>
        <v>2025</v>
      </c>
    </row>
    <row r="346" spans="1:17" x14ac:dyDescent="0.3">
      <c r="A346" s="1">
        <v>45734</v>
      </c>
      <c r="B346" t="s">
        <v>32</v>
      </c>
      <c r="C346" t="s">
        <v>28</v>
      </c>
      <c r="D346" t="s">
        <v>23</v>
      </c>
      <c r="E346" t="s">
        <v>24</v>
      </c>
      <c r="F346">
        <v>67</v>
      </c>
      <c r="G346">
        <v>91</v>
      </c>
      <c r="H346">
        <v>85</v>
      </c>
      <c r="I346">
        <v>73</v>
      </c>
      <c r="J346">
        <v>30</v>
      </c>
      <c r="K346">
        <v>35824</v>
      </c>
      <c r="L346">
        <v>2615152</v>
      </c>
      <c r="M346">
        <f>Inventory_Data[[#This Row],[Opening Stock]]+Inventory_Data[[#This Row],[Purchase Qty]]-Inventory_Data[[#This Row],[Sales Qty]]-Inventory_Data[[#This Row],[Closing Stock]]</f>
        <v>0</v>
      </c>
      <c r="N346">
        <f>Inventory_Data[[#This Row],[Purchase Qty]]*Inventory_Data[[#This Row],[Unit Cost]]</f>
        <v>3259984</v>
      </c>
      <c r="O346" t="str">
        <f>IF(Inventory_Data[[#This Row],[Closing Stock]]&lt;=Inventory_Data[[#This Row],[Reorder Level]],"Low Stock","In Stock")</f>
        <v>In Stock</v>
      </c>
      <c r="P346" t="str">
        <f>TEXT(Inventory_Data[[#This Row],[Date]],"MMM")</f>
        <v>Mar</v>
      </c>
      <c r="Q346" t="str">
        <f>TEXT(Inventory_Data[[#This Row],[Date]],"YYYY")</f>
        <v>2025</v>
      </c>
    </row>
    <row r="347" spans="1:17" x14ac:dyDescent="0.3">
      <c r="A347" s="1">
        <v>45734</v>
      </c>
      <c r="B347" t="s">
        <v>25</v>
      </c>
      <c r="C347" t="s">
        <v>17</v>
      </c>
      <c r="D347" t="s">
        <v>23</v>
      </c>
      <c r="E347" t="s">
        <v>15</v>
      </c>
      <c r="F347">
        <v>89</v>
      </c>
      <c r="G347">
        <v>56</v>
      </c>
      <c r="H347">
        <v>30</v>
      </c>
      <c r="I347">
        <v>115</v>
      </c>
      <c r="J347">
        <v>20</v>
      </c>
      <c r="K347">
        <v>19169</v>
      </c>
      <c r="L347">
        <v>2204435</v>
      </c>
      <c r="M347">
        <f>Inventory_Data[[#This Row],[Opening Stock]]+Inventory_Data[[#This Row],[Purchase Qty]]-Inventory_Data[[#This Row],[Sales Qty]]-Inventory_Data[[#This Row],[Closing Stock]]</f>
        <v>0</v>
      </c>
      <c r="N347">
        <f>Inventory_Data[[#This Row],[Purchase Qty]]*Inventory_Data[[#This Row],[Unit Cost]]</f>
        <v>1073464</v>
      </c>
      <c r="O347" t="str">
        <f>IF(Inventory_Data[[#This Row],[Closing Stock]]&lt;=Inventory_Data[[#This Row],[Reorder Level]],"Low Stock","In Stock")</f>
        <v>In Stock</v>
      </c>
      <c r="P347" t="str">
        <f>TEXT(Inventory_Data[[#This Row],[Date]],"MMM")</f>
        <v>Mar</v>
      </c>
      <c r="Q347" t="str">
        <f>TEXT(Inventory_Data[[#This Row],[Date]],"YYYY")</f>
        <v>2025</v>
      </c>
    </row>
    <row r="348" spans="1:17" x14ac:dyDescent="0.3">
      <c r="A348" s="1">
        <v>45734</v>
      </c>
      <c r="B348" t="s">
        <v>21</v>
      </c>
      <c r="C348" t="s">
        <v>22</v>
      </c>
      <c r="D348" t="s">
        <v>14</v>
      </c>
      <c r="E348" t="s">
        <v>34</v>
      </c>
      <c r="F348">
        <v>361</v>
      </c>
      <c r="G348">
        <v>141</v>
      </c>
      <c r="H348">
        <v>179</v>
      </c>
      <c r="I348">
        <v>323</v>
      </c>
      <c r="J348">
        <v>118</v>
      </c>
      <c r="K348">
        <v>537</v>
      </c>
      <c r="L348">
        <v>173451</v>
      </c>
      <c r="M348">
        <f>Inventory_Data[[#This Row],[Opening Stock]]+Inventory_Data[[#This Row],[Purchase Qty]]-Inventory_Data[[#This Row],[Sales Qty]]-Inventory_Data[[#This Row],[Closing Stock]]</f>
        <v>0</v>
      </c>
      <c r="N348">
        <f>Inventory_Data[[#This Row],[Purchase Qty]]*Inventory_Data[[#This Row],[Unit Cost]]</f>
        <v>75717</v>
      </c>
      <c r="O348" t="str">
        <f>IF(Inventory_Data[[#This Row],[Closing Stock]]&lt;=Inventory_Data[[#This Row],[Reorder Level]],"Low Stock","In Stock")</f>
        <v>In Stock</v>
      </c>
      <c r="P348" t="str">
        <f>TEXT(Inventory_Data[[#This Row],[Date]],"MMM")</f>
        <v>Mar</v>
      </c>
      <c r="Q348" t="str">
        <f>TEXT(Inventory_Data[[#This Row],[Date]],"YYYY")</f>
        <v>2025</v>
      </c>
    </row>
    <row r="349" spans="1:17" x14ac:dyDescent="0.3">
      <c r="A349" s="1">
        <v>45735</v>
      </c>
      <c r="B349" t="s">
        <v>16</v>
      </c>
      <c r="C349" t="s">
        <v>17</v>
      </c>
      <c r="D349" t="s">
        <v>14</v>
      </c>
      <c r="E349" t="s">
        <v>15</v>
      </c>
      <c r="F349">
        <v>94</v>
      </c>
      <c r="G349">
        <v>34</v>
      </c>
      <c r="H349">
        <v>22</v>
      </c>
      <c r="I349">
        <v>106</v>
      </c>
      <c r="J349">
        <v>18</v>
      </c>
      <c r="K349">
        <v>22028</v>
      </c>
      <c r="L349">
        <v>2334968</v>
      </c>
      <c r="M349">
        <f>Inventory_Data[[#This Row],[Opening Stock]]+Inventory_Data[[#This Row],[Purchase Qty]]-Inventory_Data[[#This Row],[Sales Qty]]-Inventory_Data[[#This Row],[Closing Stock]]</f>
        <v>0</v>
      </c>
      <c r="N349">
        <f>Inventory_Data[[#This Row],[Purchase Qty]]*Inventory_Data[[#This Row],[Unit Cost]]</f>
        <v>748952</v>
      </c>
      <c r="O349" t="str">
        <f>IF(Inventory_Data[[#This Row],[Closing Stock]]&lt;=Inventory_Data[[#This Row],[Reorder Level]],"Low Stock","In Stock")</f>
        <v>In Stock</v>
      </c>
      <c r="P349" t="str">
        <f>TEXT(Inventory_Data[[#This Row],[Date]],"MMM")</f>
        <v>Mar</v>
      </c>
      <c r="Q349" t="str">
        <f>TEXT(Inventory_Data[[#This Row],[Date]],"YYYY")</f>
        <v>2025</v>
      </c>
    </row>
    <row r="350" spans="1:17" x14ac:dyDescent="0.3">
      <c r="A350" s="1">
        <v>45735</v>
      </c>
      <c r="B350" t="s">
        <v>31</v>
      </c>
      <c r="C350" t="s">
        <v>22</v>
      </c>
      <c r="D350" t="s">
        <v>26</v>
      </c>
      <c r="E350" t="s">
        <v>18</v>
      </c>
      <c r="F350">
        <v>267</v>
      </c>
      <c r="G350">
        <v>102</v>
      </c>
      <c r="H350">
        <v>258</v>
      </c>
      <c r="I350">
        <v>111</v>
      </c>
      <c r="J350">
        <v>135</v>
      </c>
      <c r="K350">
        <v>66</v>
      </c>
      <c r="L350">
        <v>7326</v>
      </c>
      <c r="M350">
        <f>Inventory_Data[[#This Row],[Opening Stock]]+Inventory_Data[[#This Row],[Purchase Qty]]-Inventory_Data[[#This Row],[Sales Qty]]-Inventory_Data[[#This Row],[Closing Stock]]</f>
        <v>0</v>
      </c>
      <c r="N350">
        <f>Inventory_Data[[#This Row],[Purchase Qty]]*Inventory_Data[[#This Row],[Unit Cost]]</f>
        <v>6732</v>
      </c>
      <c r="O350" t="str">
        <f>IF(Inventory_Data[[#This Row],[Closing Stock]]&lt;=Inventory_Data[[#This Row],[Reorder Level]],"Low Stock","In Stock")</f>
        <v>Low Stock</v>
      </c>
      <c r="P350" t="str">
        <f>TEXT(Inventory_Data[[#This Row],[Date]],"MMM")</f>
        <v>Mar</v>
      </c>
      <c r="Q350" t="str">
        <f>TEXT(Inventory_Data[[#This Row],[Date]],"YYYY")</f>
        <v>2025</v>
      </c>
    </row>
    <row r="351" spans="1:17" x14ac:dyDescent="0.3">
      <c r="A351" s="1">
        <v>45735</v>
      </c>
      <c r="B351" t="s">
        <v>45</v>
      </c>
      <c r="C351" t="s">
        <v>13</v>
      </c>
      <c r="D351" t="s">
        <v>14</v>
      </c>
      <c r="E351" t="s">
        <v>20</v>
      </c>
      <c r="F351">
        <v>87</v>
      </c>
      <c r="G351">
        <v>5</v>
      </c>
      <c r="H351">
        <v>53</v>
      </c>
      <c r="I351">
        <v>39</v>
      </c>
      <c r="J351">
        <v>18</v>
      </c>
      <c r="K351">
        <v>17800</v>
      </c>
      <c r="L351">
        <v>694200</v>
      </c>
      <c r="M351">
        <f>Inventory_Data[[#This Row],[Opening Stock]]+Inventory_Data[[#This Row],[Purchase Qty]]-Inventory_Data[[#This Row],[Sales Qty]]-Inventory_Data[[#This Row],[Closing Stock]]</f>
        <v>0</v>
      </c>
      <c r="N351">
        <f>Inventory_Data[[#This Row],[Purchase Qty]]*Inventory_Data[[#This Row],[Unit Cost]]</f>
        <v>89000</v>
      </c>
      <c r="O351" t="str">
        <f>IF(Inventory_Data[[#This Row],[Closing Stock]]&lt;=Inventory_Data[[#This Row],[Reorder Level]],"Low Stock","In Stock")</f>
        <v>In Stock</v>
      </c>
      <c r="P351" t="str">
        <f>TEXT(Inventory_Data[[#This Row],[Date]],"MMM")</f>
        <v>Mar</v>
      </c>
      <c r="Q351" t="str">
        <f>TEXT(Inventory_Data[[#This Row],[Date]],"YYYY")</f>
        <v>2025</v>
      </c>
    </row>
    <row r="352" spans="1:17" x14ac:dyDescent="0.3">
      <c r="A352" s="1">
        <v>45735</v>
      </c>
      <c r="B352" t="s">
        <v>21</v>
      </c>
      <c r="C352" t="s">
        <v>22</v>
      </c>
      <c r="D352" t="s">
        <v>37</v>
      </c>
      <c r="E352" t="s">
        <v>29</v>
      </c>
      <c r="F352">
        <v>129</v>
      </c>
      <c r="G352">
        <v>39</v>
      </c>
      <c r="H352">
        <v>133</v>
      </c>
      <c r="I352">
        <v>35</v>
      </c>
      <c r="J352">
        <v>129</v>
      </c>
      <c r="K352">
        <v>1164</v>
      </c>
      <c r="L352">
        <v>40740</v>
      </c>
      <c r="M352">
        <f>Inventory_Data[[#This Row],[Opening Stock]]+Inventory_Data[[#This Row],[Purchase Qty]]-Inventory_Data[[#This Row],[Sales Qty]]-Inventory_Data[[#This Row],[Closing Stock]]</f>
        <v>0</v>
      </c>
      <c r="N352">
        <f>Inventory_Data[[#This Row],[Purchase Qty]]*Inventory_Data[[#This Row],[Unit Cost]]</f>
        <v>45396</v>
      </c>
      <c r="O352" t="str">
        <f>IF(Inventory_Data[[#This Row],[Closing Stock]]&lt;=Inventory_Data[[#This Row],[Reorder Level]],"Low Stock","In Stock")</f>
        <v>Low Stock</v>
      </c>
      <c r="P352" t="str">
        <f>TEXT(Inventory_Data[[#This Row],[Date]],"MMM")</f>
        <v>Mar</v>
      </c>
      <c r="Q352" t="str">
        <f>TEXT(Inventory_Data[[#This Row],[Date]],"YYYY")</f>
        <v>2025</v>
      </c>
    </row>
    <row r="353" spans="1:17" x14ac:dyDescent="0.3">
      <c r="A353" s="1">
        <v>45735</v>
      </c>
      <c r="B353" t="s">
        <v>31</v>
      </c>
      <c r="C353" t="s">
        <v>22</v>
      </c>
      <c r="D353" t="s">
        <v>26</v>
      </c>
      <c r="E353" t="s">
        <v>15</v>
      </c>
      <c r="F353">
        <v>51</v>
      </c>
      <c r="G353">
        <v>198</v>
      </c>
      <c r="H353">
        <v>249</v>
      </c>
      <c r="I353">
        <v>0</v>
      </c>
      <c r="J353">
        <v>87</v>
      </c>
      <c r="K353">
        <v>42</v>
      </c>
      <c r="L353">
        <v>0</v>
      </c>
      <c r="M353">
        <f>Inventory_Data[[#This Row],[Opening Stock]]+Inventory_Data[[#This Row],[Purchase Qty]]-Inventory_Data[[#This Row],[Sales Qty]]-Inventory_Data[[#This Row],[Closing Stock]]</f>
        <v>0</v>
      </c>
      <c r="N353">
        <f>Inventory_Data[[#This Row],[Purchase Qty]]*Inventory_Data[[#This Row],[Unit Cost]]</f>
        <v>8316</v>
      </c>
      <c r="O353" t="str">
        <f>IF(Inventory_Data[[#This Row],[Closing Stock]]&lt;=Inventory_Data[[#This Row],[Reorder Level]],"Low Stock","In Stock")</f>
        <v>Low Stock</v>
      </c>
      <c r="P353" t="str">
        <f>TEXT(Inventory_Data[[#This Row],[Date]],"MMM")</f>
        <v>Mar</v>
      </c>
      <c r="Q353" t="str">
        <f>TEXT(Inventory_Data[[#This Row],[Date]],"YYYY")</f>
        <v>2025</v>
      </c>
    </row>
    <row r="354" spans="1:17" x14ac:dyDescent="0.3">
      <c r="A354" s="1">
        <v>45735</v>
      </c>
      <c r="B354" t="s">
        <v>32</v>
      </c>
      <c r="C354" t="s">
        <v>28</v>
      </c>
      <c r="D354" t="s">
        <v>37</v>
      </c>
      <c r="E354" t="s">
        <v>24</v>
      </c>
      <c r="F354">
        <v>173</v>
      </c>
      <c r="G354">
        <v>71</v>
      </c>
      <c r="H354">
        <v>8</v>
      </c>
      <c r="I354">
        <v>236</v>
      </c>
      <c r="J354">
        <v>44</v>
      </c>
      <c r="K354">
        <v>17784</v>
      </c>
      <c r="L354">
        <v>4197024</v>
      </c>
      <c r="M354">
        <f>Inventory_Data[[#This Row],[Opening Stock]]+Inventory_Data[[#This Row],[Purchase Qty]]-Inventory_Data[[#This Row],[Sales Qty]]-Inventory_Data[[#This Row],[Closing Stock]]</f>
        <v>0</v>
      </c>
      <c r="N354">
        <f>Inventory_Data[[#This Row],[Purchase Qty]]*Inventory_Data[[#This Row],[Unit Cost]]</f>
        <v>1262664</v>
      </c>
      <c r="O354" t="str">
        <f>IF(Inventory_Data[[#This Row],[Closing Stock]]&lt;=Inventory_Data[[#This Row],[Reorder Level]],"Low Stock","In Stock")</f>
        <v>In Stock</v>
      </c>
      <c r="P354" t="str">
        <f>TEXT(Inventory_Data[[#This Row],[Date]],"MMM")</f>
        <v>Mar</v>
      </c>
      <c r="Q354" t="str">
        <f>TEXT(Inventory_Data[[#This Row],[Date]],"YYYY")</f>
        <v>2025</v>
      </c>
    </row>
    <row r="355" spans="1:17" x14ac:dyDescent="0.3">
      <c r="A355" s="1">
        <v>45736</v>
      </c>
      <c r="B355" t="s">
        <v>39</v>
      </c>
      <c r="C355" t="s">
        <v>28</v>
      </c>
      <c r="D355" t="s">
        <v>23</v>
      </c>
      <c r="E355" t="s">
        <v>20</v>
      </c>
      <c r="F355">
        <v>143</v>
      </c>
      <c r="G355">
        <v>96</v>
      </c>
      <c r="H355">
        <v>48</v>
      </c>
      <c r="I355">
        <v>191</v>
      </c>
      <c r="J355">
        <v>23</v>
      </c>
      <c r="K355">
        <v>59385</v>
      </c>
      <c r="L355">
        <v>11342535</v>
      </c>
      <c r="M355">
        <f>Inventory_Data[[#This Row],[Opening Stock]]+Inventory_Data[[#This Row],[Purchase Qty]]-Inventory_Data[[#This Row],[Sales Qty]]-Inventory_Data[[#This Row],[Closing Stock]]</f>
        <v>0</v>
      </c>
      <c r="N355">
        <f>Inventory_Data[[#This Row],[Purchase Qty]]*Inventory_Data[[#This Row],[Unit Cost]]</f>
        <v>5700960</v>
      </c>
      <c r="O355" t="str">
        <f>IF(Inventory_Data[[#This Row],[Closing Stock]]&lt;=Inventory_Data[[#This Row],[Reorder Level]],"Low Stock","In Stock")</f>
        <v>In Stock</v>
      </c>
      <c r="P355" t="str">
        <f>TEXT(Inventory_Data[[#This Row],[Date]],"MMM")</f>
        <v>Mar</v>
      </c>
      <c r="Q355" t="str">
        <f>TEXT(Inventory_Data[[#This Row],[Date]],"YYYY")</f>
        <v>2025</v>
      </c>
    </row>
    <row r="356" spans="1:17" x14ac:dyDescent="0.3">
      <c r="A356" s="1">
        <v>45736</v>
      </c>
      <c r="B356" t="s">
        <v>19</v>
      </c>
      <c r="C356" t="s">
        <v>13</v>
      </c>
      <c r="D356" t="s">
        <v>14</v>
      </c>
      <c r="E356" t="s">
        <v>20</v>
      </c>
      <c r="F356">
        <v>32</v>
      </c>
      <c r="G356">
        <v>6</v>
      </c>
      <c r="H356">
        <v>31</v>
      </c>
      <c r="I356">
        <v>7</v>
      </c>
      <c r="J356">
        <v>18</v>
      </c>
      <c r="K356">
        <v>3272</v>
      </c>
      <c r="L356">
        <v>22904</v>
      </c>
      <c r="M356">
        <f>Inventory_Data[[#This Row],[Opening Stock]]+Inventory_Data[[#This Row],[Purchase Qty]]-Inventory_Data[[#This Row],[Sales Qty]]-Inventory_Data[[#This Row],[Closing Stock]]</f>
        <v>0</v>
      </c>
      <c r="N356">
        <f>Inventory_Data[[#This Row],[Purchase Qty]]*Inventory_Data[[#This Row],[Unit Cost]]</f>
        <v>19632</v>
      </c>
      <c r="O356" t="str">
        <f>IF(Inventory_Data[[#This Row],[Closing Stock]]&lt;=Inventory_Data[[#This Row],[Reorder Level]],"Low Stock","In Stock")</f>
        <v>Low Stock</v>
      </c>
      <c r="P356" t="str">
        <f>TEXT(Inventory_Data[[#This Row],[Date]],"MMM")</f>
        <v>Mar</v>
      </c>
      <c r="Q356" t="str">
        <f>TEXT(Inventory_Data[[#This Row],[Date]],"YYYY")</f>
        <v>2025</v>
      </c>
    </row>
    <row r="357" spans="1:17" x14ac:dyDescent="0.3">
      <c r="A357" s="1">
        <v>45737</v>
      </c>
      <c r="B357" t="s">
        <v>33</v>
      </c>
      <c r="C357" t="s">
        <v>13</v>
      </c>
      <c r="D357" t="s">
        <v>37</v>
      </c>
      <c r="E357" t="s">
        <v>15</v>
      </c>
      <c r="F357">
        <v>45</v>
      </c>
      <c r="G357">
        <v>55</v>
      </c>
      <c r="H357">
        <v>29</v>
      </c>
      <c r="I357">
        <v>71</v>
      </c>
      <c r="J357">
        <v>15</v>
      </c>
      <c r="K357">
        <v>17655</v>
      </c>
      <c r="L357">
        <v>1253505</v>
      </c>
      <c r="M357">
        <f>Inventory_Data[[#This Row],[Opening Stock]]+Inventory_Data[[#This Row],[Purchase Qty]]-Inventory_Data[[#This Row],[Sales Qty]]-Inventory_Data[[#This Row],[Closing Stock]]</f>
        <v>0</v>
      </c>
      <c r="N357">
        <f>Inventory_Data[[#This Row],[Purchase Qty]]*Inventory_Data[[#This Row],[Unit Cost]]</f>
        <v>971025</v>
      </c>
      <c r="O357" t="str">
        <f>IF(Inventory_Data[[#This Row],[Closing Stock]]&lt;=Inventory_Data[[#This Row],[Reorder Level]],"Low Stock","In Stock")</f>
        <v>In Stock</v>
      </c>
      <c r="P357" t="str">
        <f>TEXT(Inventory_Data[[#This Row],[Date]],"MMM")</f>
        <v>Mar</v>
      </c>
      <c r="Q357" t="str">
        <f>TEXT(Inventory_Data[[#This Row],[Date]],"YYYY")</f>
        <v>2025</v>
      </c>
    </row>
    <row r="358" spans="1:17" x14ac:dyDescent="0.3">
      <c r="A358" s="1">
        <v>45737</v>
      </c>
      <c r="B358" t="s">
        <v>35</v>
      </c>
      <c r="C358" t="s">
        <v>22</v>
      </c>
      <c r="D358" t="s">
        <v>23</v>
      </c>
      <c r="E358" t="s">
        <v>29</v>
      </c>
      <c r="F358">
        <v>426</v>
      </c>
      <c r="G358">
        <v>204</v>
      </c>
      <c r="H358">
        <v>154</v>
      </c>
      <c r="I358">
        <v>476</v>
      </c>
      <c r="J358">
        <v>103</v>
      </c>
      <c r="K358">
        <v>460</v>
      </c>
      <c r="L358">
        <v>218960</v>
      </c>
      <c r="M358">
        <f>Inventory_Data[[#This Row],[Opening Stock]]+Inventory_Data[[#This Row],[Purchase Qty]]-Inventory_Data[[#This Row],[Sales Qty]]-Inventory_Data[[#This Row],[Closing Stock]]</f>
        <v>0</v>
      </c>
      <c r="N358">
        <f>Inventory_Data[[#This Row],[Purchase Qty]]*Inventory_Data[[#This Row],[Unit Cost]]</f>
        <v>93840</v>
      </c>
      <c r="O358" t="str">
        <f>IF(Inventory_Data[[#This Row],[Closing Stock]]&lt;=Inventory_Data[[#This Row],[Reorder Level]],"Low Stock","In Stock")</f>
        <v>In Stock</v>
      </c>
      <c r="P358" t="str">
        <f>TEXT(Inventory_Data[[#This Row],[Date]],"MMM")</f>
        <v>Mar</v>
      </c>
      <c r="Q358" t="str">
        <f>TEXT(Inventory_Data[[#This Row],[Date]],"YYYY")</f>
        <v>2025</v>
      </c>
    </row>
    <row r="359" spans="1:17" x14ac:dyDescent="0.3">
      <c r="A359" s="1">
        <v>45737</v>
      </c>
      <c r="B359" t="s">
        <v>43</v>
      </c>
      <c r="C359" t="s">
        <v>22</v>
      </c>
      <c r="D359" t="s">
        <v>26</v>
      </c>
      <c r="E359" t="s">
        <v>20</v>
      </c>
      <c r="F359">
        <v>348</v>
      </c>
      <c r="G359">
        <v>231</v>
      </c>
      <c r="H359">
        <v>234</v>
      </c>
      <c r="I359">
        <v>345</v>
      </c>
      <c r="J359">
        <v>122</v>
      </c>
      <c r="K359">
        <v>668</v>
      </c>
      <c r="L359">
        <v>230460</v>
      </c>
      <c r="M359">
        <f>Inventory_Data[[#This Row],[Opening Stock]]+Inventory_Data[[#This Row],[Purchase Qty]]-Inventory_Data[[#This Row],[Sales Qty]]-Inventory_Data[[#This Row],[Closing Stock]]</f>
        <v>0</v>
      </c>
      <c r="N359">
        <f>Inventory_Data[[#This Row],[Purchase Qty]]*Inventory_Data[[#This Row],[Unit Cost]]</f>
        <v>154308</v>
      </c>
      <c r="O359" t="str">
        <f>IF(Inventory_Data[[#This Row],[Closing Stock]]&lt;=Inventory_Data[[#This Row],[Reorder Level]],"Low Stock","In Stock")</f>
        <v>In Stock</v>
      </c>
      <c r="P359" t="str">
        <f>TEXT(Inventory_Data[[#This Row],[Date]],"MMM")</f>
        <v>Mar</v>
      </c>
      <c r="Q359" t="str">
        <f>TEXT(Inventory_Data[[#This Row],[Date]],"YYYY")</f>
        <v>2025</v>
      </c>
    </row>
    <row r="360" spans="1:17" x14ac:dyDescent="0.3">
      <c r="A360" s="1">
        <v>45737</v>
      </c>
      <c r="B360" t="s">
        <v>19</v>
      </c>
      <c r="C360" t="s">
        <v>13</v>
      </c>
      <c r="D360" t="s">
        <v>23</v>
      </c>
      <c r="E360" t="s">
        <v>20</v>
      </c>
      <c r="F360">
        <v>58</v>
      </c>
      <c r="G360">
        <v>23</v>
      </c>
      <c r="H360">
        <v>51</v>
      </c>
      <c r="I360">
        <v>30</v>
      </c>
      <c r="J360">
        <v>21</v>
      </c>
      <c r="K360">
        <v>13557</v>
      </c>
      <c r="L360">
        <v>406710</v>
      </c>
      <c r="M360">
        <f>Inventory_Data[[#This Row],[Opening Stock]]+Inventory_Data[[#This Row],[Purchase Qty]]-Inventory_Data[[#This Row],[Sales Qty]]-Inventory_Data[[#This Row],[Closing Stock]]</f>
        <v>0</v>
      </c>
      <c r="N360">
        <f>Inventory_Data[[#This Row],[Purchase Qty]]*Inventory_Data[[#This Row],[Unit Cost]]</f>
        <v>311811</v>
      </c>
      <c r="O360" t="str">
        <f>IF(Inventory_Data[[#This Row],[Closing Stock]]&lt;=Inventory_Data[[#This Row],[Reorder Level]],"Low Stock","In Stock")</f>
        <v>In Stock</v>
      </c>
      <c r="P360" t="str">
        <f>TEXT(Inventory_Data[[#This Row],[Date]],"MMM")</f>
        <v>Mar</v>
      </c>
      <c r="Q360" t="str">
        <f>TEXT(Inventory_Data[[#This Row],[Date]],"YYYY")</f>
        <v>2025</v>
      </c>
    </row>
    <row r="361" spans="1:17" x14ac:dyDescent="0.3">
      <c r="A361" s="1">
        <v>45738</v>
      </c>
      <c r="B361" t="s">
        <v>27</v>
      </c>
      <c r="C361" t="s">
        <v>28</v>
      </c>
      <c r="D361" t="s">
        <v>37</v>
      </c>
      <c r="E361" t="s">
        <v>34</v>
      </c>
      <c r="F361">
        <v>173</v>
      </c>
      <c r="G361">
        <v>31</v>
      </c>
      <c r="H361">
        <v>62</v>
      </c>
      <c r="I361">
        <v>142</v>
      </c>
      <c r="J361">
        <v>47</v>
      </c>
      <c r="K361">
        <v>31582</v>
      </c>
      <c r="L361">
        <v>4484644</v>
      </c>
      <c r="M361">
        <f>Inventory_Data[[#This Row],[Opening Stock]]+Inventory_Data[[#This Row],[Purchase Qty]]-Inventory_Data[[#This Row],[Sales Qty]]-Inventory_Data[[#This Row],[Closing Stock]]</f>
        <v>0</v>
      </c>
      <c r="N361">
        <f>Inventory_Data[[#This Row],[Purchase Qty]]*Inventory_Data[[#This Row],[Unit Cost]]</f>
        <v>979042</v>
      </c>
      <c r="O361" t="str">
        <f>IF(Inventory_Data[[#This Row],[Closing Stock]]&lt;=Inventory_Data[[#This Row],[Reorder Level]],"Low Stock","In Stock")</f>
        <v>In Stock</v>
      </c>
      <c r="P361" t="str">
        <f>TEXT(Inventory_Data[[#This Row],[Date]],"MMM")</f>
        <v>Mar</v>
      </c>
      <c r="Q361" t="str">
        <f>TEXT(Inventory_Data[[#This Row],[Date]],"YYYY")</f>
        <v>2025</v>
      </c>
    </row>
    <row r="362" spans="1:17" x14ac:dyDescent="0.3">
      <c r="A362" s="1">
        <v>45738</v>
      </c>
      <c r="B362" t="s">
        <v>12</v>
      </c>
      <c r="C362" t="s">
        <v>13</v>
      </c>
      <c r="D362" t="s">
        <v>37</v>
      </c>
      <c r="E362" t="s">
        <v>15</v>
      </c>
      <c r="F362">
        <v>79</v>
      </c>
      <c r="G362">
        <v>41</v>
      </c>
      <c r="H362">
        <v>59</v>
      </c>
      <c r="I362">
        <v>61</v>
      </c>
      <c r="J362">
        <v>39</v>
      </c>
      <c r="K362">
        <v>8603</v>
      </c>
      <c r="L362">
        <v>524783</v>
      </c>
      <c r="M362">
        <f>Inventory_Data[[#This Row],[Opening Stock]]+Inventory_Data[[#This Row],[Purchase Qty]]-Inventory_Data[[#This Row],[Sales Qty]]-Inventory_Data[[#This Row],[Closing Stock]]</f>
        <v>0</v>
      </c>
      <c r="N362">
        <f>Inventory_Data[[#This Row],[Purchase Qty]]*Inventory_Data[[#This Row],[Unit Cost]]</f>
        <v>352723</v>
      </c>
      <c r="O362" t="str">
        <f>IF(Inventory_Data[[#This Row],[Closing Stock]]&lt;=Inventory_Data[[#This Row],[Reorder Level]],"Low Stock","In Stock")</f>
        <v>In Stock</v>
      </c>
      <c r="P362" t="str">
        <f>TEXT(Inventory_Data[[#This Row],[Date]],"MMM")</f>
        <v>Mar</v>
      </c>
      <c r="Q362" t="str">
        <f>TEXT(Inventory_Data[[#This Row],[Date]],"YYYY")</f>
        <v>2025</v>
      </c>
    </row>
    <row r="363" spans="1:17" x14ac:dyDescent="0.3">
      <c r="A363" s="1">
        <v>45738</v>
      </c>
      <c r="B363" t="s">
        <v>45</v>
      </c>
      <c r="C363" t="s">
        <v>13</v>
      </c>
      <c r="D363" t="s">
        <v>23</v>
      </c>
      <c r="E363" t="s">
        <v>20</v>
      </c>
      <c r="F363">
        <v>101</v>
      </c>
      <c r="G363">
        <v>74</v>
      </c>
      <c r="H363">
        <v>10</v>
      </c>
      <c r="I363">
        <v>165</v>
      </c>
      <c r="J363">
        <v>32</v>
      </c>
      <c r="K363">
        <v>16596</v>
      </c>
      <c r="L363">
        <v>2738340</v>
      </c>
      <c r="M363">
        <f>Inventory_Data[[#This Row],[Opening Stock]]+Inventory_Data[[#This Row],[Purchase Qty]]-Inventory_Data[[#This Row],[Sales Qty]]-Inventory_Data[[#This Row],[Closing Stock]]</f>
        <v>0</v>
      </c>
      <c r="N363">
        <f>Inventory_Data[[#This Row],[Purchase Qty]]*Inventory_Data[[#This Row],[Unit Cost]]</f>
        <v>1228104</v>
      </c>
      <c r="O363" t="str">
        <f>IF(Inventory_Data[[#This Row],[Closing Stock]]&lt;=Inventory_Data[[#This Row],[Reorder Level]],"Low Stock","In Stock")</f>
        <v>In Stock</v>
      </c>
      <c r="P363" t="str">
        <f>TEXT(Inventory_Data[[#This Row],[Date]],"MMM")</f>
        <v>Mar</v>
      </c>
      <c r="Q363" t="str">
        <f>TEXT(Inventory_Data[[#This Row],[Date]],"YYYY")</f>
        <v>2025</v>
      </c>
    </row>
    <row r="364" spans="1:17" x14ac:dyDescent="0.3">
      <c r="A364" s="1">
        <v>45738</v>
      </c>
      <c r="B364" t="s">
        <v>43</v>
      </c>
      <c r="C364" t="s">
        <v>22</v>
      </c>
      <c r="D364" t="s">
        <v>26</v>
      </c>
      <c r="E364" t="s">
        <v>24</v>
      </c>
      <c r="F364">
        <v>136</v>
      </c>
      <c r="G364">
        <v>293</v>
      </c>
      <c r="H364">
        <v>267</v>
      </c>
      <c r="I364">
        <v>162</v>
      </c>
      <c r="J364">
        <v>106</v>
      </c>
      <c r="K364">
        <v>1010</v>
      </c>
      <c r="L364">
        <v>163620</v>
      </c>
      <c r="M364">
        <f>Inventory_Data[[#This Row],[Opening Stock]]+Inventory_Data[[#This Row],[Purchase Qty]]-Inventory_Data[[#This Row],[Sales Qty]]-Inventory_Data[[#This Row],[Closing Stock]]</f>
        <v>0</v>
      </c>
      <c r="N364">
        <f>Inventory_Data[[#This Row],[Purchase Qty]]*Inventory_Data[[#This Row],[Unit Cost]]</f>
        <v>295930</v>
      </c>
      <c r="O364" t="str">
        <f>IF(Inventory_Data[[#This Row],[Closing Stock]]&lt;=Inventory_Data[[#This Row],[Reorder Level]],"Low Stock","In Stock")</f>
        <v>In Stock</v>
      </c>
      <c r="P364" t="str">
        <f>TEXT(Inventory_Data[[#This Row],[Date]],"MMM")</f>
        <v>Mar</v>
      </c>
      <c r="Q364" t="str">
        <f>TEXT(Inventory_Data[[#This Row],[Date]],"YYYY")</f>
        <v>2025</v>
      </c>
    </row>
    <row r="365" spans="1:17" x14ac:dyDescent="0.3">
      <c r="A365" s="1">
        <v>45738</v>
      </c>
      <c r="B365" t="s">
        <v>39</v>
      </c>
      <c r="C365" t="s">
        <v>28</v>
      </c>
      <c r="D365" t="s">
        <v>37</v>
      </c>
      <c r="E365" t="s">
        <v>18</v>
      </c>
      <c r="F365">
        <v>85</v>
      </c>
      <c r="G365">
        <v>60</v>
      </c>
      <c r="H365">
        <v>69</v>
      </c>
      <c r="I365">
        <v>76</v>
      </c>
      <c r="J365">
        <v>29</v>
      </c>
      <c r="K365">
        <v>18250</v>
      </c>
      <c r="L365">
        <v>1387000</v>
      </c>
      <c r="M365">
        <f>Inventory_Data[[#This Row],[Opening Stock]]+Inventory_Data[[#This Row],[Purchase Qty]]-Inventory_Data[[#This Row],[Sales Qty]]-Inventory_Data[[#This Row],[Closing Stock]]</f>
        <v>0</v>
      </c>
      <c r="N365">
        <f>Inventory_Data[[#This Row],[Purchase Qty]]*Inventory_Data[[#This Row],[Unit Cost]]</f>
        <v>1095000</v>
      </c>
      <c r="O365" t="str">
        <f>IF(Inventory_Data[[#This Row],[Closing Stock]]&lt;=Inventory_Data[[#This Row],[Reorder Level]],"Low Stock","In Stock")</f>
        <v>In Stock</v>
      </c>
      <c r="P365" t="str">
        <f>TEXT(Inventory_Data[[#This Row],[Date]],"MMM")</f>
        <v>Mar</v>
      </c>
      <c r="Q365" t="str">
        <f>TEXT(Inventory_Data[[#This Row],[Date]],"YYYY")</f>
        <v>2025</v>
      </c>
    </row>
    <row r="366" spans="1:17" x14ac:dyDescent="0.3">
      <c r="A366" s="1">
        <v>45738</v>
      </c>
      <c r="B366" t="s">
        <v>38</v>
      </c>
      <c r="C366" t="s">
        <v>17</v>
      </c>
      <c r="D366" t="s">
        <v>26</v>
      </c>
      <c r="E366" t="s">
        <v>20</v>
      </c>
      <c r="F366">
        <v>27</v>
      </c>
      <c r="G366">
        <v>47</v>
      </c>
      <c r="H366">
        <v>22</v>
      </c>
      <c r="I366">
        <v>52</v>
      </c>
      <c r="J366">
        <v>16</v>
      </c>
      <c r="K366">
        <v>19121</v>
      </c>
      <c r="L366">
        <v>994292</v>
      </c>
      <c r="M366">
        <f>Inventory_Data[[#This Row],[Opening Stock]]+Inventory_Data[[#This Row],[Purchase Qty]]-Inventory_Data[[#This Row],[Sales Qty]]-Inventory_Data[[#This Row],[Closing Stock]]</f>
        <v>0</v>
      </c>
      <c r="N366">
        <f>Inventory_Data[[#This Row],[Purchase Qty]]*Inventory_Data[[#This Row],[Unit Cost]]</f>
        <v>898687</v>
      </c>
      <c r="O366" t="str">
        <f>IF(Inventory_Data[[#This Row],[Closing Stock]]&lt;=Inventory_Data[[#This Row],[Reorder Level]],"Low Stock","In Stock")</f>
        <v>In Stock</v>
      </c>
      <c r="P366" t="str">
        <f>TEXT(Inventory_Data[[#This Row],[Date]],"MMM")</f>
        <v>Mar</v>
      </c>
      <c r="Q366" t="str">
        <f>TEXT(Inventory_Data[[#This Row],[Date]],"YYYY")</f>
        <v>2025</v>
      </c>
    </row>
    <row r="367" spans="1:17" x14ac:dyDescent="0.3">
      <c r="A367" s="1">
        <v>45739</v>
      </c>
      <c r="B367" t="s">
        <v>32</v>
      </c>
      <c r="C367" t="s">
        <v>28</v>
      </c>
      <c r="D367" t="s">
        <v>14</v>
      </c>
      <c r="E367" t="s">
        <v>15</v>
      </c>
      <c r="F367">
        <v>98</v>
      </c>
      <c r="G367">
        <v>31</v>
      </c>
      <c r="H367">
        <v>31</v>
      </c>
      <c r="I367">
        <v>98</v>
      </c>
      <c r="J367">
        <v>56</v>
      </c>
      <c r="K367">
        <v>47190</v>
      </c>
      <c r="L367">
        <v>4624620</v>
      </c>
      <c r="M367">
        <f>Inventory_Data[[#This Row],[Opening Stock]]+Inventory_Data[[#This Row],[Purchase Qty]]-Inventory_Data[[#This Row],[Sales Qty]]-Inventory_Data[[#This Row],[Closing Stock]]</f>
        <v>0</v>
      </c>
      <c r="N367">
        <f>Inventory_Data[[#This Row],[Purchase Qty]]*Inventory_Data[[#This Row],[Unit Cost]]</f>
        <v>1462890</v>
      </c>
      <c r="O367" t="str">
        <f>IF(Inventory_Data[[#This Row],[Closing Stock]]&lt;=Inventory_Data[[#This Row],[Reorder Level]],"Low Stock","In Stock")</f>
        <v>In Stock</v>
      </c>
      <c r="P367" t="str">
        <f>TEXT(Inventory_Data[[#This Row],[Date]],"MMM")</f>
        <v>Mar</v>
      </c>
      <c r="Q367" t="str">
        <f>TEXT(Inventory_Data[[#This Row],[Date]],"YYYY")</f>
        <v>2025</v>
      </c>
    </row>
    <row r="368" spans="1:17" x14ac:dyDescent="0.3">
      <c r="A368" s="1">
        <v>45739</v>
      </c>
      <c r="B368" t="s">
        <v>31</v>
      </c>
      <c r="C368" t="s">
        <v>22</v>
      </c>
      <c r="D368" t="s">
        <v>26</v>
      </c>
      <c r="E368" t="s">
        <v>29</v>
      </c>
      <c r="F368">
        <v>383</v>
      </c>
      <c r="G368">
        <v>279</v>
      </c>
      <c r="H368">
        <v>202</v>
      </c>
      <c r="I368">
        <v>460</v>
      </c>
      <c r="J368">
        <v>110</v>
      </c>
      <c r="K368">
        <v>637</v>
      </c>
      <c r="L368">
        <v>293020</v>
      </c>
      <c r="M368">
        <f>Inventory_Data[[#This Row],[Opening Stock]]+Inventory_Data[[#This Row],[Purchase Qty]]-Inventory_Data[[#This Row],[Sales Qty]]-Inventory_Data[[#This Row],[Closing Stock]]</f>
        <v>0</v>
      </c>
      <c r="N368">
        <f>Inventory_Data[[#This Row],[Purchase Qty]]*Inventory_Data[[#This Row],[Unit Cost]]</f>
        <v>177723</v>
      </c>
      <c r="O368" t="str">
        <f>IF(Inventory_Data[[#This Row],[Closing Stock]]&lt;=Inventory_Data[[#This Row],[Reorder Level]],"Low Stock","In Stock")</f>
        <v>In Stock</v>
      </c>
      <c r="P368" t="str">
        <f>TEXT(Inventory_Data[[#This Row],[Date]],"MMM")</f>
        <v>Mar</v>
      </c>
      <c r="Q368" t="str">
        <f>TEXT(Inventory_Data[[#This Row],[Date]],"YYYY")</f>
        <v>2025</v>
      </c>
    </row>
    <row r="369" spans="1:17" x14ac:dyDescent="0.3">
      <c r="A369" s="1">
        <v>45739</v>
      </c>
      <c r="B369" t="s">
        <v>19</v>
      </c>
      <c r="C369" t="s">
        <v>13</v>
      </c>
      <c r="D369" t="s">
        <v>14</v>
      </c>
      <c r="E369" t="s">
        <v>20</v>
      </c>
      <c r="F369">
        <v>31</v>
      </c>
      <c r="G369">
        <v>77</v>
      </c>
      <c r="H369">
        <v>16</v>
      </c>
      <c r="I369">
        <v>92</v>
      </c>
      <c r="J369">
        <v>18</v>
      </c>
      <c r="K369">
        <v>856</v>
      </c>
      <c r="L369">
        <v>78752</v>
      </c>
      <c r="M369">
        <f>Inventory_Data[[#This Row],[Opening Stock]]+Inventory_Data[[#This Row],[Purchase Qty]]-Inventory_Data[[#This Row],[Sales Qty]]-Inventory_Data[[#This Row],[Closing Stock]]</f>
        <v>0</v>
      </c>
      <c r="N369">
        <f>Inventory_Data[[#This Row],[Purchase Qty]]*Inventory_Data[[#This Row],[Unit Cost]]</f>
        <v>65912</v>
      </c>
      <c r="O369" t="str">
        <f>IF(Inventory_Data[[#This Row],[Closing Stock]]&lt;=Inventory_Data[[#This Row],[Reorder Level]],"Low Stock","In Stock")</f>
        <v>In Stock</v>
      </c>
      <c r="P369" t="str">
        <f>TEXT(Inventory_Data[[#This Row],[Date]],"MMM")</f>
        <v>Mar</v>
      </c>
      <c r="Q369" t="str">
        <f>TEXT(Inventory_Data[[#This Row],[Date]],"YYYY")</f>
        <v>2025</v>
      </c>
    </row>
    <row r="370" spans="1:17" x14ac:dyDescent="0.3">
      <c r="A370" s="1">
        <v>45739</v>
      </c>
      <c r="B370" t="s">
        <v>45</v>
      </c>
      <c r="C370" t="s">
        <v>13</v>
      </c>
      <c r="D370" t="s">
        <v>14</v>
      </c>
      <c r="E370" t="s">
        <v>29</v>
      </c>
      <c r="F370">
        <v>106</v>
      </c>
      <c r="G370">
        <v>55</v>
      </c>
      <c r="H370">
        <v>49</v>
      </c>
      <c r="I370">
        <v>112</v>
      </c>
      <c r="J370">
        <v>29</v>
      </c>
      <c r="K370">
        <v>6842</v>
      </c>
      <c r="L370">
        <v>766304</v>
      </c>
      <c r="M370">
        <f>Inventory_Data[[#This Row],[Opening Stock]]+Inventory_Data[[#This Row],[Purchase Qty]]-Inventory_Data[[#This Row],[Sales Qty]]-Inventory_Data[[#This Row],[Closing Stock]]</f>
        <v>0</v>
      </c>
      <c r="N370">
        <f>Inventory_Data[[#This Row],[Purchase Qty]]*Inventory_Data[[#This Row],[Unit Cost]]</f>
        <v>376310</v>
      </c>
      <c r="O370" t="str">
        <f>IF(Inventory_Data[[#This Row],[Closing Stock]]&lt;=Inventory_Data[[#This Row],[Reorder Level]],"Low Stock","In Stock")</f>
        <v>In Stock</v>
      </c>
      <c r="P370" t="str">
        <f>TEXT(Inventory_Data[[#This Row],[Date]],"MMM")</f>
        <v>Mar</v>
      </c>
      <c r="Q370" t="str">
        <f>TEXT(Inventory_Data[[#This Row],[Date]],"YYYY")</f>
        <v>2025</v>
      </c>
    </row>
    <row r="371" spans="1:17" x14ac:dyDescent="0.3">
      <c r="A371" s="1">
        <v>45739</v>
      </c>
      <c r="B371" t="s">
        <v>39</v>
      </c>
      <c r="C371" t="s">
        <v>28</v>
      </c>
      <c r="D371" t="s">
        <v>26</v>
      </c>
      <c r="E371" t="s">
        <v>34</v>
      </c>
      <c r="F371">
        <v>106</v>
      </c>
      <c r="G371">
        <v>11</v>
      </c>
      <c r="H371">
        <v>80</v>
      </c>
      <c r="I371">
        <v>37</v>
      </c>
      <c r="J371">
        <v>56</v>
      </c>
      <c r="K371">
        <v>46517</v>
      </c>
      <c r="L371">
        <v>1721129</v>
      </c>
      <c r="M371">
        <f>Inventory_Data[[#This Row],[Opening Stock]]+Inventory_Data[[#This Row],[Purchase Qty]]-Inventory_Data[[#This Row],[Sales Qty]]-Inventory_Data[[#This Row],[Closing Stock]]</f>
        <v>0</v>
      </c>
      <c r="N371">
        <f>Inventory_Data[[#This Row],[Purchase Qty]]*Inventory_Data[[#This Row],[Unit Cost]]</f>
        <v>511687</v>
      </c>
      <c r="O371" t="str">
        <f>IF(Inventory_Data[[#This Row],[Closing Stock]]&lt;=Inventory_Data[[#This Row],[Reorder Level]],"Low Stock","In Stock")</f>
        <v>Low Stock</v>
      </c>
      <c r="P371" t="str">
        <f>TEXT(Inventory_Data[[#This Row],[Date]],"MMM")</f>
        <v>Mar</v>
      </c>
      <c r="Q371" t="str">
        <f>TEXT(Inventory_Data[[#This Row],[Date]],"YYYY")</f>
        <v>2025</v>
      </c>
    </row>
    <row r="372" spans="1:17" x14ac:dyDescent="0.3">
      <c r="A372" s="1">
        <v>45739</v>
      </c>
      <c r="B372" t="s">
        <v>19</v>
      </c>
      <c r="C372" t="s">
        <v>13</v>
      </c>
      <c r="D372" t="s">
        <v>14</v>
      </c>
      <c r="E372" t="s">
        <v>24</v>
      </c>
      <c r="F372">
        <v>82</v>
      </c>
      <c r="G372">
        <v>69</v>
      </c>
      <c r="H372">
        <v>52</v>
      </c>
      <c r="I372">
        <v>99</v>
      </c>
      <c r="J372">
        <v>27</v>
      </c>
      <c r="K372">
        <v>16117</v>
      </c>
      <c r="L372">
        <v>1595583</v>
      </c>
      <c r="M372">
        <f>Inventory_Data[[#This Row],[Opening Stock]]+Inventory_Data[[#This Row],[Purchase Qty]]-Inventory_Data[[#This Row],[Sales Qty]]-Inventory_Data[[#This Row],[Closing Stock]]</f>
        <v>0</v>
      </c>
      <c r="N372">
        <f>Inventory_Data[[#This Row],[Purchase Qty]]*Inventory_Data[[#This Row],[Unit Cost]]</f>
        <v>1112073</v>
      </c>
      <c r="O372" t="str">
        <f>IF(Inventory_Data[[#This Row],[Closing Stock]]&lt;=Inventory_Data[[#This Row],[Reorder Level]],"Low Stock","In Stock")</f>
        <v>In Stock</v>
      </c>
      <c r="P372" t="str">
        <f>TEXT(Inventory_Data[[#This Row],[Date]],"MMM")</f>
        <v>Mar</v>
      </c>
      <c r="Q372" t="str">
        <f>TEXT(Inventory_Data[[#This Row],[Date]],"YYYY")</f>
        <v>2025</v>
      </c>
    </row>
    <row r="373" spans="1:17" x14ac:dyDescent="0.3">
      <c r="A373" s="1">
        <v>45739</v>
      </c>
      <c r="B373" t="s">
        <v>32</v>
      </c>
      <c r="C373" t="s">
        <v>28</v>
      </c>
      <c r="D373" t="s">
        <v>23</v>
      </c>
      <c r="E373" t="s">
        <v>29</v>
      </c>
      <c r="F373">
        <v>90</v>
      </c>
      <c r="G373">
        <v>12</v>
      </c>
      <c r="H373">
        <v>14</v>
      </c>
      <c r="I373">
        <v>88</v>
      </c>
      <c r="J373">
        <v>44</v>
      </c>
      <c r="K373">
        <v>23425</v>
      </c>
      <c r="L373">
        <v>2061400</v>
      </c>
      <c r="M373">
        <f>Inventory_Data[[#This Row],[Opening Stock]]+Inventory_Data[[#This Row],[Purchase Qty]]-Inventory_Data[[#This Row],[Sales Qty]]-Inventory_Data[[#This Row],[Closing Stock]]</f>
        <v>0</v>
      </c>
      <c r="N373">
        <f>Inventory_Data[[#This Row],[Purchase Qty]]*Inventory_Data[[#This Row],[Unit Cost]]</f>
        <v>281100</v>
      </c>
      <c r="O373" t="str">
        <f>IF(Inventory_Data[[#This Row],[Closing Stock]]&lt;=Inventory_Data[[#This Row],[Reorder Level]],"Low Stock","In Stock")</f>
        <v>In Stock</v>
      </c>
      <c r="P373" t="str">
        <f>TEXT(Inventory_Data[[#This Row],[Date]],"MMM")</f>
        <v>Mar</v>
      </c>
      <c r="Q373" t="str">
        <f>TEXT(Inventory_Data[[#This Row],[Date]],"YYYY")</f>
        <v>2025</v>
      </c>
    </row>
    <row r="374" spans="1:17" x14ac:dyDescent="0.3">
      <c r="A374" s="1">
        <v>45739</v>
      </c>
      <c r="B374" t="s">
        <v>33</v>
      </c>
      <c r="C374" t="s">
        <v>13</v>
      </c>
      <c r="D374" t="s">
        <v>23</v>
      </c>
      <c r="E374" t="s">
        <v>18</v>
      </c>
      <c r="F374">
        <v>78</v>
      </c>
      <c r="G374">
        <v>20</v>
      </c>
      <c r="H374">
        <v>18</v>
      </c>
      <c r="I374">
        <v>80</v>
      </c>
      <c r="J374">
        <v>37</v>
      </c>
      <c r="K374">
        <v>13983</v>
      </c>
      <c r="L374">
        <v>1118640</v>
      </c>
      <c r="M374">
        <f>Inventory_Data[[#This Row],[Opening Stock]]+Inventory_Data[[#This Row],[Purchase Qty]]-Inventory_Data[[#This Row],[Sales Qty]]-Inventory_Data[[#This Row],[Closing Stock]]</f>
        <v>0</v>
      </c>
      <c r="N374">
        <f>Inventory_Data[[#This Row],[Purchase Qty]]*Inventory_Data[[#This Row],[Unit Cost]]</f>
        <v>279660</v>
      </c>
      <c r="O374" t="str">
        <f>IF(Inventory_Data[[#This Row],[Closing Stock]]&lt;=Inventory_Data[[#This Row],[Reorder Level]],"Low Stock","In Stock")</f>
        <v>In Stock</v>
      </c>
      <c r="P374" t="str">
        <f>TEXT(Inventory_Data[[#This Row],[Date]],"MMM")</f>
        <v>Mar</v>
      </c>
      <c r="Q374" t="str">
        <f>TEXT(Inventory_Data[[#This Row],[Date]],"YYYY")</f>
        <v>2025</v>
      </c>
    </row>
    <row r="375" spans="1:17" x14ac:dyDescent="0.3">
      <c r="A375" s="1">
        <v>45740</v>
      </c>
      <c r="B375" t="s">
        <v>35</v>
      </c>
      <c r="C375" t="s">
        <v>22</v>
      </c>
      <c r="D375" t="s">
        <v>37</v>
      </c>
      <c r="E375" t="s">
        <v>20</v>
      </c>
      <c r="F375">
        <v>344</v>
      </c>
      <c r="G375">
        <v>163</v>
      </c>
      <c r="H375">
        <v>220</v>
      </c>
      <c r="I375">
        <v>287</v>
      </c>
      <c r="J375">
        <v>68</v>
      </c>
      <c r="K375">
        <v>509</v>
      </c>
      <c r="L375">
        <v>146083</v>
      </c>
      <c r="M375">
        <f>Inventory_Data[[#This Row],[Opening Stock]]+Inventory_Data[[#This Row],[Purchase Qty]]-Inventory_Data[[#This Row],[Sales Qty]]-Inventory_Data[[#This Row],[Closing Stock]]</f>
        <v>0</v>
      </c>
      <c r="N375">
        <f>Inventory_Data[[#This Row],[Purchase Qty]]*Inventory_Data[[#This Row],[Unit Cost]]</f>
        <v>82967</v>
      </c>
      <c r="O375" t="str">
        <f>IF(Inventory_Data[[#This Row],[Closing Stock]]&lt;=Inventory_Data[[#This Row],[Reorder Level]],"Low Stock","In Stock")</f>
        <v>In Stock</v>
      </c>
      <c r="P375" t="str">
        <f>TEXT(Inventory_Data[[#This Row],[Date]],"MMM")</f>
        <v>Mar</v>
      </c>
      <c r="Q375" t="str">
        <f>TEXT(Inventory_Data[[#This Row],[Date]],"YYYY")</f>
        <v>2025</v>
      </c>
    </row>
    <row r="376" spans="1:17" x14ac:dyDescent="0.3">
      <c r="A376" s="1">
        <v>45740</v>
      </c>
      <c r="B376" t="s">
        <v>44</v>
      </c>
      <c r="C376" t="s">
        <v>28</v>
      </c>
      <c r="D376" t="s">
        <v>23</v>
      </c>
      <c r="E376" t="s">
        <v>15</v>
      </c>
      <c r="F376">
        <v>175</v>
      </c>
      <c r="G376">
        <v>104</v>
      </c>
      <c r="H376">
        <v>89</v>
      </c>
      <c r="I376">
        <v>190</v>
      </c>
      <c r="J376">
        <v>53</v>
      </c>
      <c r="K376">
        <v>33685</v>
      </c>
      <c r="L376">
        <v>6400150</v>
      </c>
      <c r="M376">
        <f>Inventory_Data[[#This Row],[Opening Stock]]+Inventory_Data[[#This Row],[Purchase Qty]]-Inventory_Data[[#This Row],[Sales Qty]]-Inventory_Data[[#This Row],[Closing Stock]]</f>
        <v>0</v>
      </c>
      <c r="N376">
        <f>Inventory_Data[[#This Row],[Purchase Qty]]*Inventory_Data[[#This Row],[Unit Cost]]</f>
        <v>3503240</v>
      </c>
      <c r="O376" t="str">
        <f>IF(Inventory_Data[[#This Row],[Closing Stock]]&lt;=Inventory_Data[[#This Row],[Reorder Level]],"Low Stock","In Stock")</f>
        <v>In Stock</v>
      </c>
      <c r="P376" t="str">
        <f>TEXT(Inventory_Data[[#This Row],[Date]],"MMM")</f>
        <v>Mar</v>
      </c>
      <c r="Q376" t="str">
        <f>TEXT(Inventory_Data[[#This Row],[Date]],"YYYY")</f>
        <v>2025</v>
      </c>
    </row>
    <row r="377" spans="1:17" x14ac:dyDescent="0.3">
      <c r="A377" s="1">
        <v>45740</v>
      </c>
      <c r="B377" t="s">
        <v>12</v>
      </c>
      <c r="C377" t="s">
        <v>13</v>
      </c>
      <c r="D377" t="s">
        <v>26</v>
      </c>
      <c r="E377" t="s">
        <v>18</v>
      </c>
      <c r="F377">
        <v>118</v>
      </c>
      <c r="G377">
        <v>24</v>
      </c>
      <c r="H377">
        <v>40</v>
      </c>
      <c r="I377">
        <v>102</v>
      </c>
      <c r="J377">
        <v>39</v>
      </c>
      <c r="K377">
        <v>6791</v>
      </c>
      <c r="L377">
        <v>692682</v>
      </c>
      <c r="M377">
        <f>Inventory_Data[[#This Row],[Opening Stock]]+Inventory_Data[[#This Row],[Purchase Qty]]-Inventory_Data[[#This Row],[Sales Qty]]-Inventory_Data[[#This Row],[Closing Stock]]</f>
        <v>0</v>
      </c>
      <c r="N377">
        <f>Inventory_Data[[#This Row],[Purchase Qty]]*Inventory_Data[[#This Row],[Unit Cost]]</f>
        <v>162984</v>
      </c>
      <c r="O377" t="str">
        <f>IF(Inventory_Data[[#This Row],[Closing Stock]]&lt;=Inventory_Data[[#This Row],[Reorder Level]],"Low Stock","In Stock")</f>
        <v>In Stock</v>
      </c>
      <c r="P377" t="str">
        <f>TEXT(Inventory_Data[[#This Row],[Date]],"MMM")</f>
        <v>Mar</v>
      </c>
      <c r="Q377" t="str">
        <f>TEXT(Inventory_Data[[#This Row],[Date]],"YYYY")</f>
        <v>2025</v>
      </c>
    </row>
    <row r="378" spans="1:17" x14ac:dyDescent="0.3">
      <c r="A378" s="1">
        <v>45740</v>
      </c>
      <c r="B378" t="s">
        <v>12</v>
      </c>
      <c r="C378" t="s">
        <v>13</v>
      </c>
      <c r="D378" t="s">
        <v>14</v>
      </c>
      <c r="E378" t="s">
        <v>15</v>
      </c>
      <c r="F378">
        <v>15</v>
      </c>
      <c r="G378">
        <v>14</v>
      </c>
      <c r="H378">
        <v>29</v>
      </c>
      <c r="I378">
        <v>0</v>
      </c>
      <c r="J378">
        <v>27</v>
      </c>
      <c r="K378">
        <v>12036</v>
      </c>
      <c r="L378">
        <v>0</v>
      </c>
      <c r="M378">
        <f>Inventory_Data[[#This Row],[Opening Stock]]+Inventory_Data[[#This Row],[Purchase Qty]]-Inventory_Data[[#This Row],[Sales Qty]]-Inventory_Data[[#This Row],[Closing Stock]]</f>
        <v>0</v>
      </c>
      <c r="N378">
        <f>Inventory_Data[[#This Row],[Purchase Qty]]*Inventory_Data[[#This Row],[Unit Cost]]</f>
        <v>168504</v>
      </c>
      <c r="O378" t="str">
        <f>IF(Inventory_Data[[#This Row],[Closing Stock]]&lt;=Inventory_Data[[#This Row],[Reorder Level]],"Low Stock","In Stock")</f>
        <v>Low Stock</v>
      </c>
      <c r="P378" t="str">
        <f>TEXT(Inventory_Data[[#This Row],[Date]],"MMM")</f>
        <v>Mar</v>
      </c>
      <c r="Q378" t="str">
        <f>TEXT(Inventory_Data[[#This Row],[Date]],"YYYY")</f>
        <v>2025</v>
      </c>
    </row>
    <row r="379" spans="1:17" x14ac:dyDescent="0.3">
      <c r="A379" s="1">
        <v>45740</v>
      </c>
      <c r="B379" t="s">
        <v>42</v>
      </c>
      <c r="C379" t="s">
        <v>17</v>
      </c>
      <c r="D379" t="s">
        <v>26</v>
      </c>
      <c r="E379" t="s">
        <v>18</v>
      </c>
      <c r="F379">
        <v>53</v>
      </c>
      <c r="G379">
        <v>8</v>
      </c>
      <c r="H379">
        <v>12</v>
      </c>
      <c r="I379">
        <v>49</v>
      </c>
      <c r="J379">
        <v>13</v>
      </c>
      <c r="K379">
        <v>8689</v>
      </c>
      <c r="L379">
        <v>425761</v>
      </c>
      <c r="M379">
        <f>Inventory_Data[[#This Row],[Opening Stock]]+Inventory_Data[[#This Row],[Purchase Qty]]-Inventory_Data[[#This Row],[Sales Qty]]-Inventory_Data[[#This Row],[Closing Stock]]</f>
        <v>0</v>
      </c>
      <c r="N379">
        <f>Inventory_Data[[#This Row],[Purchase Qty]]*Inventory_Data[[#This Row],[Unit Cost]]</f>
        <v>69512</v>
      </c>
      <c r="O379" t="str">
        <f>IF(Inventory_Data[[#This Row],[Closing Stock]]&lt;=Inventory_Data[[#This Row],[Reorder Level]],"Low Stock","In Stock")</f>
        <v>In Stock</v>
      </c>
      <c r="P379" t="str">
        <f>TEXT(Inventory_Data[[#This Row],[Date]],"MMM")</f>
        <v>Mar</v>
      </c>
      <c r="Q379" t="str">
        <f>TEXT(Inventory_Data[[#This Row],[Date]],"YYYY")</f>
        <v>2025</v>
      </c>
    </row>
    <row r="380" spans="1:17" x14ac:dyDescent="0.3">
      <c r="A380" s="1">
        <v>45740</v>
      </c>
      <c r="B380" t="s">
        <v>43</v>
      </c>
      <c r="C380" t="s">
        <v>22</v>
      </c>
      <c r="D380" t="s">
        <v>37</v>
      </c>
      <c r="E380" t="s">
        <v>18</v>
      </c>
      <c r="F380">
        <v>80</v>
      </c>
      <c r="G380">
        <v>263</v>
      </c>
      <c r="H380">
        <v>37</v>
      </c>
      <c r="I380">
        <v>306</v>
      </c>
      <c r="J380">
        <v>117</v>
      </c>
      <c r="K380">
        <v>271</v>
      </c>
      <c r="L380">
        <v>82926</v>
      </c>
      <c r="M380">
        <f>Inventory_Data[[#This Row],[Opening Stock]]+Inventory_Data[[#This Row],[Purchase Qty]]-Inventory_Data[[#This Row],[Sales Qty]]-Inventory_Data[[#This Row],[Closing Stock]]</f>
        <v>0</v>
      </c>
      <c r="N380">
        <f>Inventory_Data[[#This Row],[Purchase Qty]]*Inventory_Data[[#This Row],[Unit Cost]]</f>
        <v>71273</v>
      </c>
      <c r="O380" t="str">
        <f>IF(Inventory_Data[[#This Row],[Closing Stock]]&lt;=Inventory_Data[[#This Row],[Reorder Level]],"Low Stock","In Stock")</f>
        <v>In Stock</v>
      </c>
      <c r="P380" t="str">
        <f>TEXT(Inventory_Data[[#This Row],[Date]],"MMM")</f>
        <v>Mar</v>
      </c>
      <c r="Q380" t="str">
        <f>TEXT(Inventory_Data[[#This Row],[Date]],"YYYY")</f>
        <v>2025</v>
      </c>
    </row>
    <row r="381" spans="1:17" x14ac:dyDescent="0.3">
      <c r="A381" s="1">
        <v>45741</v>
      </c>
      <c r="B381" t="s">
        <v>35</v>
      </c>
      <c r="C381" t="s">
        <v>22</v>
      </c>
      <c r="D381" t="s">
        <v>26</v>
      </c>
      <c r="E381" t="s">
        <v>18</v>
      </c>
      <c r="F381">
        <v>179</v>
      </c>
      <c r="G381">
        <v>260</v>
      </c>
      <c r="H381">
        <v>154</v>
      </c>
      <c r="I381">
        <v>285</v>
      </c>
      <c r="J381">
        <v>138</v>
      </c>
      <c r="K381">
        <v>910</v>
      </c>
      <c r="L381">
        <v>259350</v>
      </c>
      <c r="M381">
        <f>Inventory_Data[[#This Row],[Opening Stock]]+Inventory_Data[[#This Row],[Purchase Qty]]-Inventory_Data[[#This Row],[Sales Qty]]-Inventory_Data[[#This Row],[Closing Stock]]</f>
        <v>0</v>
      </c>
      <c r="N381">
        <f>Inventory_Data[[#This Row],[Purchase Qty]]*Inventory_Data[[#This Row],[Unit Cost]]</f>
        <v>236600</v>
      </c>
      <c r="O381" t="str">
        <f>IF(Inventory_Data[[#This Row],[Closing Stock]]&lt;=Inventory_Data[[#This Row],[Reorder Level]],"Low Stock","In Stock")</f>
        <v>In Stock</v>
      </c>
      <c r="P381" t="str">
        <f>TEXT(Inventory_Data[[#This Row],[Date]],"MMM")</f>
        <v>Mar</v>
      </c>
      <c r="Q381" t="str">
        <f>TEXT(Inventory_Data[[#This Row],[Date]],"YYYY")</f>
        <v>2025</v>
      </c>
    </row>
    <row r="382" spans="1:17" x14ac:dyDescent="0.3">
      <c r="A382" s="1">
        <v>45741</v>
      </c>
      <c r="B382" t="s">
        <v>41</v>
      </c>
      <c r="C382" t="s">
        <v>22</v>
      </c>
      <c r="D382" t="s">
        <v>26</v>
      </c>
      <c r="E382" t="s">
        <v>15</v>
      </c>
      <c r="F382">
        <v>426</v>
      </c>
      <c r="G382">
        <v>146</v>
      </c>
      <c r="H382">
        <v>213</v>
      </c>
      <c r="I382">
        <v>359</v>
      </c>
      <c r="J382">
        <v>87</v>
      </c>
      <c r="K382">
        <v>1028</v>
      </c>
      <c r="L382">
        <v>369052</v>
      </c>
      <c r="M382">
        <f>Inventory_Data[[#This Row],[Opening Stock]]+Inventory_Data[[#This Row],[Purchase Qty]]-Inventory_Data[[#This Row],[Sales Qty]]-Inventory_Data[[#This Row],[Closing Stock]]</f>
        <v>0</v>
      </c>
      <c r="N382">
        <f>Inventory_Data[[#This Row],[Purchase Qty]]*Inventory_Data[[#This Row],[Unit Cost]]</f>
        <v>150088</v>
      </c>
      <c r="O382" t="str">
        <f>IF(Inventory_Data[[#This Row],[Closing Stock]]&lt;=Inventory_Data[[#This Row],[Reorder Level]],"Low Stock","In Stock")</f>
        <v>In Stock</v>
      </c>
      <c r="P382" t="str">
        <f>TEXT(Inventory_Data[[#This Row],[Date]],"MMM")</f>
        <v>Mar</v>
      </c>
      <c r="Q382" t="str">
        <f>TEXT(Inventory_Data[[#This Row],[Date]],"YYYY")</f>
        <v>2025</v>
      </c>
    </row>
    <row r="383" spans="1:17" x14ac:dyDescent="0.3">
      <c r="A383" s="1">
        <v>45741</v>
      </c>
      <c r="B383" t="s">
        <v>35</v>
      </c>
      <c r="C383" t="s">
        <v>22</v>
      </c>
      <c r="D383" t="s">
        <v>23</v>
      </c>
      <c r="E383" t="s">
        <v>20</v>
      </c>
      <c r="F383">
        <v>311</v>
      </c>
      <c r="G383">
        <v>176</v>
      </c>
      <c r="H383">
        <v>266</v>
      </c>
      <c r="I383">
        <v>221</v>
      </c>
      <c r="J383">
        <v>87</v>
      </c>
      <c r="K383">
        <v>589</v>
      </c>
      <c r="L383">
        <v>130169</v>
      </c>
      <c r="M383">
        <f>Inventory_Data[[#This Row],[Opening Stock]]+Inventory_Data[[#This Row],[Purchase Qty]]-Inventory_Data[[#This Row],[Sales Qty]]-Inventory_Data[[#This Row],[Closing Stock]]</f>
        <v>0</v>
      </c>
      <c r="N383">
        <f>Inventory_Data[[#This Row],[Purchase Qty]]*Inventory_Data[[#This Row],[Unit Cost]]</f>
        <v>103664</v>
      </c>
      <c r="O383" t="str">
        <f>IF(Inventory_Data[[#This Row],[Closing Stock]]&lt;=Inventory_Data[[#This Row],[Reorder Level]],"Low Stock","In Stock")</f>
        <v>In Stock</v>
      </c>
      <c r="P383" t="str">
        <f>TEXT(Inventory_Data[[#This Row],[Date]],"MMM")</f>
        <v>Mar</v>
      </c>
      <c r="Q383" t="str">
        <f>TEXT(Inventory_Data[[#This Row],[Date]],"YYYY")</f>
        <v>2025</v>
      </c>
    </row>
    <row r="384" spans="1:17" x14ac:dyDescent="0.3">
      <c r="A384" s="1">
        <v>45741</v>
      </c>
      <c r="B384" t="s">
        <v>12</v>
      </c>
      <c r="C384" t="s">
        <v>13</v>
      </c>
      <c r="D384" t="s">
        <v>37</v>
      </c>
      <c r="E384" t="s">
        <v>18</v>
      </c>
      <c r="F384">
        <v>119</v>
      </c>
      <c r="G384">
        <v>53</v>
      </c>
      <c r="H384">
        <v>22</v>
      </c>
      <c r="I384">
        <v>150</v>
      </c>
      <c r="J384">
        <v>22</v>
      </c>
      <c r="K384">
        <v>10616</v>
      </c>
      <c r="L384">
        <v>1592400</v>
      </c>
      <c r="M384">
        <f>Inventory_Data[[#This Row],[Opening Stock]]+Inventory_Data[[#This Row],[Purchase Qty]]-Inventory_Data[[#This Row],[Sales Qty]]-Inventory_Data[[#This Row],[Closing Stock]]</f>
        <v>0</v>
      </c>
      <c r="N384">
        <f>Inventory_Data[[#This Row],[Purchase Qty]]*Inventory_Data[[#This Row],[Unit Cost]]</f>
        <v>562648</v>
      </c>
      <c r="O384" t="str">
        <f>IF(Inventory_Data[[#This Row],[Closing Stock]]&lt;=Inventory_Data[[#This Row],[Reorder Level]],"Low Stock","In Stock")</f>
        <v>In Stock</v>
      </c>
      <c r="P384" t="str">
        <f>TEXT(Inventory_Data[[#This Row],[Date]],"MMM")</f>
        <v>Mar</v>
      </c>
      <c r="Q384" t="str">
        <f>TEXT(Inventory_Data[[#This Row],[Date]],"YYYY")</f>
        <v>2025</v>
      </c>
    </row>
    <row r="385" spans="1:17" x14ac:dyDescent="0.3">
      <c r="A385" s="1">
        <v>45741</v>
      </c>
      <c r="B385" t="s">
        <v>19</v>
      </c>
      <c r="C385" t="s">
        <v>13</v>
      </c>
      <c r="D385" t="s">
        <v>23</v>
      </c>
      <c r="E385" t="s">
        <v>34</v>
      </c>
      <c r="F385">
        <v>36</v>
      </c>
      <c r="G385">
        <v>79</v>
      </c>
      <c r="H385">
        <v>29</v>
      </c>
      <c r="I385">
        <v>86</v>
      </c>
      <c r="J385">
        <v>26</v>
      </c>
      <c r="K385">
        <v>12345</v>
      </c>
      <c r="L385">
        <v>1061670</v>
      </c>
      <c r="M385">
        <f>Inventory_Data[[#This Row],[Opening Stock]]+Inventory_Data[[#This Row],[Purchase Qty]]-Inventory_Data[[#This Row],[Sales Qty]]-Inventory_Data[[#This Row],[Closing Stock]]</f>
        <v>0</v>
      </c>
      <c r="N385">
        <f>Inventory_Data[[#This Row],[Purchase Qty]]*Inventory_Data[[#This Row],[Unit Cost]]</f>
        <v>975255</v>
      </c>
      <c r="O385" t="str">
        <f>IF(Inventory_Data[[#This Row],[Closing Stock]]&lt;=Inventory_Data[[#This Row],[Reorder Level]],"Low Stock","In Stock")</f>
        <v>In Stock</v>
      </c>
      <c r="P385" t="str">
        <f>TEXT(Inventory_Data[[#This Row],[Date]],"MMM")</f>
        <v>Mar</v>
      </c>
      <c r="Q385" t="str">
        <f>TEXT(Inventory_Data[[#This Row],[Date]],"YYYY")</f>
        <v>2025</v>
      </c>
    </row>
    <row r="386" spans="1:17" x14ac:dyDescent="0.3">
      <c r="A386" s="1">
        <v>45741</v>
      </c>
      <c r="B386" t="s">
        <v>38</v>
      </c>
      <c r="C386" t="s">
        <v>17</v>
      </c>
      <c r="D386" t="s">
        <v>14</v>
      </c>
      <c r="E386" t="s">
        <v>20</v>
      </c>
      <c r="F386">
        <v>49</v>
      </c>
      <c r="G386">
        <v>59</v>
      </c>
      <c r="H386">
        <v>9</v>
      </c>
      <c r="I386">
        <v>99</v>
      </c>
      <c r="J386">
        <v>23</v>
      </c>
      <c r="K386">
        <v>20084</v>
      </c>
      <c r="L386">
        <v>1988316</v>
      </c>
      <c r="M386">
        <f>Inventory_Data[[#This Row],[Opening Stock]]+Inventory_Data[[#This Row],[Purchase Qty]]-Inventory_Data[[#This Row],[Sales Qty]]-Inventory_Data[[#This Row],[Closing Stock]]</f>
        <v>0</v>
      </c>
      <c r="N386">
        <f>Inventory_Data[[#This Row],[Purchase Qty]]*Inventory_Data[[#This Row],[Unit Cost]]</f>
        <v>1184956</v>
      </c>
      <c r="O386" t="str">
        <f>IF(Inventory_Data[[#This Row],[Closing Stock]]&lt;=Inventory_Data[[#This Row],[Reorder Level]],"Low Stock","In Stock")</f>
        <v>In Stock</v>
      </c>
      <c r="P386" t="str">
        <f>TEXT(Inventory_Data[[#This Row],[Date]],"MMM")</f>
        <v>Mar</v>
      </c>
      <c r="Q386" t="str">
        <f>TEXT(Inventory_Data[[#This Row],[Date]],"YYYY")</f>
        <v>2025</v>
      </c>
    </row>
    <row r="387" spans="1:17" x14ac:dyDescent="0.3">
      <c r="A387" s="1">
        <v>45741</v>
      </c>
      <c r="B387" t="s">
        <v>31</v>
      </c>
      <c r="C387" t="s">
        <v>22</v>
      </c>
      <c r="D387" t="s">
        <v>26</v>
      </c>
      <c r="E387" t="s">
        <v>34</v>
      </c>
      <c r="F387">
        <v>339</v>
      </c>
      <c r="G387">
        <v>100</v>
      </c>
      <c r="H387">
        <v>184</v>
      </c>
      <c r="I387">
        <v>255</v>
      </c>
      <c r="J387">
        <v>128</v>
      </c>
      <c r="K387">
        <v>861</v>
      </c>
      <c r="L387">
        <v>219555</v>
      </c>
      <c r="M387">
        <f>Inventory_Data[[#This Row],[Opening Stock]]+Inventory_Data[[#This Row],[Purchase Qty]]-Inventory_Data[[#This Row],[Sales Qty]]-Inventory_Data[[#This Row],[Closing Stock]]</f>
        <v>0</v>
      </c>
      <c r="N387">
        <f>Inventory_Data[[#This Row],[Purchase Qty]]*Inventory_Data[[#This Row],[Unit Cost]]</f>
        <v>86100</v>
      </c>
      <c r="O387" t="str">
        <f>IF(Inventory_Data[[#This Row],[Closing Stock]]&lt;=Inventory_Data[[#This Row],[Reorder Level]],"Low Stock","In Stock")</f>
        <v>In Stock</v>
      </c>
      <c r="P387" t="str">
        <f>TEXT(Inventory_Data[[#This Row],[Date]],"MMM")</f>
        <v>Mar</v>
      </c>
      <c r="Q387" t="str">
        <f>TEXT(Inventory_Data[[#This Row],[Date]],"YYYY")</f>
        <v>2025</v>
      </c>
    </row>
    <row r="388" spans="1:17" x14ac:dyDescent="0.3">
      <c r="A388" s="1">
        <v>45741</v>
      </c>
      <c r="B388" t="s">
        <v>41</v>
      </c>
      <c r="C388" t="s">
        <v>22</v>
      </c>
      <c r="D388" t="s">
        <v>23</v>
      </c>
      <c r="E388" t="s">
        <v>29</v>
      </c>
      <c r="F388">
        <v>107</v>
      </c>
      <c r="G388">
        <v>45</v>
      </c>
      <c r="H388">
        <v>102</v>
      </c>
      <c r="I388">
        <v>50</v>
      </c>
      <c r="J388">
        <v>86</v>
      </c>
      <c r="K388">
        <v>988</v>
      </c>
      <c r="L388">
        <v>49400</v>
      </c>
      <c r="M388">
        <f>Inventory_Data[[#This Row],[Opening Stock]]+Inventory_Data[[#This Row],[Purchase Qty]]-Inventory_Data[[#This Row],[Sales Qty]]-Inventory_Data[[#This Row],[Closing Stock]]</f>
        <v>0</v>
      </c>
      <c r="N388">
        <f>Inventory_Data[[#This Row],[Purchase Qty]]*Inventory_Data[[#This Row],[Unit Cost]]</f>
        <v>44460</v>
      </c>
      <c r="O388" t="str">
        <f>IF(Inventory_Data[[#This Row],[Closing Stock]]&lt;=Inventory_Data[[#This Row],[Reorder Level]],"Low Stock","In Stock")</f>
        <v>Low Stock</v>
      </c>
      <c r="P388" t="str">
        <f>TEXT(Inventory_Data[[#This Row],[Date]],"MMM")</f>
        <v>Mar</v>
      </c>
      <c r="Q388" t="str">
        <f>TEXT(Inventory_Data[[#This Row],[Date]],"YYYY")</f>
        <v>2025</v>
      </c>
    </row>
    <row r="389" spans="1:17" x14ac:dyDescent="0.3">
      <c r="A389" s="1">
        <v>45741</v>
      </c>
      <c r="B389" t="s">
        <v>45</v>
      </c>
      <c r="C389" t="s">
        <v>13</v>
      </c>
      <c r="D389" t="s">
        <v>23</v>
      </c>
      <c r="E389" t="s">
        <v>24</v>
      </c>
      <c r="F389">
        <v>41</v>
      </c>
      <c r="G389">
        <v>57</v>
      </c>
      <c r="H389">
        <v>45</v>
      </c>
      <c r="I389">
        <v>53</v>
      </c>
      <c r="J389">
        <v>21</v>
      </c>
      <c r="K389">
        <v>17899</v>
      </c>
      <c r="L389">
        <v>948647</v>
      </c>
      <c r="M389">
        <f>Inventory_Data[[#This Row],[Opening Stock]]+Inventory_Data[[#This Row],[Purchase Qty]]-Inventory_Data[[#This Row],[Sales Qty]]-Inventory_Data[[#This Row],[Closing Stock]]</f>
        <v>0</v>
      </c>
      <c r="N389">
        <f>Inventory_Data[[#This Row],[Purchase Qty]]*Inventory_Data[[#This Row],[Unit Cost]]</f>
        <v>1020243</v>
      </c>
      <c r="O389" t="str">
        <f>IF(Inventory_Data[[#This Row],[Closing Stock]]&lt;=Inventory_Data[[#This Row],[Reorder Level]],"Low Stock","In Stock")</f>
        <v>In Stock</v>
      </c>
      <c r="P389" t="str">
        <f>TEXT(Inventory_Data[[#This Row],[Date]],"MMM")</f>
        <v>Mar</v>
      </c>
      <c r="Q389" t="str">
        <f>TEXT(Inventory_Data[[#This Row],[Date]],"YYYY")</f>
        <v>2025</v>
      </c>
    </row>
    <row r="390" spans="1:17" x14ac:dyDescent="0.3">
      <c r="A390" s="1">
        <v>45741</v>
      </c>
      <c r="B390" t="s">
        <v>33</v>
      </c>
      <c r="C390" t="s">
        <v>13</v>
      </c>
      <c r="D390" t="s">
        <v>23</v>
      </c>
      <c r="E390" t="s">
        <v>29</v>
      </c>
      <c r="F390">
        <v>76</v>
      </c>
      <c r="G390">
        <v>11</v>
      </c>
      <c r="H390">
        <v>13</v>
      </c>
      <c r="I390">
        <v>74</v>
      </c>
      <c r="J390">
        <v>30</v>
      </c>
      <c r="K390">
        <v>14095</v>
      </c>
      <c r="L390">
        <v>1043030</v>
      </c>
      <c r="M390">
        <f>Inventory_Data[[#This Row],[Opening Stock]]+Inventory_Data[[#This Row],[Purchase Qty]]-Inventory_Data[[#This Row],[Sales Qty]]-Inventory_Data[[#This Row],[Closing Stock]]</f>
        <v>0</v>
      </c>
      <c r="N390">
        <f>Inventory_Data[[#This Row],[Purchase Qty]]*Inventory_Data[[#This Row],[Unit Cost]]</f>
        <v>155045</v>
      </c>
      <c r="O390" t="str">
        <f>IF(Inventory_Data[[#This Row],[Closing Stock]]&lt;=Inventory_Data[[#This Row],[Reorder Level]],"Low Stock","In Stock")</f>
        <v>In Stock</v>
      </c>
      <c r="P390" t="str">
        <f>TEXT(Inventory_Data[[#This Row],[Date]],"MMM")</f>
        <v>Mar</v>
      </c>
      <c r="Q390" t="str">
        <f>TEXT(Inventory_Data[[#This Row],[Date]],"YYYY")</f>
        <v>2025</v>
      </c>
    </row>
    <row r="391" spans="1:17" x14ac:dyDescent="0.3">
      <c r="A391" s="1">
        <v>45741</v>
      </c>
      <c r="B391" t="s">
        <v>36</v>
      </c>
      <c r="C391" t="s">
        <v>22</v>
      </c>
      <c r="D391" t="s">
        <v>23</v>
      </c>
      <c r="E391" t="s">
        <v>15</v>
      </c>
      <c r="F391">
        <v>349</v>
      </c>
      <c r="G391">
        <v>164</v>
      </c>
      <c r="H391">
        <v>68</v>
      </c>
      <c r="I391">
        <v>445</v>
      </c>
      <c r="J391">
        <v>135</v>
      </c>
      <c r="K391">
        <v>928</v>
      </c>
      <c r="L391">
        <v>412960</v>
      </c>
      <c r="M391">
        <f>Inventory_Data[[#This Row],[Opening Stock]]+Inventory_Data[[#This Row],[Purchase Qty]]-Inventory_Data[[#This Row],[Sales Qty]]-Inventory_Data[[#This Row],[Closing Stock]]</f>
        <v>0</v>
      </c>
      <c r="N391">
        <f>Inventory_Data[[#This Row],[Purchase Qty]]*Inventory_Data[[#This Row],[Unit Cost]]</f>
        <v>152192</v>
      </c>
      <c r="O391" t="str">
        <f>IF(Inventory_Data[[#This Row],[Closing Stock]]&lt;=Inventory_Data[[#This Row],[Reorder Level]],"Low Stock","In Stock")</f>
        <v>In Stock</v>
      </c>
      <c r="P391" t="str">
        <f>TEXT(Inventory_Data[[#This Row],[Date]],"MMM")</f>
        <v>Mar</v>
      </c>
      <c r="Q391" t="str">
        <f>TEXT(Inventory_Data[[#This Row],[Date]],"YYYY")</f>
        <v>2025</v>
      </c>
    </row>
    <row r="392" spans="1:17" x14ac:dyDescent="0.3">
      <c r="A392" s="1">
        <v>45741</v>
      </c>
      <c r="B392" t="s">
        <v>45</v>
      </c>
      <c r="C392" t="s">
        <v>13</v>
      </c>
      <c r="D392" t="s">
        <v>37</v>
      </c>
      <c r="E392" t="s">
        <v>15</v>
      </c>
      <c r="F392">
        <v>111</v>
      </c>
      <c r="G392">
        <v>19</v>
      </c>
      <c r="H392">
        <v>43</v>
      </c>
      <c r="I392">
        <v>87</v>
      </c>
      <c r="J392">
        <v>23</v>
      </c>
      <c r="K392">
        <v>6589</v>
      </c>
      <c r="L392">
        <v>573243</v>
      </c>
      <c r="M392">
        <f>Inventory_Data[[#This Row],[Opening Stock]]+Inventory_Data[[#This Row],[Purchase Qty]]-Inventory_Data[[#This Row],[Sales Qty]]-Inventory_Data[[#This Row],[Closing Stock]]</f>
        <v>0</v>
      </c>
      <c r="N392">
        <f>Inventory_Data[[#This Row],[Purchase Qty]]*Inventory_Data[[#This Row],[Unit Cost]]</f>
        <v>125191</v>
      </c>
      <c r="O392" t="str">
        <f>IF(Inventory_Data[[#This Row],[Closing Stock]]&lt;=Inventory_Data[[#This Row],[Reorder Level]],"Low Stock","In Stock")</f>
        <v>In Stock</v>
      </c>
      <c r="P392" t="str">
        <f>TEXT(Inventory_Data[[#This Row],[Date]],"MMM")</f>
        <v>Mar</v>
      </c>
      <c r="Q392" t="str">
        <f>TEXT(Inventory_Data[[#This Row],[Date]],"YYYY")</f>
        <v>2025</v>
      </c>
    </row>
    <row r="393" spans="1:17" x14ac:dyDescent="0.3">
      <c r="A393" s="1">
        <v>45742</v>
      </c>
      <c r="B393" t="s">
        <v>25</v>
      </c>
      <c r="C393" t="s">
        <v>17</v>
      </c>
      <c r="D393" t="s">
        <v>14</v>
      </c>
      <c r="E393" t="s">
        <v>18</v>
      </c>
      <c r="F393">
        <v>64</v>
      </c>
      <c r="G393">
        <v>20</v>
      </c>
      <c r="H393">
        <v>32</v>
      </c>
      <c r="I393">
        <v>52</v>
      </c>
      <c r="J393">
        <v>28</v>
      </c>
      <c r="K393">
        <v>7298</v>
      </c>
      <c r="L393">
        <v>379496</v>
      </c>
      <c r="M393">
        <f>Inventory_Data[[#This Row],[Opening Stock]]+Inventory_Data[[#This Row],[Purchase Qty]]-Inventory_Data[[#This Row],[Sales Qty]]-Inventory_Data[[#This Row],[Closing Stock]]</f>
        <v>0</v>
      </c>
      <c r="N393">
        <f>Inventory_Data[[#This Row],[Purchase Qty]]*Inventory_Data[[#This Row],[Unit Cost]]</f>
        <v>145960</v>
      </c>
      <c r="O393" t="str">
        <f>IF(Inventory_Data[[#This Row],[Closing Stock]]&lt;=Inventory_Data[[#This Row],[Reorder Level]],"Low Stock","In Stock")</f>
        <v>In Stock</v>
      </c>
      <c r="P393" t="str">
        <f>TEXT(Inventory_Data[[#This Row],[Date]],"MMM")</f>
        <v>Mar</v>
      </c>
      <c r="Q393" t="str">
        <f>TEXT(Inventory_Data[[#This Row],[Date]],"YYYY")</f>
        <v>2025</v>
      </c>
    </row>
    <row r="394" spans="1:17" x14ac:dyDescent="0.3">
      <c r="A394" s="1">
        <v>45742</v>
      </c>
      <c r="B394" t="s">
        <v>40</v>
      </c>
      <c r="C394" t="s">
        <v>28</v>
      </c>
      <c r="D394" t="s">
        <v>23</v>
      </c>
      <c r="E394" t="s">
        <v>20</v>
      </c>
      <c r="F394">
        <v>160</v>
      </c>
      <c r="G394">
        <v>82</v>
      </c>
      <c r="H394">
        <v>49</v>
      </c>
      <c r="I394">
        <v>193</v>
      </c>
      <c r="J394">
        <v>43</v>
      </c>
      <c r="K394">
        <v>27964</v>
      </c>
      <c r="L394">
        <v>5397052</v>
      </c>
      <c r="M394">
        <f>Inventory_Data[[#This Row],[Opening Stock]]+Inventory_Data[[#This Row],[Purchase Qty]]-Inventory_Data[[#This Row],[Sales Qty]]-Inventory_Data[[#This Row],[Closing Stock]]</f>
        <v>0</v>
      </c>
      <c r="N394">
        <f>Inventory_Data[[#This Row],[Purchase Qty]]*Inventory_Data[[#This Row],[Unit Cost]]</f>
        <v>2293048</v>
      </c>
      <c r="O394" t="str">
        <f>IF(Inventory_Data[[#This Row],[Closing Stock]]&lt;=Inventory_Data[[#This Row],[Reorder Level]],"Low Stock","In Stock")</f>
        <v>In Stock</v>
      </c>
      <c r="P394" t="str">
        <f>TEXT(Inventory_Data[[#This Row],[Date]],"MMM")</f>
        <v>Mar</v>
      </c>
      <c r="Q394" t="str">
        <f>TEXT(Inventory_Data[[#This Row],[Date]],"YYYY")</f>
        <v>2025</v>
      </c>
    </row>
    <row r="395" spans="1:17" x14ac:dyDescent="0.3">
      <c r="A395" s="1">
        <v>45743</v>
      </c>
      <c r="B395" t="s">
        <v>25</v>
      </c>
      <c r="C395" t="s">
        <v>17</v>
      </c>
      <c r="D395" t="s">
        <v>14</v>
      </c>
      <c r="E395" t="s">
        <v>24</v>
      </c>
      <c r="F395">
        <v>44</v>
      </c>
      <c r="G395">
        <v>25</v>
      </c>
      <c r="H395">
        <v>26</v>
      </c>
      <c r="I395">
        <v>43</v>
      </c>
      <c r="J395">
        <v>10</v>
      </c>
      <c r="K395">
        <v>19485</v>
      </c>
      <c r="L395">
        <v>837855</v>
      </c>
      <c r="M395">
        <f>Inventory_Data[[#This Row],[Opening Stock]]+Inventory_Data[[#This Row],[Purchase Qty]]-Inventory_Data[[#This Row],[Sales Qty]]-Inventory_Data[[#This Row],[Closing Stock]]</f>
        <v>0</v>
      </c>
      <c r="N395">
        <f>Inventory_Data[[#This Row],[Purchase Qty]]*Inventory_Data[[#This Row],[Unit Cost]]</f>
        <v>487125</v>
      </c>
      <c r="O395" t="str">
        <f>IF(Inventory_Data[[#This Row],[Closing Stock]]&lt;=Inventory_Data[[#This Row],[Reorder Level]],"Low Stock","In Stock")</f>
        <v>In Stock</v>
      </c>
      <c r="P395" t="str">
        <f>TEXT(Inventory_Data[[#This Row],[Date]],"MMM")</f>
        <v>Mar</v>
      </c>
      <c r="Q395" t="str">
        <f>TEXT(Inventory_Data[[#This Row],[Date]],"YYYY")</f>
        <v>2025</v>
      </c>
    </row>
    <row r="396" spans="1:17" x14ac:dyDescent="0.3">
      <c r="A396" s="1">
        <v>45743</v>
      </c>
      <c r="B396" t="s">
        <v>45</v>
      </c>
      <c r="C396" t="s">
        <v>13</v>
      </c>
      <c r="D396" t="s">
        <v>37</v>
      </c>
      <c r="E396" t="s">
        <v>15</v>
      </c>
      <c r="F396">
        <v>82</v>
      </c>
      <c r="G396">
        <v>79</v>
      </c>
      <c r="H396">
        <v>10</v>
      </c>
      <c r="I396">
        <v>151</v>
      </c>
      <c r="J396">
        <v>16</v>
      </c>
      <c r="K396">
        <v>1860</v>
      </c>
      <c r="L396">
        <v>280860</v>
      </c>
      <c r="M396">
        <f>Inventory_Data[[#This Row],[Opening Stock]]+Inventory_Data[[#This Row],[Purchase Qty]]-Inventory_Data[[#This Row],[Sales Qty]]-Inventory_Data[[#This Row],[Closing Stock]]</f>
        <v>0</v>
      </c>
      <c r="N396">
        <f>Inventory_Data[[#This Row],[Purchase Qty]]*Inventory_Data[[#This Row],[Unit Cost]]</f>
        <v>146940</v>
      </c>
      <c r="O396" t="str">
        <f>IF(Inventory_Data[[#This Row],[Closing Stock]]&lt;=Inventory_Data[[#This Row],[Reorder Level]],"Low Stock","In Stock")</f>
        <v>In Stock</v>
      </c>
      <c r="P396" t="str">
        <f>TEXT(Inventory_Data[[#This Row],[Date]],"MMM")</f>
        <v>Mar</v>
      </c>
      <c r="Q396" t="str">
        <f>TEXT(Inventory_Data[[#This Row],[Date]],"YYYY")</f>
        <v>2025</v>
      </c>
    </row>
    <row r="397" spans="1:17" x14ac:dyDescent="0.3">
      <c r="A397" s="1">
        <v>45743</v>
      </c>
      <c r="B397" t="s">
        <v>35</v>
      </c>
      <c r="C397" t="s">
        <v>22</v>
      </c>
      <c r="D397" t="s">
        <v>23</v>
      </c>
      <c r="E397" t="s">
        <v>34</v>
      </c>
      <c r="F397">
        <v>248</v>
      </c>
      <c r="G397">
        <v>39</v>
      </c>
      <c r="H397">
        <v>173</v>
      </c>
      <c r="I397">
        <v>114</v>
      </c>
      <c r="J397">
        <v>113</v>
      </c>
      <c r="K397">
        <v>43</v>
      </c>
      <c r="L397">
        <v>4902</v>
      </c>
      <c r="M397">
        <f>Inventory_Data[[#This Row],[Opening Stock]]+Inventory_Data[[#This Row],[Purchase Qty]]-Inventory_Data[[#This Row],[Sales Qty]]-Inventory_Data[[#This Row],[Closing Stock]]</f>
        <v>0</v>
      </c>
      <c r="N397">
        <f>Inventory_Data[[#This Row],[Purchase Qty]]*Inventory_Data[[#This Row],[Unit Cost]]</f>
        <v>1677</v>
      </c>
      <c r="O397" t="str">
        <f>IF(Inventory_Data[[#This Row],[Closing Stock]]&lt;=Inventory_Data[[#This Row],[Reorder Level]],"Low Stock","In Stock")</f>
        <v>In Stock</v>
      </c>
      <c r="P397" t="str">
        <f>TEXT(Inventory_Data[[#This Row],[Date]],"MMM")</f>
        <v>Mar</v>
      </c>
      <c r="Q397" t="str">
        <f>TEXT(Inventory_Data[[#This Row],[Date]],"YYYY")</f>
        <v>2025</v>
      </c>
    </row>
    <row r="398" spans="1:17" x14ac:dyDescent="0.3">
      <c r="A398" s="1">
        <v>45743</v>
      </c>
      <c r="B398" t="s">
        <v>41</v>
      </c>
      <c r="C398" t="s">
        <v>22</v>
      </c>
      <c r="D398" t="s">
        <v>23</v>
      </c>
      <c r="E398" t="s">
        <v>24</v>
      </c>
      <c r="F398">
        <v>153</v>
      </c>
      <c r="G398">
        <v>172</v>
      </c>
      <c r="H398">
        <v>214</v>
      </c>
      <c r="I398">
        <v>111</v>
      </c>
      <c r="J398">
        <v>87</v>
      </c>
      <c r="K398">
        <v>660</v>
      </c>
      <c r="L398">
        <v>73260</v>
      </c>
      <c r="M398">
        <f>Inventory_Data[[#This Row],[Opening Stock]]+Inventory_Data[[#This Row],[Purchase Qty]]-Inventory_Data[[#This Row],[Sales Qty]]-Inventory_Data[[#This Row],[Closing Stock]]</f>
        <v>0</v>
      </c>
      <c r="N398">
        <f>Inventory_Data[[#This Row],[Purchase Qty]]*Inventory_Data[[#This Row],[Unit Cost]]</f>
        <v>113520</v>
      </c>
      <c r="O398" t="str">
        <f>IF(Inventory_Data[[#This Row],[Closing Stock]]&lt;=Inventory_Data[[#This Row],[Reorder Level]],"Low Stock","In Stock")</f>
        <v>In Stock</v>
      </c>
      <c r="P398" t="str">
        <f>TEXT(Inventory_Data[[#This Row],[Date]],"MMM")</f>
        <v>Mar</v>
      </c>
      <c r="Q398" t="str">
        <f>TEXT(Inventory_Data[[#This Row],[Date]],"YYYY")</f>
        <v>2025</v>
      </c>
    </row>
    <row r="399" spans="1:17" x14ac:dyDescent="0.3">
      <c r="A399" s="1">
        <v>45743</v>
      </c>
      <c r="B399" t="s">
        <v>43</v>
      </c>
      <c r="C399" t="s">
        <v>22</v>
      </c>
      <c r="D399" t="s">
        <v>23</v>
      </c>
      <c r="E399" t="s">
        <v>24</v>
      </c>
      <c r="F399">
        <v>125</v>
      </c>
      <c r="G399">
        <v>88</v>
      </c>
      <c r="H399">
        <v>147</v>
      </c>
      <c r="I399">
        <v>66</v>
      </c>
      <c r="J399">
        <v>113</v>
      </c>
      <c r="K399">
        <v>630</v>
      </c>
      <c r="L399">
        <v>41580</v>
      </c>
      <c r="M399">
        <f>Inventory_Data[[#This Row],[Opening Stock]]+Inventory_Data[[#This Row],[Purchase Qty]]-Inventory_Data[[#This Row],[Sales Qty]]-Inventory_Data[[#This Row],[Closing Stock]]</f>
        <v>0</v>
      </c>
      <c r="N399">
        <f>Inventory_Data[[#This Row],[Purchase Qty]]*Inventory_Data[[#This Row],[Unit Cost]]</f>
        <v>55440</v>
      </c>
      <c r="O399" t="str">
        <f>IF(Inventory_Data[[#This Row],[Closing Stock]]&lt;=Inventory_Data[[#This Row],[Reorder Level]],"Low Stock","In Stock")</f>
        <v>Low Stock</v>
      </c>
      <c r="P399" t="str">
        <f>TEXT(Inventory_Data[[#This Row],[Date]],"MMM")</f>
        <v>Mar</v>
      </c>
      <c r="Q399" t="str">
        <f>TEXT(Inventory_Data[[#This Row],[Date]],"YYYY")</f>
        <v>2025</v>
      </c>
    </row>
    <row r="400" spans="1:17" x14ac:dyDescent="0.3">
      <c r="A400" s="1">
        <v>45743</v>
      </c>
      <c r="B400" t="s">
        <v>38</v>
      </c>
      <c r="C400" t="s">
        <v>17</v>
      </c>
      <c r="D400" t="s">
        <v>14</v>
      </c>
      <c r="E400" t="s">
        <v>34</v>
      </c>
      <c r="F400">
        <v>16</v>
      </c>
      <c r="G400">
        <v>18</v>
      </c>
      <c r="H400">
        <v>16</v>
      </c>
      <c r="I400">
        <v>18</v>
      </c>
      <c r="J400">
        <v>16</v>
      </c>
      <c r="K400">
        <v>10320</v>
      </c>
      <c r="L400">
        <v>185760</v>
      </c>
      <c r="M400">
        <f>Inventory_Data[[#This Row],[Opening Stock]]+Inventory_Data[[#This Row],[Purchase Qty]]-Inventory_Data[[#This Row],[Sales Qty]]-Inventory_Data[[#This Row],[Closing Stock]]</f>
        <v>0</v>
      </c>
      <c r="N400">
        <f>Inventory_Data[[#This Row],[Purchase Qty]]*Inventory_Data[[#This Row],[Unit Cost]]</f>
        <v>185760</v>
      </c>
      <c r="O400" t="str">
        <f>IF(Inventory_Data[[#This Row],[Closing Stock]]&lt;=Inventory_Data[[#This Row],[Reorder Level]],"Low Stock","In Stock")</f>
        <v>In Stock</v>
      </c>
      <c r="P400" t="str">
        <f>TEXT(Inventory_Data[[#This Row],[Date]],"MMM")</f>
        <v>Mar</v>
      </c>
      <c r="Q400" t="str">
        <f>TEXT(Inventory_Data[[#This Row],[Date]],"YYYY")</f>
        <v>2025</v>
      </c>
    </row>
    <row r="401" spans="1:17" x14ac:dyDescent="0.3">
      <c r="A401" s="1">
        <v>45743</v>
      </c>
      <c r="B401" t="s">
        <v>33</v>
      </c>
      <c r="C401" t="s">
        <v>13</v>
      </c>
      <c r="D401" t="s">
        <v>26</v>
      </c>
      <c r="E401" t="s">
        <v>20</v>
      </c>
      <c r="F401">
        <v>58</v>
      </c>
      <c r="G401">
        <v>13</v>
      </c>
      <c r="H401">
        <v>39</v>
      </c>
      <c r="I401">
        <v>32</v>
      </c>
      <c r="J401">
        <v>24</v>
      </c>
      <c r="K401">
        <v>8855</v>
      </c>
      <c r="L401">
        <v>283360</v>
      </c>
      <c r="M401">
        <f>Inventory_Data[[#This Row],[Opening Stock]]+Inventory_Data[[#This Row],[Purchase Qty]]-Inventory_Data[[#This Row],[Sales Qty]]-Inventory_Data[[#This Row],[Closing Stock]]</f>
        <v>0</v>
      </c>
      <c r="N401">
        <f>Inventory_Data[[#This Row],[Purchase Qty]]*Inventory_Data[[#This Row],[Unit Cost]]</f>
        <v>115115</v>
      </c>
      <c r="O401" t="str">
        <f>IF(Inventory_Data[[#This Row],[Closing Stock]]&lt;=Inventory_Data[[#This Row],[Reorder Level]],"Low Stock","In Stock")</f>
        <v>In Stock</v>
      </c>
      <c r="P401" t="str">
        <f>TEXT(Inventory_Data[[#This Row],[Date]],"MMM")</f>
        <v>Mar</v>
      </c>
      <c r="Q401" t="str">
        <f>TEXT(Inventory_Data[[#This Row],[Date]],"YYYY")</f>
        <v>2025</v>
      </c>
    </row>
    <row r="402" spans="1:17" x14ac:dyDescent="0.3">
      <c r="A402" s="1">
        <v>45743</v>
      </c>
      <c r="B402" t="s">
        <v>16</v>
      </c>
      <c r="C402" t="s">
        <v>17</v>
      </c>
      <c r="D402" t="s">
        <v>14</v>
      </c>
      <c r="E402" t="s">
        <v>29</v>
      </c>
      <c r="F402">
        <v>40</v>
      </c>
      <c r="G402">
        <v>47</v>
      </c>
      <c r="H402">
        <v>11</v>
      </c>
      <c r="I402">
        <v>76</v>
      </c>
      <c r="J402">
        <v>21</v>
      </c>
      <c r="K402">
        <v>24723</v>
      </c>
      <c r="L402">
        <v>1878948</v>
      </c>
      <c r="M402">
        <f>Inventory_Data[[#This Row],[Opening Stock]]+Inventory_Data[[#This Row],[Purchase Qty]]-Inventory_Data[[#This Row],[Sales Qty]]-Inventory_Data[[#This Row],[Closing Stock]]</f>
        <v>0</v>
      </c>
      <c r="N402">
        <f>Inventory_Data[[#This Row],[Purchase Qty]]*Inventory_Data[[#This Row],[Unit Cost]]</f>
        <v>1161981</v>
      </c>
      <c r="O402" t="str">
        <f>IF(Inventory_Data[[#This Row],[Closing Stock]]&lt;=Inventory_Data[[#This Row],[Reorder Level]],"Low Stock","In Stock")</f>
        <v>In Stock</v>
      </c>
      <c r="P402" t="str">
        <f>TEXT(Inventory_Data[[#This Row],[Date]],"MMM")</f>
        <v>Mar</v>
      </c>
      <c r="Q402" t="str">
        <f>TEXT(Inventory_Data[[#This Row],[Date]],"YYYY")</f>
        <v>2025</v>
      </c>
    </row>
    <row r="403" spans="1:17" x14ac:dyDescent="0.3">
      <c r="A403" s="1">
        <v>45744</v>
      </c>
      <c r="B403" t="s">
        <v>40</v>
      </c>
      <c r="C403" t="s">
        <v>28</v>
      </c>
      <c r="D403" t="s">
        <v>37</v>
      </c>
      <c r="E403" t="s">
        <v>18</v>
      </c>
      <c r="F403">
        <v>161</v>
      </c>
      <c r="G403">
        <v>15</v>
      </c>
      <c r="H403">
        <v>93</v>
      </c>
      <c r="I403">
        <v>83</v>
      </c>
      <c r="J403">
        <v>31</v>
      </c>
      <c r="K403">
        <v>21046</v>
      </c>
      <c r="L403">
        <v>1746818</v>
      </c>
      <c r="M403">
        <f>Inventory_Data[[#This Row],[Opening Stock]]+Inventory_Data[[#This Row],[Purchase Qty]]-Inventory_Data[[#This Row],[Sales Qty]]-Inventory_Data[[#This Row],[Closing Stock]]</f>
        <v>0</v>
      </c>
      <c r="N403">
        <f>Inventory_Data[[#This Row],[Purchase Qty]]*Inventory_Data[[#This Row],[Unit Cost]]</f>
        <v>315690</v>
      </c>
      <c r="O403" t="str">
        <f>IF(Inventory_Data[[#This Row],[Closing Stock]]&lt;=Inventory_Data[[#This Row],[Reorder Level]],"Low Stock","In Stock")</f>
        <v>In Stock</v>
      </c>
      <c r="P403" t="str">
        <f>TEXT(Inventory_Data[[#This Row],[Date]],"MMM")</f>
        <v>Mar</v>
      </c>
      <c r="Q403" t="str">
        <f>TEXT(Inventory_Data[[#This Row],[Date]],"YYYY")</f>
        <v>2025</v>
      </c>
    </row>
    <row r="404" spans="1:17" x14ac:dyDescent="0.3">
      <c r="A404" s="1">
        <v>45744</v>
      </c>
      <c r="B404" t="s">
        <v>31</v>
      </c>
      <c r="C404" t="s">
        <v>22</v>
      </c>
      <c r="D404" t="s">
        <v>37</v>
      </c>
      <c r="E404" t="s">
        <v>29</v>
      </c>
      <c r="F404">
        <v>126</v>
      </c>
      <c r="G404">
        <v>233</v>
      </c>
      <c r="H404">
        <v>155</v>
      </c>
      <c r="I404">
        <v>204</v>
      </c>
      <c r="J404">
        <v>50</v>
      </c>
      <c r="K404">
        <v>680</v>
      </c>
      <c r="L404">
        <v>138720</v>
      </c>
      <c r="M404">
        <f>Inventory_Data[[#This Row],[Opening Stock]]+Inventory_Data[[#This Row],[Purchase Qty]]-Inventory_Data[[#This Row],[Sales Qty]]-Inventory_Data[[#This Row],[Closing Stock]]</f>
        <v>0</v>
      </c>
      <c r="N404">
        <f>Inventory_Data[[#This Row],[Purchase Qty]]*Inventory_Data[[#This Row],[Unit Cost]]</f>
        <v>158440</v>
      </c>
      <c r="O404" t="str">
        <f>IF(Inventory_Data[[#This Row],[Closing Stock]]&lt;=Inventory_Data[[#This Row],[Reorder Level]],"Low Stock","In Stock")</f>
        <v>In Stock</v>
      </c>
      <c r="P404" t="str">
        <f>TEXT(Inventory_Data[[#This Row],[Date]],"MMM")</f>
        <v>Mar</v>
      </c>
      <c r="Q404" t="str">
        <f>TEXT(Inventory_Data[[#This Row],[Date]],"YYYY")</f>
        <v>2025</v>
      </c>
    </row>
    <row r="405" spans="1:17" x14ac:dyDescent="0.3">
      <c r="A405" s="1">
        <v>45744</v>
      </c>
      <c r="B405" t="s">
        <v>43</v>
      </c>
      <c r="C405" t="s">
        <v>22</v>
      </c>
      <c r="D405" t="s">
        <v>26</v>
      </c>
      <c r="E405" t="s">
        <v>20</v>
      </c>
      <c r="F405">
        <v>358</v>
      </c>
      <c r="G405">
        <v>255</v>
      </c>
      <c r="H405">
        <v>154</v>
      </c>
      <c r="I405">
        <v>459</v>
      </c>
      <c r="J405">
        <v>55</v>
      </c>
      <c r="K405">
        <v>364</v>
      </c>
      <c r="L405">
        <v>167076</v>
      </c>
      <c r="M405">
        <f>Inventory_Data[[#This Row],[Opening Stock]]+Inventory_Data[[#This Row],[Purchase Qty]]-Inventory_Data[[#This Row],[Sales Qty]]-Inventory_Data[[#This Row],[Closing Stock]]</f>
        <v>0</v>
      </c>
      <c r="N405">
        <f>Inventory_Data[[#This Row],[Purchase Qty]]*Inventory_Data[[#This Row],[Unit Cost]]</f>
        <v>92820</v>
      </c>
      <c r="O405" t="str">
        <f>IF(Inventory_Data[[#This Row],[Closing Stock]]&lt;=Inventory_Data[[#This Row],[Reorder Level]],"Low Stock","In Stock")</f>
        <v>In Stock</v>
      </c>
      <c r="P405" t="str">
        <f>TEXT(Inventory_Data[[#This Row],[Date]],"MMM")</f>
        <v>Mar</v>
      </c>
      <c r="Q405" t="str">
        <f>TEXT(Inventory_Data[[#This Row],[Date]],"YYYY")</f>
        <v>2025</v>
      </c>
    </row>
    <row r="406" spans="1:17" x14ac:dyDescent="0.3">
      <c r="A406" s="1">
        <v>45744</v>
      </c>
      <c r="B406" t="s">
        <v>21</v>
      </c>
      <c r="C406" t="s">
        <v>22</v>
      </c>
      <c r="D406" t="s">
        <v>14</v>
      </c>
      <c r="E406" t="s">
        <v>18</v>
      </c>
      <c r="F406">
        <v>458</v>
      </c>
      <c r="G406">
        <v>269</v>
      </c>
      <c r="H406">
        <v>197</v>
      </c>
      <c r="I406">
        <v>530</v>
      </c>
      <c r="J406">
        <v>144</v>
      </c>
      <c r="K406">
        <v>1100</v>
      </c>
      <c r="L406">
        <v>583000</v>
      </c>
      <c r="M406">
        <f>Inventory_Data[[#This Row],[Opening Stock]]+Inventory_Data[[#This Row],[Purchase Qty]]-Inventory_Data[[#This Row],[Sales Qty]]-Inventory_Data[[#This Row],[Closing Stock]]</f>
        <v>0</v>
      </c>
      <c r="N406">
        <f>Inventory_Data[[#This Row],[Purchase Qty]]*Inventory_Data[[#This Row],[Unit Cost]]</f>
        <v>295900</v>
      </c>
      <c r="O406" t="str">
        <f>IF(Inventory_Data[[#This Row],[Closing Stock]]&lt;=Inventory_Data[[#This Row],[Reorder Level]],"Low Stock","In Stock")</f>
        <v>In Stock</v>
      </c>
      <c r="P406" t="str">
        <f>TEXT(Inventory_Data[[#This Row],[Date]],"MMM")</f>
        <v>Mar</v>
      </c>
      <c r="Q406" t="str">
        <f>TEXT(Inventory_Data[[#This Row],[Date]],"YYYY")</f>
        <v>2025</v>
      </c>
    </row>
    <row r="407" spans="1:17" x14ac:dyDescent="0.3">
      <c r="A407" s="1">
        <v>45745</v>
      </c>
      <c r="B407" t="s">
        <v>35</v>
      </c>
      <c r="C407" t="s">
        <v>22</v>
      </c>
      <c r="D407" t="s">
        <v>14</v>
      </c>
      <c r="E407" t="s">
        <v>24</v>
      </c>
      <c r="F407">
        <v>153</v>
      </c>
      <c r="G407">
        <v>133</v>
      </c>
      <c r="H407">
        <v>263</v>
      </c>
      <c r="I407">
        <v>23</v>
      </c>
      <c r="J407">
        <v>128</v>
      </c>
      <c r="K407">
        <v>761</v>
      </c>
      <c r="L407">
        <v>17503</v>
      </c>
      <c r="M407">
        <f>Inventory_Data[[#This Row],[Opening Stock]]+Inventory_Data[[#This Row],[Purchase Qty]]-Inventory_Data[[#This Row],[Sales Qty]]-Inventory_Data[[#This Row],[Closing Stock]]</f>
        <v>0</v>
      </c>
      <c r="N407">
        <f>Inventory_Data[[#This Row],[Purchase Qty]]*Inventory_Data[[#This Row],[Unit Cost]]</f>
        <v>101213</v>
      </c>
      <c r="O407" t="str">
        <f>IF(Inventory_Data[[#This Row],[Closing Stock]]&lt;=Inventory_Data[[#This Row],[Reorder Level]],"Low Stock","In Stock")</f>
        <v>Low Stock</v>
      </c>
      <c r="P407" t="str">
        <f>TEXT(Inventory_Data[[#This Row],[Date]],"MMM")</f>
        <v>Mar</v>
      </c>
      <c r="Q407" t="str">
        <f>TEXT(Inventory_Data[[#This Row],[Date]],"YYYY")</f>
        <v>2025</v>
      </c>
    </row>
    <row r="408" spans="1:17" x14ac:dyDescent="0.3">
      <c r="A408" s="1">
        <v>45745</v>
      </c>
      <c r="B408" t="s">
        <v>21</v>
      </c>
      <c r="C408" t="s">
        <v>22</v>
      </c>
      <c r="D408" t="s">
        <v>23</v>
      </c>
      <c r="E408" t="s">
        <v>34</v>
      </c>
      <c r="F408">
        <v>420</v>
      </c>
      <c r="G408">
        <v>197</v>
      </c>
      <c r="H408">
        <v>179</v>
      </c>
      <c r="I408">
        <v>438</v>
      </c>
      <c r="J408">
        <v>99</v>
      </c>
      <c r="K408">
        <v>1178</v>
      </c>
      <c r="L408">
        <v>515964</v>
      </c>
      <c r="M408">
        <f>Inventory_Data[[#This Row],[Opening Stock]]+Inventory_Data[[#This Row],[Purchase Qty]]-Inventory_Data[[#This Row],[Sales Qty]]-Inventory_Data[[#This Row],[Closing Stock]]</f>
        <v>0</v>
      </c>
      <c r="N408">
        <f>Inventory_Data[[#This Row],[Purchase Qty]]*Inventory_Data[[#This Row],[Unit Cost]]</f>
        <v>232066</v>
      </c>
      <c r="O408" t="str">
        <f>IF(Inventory_Data[[#This Row],[Closing Stock]]&lt;=Inventory_Data[[#This Row],[Reorder Level]],"Low Stock","In Stock")</f>
        <v>In Stock</v>
      </c>
      <c r="P408" t="str">
        <f>TEXT(Inventory_Data[[#This Row],[Date]],"MMM")</f>
        <v>Mar</v>
      </c>
      <c r="Q408" t="str">
        <f>TEXT(Inventory_Data[[#This Row],[Date]],"YYYY")</f>
        <v>2025</v>
      </c>
    </row>
    <row r="409" spans="1:17" x14ac:dyDescent="0.3">
      <c r="A409" s="1">
        <v>45746</v>
      </c>
      <c r="B409" t="s">
        <v>44</v>
      </c>
      <c r="C409" t="s">
        <v>28</v>
      </c>
      <c r="D409" t="s">
        <v>23</v>
      </c>
      <c r="E409" t="s">
        <v>15</v>
      </c>
      <c r="F409">
        <v>161</v>
      </c>
      <c r="G409">
        <v>84</v>
      </c>
      <c r="H409">
        <v>57</v>
      </c>
      <c r="I409">
        <v>188</v>
      </c>
      <c r="J409">
        <v>33</v>
      </c>
      <c r="K409">
        <v>51714</v>
      </c>
      <c r="L409">
        <v>9722232</v>
      </c>
      <c r="M409">
        <f>Inventory_Data[[#This Row],[Opening Stock]]+Inventory_Data[[#This Row],[Purchase Qty]]-Inventory_Data[[#This Row],[Sales Qty]]-Inventory_Data[[#This Row],[Closing Stock]]</f>
        <v>0</v>
      </c>
      <c r="N409">
        <f>Inventory_Data[[#This Row],[Purchase Qty]]*Inventory_Data[[#This Row],[Unit Cost]]</f>
        <v>4343976</v>
      </c>
      <c r="O409" t="str">
        <f>IF(Inventory_Data[[#This Row],[Closing Stock]]&lt;=Inventory_Data[[#This Row],[Reorder Level]],"Low Stock","In Stock")</f>
        <v>In Stock</v>
      </c>
      <c r="P409" t="str">
        <f>TEXT(Inventory_Data[[#This Row],[Date]],"MMM")</f>
        <v>Mar</v>
      </c>
      <c r="Q409" t="str">
        <f>TEXT(Inventory_Data[[#This Row],[Date]],"YYYY")</f>
        <v>2025</v>
      </c>
    </row>
    <row r="410" spans="1:17" x14ac:dyDescent="0.3">
      <c r="A410" s="1">
        <v>45746</v>
      </c>
      <c r="B410" t="s">
        <v>27</v>
      </c>
      <c r="C410" t="s">
        <v>28</v>
      </c>
      <c r="D410" t="s">
        <v>23</v>
      </c>
      <c r="E410" t="s">
        <v>34</v>
      </c>
      <c r="F410">
        <v>34</v>
      </c>
      <c r="G410">
        <v>46</v>
      </c>
      <c r="H410">
        <v>8</v>
      </c>
      <c r="I410">
        <v>72</v>
      </c>
      <c r="J410">
        <v>36</v>
      </c>
      <c r="K410">
        <v>20661</v>
      </c>
      <c r="L410">
        <v>1487592</v>
      </c>
      <c r="M410">
        <f>Inventory_Data[[#This Row],[Opening Stock]]+Inventory_Data[[#This Row],[Purchase Qty]]-Inventory_Data[[#This Row],[Sales Qty]]-Inventory_Data[[#This Row],[Closing Stock]]</f>
        <v>0</v>
      </c>
      <c r="N410">
        <f>Inventory_Data[[#This Row],[Purchase Qty]]*Inventory_Data[[#This Row],[Unit Cost]]</f>
        <v>950406</v>
      </c>
      <c r="O410" t="str">
        <f>IF(Inventory_Data[[#This Row],[Closing Stock]]&lt;=Inventory_Data[[#This Row],[Reorder Level]],"Low Stock","In Stock")</f>
        <v>In Stock</v>
      </c>
      <c r="P410" t="str">
        <f>TEXT(Inventory_Data[[#This Row],[Date]],"MMM")</f>
        <v>Mar</v>
      </c>
      <c r="Q410" t="str">
        <f>TEXT(Inventory_Data[[#This Row],[Date]],"YYYY")</f>
        <v>2025</v>
      </c>
    </row>
    <row r="411" spans="1:17" x14ac:dyDescent="0.3">
      <c r="A411" s="1">
        <v>45746</v>
      </c>
      <c r="B411" t="s">
        <v>30</v>
      </c>
      <c r="C411" t="s">
        <v>28</v>
      </c>
      <c r="D411" t="s">
        <v>23</v>
      </c>
      <c r="E411" t="s">
        <v>24</v>
      </c>
      <c r="F411">
        <v>29</v>
      </c>
      <c r="G411">
        <v>61</v>
      </c>
      <c r="H411">
        <v>38</v>
      </c>
      <c r="I411">
        <v>52</v>
      </c>
      <c r="J411">
        <v>22</v>
      </c>
      <c r="K411">
        <v>35986</v>
      </c>
      <c r="L411">
        <v>1871272</v>
      </c>
      <c r="M411">
        <f>Inventory_Data[[#This Row],[Opening Stock]]+Inventory_Data[[#This Row],[Purchase Qty]]-Inventory_Data[[#This Row],[Sales Qty]]-Inventory_Data[[#This Row],[Closing Stock]]</f>
        <v>0</v>
      </c>
      <c r="N411">
        <f>Inventory_Data[[#This Row],[Purchase Qty]]*Inventory_Data[[#This Row],[Unit Cost]]</f>
        <v>2195146</v>
      </c>
      <c r="O411" t="str">
        <f>IF(Inventory_Data[[#This Row],[Closing Stock]]&lt;=Inventory_Data[[#This Row],[Reorder Level]],"Low Stock","In Stock")</f>
        <v>In Stock</v>
      </c>
      <c r="P411" t="str">
        <f>TEXT(Inventory_Data[[#This Row],[Date]],"MMM")</f>
        <v>Mar</v>
      </c>
      <c r="Q411" t="str">
        <f>TEXT(Inventory_Data[[#This Row],[Date]],"YYYY")</f>
        <v>2025</v>
      </c>
    </row>
    <row r="412" spans="1:17" x14ac:dyDescent="0.3">
      <c r="A412" s="1">
        <v>45746</v>
      </c>
      <c r="B412" t="s">
        <v>19</v>
      </c>
      <c r="C412" t="s">
        <v>13</v>
      </c>
      <c r="D412" t="s">
        <v>26</v>
      </c>
      <c r="E412" t="s">
        <v>24</v>
      </c>
      <c r="F412">
        <v>23</v>
      </c>
      <c r="G412">
        <v>45</v>
      </c>
      <c r="H412">
        <v>50</v>
      </c>
      <c r="I412">
        <v>18</v>
      </c>
      <c r="J412">
        <v>24</v>
      </c>
      <c r="K412">
        <v>10183</v>
      </c>
      <c r="L412">
        <v>183294</v>
      </c>
      <c r="M412">
        <f>Inventory_Data[[#This Row],[Opening Stock]]+Inventory_Data[[#This Row],[Purchase Qty]]-Inventory_Data[[#This Row],[Sales Qty]]-Inventory_Data[[#This Row],[Closing Stock]]</f>
        <v>0</v>
      </c>
      <c r="N412">
        <f>Inventory_Data[[#This Row],[Purchase Qty]]*Inventory_Data[[#This Row],[Unit Cost]]</f>
        <v>458235</v>
      </c>
      <c r="O412" t="str">
        <f>IF(Inventory_Data[[#This Row],[Closing Stock]]&lt;=Inventory_Data[[#This Row],[Reorder Level]],"Low Stock","In Stock")</f>
        <v>Low Stock</v>
      </c>
      <c r="P412" t="str">
        <f>TEXT(Inventory_Data[[#This Row],[Date]],"MMM")</f>
        <v>Mar</v>
      </c>
      <c r="Q412" t="str">
        <f>TEXT(Inventory_Data[[#This Row],[Date]],"YYYY")</f>
        <v>2025</v>
      </c>
    </row>
    <row r="413" spans="1:17" x14ac:dyDescent="0.3">
      <c r="A413" s="1">
        <v>45746</v>
      </c>
      <c r="B413" t="s">
        <v>44</v>
      </c>
      <c r="C413" t="s">
        <v>28</v>
      </c>
      <c r="D413" t="s">
        <v>23</v>
      </c>
      <c r="E413" t="s">
        <v>15</v>
      </c>
      <c r="F413">
        <v>51</v>
      </c>
      <c r="G413">
        <v>18</v>
      </c>
      <c r="H413">
        <v>32</v>
      </c>
      <c r="I413">
        <v>37</v>
      </c>
      <c r="J413">
        <v>50</v>
      </c>
      <c r="K413">
        <v>48153</v>
      </c>
      <c r="L413">
        <v>1781661</v>
      </c>
      <c r="M413">
        <f>Inventory_Data[[#This Row],[Opening Stock]]+Inventory_Data[[#This Row],[Purchase Qty]]-Inventory_Data[[#This Row],[Sales Qty]]-Inventory_Data[[#This Row],[Closing Stock]]</f>
        <v>0</v>
      </c>
      <c r="N413">
        <f>Inventory_Data[[#This Row],[Purchase Qty]]*Inventory_Data[[#This Row],[Unit Cost]]</f>
        <v>866754</v>
      </c>
      <c r="O413" t="str">
        <f>IF(Inventory_Data[[#This Row],[Closing Stock]]&lt;=Inventory_Data[[#This Row],[Reorder Level]],"Low Stock","In Stock")</f>
        <v>Low Stock</v>
      </c>
      <c r="P413" t="str">
        <f>TEXT(Inventory_Data[[#This Row],[Date]],"MMM")</f>
        <v>Mar</v>
      </c>
      <c r="Q413" t="str">
        <f>TEXT(Inventory_Data[[#This Row],[Date]],"YYYY")</f>
        <v>2025</v>
      </c>
    </row>
    <row r="414" spans="1:17" x14ac:dyDescent="0.3">
      <c r="A414" s="1">
        <v>45747</v>
      </c>
      <c r="B414" t="s">
        <v>25</v>
      </c>
      <c r="C414" t="s">
        <v>17</v>
      </c>
      <c r="D414" t="s">
        <v>26</v>
      </c>
      <c r="E414" t="s">
        <v>18</v>
      </c>
      <c r="F414">
        <v>76</v>
      </c>
      <c r="G414">
        <v>11</v>
      </c>
      <c r="H414">
        <v>9</v>
      </c>
      <c r="I414">
        <v>78</v>
      </c>
      <c r="J414">
        <v>21</v>
      </c>
      <c r="K414">
        <v>18863</v>
      </c>
      <c r="L414">
        <v>1471314</v>
      </c>
      <c r="M414">
        <f>Inventory_Data[[#This Row],[Opening Stock]]+Inventory_Data[[#This Row],[Purchase Qty]]-Inventory_Data[[#This Row],[Sales Qty]]-Inventory_Data[[#This Row],[Closing Stock]]</f>
        <v>0</v>
      </c>
      <c r="N414">
        <f>Inventory_Data[[#This Row],[Purchase Qty]]*Inventory_Data[[#This Row],[Unit Cost]]</f>
        <v>207493</v>
      </c>
      <c r="O414" t="str">
        <f>IF(Inventory_Data[[#This Row],[Closing Stock]]&lt;=Inventory_Data[[#This Row],[Reorder Level]],"Low Stock","In Stock")</f>
        <v>In Stock</v>
      </c>
      <c r="P414" t="str">
        <f>TEXT(Inventory_Data[[#This Row],[Date]],"MMM")</f>
        <v>Mar</v>
      </c>
      <c r="Q414" t="str">
        <f>TEXT(Inventory_Data[[#This Row],[Date]],"YYYY")</f>
        <v>2025</v>
      </c>
    </row>
    <row r="415" spans="1:17" x14ac:dyDescent="0.3">
      <c r="A415" s="1">
        <v>45747</v>
      </c>
      <c r="B415" t="s">
        <v>33</v>
      </c>
      <c r="C415" t="s">
        <v>13</v>
      </c>
      <c r="D415" t="s">
        <v>37</v>
      </c>
      <c r="E415" t="s">
        <v>15</v>
      </c>
      <c r="F415">
        <v>83</v>
      </c>
      <c r="G415">
        <v>64</v>
      </c>
      <c r="H415">
        <v>57</v>
      </c>
      <c r="I415">
        <v>90</v>
      </c>
      <c r="J415">
        <v>32</v>
      </c>
      <c r="K415">
        <v>9915</v>
      </c>
      <c r="L415">
        <v>892350</v>
      </c>
      <c r="M415">
        <f>Inventory_Data[[#This Row],[Opening Stock]]+Inventory_Data[[#This Row],[Purchase Qty]]-Inventory_Data[[#This Row],[Sales Qty]]-Inventory_Data[[#This Row],[Closing Stock]]</f>
        <v>0</v>
      </c>
      <c r="N415">
        <f>Inventory_Data[[#This Row],[Purchase Qty]]*Inventory_Data[[#This Row],[Unit Cost]]</f>
        <v>634560</v>
      </c>
      <c r="O415" t="str">
        <f>IF(Inventory_Data[[#This Row],[Closing Stock]]&lt;=Inventory_Data[[#This Row],[Reorder Level]],"Low Stock","In Stock")</f>
        <v>In Stock</v>
      </c>
      <c r="P415" t="str">
        <f>TEXT(Inventory_Data[[#This Row],[Date]],"MMM")</f>
        <v>Mar</v>
      </c>
      <c r="Q415" t="str">
        <f>TEXT(Inventory_Data[[#This Row],[Date]],"YYYY")</f>
        <v>2025</v>
      </c>
    </row>
    <row r="416" spans="1:17" x14ac:dyDescent="0.3">
      <c r="A416" s="1">
        <v>45747</v>
      </c>
      <c r="B416" t="s">
        <v>36</v>
      </c>
      <c r="C416" t="s">
        <v>22</v>
      </c>
      <c r="D416" t="s">
        <v>14</v>
      </c>
      <c r="E416" t="s">
        <v>15</v>
      </c>
      <c r="F416">
        <v>153</v>
      </c>
      <c r="G416">
        <v>41</v>
      </c>
      <c r="H416">
        <v>169</v>
      </c>
      <c r="I416">
        <v>25</v>
      </c>
      <c r="J416">
        <v>117</v>
      </c>
      <c r="K416">
        <v>477</v>
      </c>
      <c r="L416">
        <v>11925</v>
      </c>
      <c r="M416">
        <f>Inventory_Data[[#This Row],[Opening Stock]]+Inventory_Data[[#This Row],[Purchase Qty]]-Inventory_Data[[#This Row],[Sales Qty]]-Inventory_Data[[#This Row],[Closing Stock]]</f>
        <v>0</v>
      </c>
      <c r="N416">
        <f>Inventory_Data[[#This Row],[Purchase Qty]]*Inventory_Data[[#This Row],[Unit Cost]]</f>
        <v>19557</v>
      </c>
      <c r="O416" t="str">
        <f>IF(Inventory_Data[[#This Row],[Closing Stock]]&lt;=Inventory_Data[[#This Row],[Reorder Level]],"Low Stock","In Stock")</f>
        <v>Low Stock</v>
      </c>
      <c r="P416" t="str">
        <f>TEXT(Inventory_Data[[#This Row],[Date]],"MMM")</f>
        <v>Mar</v>
      </c>
      <c r="Q416" t="str">
        <f>TEXT(Inventory_Data[[#This Row],[Date]],"YYYY")</f>
        <v>2025</v>
      </c>
    </row>
    <row r="417" spans="1:17" x14ac:dyDescent="0.3">
      <c r="A417" s="1">
        <v>45747</v>
      </c>
      <c r="B417" t="s">
        <v>30</v>
      </c>
      <c r="C417" t="s">
        <v>28</v>
      </c>
      <c r="D417" t="s">
        <v>26</v>
      </c>
      <c r="E417" t="s">
        <v>34</v>
      </c>
      <c r="F417">
        <v>68</v>
      </c>
      <c r="G417">
        <v>71</v>
      </c>
      <c r="H417">
        <v>42</v>
      </c>
      <c r="I417">
        <v>97</v>
      </c>
      <c r="J417">
        <v>41</v>
      </c>
      <c r="K417">
        <v>26294</v>
      </c>
      <c r="L417">
        <v>2550518</v>
      </c>
      <c r="M417">
        <f>Inventory_Data[[#This Row],[Opening Stock]]+Inventory_Data[[#This Row],[Purchase Qty]]-Inventory_Data[[#This Row],[Sales Qty]]-Inventory_Data[[#This Row],[Closing Stock]]</f>
        <v>0</v>
      </c>
      <c r="N417">
        <f>Inventory_Data[[#This Row],[Purchase Qty]]*Inventory_Data[[#This Row],[Unit Cost]]</f>
        <v>1866874</v>
      </c>
      <c r="O417" t="str">
        <f>IF(Inventory_Data[[#This Row],[Closing Stock]]&lt;=Inventory_Data[[#This Row],[Reorder Level]],"Low Stock","In Stock")</f>
        <v>In Stock</v>
      </c>
      <c r="P417" t="str">
        <f>TEXT(Inventory_Data[[#This Row],[Date]],"MMM")</f>
        <v>Mar</v>
      </c>
      <c r="Q417" t="str">
        <f>TEXT(Inventory_Data[[#This Row],[Date]],"YYYY")</f>
        <v>2025</v>
      </c>
    </row>
    <row r="418" spans="1:17" x14ac:dyDescent="0.3">
      <c r="A418" s="1">
        <v>45748</v>
      </c>
      <c r="B418" t="s">
        <v>35</v>
      </c>
      <c r="C418" t="s">
        <v>22</v>
      </c>
      <c r="D418" t="s">
        <v>37</v>
      </c>
      <c r="E418" t="s">
        <v>29</v>
      </c>
      <c r="F418">
        <v>246</v>
      </c>
      <c r="G418">
        <v>98</v>
      </c>
      <c r="H418">
        <v>229</v>
      </c>
      <c r="I418">
        <v>115</v>
      </c>
      <c r="J418">
        <v>135</v>
      </c>
      <c r="K418">
        <v>398</v>
      </c>
      <c r="L418">
        <v>45770</v>
      </c>
      <c r="M418">
        <f>Inventory_Data[[#This Row],[Opening Stock]]+Inventory_Data[[#This Row],[Purchase Qty]]-Inventory_Data[[#This Row],[Sales Qty]]-Inventory_Data[[#This Row],[Closing Stock]]</f>
        <v>0</v>
      </c>
      <c r="N418">
        <f>Inventory_Data[[#This Row],[Purchase Qty]]*Inventory_Data[[#This Row],[Unit Cost]]</f>
        <v>39004</v>
      </c>
      <c r="O418" t="str">
        <f>IF(Inventory_Data[[#This Row],[Closing Stock]]&lt;=Inventory_Data[[#This Row],[Reorder Level]],"Low Stock","In Stock")</f>
        <v>Low Stock</v>
      </c>
      <c r="P418" t="str">
        <f>TEXT(Inventory_Data[[#This Row],[Date]],"MMM")</f>
        <v>Apr</v>
      </c>
      <c r="Q418" t="str">
        <f>TEXT(Inventory_Data[[#This Row],[Date]],"YYYY")</f>
        <v>2025</v>
      </c>
    </row>
    <row r="419" spans="1:17" x14ac:dyDescent="0.3">
      <c r="A419" s="1">
        <v>45748</v>
      </c>
      <c r="B419" t="s">
        <v>12</v>
      </c>
      <c r="C419" t="s">
        <v>13</v>
      </c>
      <c r="D419" t="s">
        <v>37</v>
      </c>
      <c r="E419" t="s">
        <v>34</v>
      </c>
      <c r="F419">
        <v>99</v>
      </c>
      <c r="G419">
        <v>54</v>
      </c>
      <c r="H419">
        <v>59</v>
      </c>
      <c r="I419">
        <v>94</v>
      </c>
      <c r="J419">
        <v>23</v>
      </c>
      <c r="K419">
        <v>15679</v>
      </c>
      <c r="L419">
        <v>1473826</v>
      </c>
      <c r="M419">
        <f>Inventory_Data[[#This Row],[Opening Stock]]+Inventory_Data[[#This Row],[Purchase Qty]]-Inventory_Data[[#This Row],[Sales Qty]]-Inventory_Data[[#This Row],[Closing Stock]]</f>
        <v>0</v>
      </c>
      <c r="N419">
        <f>Inventory_Data[[#This Row],[Purchase Qty]]*Inventory_Data[[#This Row],[Unit Cost]]</f>
        <v>846666</v>
      </c>
      <c r="O419" t="str">
        <f>IF(Inventory_Data[[#This Row],[Closing Stock]]&lt;=Inventory_Data[[#This Row],[Reorder Level]],"Low Stock","In Stock")</f>
        <v>In Stock</v>
      </c>
      <c r="P419" t="str">
        <f>TEXT(Inventory_Data[[#This Row],[Date]],"MMM")</f>
        <v>Apr</v>
      </c>
      <c r="Q419" t="str">
        <f>TEXT(Inventory_Data[[#This Row],[Date]],"YYYY")</f>
        <v>2025</v>
      </c>
    </row>
    <row r="420" spans="1:17" x14ac:dyDescent="0.3">
      <c r="A420" s="1">
        <v>45748</v>
      </c>
      <c r="B420" t="s">
        <v>31</v>
      </c>
      <c r="C420" t="s">
        <v>22</v>
      </c>
      <c r="D420" t="s">
        <v>14</v>
      </c>
      <c r="E420" t="s">
        <v>20</v>
      </c>
      <c r="F420">
        <v>473</v>
      </c>
      <c r="G420">
        <v>219</v>
      </c>
      <c r="H420">
        <v>82</v>
      </c>
      <c r="I420">
        <v>610</v>
      </c>
      <c r="J420">
        <v>84</v>
      </c>
      <c r="K420">
        <v>704</v>
      </c>
      <c r="L420">
        <v>429440</v>
      </c>
      <c r="M420">
        <f>Inventory_Data[[#This Row],[Opening Stock]]+Inventory_Data[[#This Row],[Purchase Qty]]-Inventory_Data[[#This Row],[Sales Qty]]-Inventory_Data[[#This Row],[Closing Stock]]</f>
        <v>0</v>
      </c>
      <c r="N420">
        <f>Inventory_Data[[#This Row],[Purchase Qty]]*Inventory_Data[[#This Row],[Unit Cost]]</f>
        <v>154176</v>
      </c>
      <c r="O420" t="str">
        <f>IF(Inventory_Data[[#This Row],[Closing Stock]]&lt;=Inventory_Data[[#This Row],[Reorder Level]],"Low Stock","In Stock")</f>
        <v>In Stock</v>
      </c>
      <c r="P420" t="str">
        <f>TEXT(Inventory_Data[[#This Row],[Date]],"MMM")</f>
        <v>Apr</v>
      </c>
      <c r="Q420" t="str">
        <f>TEXT(Inventory_Data[[#This Row],[Date]],"YYYY")</f>
        <v>2025</v>
      </c>
    </row>
    <row r="421" spans="1:17" x14ac:dyDescent="0.3">
      <c r="A421" s="1">
        <v>45748</v>
      </c>
      <c r="B421" t="s">
        <v>33</v>
      </c>
      <c r="C421" t="s">
        <v>13</v>
      </c>
      <c r="D421" t="s">
        <v>23</v>
      </c>
      <c r="E421" t="s">
        <v>24</v>
      </c>
      <c r="F421">
        <v>59</v>
      </c>
      <c r="G421">
        <v>25</v>
      </c>
      <c r="H421">
        <v>25</v>
      </c>
      <c r="I421">
        <v>59</v>
      </c>
      <c r="J421">
        <v>16</v>
      </c>
      <c r="K421">
        <v>10650</v>
      </c>
      <c r="L421">
        <v>628350</v>
      </c>
      <c r="M421">
        <f>Inventory_Data[[#This Row],[Opening Stock]]+Inventory_Data[[#This Row],[Purchase Qty]]-Inventory_Data[[#This Row],[Sales Qty]]-Inventory_Data[[#This Row],[Closing Stock]]</f>
        <v>0</v>
      </c>
      <c r="N421">
        <f>Inventory_Data[[#This Row],[Purchase Qty]]*Inventory_Data[[#This Row],[Unit Cost]]</f>
        <v>266250</v>
      </c>
      <c r="O421" t="str">
        <f>IF(Inventory_Data[[#This Row],[Closing Stock]]&lt;=Inventory_Data[[#This Row],[Reorder Level]],"Low Stock","In Stock")</f>
        <v>In Stock</v>
      </c>
      <c r="P421" t="str">
        <f>TEXT(Inventory_Data[[#This Row],[Date]],"MMM")</f>
        <v>Apr</v>
      </c>
      <c r="Q421" t="str">
        <f>TEXT(Inventory_Data[[#This Row],[Date]],"YYYY")</f>
        <v>2025</v>
      </c>
    </row>
    <row r="422" spans="1:17" x14ac:dyDescent="0.3">
      <c r="A422" s="1">
        <v>45748</v>
      </c>
      <c r="B422" t="s">
        <v>43</v>
      </c>
      <c r="C422" t="s">
        <v>22</v>
      </c>
      <c r="D422" t="s">
        <v>26</v>
      </c>
      <c r="E422" t="s">
        <v>20</v>
      </c>
      <c r="F422">
        <v>434</v>
      </c>
      <c r="G422">
        <v>222</v>
      </c>
      <c r="H422">
        <v>262</v>
      </c>
      <c r="I422">
        <v>394</v>
      </c>
      <c r="J422">
        <v>63</v>
      </c>
      <c r="K422">
        <v>726</v>
      </c>
      <c r="L422">
        <v>286044</v>
      </c>
      <c r="M422">
        <f>Inventory_Data[[#This Row],[Opening Stock]]+Inventory_Data[[#This Row],[Purchase Qty]]-Inventory_Data[[#This Row],[Sales Qty]]-Inventory_Data[[#This Row],[Closing Stock]]</f>
        <v>0</v>
      </c>
      <c r="N422">
        <f>Inventory_Data[[#This Row],[Purchase Qty]]*Inventory_Data[[#This Row],[Unit Cost]]</f>
        <v>161172</v>
      </c>
      <c r="O422" t="str">
        <f>IF(Inventory_Data[[#This Row],[Closing Stock]]&lt;=Inventory_Data[[#This Row],[Reorder Level]],"Low Stock","In Stock")</f>
        <v>In Stock</v>
      </c>
      <c r="P422" t="str">
        <f>TEXT(Inventory_Data[[#This Row],[Date]],"MMM")</f>
        <v>Apr</v>
      </c>
      <c r="Q422" t="str">
        <f>TEXT(Inventory_Data[[#This Row],[Date]],"YYYY")</f>
        <v>2025</v>
      </c>
    </row>
    <row r="423" spans="1:17" x14ac:dyDescent="0.3">
      <c r="A423" s="1">
        <v>45748</v>
      </c>
      <c r="B423" t="s">
        <v>27</v>
      </c>
      <c r="C423" t="s">
        <v>28</v>
      </c>
      <c r="D423" t="s">
        <v>23</v>
      </c>
      <c r="E423" t="s">
        <v>24</v>
      </c>
      <c r="F423">
        <v>98</v>
      </c>
      <c r="G423">
        <v>100</v>
      </c>
      <c r="H423">
        <v>35</v>
      </c>
      <c r="I423">
        <v>163</v>
      </c>
      <c r="J423">
        <v>27</v>
      </c>
      <c r="K423">
        <v>56198</v>
      </c>
      <c r="L423">
        <v>9160274</v>
      </c>
      <c r="M423">
        <f>Inventory_Data[[#This Row],[Opening Stock]]+Inventory_Data[[#This Row],[Purchase Qty]]-Inventory_Data[[#This Row],[Sales Qty]]-Inventory_Data[[#This Row],[Closing Stock]]</f>
        <v>0</v>
      </c>
      <c r="N423">
        <f>Inventory_Data[[#This Row],[Purchase Qty]]*Inventory_Data[[#This Row],[Unit Cost]]</f>
        <v>5619800</v>
      </c>
      <c r="O423" t="str">
        <f>IF(Inventory_Data[[#This Row],[Closing Stock]]&lt;=Inventory_Data[[#This Row],[Reorder Level]],"Low Stock","In Stock")</f>
        <v>In Stock</v>
      </c>
      <c r="P423" t="str">
        <f>TEXT(Inventory_Data[[#This Row],[Date]],"MMM")</f>
        <v>Apr</v>
      </c>
      <c r="Q423" t="str">
        <f>TEXT(Inventory_Data[[#This Row],[Date]],"YYYY")</f>
        <v>2025</v>
      </c>
    </row>
    <row r="424" spans="1:17" x14ac:dyDescent="0.3">
      <c r="A424" s="1">
        <v>45748</v>
      </c>
      <c r="B424" t="s">
        <v>27</v>
      </c>
      <c r="C424" t="s">
        <v>28</v>
      </c>
      <c r="D424" t="s">
        <v>14</v>
      </c>
      <c r="E424" t="s">
        <v>18</v>
      </c>
      <c r="F424">
        <v>111</v>
      </c>
      <c r="G424">
        <v>72</v>
      </c>
      <c r="H424">
        <v>33</v>
      </c>
      <c r="I424">
        <v>150</v>
      </c>
      <c r="J424">
        <v>31</v>
      </c>
      <c r="K424">
        <v>56817</v>
      </c>
      <c r="L424">
        <v>8522550</v>
      </c>
      <c r="M424">
        <f>Inventory_Data[[#This Row],[Opening Stock]]+Inventory_Data[[#This Row],[Purchase Qty]]-Inventory_Data[[#This Row],[Sales Qty]]-Inventory_Data[[#This Row],[Closing Stock]]</f>
        <v>0</v>
      </c>
      <c r="N424">
        <f>Inventory_Data[[#This Row],[Purchase Qty]]*Inventory_Data[[#This Row],[Unit Cost]]</f>
        <v>4090824</v>
      </c>
      <c r="O424" t="str">
        <f>IF(Inventory_Data[[#This Row],[Closing Stock]]&lt;=Inventory_Data[[#This Row],[Reorder Level]],"Low Stock","In Stock")</f>
        <v>In Stock</v>
      </c>
      <c r="P424" t="str">
        <f>TEXT(Inventory_Data[[#This Row],[Date]],"MMM")</f>
        <v>Apr</v>
      </c>
      <c r="Q424" t="str">
        <f>TEXT(Inventory_Data[[#This Row],[Date]],"YYYY")</f>
        <v>2025</v>
      </c>
    </row>
    <row r="425" spans="1:17" x14ac:dyDescent="0.3">
      <c r="A425" s="1">
        <v>45749</v>
      </c>
      <c r="B425" t="s">
        <v>25</v>
      </c>
      <c r="C425" t="s">
        <v>17</v>
      </c>
      <c r="D425" t="s">
        <v>23</v>
      </c>
      <c r="E425" t="s">
        <v>34</v>
      </c>
      <c r="F425">
        <v>97</v>
      </c>
      <c r="G425">
        <v>9</v>
      </c>
      <c r="H425">
        <v>38</v>
      </c>
      <c r="I425">
        <v>68</v>
      </c>
      <c r="J425">
        <v>21</v>
      </c>
      <c r="K425">
        <v>19671</v>
      </c>
      <c r="L425">
        <v>1337628</v>
      </c>
      <c r="M425">
        <f>Inventory_Data[[#This Row],[Opening Stock]]+Inventory_Data[[#This Row],[Purchase Qty]]-Inventory_Data[[#This Row],[Sales Qty]]-Inventory_Data[[#This Row],[Closing Stock]]</f>
        <v>0</v>
      </c>
      <c r="N425">
        <f>Inventory_Data[[#This Row],[Purchase Qty]]*Inventory_Data[[#This Row],[Unit Cost]]</f>
        <v>177039</v>
      </c>
      <c r="O425" t="str">
        <f>IF(Inventory_Data[[#This Row],[Closing Stock]]&lt;=Inventory_Data[[#This Row],[Reorder Level]],"Low Stock","In Stock")</f>
        <v>In Stock</v>
      </c>
      <c r="P425" t="str">
        <f>TEXT(Inventory_Data[[#This Row],[Date]],"MMM")</f>
        <v>Apr</v>
      </c>
      <c r="Q425" t="str">
        <f>TEXT(Inventory_Data[[#This Row],[Date]],"YYYY")</f>
        <v>2025</v>
      </c>
    </row>
    <row r="426" spans="1:17" x14ac:dyDescent="0.3">
      <c r="A426" s="1">
        <v>45749</v>
      </c>
      <c r="B426" t="s">
        <v>41</v>
      </c>
      <c r="C426" t="s">
        <v>22</v>
      </c>
      <c r="D426" t="s">
        <v>14</v>
      </c>
      <c r="E426" t="s">
        <v>29</v>
      </c>
      <c r="F426">
        <v>71</v>
      </c>
      <c r="G426">
        <v>201</v>
      </c>
      <c r="H426">
        <v>101</v>
      </c>
      <c r="I426">
        <v>171</v>
      </c>
      <c r="J426">
        <v>74</v>
      </c>
      <c r="K426">
        <v>1120</v>
      </c>
      <c r="L426">
        <v>191520</v>
      </c>
      <c r="M426">
        <f>Inventory_Data[[#This Row],[Opening Stock]]+Inventory_Data[[#This Row],[Purchase Qty]]-Inventory_Data[[#This Row],[Sales Qty]]-Inventory_Data[[#This Row],[Closing Stock]]</f>
        <v>0</v>
      </c>
      <c r="N426">
        <f>Inventory_Data[[#This Row],[Purchase Qty]]*Inventory_Data[[#This Row],[Unit Cost]]</f>
        <v>225120</v>
      </c>
      <c r="O426" t="str">
        <f>IF(Inventory_Data[[#This Row],[Closing Stock]]&lt;=Inventory_Data[[#This Row],[Reorder Level]],"Low Stock","In Stock")</f>
        <v>In Stock</v>
      </c>
      <c r="P426" t="str">
        <f>TEXT(Inventory_Data[[#This Row],[Date]],"MMM")</f>
        <v>Apr</v>
      </c>
      <c r="Q426" t="str">
        <f>TEXT(Inventory_Data[[#This Row],[Date]],"YYYY")</f>
        <v>2025</v>
      </c>
    </row>
    <row r="427" spans="1:17" x14ac:dyDescent="0.3">
      <c r="A427" s="1">
        <v>45749</v>
      </c>
      <c r="B427" t="s">
        <v>40</v>
      </c>
      <c r="C427" t="s">
        <v>28</v>
      </c>
      <c r="D427" t="s">
        <v>23</v>
      </c>
      <c r="E427" t="s">
        <v>15</v>
      </c>
      <c r="F427">
        <v>116</v>
      </c>
      <c r="G427">
        <v>15</v>
      </c>
      <c r="H427">
        <v>45</v>
      </c>
      <c r="I427">
        <v>86</v>
      </c>
      <c r="J427">
        <v>34</v>
      </c>
      <c r="K427">
        <v>7838</v>
      </c>
      <c r="L427">
        <v>674068</v>
      </c>
      <c r="M427">
        <f>Inventory_Data[[#This Row],[Opening Stock]]+Inventory_Data[[#This Row],[Purchase Qty]]-Inventory_Data[[#This Row],[Sales Qty]]-Inventory_Data[[#This Row],[Closing Stock]]</f>
        <v>0</v>
      </c>
      <c r="N427">
        <f>Inventory_Data[[#This Row],[Purchase Qty]]*Inventory_Data[[#This Row],[Unit Cost]]</f>
        <v>117570</v>
      </c>
      <c r="O427" t="str">
        <f>IF(Inventory_Data[[#This Row],[Closing Stock]]&lt;=Inventory_Data[[#This Row],[Reorder Level]],"Low Stock","In Stock")</f>
        <v>In Stock</v>
      </c>
      <c r="P427" t="str">
        <f>TEXT(Inventory_Data[[#This Row],[Date]],"MMM")</f>
        <v>Apr</v>
      </c>
      <c r="Q427" t="str">
        <f>TEXT(Inventory_Data[[#This Row],[Date]],"YYYY")</f>
        <v>2025</v>
      </c>
    </row>
    <row r="428" spans="1:17" x14ac:dyDescent="0.3">
      <c r="A428" s="1">
        <v>45750</v>
      </c>
      <c r="B428" t="s">
        <v>31</v>
      </c>
      <c r="C428" t="s">
        <v>22</v>
      </c>
      <c r="D428" t="s">
        <v>26</v>
      </c>
      <c r="E428" t="s">
        <v>24</v>
      </c>
      <c r="F428">
        <v>102</v>
      </c>
      <c r="G428">
        <v>123</v>
      </c>
      <c r="H428">
        <v>122</v>
      </c>
      <c r="I428">
        <v>103</v>
      </c>
      <c r="J428">
        <v>56</v>
      </c>
      <c r="K428">
        <v>248</v>
      </c>
      <c r="L428">
        <v>25544</v>
      </c>
      <c r="M428">
        <f>Inventory_Data[[#This Row],[Opening Stock]]+Inventory_Data[[#This Row],[Purchase Qty]]-Inventory_Data[[#This Row],[Sales Qty]]-Inventory_Data[[#This Row],[Closing Stock]]</f>
        <v>0</v>
      </c>
      <c r="N428">
        <f>Inventory_Data[[#This Row],[Purchase Qty]]*Inventory_Data[[#This Row],[Unit Cost]]</f>
        <v>30504</v>
      </c>
      <c r="O428" t="str">
        <f>IF(Inventory_Data[[#This Row],[Closing Stock]]&lt;=Inventory_Data[[#This Row],[Reorder Level]],"Low Stock","In Stock")</f>
        <v>In Stock</v>
      </c>
      <c r="P428" t="str">
        <f>TEXT(Inventory_Data[[#This Row],[Date]],"MMM")</f>
        <v>Apr</v>
      </c>
      <c r="Q428" t="str">
        <f>TEXT(Inventory_Data[[#This Row],[Date]],"YYYY")</f>
        <v>2025</v>
      </c>
    </row>
    <row r="429" spans="1:17" x14ac:dyDescent="0.3">
      <c r="A429" s="1">
        <v>45750</v>
      </c>
      <c r="B429" t="s">
        <v>43</v>
      </c>
      <c r="C429" t="s">
        <v>22</v>
      </c>
      <c r="D429" t="s">
        <v>14</v>
      </c>
      <c r="E429" t="s">
        <v>18</v>
      </c>
      <c r="F429">
        <v>445</v>
      </c>
      <c r="G429">
        <v>68</v>
      </c>
      <c r="H429">
        <v>168</v>
      </c>
      <c r="I429">
        <v>345</v>
      </c>
      <c r="J429">
        <v>146</v>
      </c>
      <c r="K429">
        <v>717</v>
      </c>
      <c r="L429">
        <v>247365</v>
      </c>
      <c r="M429">
        <f>Inventory_Data[[#This Row],[Opening Stock]]+Inventory_Data[[#This Row],[Purchase Qty]]-Inventory_Data[[#This Row],[Sales Qty]]-Inventory_Data[[#This Row],[Closing Stock]]</f>
        <v>0</v>
      </c>
      <c r="N429">
        <f>Inventory_Data[[#This Row],[Purchase Qty]]*Inventory_Data[[#This Row],[Unit Cost]]</f>
        <v>48756</v>
      </c>
      <c r="O429" t="str">
        <f>IF(Inventory_Data[[#This Row],[Closing Stock]]&lt;=Inventory_Data[[#This Row],[Reorder Level]],"Low Stock","In Stock")</f>
        <v>In Stock</v>
      </c>
      <c r="P429" t="str">
        <f>TEXT(Inventory_Data[[#This Row],[Date]],"MMM")</f>
        <v>Apr</v>
      </c>
      <c r="Q429" t="str">
        <f>TEXT(Inventory_Data[[#This Row],[Date]],"YYYY")</f>
        <v>2025</v>
      </c>
    </row>
    <row r="430" spans="1:17" x14ac:dyDescent="0.3">
      <c r="A430" s="1">
        <v>45750</v>
      </c>
      <c r="B430" t="s">
        <v>30</v>
      </c>
      <c r="C430" t="s">
        <v>28</v>
      </c>
      <c r="D430" t="s">
        <v>26</v>
      </c>
      <c r="E430" t="s">
        <v>29</v>
      </c>
      <c r="F430">
        <v>27</v>
      </c>
      <c r="G430">
        <v>53</v>
      </c>
      <c r="H430">
        <v>37</v>
      </c>
      <c r="I430">
        <v>43</v>
      </c>
      <c r="J430">
        <v>30</v>
      </c>
      <c r="K430">
        <v>25072</v>
      </c>
      <c r="L430">
        <v>1078096</v>
      </c>
      <c r="M430">
        <f>Inventory_Data[[#This Row],[Opening Stock]]+Inventory_Data[[#This Row],[Purchase Qty]]-Inventory_Data[[#This Row],[Sales Qty]]-Inventory_Data[[#This Row],[Closing Stock]]</f>
        <v>0</v>
      </c>
      <c r="N430">
        <f>Inventory_Data[[#This Row],[Purchase Qty]]*Inventory_Data[[#This Row],[Unit Cost]]</f>
        <v>1328816</v>
      </c>
      <c r="O430" t="str">
        <f>IF(Inventory_Data[[#This Row],[Closing Stock]]&lt;=Inventory_Data[[#This Row],[Reorder Level]],"Low Stock","In Stock")</f>
        <v>In Stock</v>
      </c>
      <c r="P430" t="str">
        <f>TEXT(Inventory_Data[[#This Row],[Date]],"MMM")</f>
        <v>Apr</v>
      </c>
      <c r="Q430" t="str">
        <f>TEXT(Inventory_Data[[#This Row],[Date]],"YYYY")</f>
        <v>2025</v>
      </c>
    </row>
    <row r="431" spans="1:17" x14ac:dyDescent="0.3">
      <c r="A431" s="1">
        <v>45750</v>
      </c>
      <c r="B431" t="s">
        <v>21</v>
      </c>
      <c r="C431" t="s">
        <v>22</v>
      </c>
      <c r="D431" t="s">
        <v>14</v>
      </c>
      <c r="E431" t="s">
        <v>24</v>
      </c>
      <c r="F431">
        <v>340</v>
      </c>
      <c r="G431">
        <v>50</v>
      </c>
      <c r="H431">
        <v>71</v>
      </c>
      <c r="I431">
        <v>319</v>
      </c>
      <c r="J431">
        <v>62</v>
      </c>
      <c r="K431">
        <v>256</v>
      </c>
      <c r="L431">
        <v>81664</v>
      </c>
      <c r="M431">
        <f>Inventory_Data[[#This Row],[Opening Stock]]+Inventory_Data[[#This Row],[Purchase Qty]]-Inventory_Data[[#This Row],[Sales Qty]]-Inventory_Data[[#This Row],[Closing Stock]]</f>
        <v>0</v>
      </c>
      <c r="N431">
        <f>Inventory_Data[[#This Row],[Purchase Qty]]*Inventory_Data[[#This Row],[Unit Cost]]</f>
        <v>12800</v>
      </c>
      <c r="O431" t="str">
        <f>IF(Inventory_Data[[#This Row],[Closing Stock]]&lt;=Inventory_Data[[#This Row],[Reorder Level]],"Low Stock","In Stock")</f>
        <v>In Stock</v>
      </c>
      <c r="P431" t="str">
        <f>TEXT(Inventory_Data[[#This Row],[Date]],"MMM")</f>
        <v>Apr</v>
      </c>
      <c r="Q431" t="str">
        <f>TEXT(Inventory_Data[[#This Row],[Date]],"YYYY")</f>
        <v>2025</v>
      </c>
    </row>
    <row r="432" spans="1:17" x14ac:dyDescent="0.3">
      <c r="A432" s="1">
        <v>45750</v>
      </c>
      <c r="B432" t="s">
        <v>38</v>
      </c>
      <c r="C432" t="s">
        <v>17</v>
      </c>
      <c r="D432" t="s">
        <v>14</v>
      </c>
      <c r="E432" t="s">
        <v>29</v>
      </c>
      <c r="F432">
        <v>85</v>
      </c>
      <c r="G432">
        <v>9</v>
      </c>
      <c r="H432">
        <v>13</v>
      </c>
      <c r="I432">
        <v>81</v>
      </c>
      <c r="J432">
        <v>12</v>
      </c>
      <c r="K432">
        <v>2488</v>
      </c>
      <c r="L432">
        <v>201528</v>
      </c>
      <c r="M432">
        <f>Inventory_Data[[#This Row],[Opening Stock]]+Inventory_Data[[#This Row],[Purchase Qty]]-Inventory_Data[[#This Row],[Sales Qty]]-Inventory_Data[[#This Row],[Closing Stock]]</f>
        <v>0</v>
      </c>
      <c r="N432">
        <f>Inventory_Data[[#This Row],[Purchase Qty]]*Inventory_Data[[#This Row],[Unit Cost]]</f>
        <v>22392</v>
      </c>
      <c r="O432" t="str">
        <f>IF(Inventory_Data[[#This Row],[Closing Stock]]&lt;=Inventory_Data[[#This Row],[Reorder Level]],"Low Stock","In Stock")</f>
        <v>In Stock</v>
      </c>
      <c r="P432" t="str">
        <f>TEXT(Inventory_Data[[#This Row],[Date]],"MMM")</f>
        <v>Apr</v>
      </c>
      <c r="Q432" t="str">
        <f>TEXT(Inventory_Data[[#This Row],[Date]],"YYYY")</f>
        <v>2025</v>
      </c>
    </row>
    <row r="433" spans="1:17" x14ac:dyDescent="0.3">
      <c r="A433" s="1">
        <v>45750</v>
      </c>
      <c r="B433" t="s">
        <v>21</v>
      </c>
      <c r="C433" t="s">
        <v>22</v>
      </c>
      <c r="D433" t="s">
        <v>23</v>
      </c>
      <c r="E433" t="s">
        <v>34</v>
      </c>
      <c r="F433">
        <v>317</v>
      </c>
      <c r="G433">
        <v>132</v>
      </c>
      <c r="H433">
        <v>121</v>
      </c>
      <c r="I433">
        <v>328</v>
      </c>
      <c r="J433">
        <v>76</v>
      </c>
      <c r="K433">
        <v>340</v>
      </c>
      <c r="L433">
        <v>111520</v>
      </c>
      <c r="M433">
        <f>Inventory_Data[[#This Row],[Opening Stock]]+Inventory_Data[[#This Row],[Purchase Qty]]-Inventory_Data[[#This Row],[Sales Qty]]-Inventory_Data[[#This Row],[Closing Stock]]</f>
        <v>0</v>
      </c>
      <c r="N433">
        <f>Inventory_Data[[#This Row],[Purchase Qty]]*Inventory_Data[[#This Row],[Unit Cost]]</f>
        <v>44880</v>
      </c>
      <c r="O433" t="str">
        <f>IF(Inventory_Data[[#This Row],[Closing Stock]]&lt;=Inventory_Data[[#This Row],[Reorder Level]],"Low Stock","In Stock")</f>
        <v>In Stock</v>
      </c>
      <c r="P433" t="str">
        <f>TEXT(Inventory_Data[[#This Row],[Date]],"MMM")</f>
        <v>Apr</v>
      </c>
      <c r="Q433" t="str">
        <f>TEXT(Inventory_Data[[#This Row],[Date]],"YYYY")</f>
        <v>2025</v>
      </c>
    </row>
    <row r="434" spans="1:17" x14ac:dyDescent="0.3">
      <c r="A434" s="1">
        <v>45750</v>
      </c>
      <c r="B434" t="s">
        <v>30</v>
      </c>
      <c r="C434" t="s">
        <v>28</v>
      </c>
      <c r="D434" t="s">
        <v>23</v>
      </c>
      <c r="E434" t="s">
        <v>24</v>
      </c>
      <c r="F434">
        <v>179</v>
      </c>
      <c r="G434">
        <v>59</v>
      </c>
      <c r="H434">
        <v>65</v>
      </c>
      <c r="I434">
        <v>173</v>
      </c>
      <c r="J434">
        <v>38</v>
      </c>
      <c r="K434">
        <v>56729</v>
      </c>
      <c r="L434">
        <v>9814117</v>
      </c>
      <c r="M434">
        <f>Inventory_Data[[#This Row],[Opening Stock]]+Inventory_Data[[#This Row],[Purchase Qty]]-Inventory_Data[[#This Row],[Sales Qty]]-Inventory_Data[[#This Row],[Closing Stock]]</f>
        <v>0</v>
      </c>
      <c r="N434">
        <f>Inventory_Data[[#This Row],[Purchase Qty]]*Inventory_Data[[#This Row],[Unit Cost]]</f>
        <v>3347011</v>
      </c>
      <c r="O434" t="str">
        <f>IF(Inventory_Data[[#This Row],[Closing Stock]]&lt;=Inventory_Data[[#This Row],[Reorder Level]],"Low Stock","In Stock")</f>
        <v>In Stock</v>
      </c>
      <c r="P434" t="str">
        <f>TEXT(Inventory_Data[[#This Row],[Date]],"MMM")</f>
        <v>Apr</v>
      </c>
      <c r="Q434" t="str">
        <f>TEXT(Inventory_Data[[#This Row],[Date]],"YYYY")</f>
        <v>2025</v>
      </c>
    </row>
    <row r="435" spans="1:17" x14ac:dyDescent="0.3">
      <c r="A435" s="1">
        <v>45751</v>
      </c>
      <c r="B435" t="s">
        <v>32</v>
      </c>
      <c r="C435" t="s">
        <v>28</v>
      </c>
      <c r="D435" t="s">
        <v>37</v>
      </c>
      <c r="E435" t="s">
        <v>18</v>
      </c>
      <c r="F435">
        <v>163</v>
      </c>
      <c r="G435">
        <v>99</v>
      </c>
      <c r="H435">
        <v>94</v>
      </c>
      <c r="I435">
        <v>168</v>
      </c>
      <c r="J435">
        <v>40</v>
      </c>
      <c r="K435">
        <v>36047</v>
      </c>
      <c r="L435">
        <v>6055896</v>
      </c>
      <c r="M435">
        <f>Inventory_Data[[#This Row],[Opening Stock]]+Inventory_Data[[#This Row],[Purchase Qty]]-Inventory_Data[[#This Row],[Sales Qty]]-Inventory_Data[[#This Row],[Closing Stock]]</f>
        <v>0</v>
      </c>
      <c r="N435">
        <f>Inventory_Data[[#This Row],[Purchase Qty]]*Inventory_Data[[#This Row],[Unit Cost]]</f>
        <v>3568653</v>
      </c>
      <c r="O435" t="str">
        <f>IF(Inventory_Data[[#This Row],[Closing Stock]]&lt;=Inventory_Data[[#This Row],[Reorder Level]],"Low Stock","In Stock")</f>
        <v>In Stock</v>
      </c>
      <c r="P435" t="str">
        <f>TEXT(Inventory_Data[[#This Row],[Date]],"MMM")</f>
        <v>Apr</v>
      </c>
      <c r="Q435" t="str">
        <f>TEXT(Inventory_Data[[#This Row],[Date]],"YYYY")</f>
        <v>2025</v>
      </c>
    </row>
    <row r="436" spans="1:17" x14ac:dyDescent="0.3">
      <c r="A436" s="1">
        <v>45751</v>
      </c>
      <c r="B436" t="s">
        <v>25</v>
      </c>
      <c r="C436" t="s">
        <v>17</v>
      </c>
      <c r="D436" t="s">
        <v>14</v>
      </c>
      <c r="E436" t="s">
        <v>20</v>
      </c>
      <c r="F436">
        <v>80</v>
      </c>
      <c r="G436">
        <v>37</v>
      </c>
      <c r="H436">
        <v>8</v>
      </c>
      <c r="I436">
        <v>109</v>
      </c>
      <c r="J436">
        <v>20</v>
      </c>
      <c r="K436">
        <v>18773</v>
      </c>
      <c r="L436">
        <v>2046257</v>
      </c>
      <c r="M436">
        <f>Inventory_Data[[#This Row],[Opening Stock]]+Inventory_Data[[#This Row],[Purchase Qty]]-Inventory_Data[[#This Row],[Sales Qty]]-Inventory_Data[[#This Row],[Closing Stock]]</f>
        <v>0</v>
      </c>
      <c r="N436">
        <f>Inventory_Data[[#This Row],[Purchase Qty]]*Inventory_Data[[#This Row],[Unit Cost]]</f>
        <v>694601</v>
      </c>
      <c r="O436" t="str">
        <f>IF(Inventory_Data[[#This Row],[Closing Stock]]&lt;=Inventory_Data[[#This Row],[Reorder Level]],"Low Stock","In Stock")</f>
        <v>In Stock</v>
      </c>
      <c r="P436" t="str">
        <f>TEXT(Inventory_Data[[#This Row],[Date]],"MMM")</f>
        <v>Apr</v>
      </c>
      <c r="Q436" t="str">
        <f>TEXT(Inventory_Data[[#This Row],[Date]],"YYYY")</f>
        <v>2025</v>
      </c>
    </row>
    <row r="437" spans="1:17" x14ac:dyDescent="0.3">
      <c r="A437" s="1">
        <v>45751</v>
      </c>
      <c r="B437" t="s">
        <v>45</v>
      </c>
      <c r="C437" t="s">
        <v>13</v>
      </c>
      <c r="D437" t="s">
        <v>14</v>
      </c>
      <c r="E437" t="s">
        <v>29</v>
      </c>
      <c r="F437">
        <v>99</v>
      </c>
      <c r="G437">
        <v>30</v>
      </c>
      <c r="H437">
        <v>53</v>
      </c>
      <c r="I437">
        <v>76</v>
      </c>
      <c r="J437">
        <v>33</v>
      </c>
      <c r="K437">
        <v>4794</v>
      </c>
      <c r="L437">
        <v>364344</v>
      </c>
      <c r="M437">
        <f>Inventory_Data[[#This Row],[Opening Stock]]+Inventory_Data[[#This Row],[Purchase Qty]]-Inventory_Data[[#This Row],[Sales Qty]]-Inventory_Data[[#This Row],[Closing Stock]]</f>
        <v>0</v>
      </c>
      <c r="N437">
        <f>Inventory_Data[[#This Row],[Purchase Qty]]*Inventory_Data[[#This Row],[Unit Cost]]</f>
        <v>143820</v>
      </c>
      <c r="O437" t="str">
        <f>IF(Inventory_Data[[#This Row],[Closing Stock]]&lt;=Inventory_Data[[#This Row],[Reorder Level]],"Low Stock","In Stock")</f>
        <v>In Stock</v>
      </c>
      <c r="P437" t="str">
        <f>TEXT(Inventory_Data[[#This Row],[Date]],"MMM")</f>
        <v>Apr</v>
      </c>
      <c r="Q437" t="str">
        <f>TEXT(Inventory_Data[[#This Row],[Date]],"YYYY")</f>
        <v>2025</v>
      </c>
    </row>
    <row r="438" spans="1:17" x14ac:dyDescent="0.3">
      <c r="A438" s="1">
        <v>45752</v>
      </c>
      <c r="B438" t="s">
        <v>43</v>
      </c>
      <c r="C438" t="s">
        <v>22</v>
      </c>
      <c r="D438" t="s">
        <v>37</v>
      </c>
      <c r="E438" t="s">
        <v>15</v>
      </c>
      <c r="F438">
        <v>473</v>
      </c>
      <c r="G438">
        <v>33</v>
      </c>
      <c r="H438">
        <v>174</v>
      </c>
      <c r="I438">
        <v>332</v>
      </c>
      <c r="J438">
        <v>93</v>
      </c>
      <c r="K438">
        <v>1016</v>
      </c>
      <c r="L438">
        <v>337312</v>
      </c>
      <c r="M438">
        <f>Inventory_Data[[#This Row],[Opening Stock]]+Inventory_Data[[#This Row],[Purchase Qty]]-Inventory_Data[[#This Row],[Sales Qty]]-Inventory_Data[[#This Row],[Closing Stock]]</f>
        <v>0</v>
      </c>
      <c r="N438">
        <f>Inventory_Data[[#This Row],[Purchase Qty]]*Inventory_Data[[#This Row],[Unit Cost]]</f>
        <v>33528</v>
      </c>
      <c r="O438" t="str">
        <f>IF(Inventory_Data[[#This Row],[Closing Stock]]&lt;=Inventory_Data[[#This Row],[Reorder Level]],"Low Stock","In Stock")</f>
        <v>In Stock</v>
      </c>
      <c r="P438" t="str">
        <f>TEXT(Inventory_Data[[#This Row],[Date]],"MMM")</f>
        <v>Apr</v>
      </c>
      <c r="Q438" t="str">
        <f>TEXT(Inventory_Data[[#This Row],[Date]],"YYYY")</f>
        <v>2025</v>
      </c>
    </row>
    <row r="439" spans="1:17" x14ac:dyDescent="0.3">
      <c r="A439" s="1">
        <v>45752</v>
      </c>
      <c r="B439" t="s">
        <v>36</v>
      </c>
      <c r="C439" t="s">
        <v>22</v>
      </c>
      <c r="D439" t="s">
        <v>26</v>
      </c>
      <c r="E439" t="s">
        <v>18</v>
      </c>
      <c r="F439">
        <v>477</v>
      </c>
      <c r="G439">
        <v>180</v>
      </c>
      <c r="H439">
        <v>11</v>
      </c>
      <c r="I439">
        <v>646</v>
      </c>
      <c r="J439">
        <v>106</v>
      </c>
      <c r="K439">
        <v>1065</v>
      </c>
      <c r="L439">
        <v>687990</v>
      </c>
      <c r="M439">
        <f>Inventory_Data[[#This Row],[Opening Stock]]+Inventory_Data[[#This Row],[Purchase Qty]]-Inventory_Data[[#This Row],[Sales Qty]]-Inventory_Data[[#This Row],[Closing Stock]]</f>
        <v>0</v>
      </c>
      <c r="N439">
        <f>Inventory_Data[[#This Row],[Purchase Qty]]*Inventory_Data[[#This Row],[Unit Cost]]</f>
        <v>191700</v>
      </c>
      <c r="O439" t="str">
        <f>IF(Inventory_Data[[#This Row],[Closing Stock]]&lt;=Inventory_Data[[#This Row],[Reorder Level]],"Low Stock","In Stock")</f>
        <v>In Stock</v>
      </c>
      <c r="P439" t="str">
        <f>TEXT(Inventory_Data[[#This Row],[Date]],"MMM")</f>
        <v>Apr</v>
      </c>
      <c r="Q439" t="str">
        <f>TEXT(Inventory_Data[[#This Row],[Date]],"YYYY")</f>
        <v>2025</v>
      </c>
    </row>
    <row r="440" spans="1:17" x14ac:dyDescent="0.3">
      <c r="A440" s="1">
        <v>45752</v>
      </c>
      <c r="B440" t="s">
        <v>45</v>
      </c>
      <c r="C440" t="s">
        <v>13</v>
      </c>
      <c r="D440" t="s">
        <v>26</v>
      </c>
      <c r="E440" t="s">
        <v>34</v>
      </c>
      <c r="F440">
        <v>47</v>
      </c>
      <c r="G440">
        <v>22</v>
      </c>
      <c r="H440">
        <v>63</v>
      </c>
      <c r="I440">
        <v>6</v>
      </c>
      <c r="J440">
        <v>30</v>
      </c>
      <c r="K440">
        <v>6842</v>
      </c>
      <c r="L440">
        <v>41052</v>
      </c>
      <c r="M440">
        <f>Inventory_Data[[#This Row],[Opening Stock]]+Inventory_Data[[#This Row],[Purchase Qty]]-Inventory_Data[[#This Row],[Sales Qty]]-Inventory_Data[[#This Row],[Closing Stock]]</f>
        <v>0</v>
      </c>
      <c r="N440">
        <f>Inventory_Data[[#This Row],[Purchase Qty]]*Inventory_Data[[#This Row],[Unit Cost]]</f>
        <v>150524</v>
      </c>
      <c r="O440" t="str">
        <f>IF(Inventory_Data[[#This Row],[Closing Stock]]&lt;=Inventory_Data[[#This Row],[Reorder Level]],"Low Stock","In Stock")</f>
        <v>Low Stock</v>
      </c>
      <c r="P440" t="str">
        <f>TEXT(Inventory_Data[[#This Row],[Date]],"MMM")</f>
        <v>Apr</v>
      </c>
      <c r="Q440" t="str">
        <f>TEXT(Inventory_Data[[#This Row],[Date]],"YYYY")</f>
        <v>2025</v>
      </c>
    </row>
    <row r="441" spans="1:17" x14ac:dyDescent="0.3">
      <c r="A441" s="1">
        <v>45752</v>
      </c>
      <c r="B441" t="s">
        <v>40</v>
      </c>
      <c r="C441" t="s">
        <v>28</v>
      </c>
      <c r="D441" t="s">
        <v>26</v>
      </c>
      <c r="E441" t="s">
        <v>29</v>
      </c>
      <c r="F441">
        <v>100</v>
      </c>
      <c r="G441">
        <v>98</v>
      </c>
      <c r="H441">
        <v>65</v>
      </c>
      <c r="I441">
        <v>133</v>
      </c>
      <c r="J441">
        <v>31</v>
      </c>
      <c r="K441">
        <v>17663</v>
      </c>
      <c r="L441">
        <v>2349179</v>
      </c>
      <c r="M441">
        <f>Inventory_Data[[#This Row],[Opening Stock]]+Inventory_Data[[#This Row],[Purchase Qty]]-Inventory_Data[[#This Row],[Sales Qty]]-Inventory_Data[[#This Row],[Closing Stock]]</f>
        <v>0</v>
      </c>
      <c r="N441">
        <f>Inventory_Data[[#This Row],[Purchase Qty]]*Inventory_Data[[#This Row],[Unit Cost]]</f>
        <v>1730974</v>
      </c>
      <c r="O441" t="str">
        <f>IF(Inventory_Data[[#This Row],[Closing Stock]]&lt;=Inventory_Data[[#This Row],[Reorder Level]],"Low Stock","In Stock")</f>
        <v>In Stock</v>
      </c>
      <c r="P441" t="str">
        <f>TEXT(Inventory_Data[[#This Row],[Date]],"MMM")</f>
        <v>Apr</v>
      </c>
      <c r="Q441" t="str">
        <f>TEXT(Inventory_Data[[#This Row],[Date]],"YYYY")</f>
        <v>2025</v>
      </c>
    </row>
    <row r="442" spans="1:17" x14ac:dyDescent="0.3">
      <c r="A442" s="1">
        <v>45753</v>
      </c>
      <c r="B442" t="s">
        <v>41</v>
      </c>
      <c r="C442" t="s">
        <v>22</v>
      </c>
      <c r="D442" t="s">
        <v>37</v>
      </c>
      <c r="E442" t="s">
        <v>24</v>
      </c>
      <c r="F442">
        <v>304</v>
      </c>
      <c r="G442">
        <v>165</v>
      </c>
      <c r="H442">
        <v>257</v>
      </c>
      <c r="I442">
        <v>212</v>
      </c>
      <c r="J442">
        <v>111</v>
      </c>
      <c r="K442">
        <v>903</v>
      </c>
      <c r="L442">
        <v>191436</v>
      </c>
      <c r="M442">
        <f>Inventory_Data[[#This Row],[Opening Stock]]+Inventory_Data[[#This Row],[Purchase Qty]]-Inventory_Data[[#This Row],[Sales Qty]]-Inventory_Data[[#This Row],[Closing Stock]]</f>
        <v>0</v>
      </c>
      <c r="N442">
        <f>Inventory_Data[[#This Row],[Purchase Qty]]*Inventory_Data[[#This Row],[Unit Cost]]</f>
        <v>148995</v>
      </c>
      <c r="O442" t="str">
        <f>IF(Inventory_Data[[#This Row],[Closing Stock]]&lt;=Inventory_Data[[#This Row],[Reorder Level]],"Low Stock","In Stock")</f>
        <v>In Stock</v>
      </c>
      <c r="P442" t="str">
        <f>TEXT(Inventory_Data[[#This Row],[Date]],"MMM")</f>
        <v>Apr</v>
      </c>
      <c r="Q442" t="str">
        <f>TEXT(Inventory_Data[[#This Row],[Date]],"YYYY")</f>
        <v>2025</v>
      </c>
    </row>
    <row r="443" spans="1:17" x14ac:dyDescent="0.3">
      <c r="A443" s="1">
        <v>45753</v>
      </c>
      <c r="B443" t="s">
        <v>16</v>
      </c>
      <c r="C443" t="s">
        <v>17</v>
      </c>
      <c r="D443" t="s">
        <v>23</v>
      </c>
      <c r="E443" t="s">
        <v>20</v>
      </c>
      <c r="F443">
        <v>35</v>
      </c>
      <c r="G443">
        <v>6</v>
      </c>
      <c r="H443">
        <v>13</v>
      </c>
      <c r="I443">
        <v>28</v>
      </c>
      <c r="J443">
        <v>16</v>
      </c>
      <c r="K443">
        <v>2028</v>
      </c>
      <c r="L443">
        <v>56784</v>
      </c>
      <c r="M443">
        <f>Inventory_Data[[#This Row],[Opening Stock]]+Inventory_Data[[#This Row],[Purchase Qty]]-Inventory_Data[[#This Row],[Sales Qty]]-Inventory_Data[[#This Row],[Closing Stock]]</f>
        <v>0</v>
      </c>
      <c r="N443">
        <f>Inventory_Data[[#This Row],[Purchase Qty]]*Inventory_Data[[#This Row],[Unit Cost]]</f>
        <v>12168</v>
      </c>
      <c r="O443" t="str">
        <f>IF(Inventory_Data[[#This Row],[Closing Stock]]&lt;=Inventory_Data[[#This Row],[Reorder Level]],"Low Stock","In Stock")</f>
        <v>In Stock</v>
      </c>
      <c r="P443" t="str">
        <f>TEXT(Inventory_Data[[#This Row],[Date]],"MMM")</f>
        <v>Apr</v>
      </c>
      <c r="Q443" t="str">
        <f>TEXT(Inventory_Data[[#This Row],[Date]],"YYYY")</f>
        <v>2025</v>
      </c>
    </row>
    <row r="444" spans="1:17" x14ac:dyDescent="0.3">
      <c r="A444" s="1">
        <v>45753</v>
      </c>
      <c r="B444" t="s">
        <v>40</v>
      </c>
      <c r="C444" t="s">
        <v>28</v>
      </c>
      <c r="D444" t="s">
        <v>23</v>
      </c>
      <c r="E444" t="s">
        <v>18</v>
      </c>
      <c r="F444">
        <v>144</v>
      </c>
      <c r="G444">
        <v>19</v>
      </c>
      <c r="H444">
        <v>64</v>
      </c>
      <c r="I444">
        <v>99</v>
      </c>
      <c r="J444">
        <v>59</v>
      </c>
      <c r="K444">
        <v>33865</v>
      </c>
      <c r="L444">
        <v>3352635</v>
      </c>
      <c r="M444">
        <f>Inventory_Data[[#This Row],[Opening Stock]]+Inventory_Data[[#This Row],[Purchase Qty]]-Inventory_Data[[#This Row],[Sales Qty]]-Inventory_Data[[#This Row],[Closing Stock]]</f>
        <v>0</v>
      </c>
      <c r="N444">
        <f>Inventory_Data[[#This Row],[Purchase Qty]]*Inventory_Data[[#This Row],[Unit Cost]]</f>
        <v>643435</v>
      </c>
      <c r="O444" t="str">
        <f>IF(Inventory_Data[[#This Row],[Closing Stock]]&lt;=Inventory_Data[[#This Row],[Reorder Level]],"Low Stock","In Stock")</f>
        <v>In Stock</v>
      </c>
      <c r="P444" t="str">
        <f>TEXT(Inventory_Data[[#This Row],[Date]],"MMM")</f>
        <v>Apr</v>
      </c>
      <c r="Q444" t="str">
        <f>TEXT(Inventory_Data[[#This Row],[Date]],"YYYY")</f>
        <v>2025</v>
      </c>
    </row>
    <row r="445" spans="1:17" x14ac:dyDescent="0.3">
      <c r="A445" s="1">
        <v>45753</v>
      </c>
      <c r="B445" t="s">
        <v>19</v>
      </c>
      <c r="C445" t="s">
        <v>13</v>
      </c>
      <c r="D445" t="s">
        <v>26</v>
      </c>
      <c r="E445" t="s">
        <v>24</v>
      </c>
      <c r="F445">
        <v>107</v>
      </c>
      <c r="G445">
        <v>7</v>
      </c>
      <c r="H445">
        <v>10</v>
      </c>
      <c r="I445">
        <v>104</v>
      </c>
      <c r="J445">
        <v>16</v>
      </c>
      <c r="K445">
        <v>4214</v>
      </c>
      <c r="L445">
        <v>438256</v>
      </c>
      <c r="M445">
        <f>Inventory_Data[[#This Row],[Opening Stock]]+Inventory_Data[[#This Row],[Purchase Qty]]-Inventory_Data[[#This Row],[Sales Qty]]-Inventory_Data[[#This Row],[Closing Stock]]</f>
        <v>0</v>
      </c>
      <c r="N445">
        <f>Inventory_Data[[#This Row],[Purchase Qty]]*Inventory_Data[[#This Row],[Unit Cost]]</f>
        <v>29498</v>
      </c>
      <c r="O445" t="str">
        <f>IF(Inventory_Data[[#This Row],[Closing Stock]]&lt;=Inventory_Data[[#This Row],[Reorder Level]],"Low Stock","In Stock")</f>
        <v>In Stock</v>
      </c>
      <c r="P445" t="str">
        <f>TEXT(Inventory_Data[[#This Row],[Date]],"MMM")</f>
        <v>Apr</v>
      </c>
      <c r="Q445" t="str">
        <f>TEXT(Inventory_Data[[#This Row],[Date]],"YYYY")</f>
        <v>2025</v>
      </c>
    </row>
    <row r="446" spans="1:17" x14ac:dyDescent="0.3">
      <c r="A446" s="1">
        <v>45753</v>
      </c>
      <c r="B446" t="s">
        <v>16</v>
      </c>
      <c r="C446" t="s">
        <v>17</v>
      </c>
      <c r="D446" t="s">
        <v>26</v>
      </c>
      <c r="E446" t="s">
        <v>24</v>
      </c>
      <c r="F446">
        <v>97</v>
      </c>
      <c r="G446">
        <v>18</v>
      </c>
      <c r="H446">
        <v>33</v>
      </c>
      <c r="I446">
        <v>82</v>
      </c>
      <c r="J446">
        <v>20</v>
      </c>
      <c r="K446">
        <v>16649</v>
      </c>
      <c r="L446">
        <v>1365218</v>
      </c>
      <c r="M446">
        <f>Inventory_Data[[#This Row],[Opening Stock]]+Inventory_Data[[#This Row],[Purchase Qty]]-Inventory_Data[[#This Row],[Sales Qty]]-Inventory_Data[[#This Row],[Closing Stock]]</f>
        <v>0</v>
      </c>
      <c r="N446">
        <f>Inventory_Data[[#This Row],[Purchase Qty]]*Inventory_Data[[#This Row],[Unit Cost]]</f>
        <v>299682</v>
      </c>
      <c r="O446" t="str">
        <f>IF(Inventory_Data[[#This Row],[Closing Stock]]&lt;=Inventory_Data[[#This Row],[Reorder Level]],"Low Stock","In Stock")</f>
        <v>In Stock</v>
      </c>
      <c r="P446" t="str">
        <f>TEXT(Inventory_Data[[#This Row],[Date]],"MMM")</f>
        <v>Apr</v>
      </c>
      <c r="Q446" t="str">
        <f>TEXT(Inventory_Data[[#This Row],[Date]],"YYYY")</f>
        <v>2025</v>
      </c>
    </row>
    <row r="447" spans="1:17" x14ac:dyDescent="0.3">
      <c r="A447" s="1">
        <v>45754</v>
      </c>
      <c r="B447" t="s">
        <v>33</v>
      </c>
      <c r="C447" t="s">
        <v>13</v>
      </c>
      <c r="D447" t="s">
        <v>23</v>
      </c>
      <c r="E447" t="s">
        <v>20</v>
      </c>
      <c r="F447">
        <v>83</v>
      </c>
      <c r="G447">
        <v>76</v>
      </c>
      <c r="H447">
        <v>17</v>
      </c>
      <c r="I447">
        <v>142</v>
      </c>
      <c r="J447">
        <v>18</v>
      </c>
      <c r="K447">
        <v>4719</v>
      </c>
      <c r="L447">
        <v>670098</v>
      </c>
      <c r="M447">
        <f>Inventory_Data[[#This Row],[Opening Stock]]+Inventory_Data[[#This Row],[Purchase Qty]]-Inventory_Data[[#This Row],[Sales Qty]]-Inventory_Data[[#This Row],[Closing Stock]]</f>
        <v>0</v>
      </c>
      <c r="N447">
        <f>Inventory_Data[[#This Row],[Purchase Qty]]*Inventory_Data[[#This Row],[Unit Cost]]</f>
        <v>358644</v>
      </c>
      <c r="O447" t="str">
        <f>IF(Inventory_Data[[#This Row],[Closing Stock]]&lt;=Inventory_Data[[#This Row],[Reorder Level]],"Low Stock","In Stock")</f>
        <v>In Stock</v>
      </c>
      <c r="P447" t="str">
        <f>TEXT(Inventory_Data[[#This Row],[Date]],"MMM")</f>
        <v>Apr</v>
      </c>
      <c r="Q447" t="str">
        <f>TEXT(Inventory_Data[[#This Row],[Date]],"YYYY")</f>
        <v>2025</v>
      </c>
    </row>
    <row r="448" spans="1:17" x14ac:dyDescent="0.3">
      <c r="A448" s="1">
        <v>45754</v>
      </c>
      <c r="B448" t="s">
        <v>42</v>
      </c>
      <c r="C448" t="s">
        <v>17</v>
      </c>
      <c r="D448" t="s">
        <v>26</v>
      </c>
      <c r="E448" t="s">
        <v>24</v>
      </c>
      <c r="F448">
        <v>28</v>
      </c>
      <c r="G448">
        <v>58</v>
      </c>
      <c r="H448">
        <v>43</v>
      </c>
      <c r="I448">
        <v>43</v>
      </c>
      <c r="J448">
        <v>16</v>
      </c>
      <c r="K448">
        <v>16701</v>
      </c>
      <c r="L448">
        <v>718143</v>
      </c>
      <c r="M448">
        <f>Inventory_Data[[#This Row],[Opening Stock]]+Inventory_Data[[#This Row],[Purchase Qty]]-Inventory_Data[[#This Row],[Sales Qty]]-Inventory_Data[[#This Row],[Closing Stock]]</f>
        <v>0</v>
      </c>
      <c r="N448">
        <f>Inventory_Data[[#This Row],[Purchase Qty]]*Inventory_Data[[#This Row],[Unit Cost]]</f>
        <v>968658</v>
      </c>
      <c r="O448" t="str">
        <f>IF(Inventory_Data[[#This Row],[Closing Stock]]&lt;=Inventory_Data[[#This Row],[Reorder Level]],"Low Stock","In Stock")</f>
        <v>In Stock</v>
      </c>
      <c r="P448" t="str">
        <f>TEXT(Inventory_Data[[#This Row],[Date]],"MMM")</f>
        <v>Apr</v>
      </c>
      <c r="Q448" t="str">
        <f>TEXT(Inventory_Data[[#This Row],[Date]],"YYYY")</f>
        <v>2025</v>
      </c>
    </row>
    <row r="449" spans="1:17" x14ac:dyDescent="0.3">
      <c r="A449" s="1">
        <v>45754</v>
      </c>
      <c r="B449" t="s">
        <v>33</v>
      </c>
      <c r="C449" t="s">
        <v>13</v>
      </c>
      <c r="D449" t="s">
        <v>26</v>
      </c>
      <c r="E449" t="s">
        <v>20</v>
      </c>
      <c r="F449">
        <v>37</v>
      </c>
      <c r="G449">
        <v>27</v>
      </c>
      <c r="H449">
        <v>28</v>
      </c>
      <c r="I449">
        <v>36</v>
      </c>
      <c r="J449">
        <v>26</v>
      </c>
      <c r="K449">
        <v>4618</v>
      </c>
      <c r="L449">
        <v>166248</v>
      </c>
      <c r="M449">
        <f>Inventory_Data[[#This Row],[Opening Stock]]+Inventory_Data[[#This Row],[Purchase Qty]]-Inventory_Data[[#This Row],[Sales Qty]]-Inventory_Data[[#This Row],[Closing Stock]]</f>
        <v>0</v>
      </c>
      <c r="N449">
        <f>Inventory_Data[[#This Row],[Purchase Qty]]*Inventory_Data[[#This Row],[Unit Cost]]</f>
        <v>124686</v>
      </c>
      <c r="O449" t="str">
        <f>IF(Inventory_Data[[#This Row],[Closing Stock]]&lt;=Inventory_Data[[#This Row],[Reorder Level]],"Low Stock","In Stock")</f>
        <v>In Stock</v>
      </c>
      <c r="P449" t="str">
        <f>TEXT(Inventory_Data[[#This Row],[Date]],"MMM")</f>
        <v>Apr</v>
      </c>
      <c r="Q449" t="str">
        <f>TEXT(Inventory_Data[[#This Row],[Date]],"YYYY")</f>
        <v>2025</v>
      </c>
    </row>
    <row r="450" spans="1:17" x14ac:dyDescent="0.3">
      <c r="A450" s="1">
        <v>45754</v>
      </c>
      <c r="B450" t="s">
        <v>27</v>
      </c>
      <c r="C450" t="s">
        <v>28</v>
      </c>
      <c r="D450" t="s">
        <v>14</v>
      </c>
      <c r="E450" t="s">
        <v>18</v>
      </c>
      <c r="F450">
        <v>154</v>
      </c>
      <c r="G450">
        <v>28</v>
      </c>
      <c r="H450">
        <v>48</v>
      </c>
      <c r="I450">
        <v>134</v>
      </c>
      <c r="J450">
        <v>20</v>
      </c>
      <c r="K450">
        <v>59742</v>
      </c>
      <c r="L450">
        <v>8005428</v>
      </c>
      <c r="M450">
        <f>Inventory_Data[[#This Row],[Opening Stock]]+Inventory_Data[[#This Row],[Purchase Qty]]-Inventory_Data[[#This Row],[Sales Qty]]-Inventory_Data[[#This Row],[Closing Stock]]</f>
        <v>0</v>
      </c>
      <c r="N450">
        <f>Inventory_Data[[#This Row],[Purchase Qty]]*Inventory_Data[[#This Row],[Unit Cost]]</f>
        <v>1672776</v>
      </c>
      <c r="O450" t="str">
        <f>IF(Inventory_Data[[#This Row],[Closing Stock]]&lt;=Inventory_Data[[#This Row],[Reorder Level]],"Low Stock","In Stock")</f>
        <v>In Stock</v>
      </c>
      <c r="P450" t="str">
        <f>TEXT(Inventory_Data[[#This Row],[Date]],"MMM")</f>
        <v>Apr</v>
      </c>
      <c r="Q450" t="str">
        <f>TEXT(Inventory_Data[[#This Row],[Date]],"YYYY")</f>
        <v>2025</v>
      </c>
    </row>
    <row r="451" spans="1:17" x14ac:dyDescent="0.3">
      <c r="A451" s="1">
        <v>45754</v>
      </c>
      <c r="B451" t="s">
        <v>41</v>
      </c>
      <c r="C451" t="s">
        <v>22</v>
      </c>
      <c r="D451" t="s">
        <v>23</v>
      </c>
      <c r="E451" t="s">
        <v>29</v>
      </c>
      <c r="F451">
        <v>300</v>
      </c>
      <c r="G451">
        <v>36</v>
      </c>
      <c r="H451">
        <v>101</v>
      </c>
      <c r="I451">
        <v>235</v>
      </c>
      <c r="J451">
        <v>52</v>
      </c>
      <c r="K451">
        <v>132</v>
      </c>
      <c r="L451">
        <v>31020</v>
      </c>
      <c r="M451">
        <f>Inventory_Data[[#This Row],[Opening Stock]]+Inventory_Data[[#This Row],[Purchase Qty]]-Inventory_Data[[#This Row],[Sales Qty]]-Inventory_Data[[#This Row],[Closing Stock]]</f>
        <v>0</v>
      </c>
      <c r="N451">
        <f>Inventory_Data[[#This Row],[Purchase Qty]]*Inventory_Data[[#This Row],[Unit Cost]]</f>
        <v>4752</v>
      </c>
      <c r="O451" t="str">
        <f>IF(Inventory_Data[[#This Row],[Closing Stock]]&lt;=Inventory_Data[[#This Row],[Reorder Level]],"Low Stock","In Stock")</f>
        <v>In Stock</v>
      </c>
      <c r="P451" t="str">
        <f>TEXT(Inventory_Data[[#This Row],[Date]],"MMM")</f>
        <v>Apr</v>
      </c>
      <c r="Q451" t="str">
        <f>TEXT(Inventory_Data[[#This Row],[Date]],"YYYY")</f>
        <v>2025</v>
      </c>
    </row>
    <row r="452" spans="1:17" x14ac:dyDescent="0.3">
      <c r="A452" s="1">
        <v>45754</v>
      </c>
      <c r="B452" t="s">
        <v>31</v>
      </c>
      <c r="C452" t="s">
        <v>22</v>
      </c>
      <c r="D452" t="s">
        <v>37</v>
      </c>
      <c r="E452" t="s">
        <v>18</v>
      </c>
      <c r="F452">
        <v>210</v>
      </c>
      <c r="G452">
        <v>241</v>
      </c>
      <c r="H452">
        <v>85</v>
      </c>
      <c r="I452">
        <v>366</v>
      </c>
      <c r="J452">
        <v>64</v>
      </c>
      <c r="K452">
        <v>420</v>
      </c>
      <c r="L452">
        <v>153720</v>
      </c>
      <c r="M452">
        <f>Inventory_Data[[#This Row],[Opening Stock]]+Inventory_Data[[#This Row],[Purchase Qty]]-Inventory_Data[[#This Row],[Sales Qty]]-Inventory_Data[[#This Row],[Closing Stock]]</f>
        <v>0</v>
      </c>
      <c r="N452">
        <f>Inventory_Data[[#This Row],[Purchase Qty]]*Inventory_Data[[#This Row],[Unit Cost]]</f>
        <v>101220</v>
      </c>
      <c r="O452" t="str">
        <f>IF(Inventory_Data[[#This Row],[Closing Stock]]&lt;=Inventory_Data[[#This Row],[Reorder Level]],"Low Stock","In Stock")</f>
        <v>In Stock</v>
      </c>
      <c r="P452" t="str">
        <f>TEXT(Inventory_Data[[#This Row],[Date]],"MMM")</f>
        <v>Apr</v>
      </c>
      <c r="Q452" t="str">
        <f>TEXT(Inventory_Data[[#This Row],[Date]],"YYYY")</f>
        <v>2025</v>
      </c>
    </row>
    <row r="453" spans="1:17" x14ac:dyDescent="0.3">
      <c r="A453" s="1">
        <v>45754</v>
      </c>
      <c r="B453" t="s">
        <v>39</v>
      </c>
      <c r="C453" t="s">
        <v>28</v>
      </c>
      <c r="D453" t="s">
        <v>23</v>
      </c>
      <c r="E453" t="s">
        <v>24</v>
      </c>
      <c r="F453">
        <v>140</v>
      </c>
      <c r="G453">
        <v>64</v>
      </c>
      <c r="H453">
        <v>70</v>
      </c>
      <c r="I453">
        <v>134</v>
      </c>
      <c r="J453">
        <v>48</v>
      </c>
      <c r="K453">
        <v>14081</v>
      </c>
      <c r="L453">
        <v>1886854</v>
      </c>
      <c r="M453">
        <f>Inventory_Data[[#This Row],[Opening Stock]]+Inventory_Data[[#This Row],[Purchase Qty]]-Inventory_Data[[#This Row],[Sales Qty]]-Inventory_Data[[#This Row],[Closing Stock]]</f>
        <v>0</v>
      </c>
      <c r="N453">
        <f>Inventory_Data[[#This Row],[Purchase Qty]]*Inventory_Data[[#This Row],[Unit Cost]]</f>
        <v>901184</v>
      </c>
      <c r="O453" t="str">
        <f>IF(Inventory_Data[[#This Row],[Closing Stock]]&lt;=Inventory_Data[[#This Row],[Reorder Level]],"Low Stock","In Stock")</f>
        <v>In Stock</v>
      </c>
      <c r="P453" t="str">
        <f>TEXT(Inventory_Data[[#This Row],[Date]],"MMM")</f>
        <v>Apr</v>
      </c>
      <c r="Q453" t="str">
        <f>TEXT(Inventory_Data[[#This Row],[Date]],"YYYY")</f>
        <v>2025</v>
      </c>
    </row>
    <row r="454" spans="1:17" x14ac:dyDescent="0.3">
      <c r="A454" s="1">
        <v>45755</v>
      </c>
      <c r="B454" t="s">
        <v>16</v>
      </c>
      <c r="C454" t="s">
        <v>17</v>
      </c>
      <c r="D454" t="s">
        <v>37</v>
      </c>
      <c r="E454" t="s">
        <v>18</v>
      </c>
      <c r="F454">
        <v>53</v>
      </c>
      <c r="G454">
        <v>52</v>
      </c>
      <c r="H454">
        <v>42</v>
      </c>
      <c r="I454">
        <v>63</v>
      </c>
      <c r="J454">
        <v>22</v>
      </c>
      <c r="K454">
        <v>12670</v>
      </c>
      <c r="L454">
        <v>798210</v>
      </c>
      <c r="M454">
        <f>Inventory_Data[[#This Row],[Opening Stock]]+Inventory_Data[[#This Row],[Purchase Qty]]-Inventory_Data[[#This Row],[Sales Qty]]-Inventory_Data[[#This Row],[Closing Stock]]</f>
        <v>0</v>
      </c>
      <c r="N454">
        <f>Inventory_Data[[#This Row],[Purchase Qty]]*Inventory_Data[[#This Row],[Unit Cost]]</f>
        <v>658840</v>
      </c>
      <c r="O454" t="str">
        <f>IF(Inventory_Data[[#This Row],[Closing Stock]]&lt;=Inventory_Data[[#This Row],[Reorder Level]],"Low Stock","In Stock")</f>
        <v>In Stock</v>
      </c>
      <c r="P454" t="str">
        <f>TEXT(Inventory_Data[[#This Row],[Date]],"MMM")</f>
        <v>Apr</v>
      </c>
      <c r="Q454" t="str">
        <f>TEXT(Inventory_Data[[#This Row],[Date]],"YYYY")</f>
        <v>2025</v>
      </c>
    </row>
    <row r="455" spans="1:17" x14ac:dyDescent="0.3">
      <c r="A455" s="1">
        <v>45755</v>
      </c>
      <c r="B455" t="s">
        <v>45</v>
      </c>
      <c r="C455" t="s">
        <v>13</v>
      </c>
      <c r="D455" t="s">
        <v>26</v>
      </c>
      <c r="E455" t="s">
        <v>24</v>
      </c>
      <c r="F455">
        <v>64</v>
      </c>
      <c r="G455">
        <v>75</v>
      </c>
      <c r="H455">
        <v>46</v>
      </c>
      <c r="I455">
        <v>93</v>
      </c>
      <c r="J455">
        <v>34</v>
      </c>
      <c r="K455">
        <v>14813</v>
      </c>
      <c r="L455">
        <v>1377609</v>
      </c>
      <c r="M455">
        <f>Inventory_Data[[#This Row],[Opening Stock]]+Inventory_Data[[#This Row],[Purchase Qty]]-Inventory_Data[[#This Row],[Sales Qty]]-Inventory_Data[[#This Row],[Closing Stock]]</f>
        <v>0</v>
      </c>
      <c r="N455">
        <f>Inventory_Data[[#This Row],[Purchase Qty]]*Inventory_Data[[#This Row],[Unit Cost]]</f>
        <v>1110975</v>
      </c>
      <c r="O455" t="str">
        <f>IF(Inventory_Data[[#This Row],[Closing Stock]]&lt;=Inventory_Data[[#This Row],[Reorder Level]],"Low Stock","In Stock")</f>
        <v>In Stock</v>
      </c>
      <c r="P455" t="str">
        <f>TEXT(Inventory_Data[[#This Row],[Date]],"MMM")</f>
        <v>Apr</v>
      </c>
      <c r="Q455" t="str">
        <f>TEXT(Inventory_Data[[#This Row],[Date]],"YYYY")</f>
        <v>2025</v>
      </c>
    </row>
    <row r="456" spans="1:17" x14ac:dyDescent="0.3">
      <c r="A456" s="1">
        <v>45755</v>
      </c>
      <c r="B456" t="s">
        <v>30</v>
      </c>
      <c r="C456" t="s">
        <v>28</v>
      </c>
      <c r="D456" t="s">
        <v>23</v>
      </c>
      <c r="E456" t="s">
        <v>15</v>
      </c>
      <c r="F456">
        <v>150</v>
      </c>
      <c r="G456">
        <v>46</v>
      </c>
      <c r="H456">
        <v>47</v>
      </c>
      <c r="I456">
        <v>149</v>
      </c>
      <c r="J456">
        <v>45</v>
      </c>
      <c r="K456">
        <v>3783</v>
      </c>
      <c r="L456">
        <v>563667</v>
      </c>
      <c r="M456">
        <f>Inventory_Data[[#This Row],[Opening Stock]]+Inventory_Data[[#This Row],[Purchase Qty]]-Inventory_Data[[#This Row],[Sales Qty]]-Inventory_Data[[#This Row],[Closing Stock]]</f>
        <v>0</v>
      </c>
      <c r="N456">
        <f>Inventory_Data[[#This Row],[Purchase Qty]]*Inventory_Data[[#This Row],[Unit Cost]]</f>
        <v>174018</v>
      </c>
      <c r="O456" t="str">
        <f>IF(Inventory_Data[[#This Row],[Closing Stock]]&lt;=Inventory_Data[[#This Row],[Reorder Level]],"Low Stock","In Stock")</f>
        <v>In Stock</v>
      </c>
      <c r="P456" t="str">
        <f>TEXT(Inventory_Data[[#This Row],[Date]],"MMM")</f>
        <v>Apr</v>
      </c>
      <c r="Q456" t="str">
        <f>TEXT(Inventory_Data[[#This Row],[Date]],"YYYY")</f>
        <v>2025</v>
      </c>
    </row>
    <row r="457" spans="1:17" x14ac:dyDescent="0.3">
      <c r="A457" s="1">
        <v>45755</v>
      </c>
      <c r="B457" t="s">
        <v>40</v>
      </c>
      <c r="C457" t="s">
        <v>28</v>
      </c>
      <c r="D457" t="s">
        <v>26</v>
      </c>
      <c r="E457" t="s">
        <v>34</v>
      </c>
      <c r="F457">
        <v>31</v>
      </c>
      <c r="G457">
        <v>69</v>
      </c>
      <c r="H457">
        <v>56</v>
      </c>
      <c r="I457">
        <v>44</v>
      </c>
      <c r="J457">
        <v>46</v>
      </c>
      <c r="K457">
        <v>24844</v>
      </c>
      <c r="L457">
        <v>1093136</v>
      </c>
      <c r="M457">
        <f>Inventory_Data[[#This Row],[Opening Stock]]+Inventory_Data[[#This Row],[Purchase Qty]]-Inventory_Data[[#This Row],[Sales Qty]]-Inventory_Data[[#This Row],[Closing Stock]]</f>
        <v>0</v>
      </c>
      <c r="N457">
        <f>Inventory_Data[[#This Row],[Purchase Qty]]*Inventory_Data[[#This Row],[Unit Cost]]</f>
        <v>1714236</v>
      </c>
      <c r="O457" t="str">
        <f>IF(Inventory_Data[[#This Row],[Closing Stock]]&lt;=Inventory_Data[[#This Row],[Reorder Level]],"Low Stock","In Stock")</f>
        <v>Low Stock</v>
      </c>
      <c r="P457" t="str">
        <f>TEXT(Inventory_Data[[#This Row],[Date]],"MMM")</f>
        <v>Apr</v>
      </c>
      <c r="Q457" t="str">
        <f>TEXT(Inventory_Data[[#This Row],[Date]],"YYYY")</f>
        <v>2025</v>
      </c>
    </row>
    <row r="458" spans="1:17" x14ac:dyDescent="0.3">
      <c r="A458" s="1">
        <v>45755</v>
      </c>
      <c r="B458" t="s">
        <v>36</v>
      </c>
      <c r="C458" t="s">
        <v>22</v>
      </c>
      <c r="D458" t="s">
        <v>37</v>
      </c>
      <c r="E458" t="s">
        <v>34</v>
      </c>
      <c r="F458">
        <v>165</v>
      </c>
      <c r="G458">
        <v>261</v>
      </c>
      <c r="H458">
        <v>120</v>
      </c>
      <c r="I458">
        <v>306</v>
      </c>
      <c r="J458">
        <v>137</v>
      </c>
      <c r="K458">
        <v>1055</v>
      </c>
      <c r="L458">
        <v>322830</v>
      </c>
      <c r="M458">
        <f>Inventory_Data[[#This Row],[Opening Stock]]+Inventory_Data[[#This Row],[Purchase Qty]]-Inventory_Data[[#This Row],[Sales Qty]]-Inventory_Data[[#This Row],[Closing Stock]]</f>
        <v>0</v>
      </c>
      <c r="N458">
        <f>Inventory_Data[[#This Row],[Purchase Qty]]*Inventory_Data[[#This Row],[Unit Cost]]</f>
        <v>275355</v>
      </c>
      <c r="O458" t="str">
        <f>IF(Inventory_Data[[#This Row],[Closing Stock]]&lt;=Inventory_Data[[#This Row],[Reorder Level]],"Low Stock","In Stock")</f>
        <v>In Stock</v>
      </c>
      <c r="P458" t="str">
        <f>TEXT(Inventory_Data[[#This Row],[Date]],"MMM")</f>
        <v>Apr</v>
      </c>
      <c r="Q458" t="str">
        <f>TEXT(Inventory_Data[[#This Row],[Date]],"YYYY")</f>
        <v>2025</v>
      </c>
    </row>
    <row r="459" spans="1:17" x14ac:dyDescent="0.3">
      <c r="A459" s="1">
        <v>45755</v>
      </c>
      <c r="B459" t="s">
        <v>27</v>
      </c>
      <c r="C459" t="s">
        <v>28</v>
      </c>
      <c r="D459" t="s">
        <v>26</v>
      </c>
      <c r="E459" t="s">
        <v>18</v>
      </c>
      <c r="F459">
        <v>53</v>
      </c>
      <c r="G459">
        <v>109</v>
      </c>
      <c r="H459">
        <v>21</v>
      </c>
      <c r="I459">
        <v>141</v>
      </c>
      <c r="J459">
        <v>33</v>
      </c>
      <c r="K459">
        <v>24507</v>
      </c>
      <c r="L459">
        <v>3455487</v>
      </c>
      <c r="M459">
        <f>Inventory_Data[[#This Row],[Opening Stock]]+Inventory_Data[[#This Row],[Purchase Qty]]-Inventory_Data[[#This Row],[Sales Qty]]-Inventory_Data[[#This Row],[Closing Stock]]</f>
        <v>0</v>
      </c>
      <c r="N459">
        <f>Inventory_Data[[#This Row],[Purchase Qty]]*Inventory_Data[[#This Row],[Unit Cost]]</f>
        <v>2671263</v>
      </c>
      <c r="O459" t="str">
        <f>IF(Inventory_Data[[#This Row],[Closing Stock]]&lt;=Inventory_Data[[#This Row],[Reorder Level]],"Low Stock","In Stock")</f>
        <v>In Stock</v>
      </c>
      <c r="P459" t="str">
        <f>TEXT(Inventory_Data[[#This Row],[Date]],"MMM")</f>
        <v>Apr</v>
      </c>
      <c r="Q459" t="str">
        <f>TEXT(Inventory_Data[[#This Row],[Date]],"YYYY")</f>
        <v>2025</v>
      </c>
    </row>
    <row r="460" spans="1:17" x14ac:dyDescent="0.3">
      <c r="A460" s="1">
        <v>45756</v>
      </c>
      <c r="B460" t="s">
        <v>45</v>
      </c>
      <c r="C460" t="s">
        <v>13</v>
      </c>
      <c r="D460" t="s">
        <v>23</v>
      </c>
      <c r="E460" t="s">
        <v>15</v>
      </c>
      <c r="F460">
        <v>27</v>
      </c>
      <c r="G460">
        <v>47</v>
      </c>
      <c r="H460">
        <v>22</v>
      </c>
      <c r="I460">
        <v>52</v>
      </c>
      <c r="J460">
        <v>30</v>
      </c>
      <c r="K460">
        <v>2870</v>
      </c>
      <c r="L460">
        <v>149240</v>
      </c>
      <c r="M460">
        <f>Inventory_Data[[#This Row],[Opening Stock]]+Inventory_Data[[#This Row],[Purchase Qty]]-Inventory_Data[[#This Row],[Sales Qty]]-Inventory_Data[[#This Row],[Closing Stock]]</f>
        <v>0</v>
      </c>
      <c r="N460">
        <f>Inventory_Data[[#This Row],[Purchase Qty]]*Inventory_Data[[#This Row],[Unit Cost]]</f>
        <v>134890</v>
      </c>
      <c r="O460" t="str">
        <f>IF(Inventory_Data[[#This Row],[Closing Stock]]&lt;=Inventory_Data[[#This Row],[Reorder Level]],"Low Stock","In Stock")</f>
        <v>In Stock</v>
      </c>
      <c r="P460" t="str">
        <f>TEXT(Inventory_Data[[#This Row],[Date]],"MMM")</f>
        <v>Apr</v>
      </c>
      <c r="Q460" t="str">
        <f>TEXT(Inventory_Data[[#This Row],[Date]],"YYYY")</f>
        <v>2025</v>
      </c>
    </row>
    <row r="461" spans="1:17" x14ac:dyDescent="0.3">
      <c r="A461" s="1">
        <v>45756</v>
      </c>
      <c r="B461" t="s">
        <v>30</v>
      </c>
      <c r="C461" t="s">
        <v>28</v>
      </c>
      <c r="D461" t="s">
        <v>23</v>
      </c>
      <c r="E461" t="s">
        <v>34</v>
      </c>
      <c r="F461">
        <v>30</v>
      </c>
      <c r="G461">
        <v>94</v>
      </c>
      <c r="H461">
        <v>25</v>
      </c>
      <c r="I461">
        <v>99</v>
      </c>
      <c r="J461">
        <v>26</v>
      </c>
      <c r="K461">
        <v>40949</v>
      </c>
      <c r="L461">
        <v>4053951</v>
      </c>
      <c r="M461">
        <f>Inventory_Data[[#This Row],[Opening Stock]]+Inventory_Data[[#This Row],[Purchase Qty]]-Inventory_Data[[#This Row],[Sales Qty]]-Inventory_Data[[#This Row],[Closing Stock]]</f>
        <v>0</v>
      </c>
      <c r="N461">
        <f>Inventory_Data[[#This Row],[Purchase Qty]]*Inventory_Data[[#This Row],[Unit Cost]]</f>
        <v>3849206</v>
      </c>
      <c r="O461" t="str">
        <f>IF(Inventory_Data[[#This Row],[Closing Stock]]&lt;=Inventory_Data[[#This Row],[Reorder Level]],"Low Stock","In Stock")</f>
        <v>In Stock</v>
      </c>
      <c r="P461" t="str">
        <f>TEXT(Inventory_Data[[#This Row],[Date]],"MMM")</f>
        <v>Apr</v>
      </c>
      <c r="Q461" t="str">
        <f>TEXT(Inventory_Data[[#This Row],[Date]],"YYYY")</f>
        <v>2025</v>
      </c>
    </row>
    <row r="462" spans="1:17" x14ac:dyDescent="0.3">
      <c r="A462" s="1">
        <v>45756</v>
      </c>
      <c r="B462" t="s">
        <v>27</v>
      </c>
      <c r="C462" t="s">
        <v>28</v>
      </c>
      <c r="D462" t="s">
        <v>37</v>
      </c>
      <c r="E462" t="s">
        <v>29</v>
      </c>
      <c r="F462">
        <v>102</v>
      </c>
      <c r="G462">
        <v>52</v>
      </c>
      <c r="H462">
        <v>33</v>
      </c>
      <c r="I462">
        <v>121</v>
      </c>
      <c r="J462">
        <v>31</v>
      </c>
      <c r="K462">
        <v>53289</v>
      </c>
      <c r="L462">
        <v>6447969</v>
      </c>
      <c r="M462">
        <f>Inventory_Data[[#This Row],[Opening Stock]]+Inventory_Data[[#This Row],[Purchase Qty]]-Inventory_Data[[#This Row],[Sales Qty]]-Inventory_Data[[#This Row],[Closing Stock]]</f>
        <v>0</v>
      </c>
      <c r="N462">
        <f>Inventory_Data[[#This Row],[Purchase Qty]]*Inventory_Data[[#This Row],[Unit Cost]]</f>
        <v>2771028</v>
      </c>
      <c r="O462" t="str">
        <f>IF(Inventory_Data[[#This Row],[Closing Stock]]&lt;=Inventory_Data[[#This Row],[Reorder Level]],"Low Stock","In Stock")</f>
        <v>In Stock</v>
      </c>
      <c r="P462" t="str">
        <f>TEXT(Inventory_Data[[#This Row],[Date]],"MMM")</f>
        <v>Apr</v>
      </c>
      <c r="Q462" t="str">
        <f>TEXT(Inventory_Data[[#This Row],[Date]],"YYYY")</f>
        <v>2025</v>
      </c>
    </row>
    <row r="463" spans="1:17" x14ac:dyDescent="0.3">
      <c r="A463" s="1">
        <v>45756</v>
      </c>
      <c r="B463" t="s">
        <v>40</v>
      </c>
      <c r="C463" t="s">
        <v>28</v>
      </c>
      <c r="D463" t="s">
        <v>37</v>
      </c>
      <c r="E463" t="s">
        <v>34</v>
      </c>
      <c r="F463">
        <v>101</v>
      </c>
      <c r="G463">
        <v>84</v>
      </c>
      <c r="H463">
        <v>88</v>
      </c>
      <c r="I463">
        <v>97</v>
      </c>
      <c r="J463">
        <v>24</v>
      </c>
      <c r="K463">
        <v>26591</v>
      </c>
      <c r="L463">
        <v>2579327</v>
      </c>
      <c r="M463">
        <f>Inventory_Data[[#This Row],[Opening Stock]]+Inventory_Data[[#This Row],[Purchase Qty]]-Inventory_Data[[#This Row],[Sales Qty]]-Inventory_Data[[#This Row],[Closing Stock]]</f>
        <v>0</v>
      </c>
      <c r="N463">
        <f>Inventory_Data[[#This Row],[Purchase Qty]]*Inventory_Data[[#This Row],[Unit Cost]]</f>
        <v>2233644</v>
      </c>
      <c r="O463" t="str">
        <f>IF(Inventory_Data[[#This Row],[Closing Stock]]&lt;=Inventory_Data[[#This Row],[Reorder Level]],"Low Stock","In Stock")</f>
        <v>In Stock</v>
      </c>
      <c r="P463" t="str">
        <f>TEXT(Inventory_Data[[#This Row],[Date]],"MMM")</f>
        <v>Apr</v>
      </c>
      <c r="Q463" t="str">
        <f>TEXT(Inventory_Data[[#This Row],[Date]],"YYYY")</f>
        <v>2025</v>
      </c>
    </row>
    <row r="464" spans="1:17" x14ac:dyDescent="0.3">
      <c r="A464" s="1">
        <v>45757</v>
      </c>
      <c r="B464" t="s">
        <v>36</v>
      </c>
      <c r="C464" t="s">
        <v>22</v>
      </c>
      <c r="D464" t="s">
        <v>23</v>
      </c>
      <c r="E464" t="s">
        <v>18</v>
      </c>
      <c r="F464">
        <v>193</v>
      </c>
      <c r="G464">
        <v>111</v>
      </c>
      <c r="H464">
        <v>86</v>
      </c>
      <c r="I464">
        <v>218</v>
      </c>
      <c r="J464">
        <v>140</v>
      </c>
      <c r="K464">
        <v>248</v>
      </c>
      <c r="L464">
        <v>54064</v>
      </c>
      <c r="M464">
        <f>Inventory_Data[[#This Row],[Opening Stock]]+Inventory_Data[[#This Row],[Purchase Qty]]-Inventory_Data[[#This Row],[Sales Qty]]-Inventory_Data[[#This Row],[Closing Stock]]</f>
        <v>0</v>
      </c>
      <c r="N464">
        <f>Inventory_Data[[#This Row],[Purchase Qty]]*Inventory_Data[[#This Row],[Unit Cost]]</f>
        <v>27528</v>
      </c>
      <c r="O464" t="str">
        <f>IF(Inventory_Data[[#This Row],[Closing Stock]]&lt;=Inventory_Data[[#This Row],[Reorder Level]],"Low Stock","In Stock")</f>
        <v>In Stock</v>
      </c>
      <c r="P464" t="str">
        <f>TEXT(Inventory_Data[[#This Row],[Date]],"MMM")</f>
        <v>Apr</v>
      </c>
      <c r="Q464" t="str">
        <f>TEXT(Inventory_Data[[#This Row],[Date]],"YYYY")</f>
        <v>2025</v>
      </c>
    </row>
    <row r="465" spans="1:17" x14ac:dyDescent="0.3">
      <c r="A465" s="1">
        <v>45757</v>
      </c>
      <c r="B465" t="s">
        <v>43</v>
      </c>
      <c r="C465" t="s">
        <v>22</v>
      </c>
      <c r="D465" t="s">
        <v>14</v>
      </c>
      <c r="E465" t="s">
        <v>29</v>
      </c>
      <c r="F465">
        <v>262</v>
      </c>
      <c r="G465">
        <v>194</v>
      </c>
      <c r="H465">
        <v>135</v>
      </c>
      <c r="I465">
        <v>321</v>
      </c>
      <c r="J465">
        <v>137</v>
      </c>
      <c r="K465">
        <v>993</v>
      </c>
      <c r="L465">
        <v>318753</v>
      </c>
      <c r="M465">
        <f>Inventory_Data[[#This Row],[Opening Stock]]+Inventory_Data[[#This Row],[Purchase Qty]]-Inventory_Data[[#This Row],[Sales Qty]]-Inventory_Data[[#This Row],[Closing Stock]]</f>
        <v>0</v>
      </c>
      <c r="N465">
        <f>Inventory_Data[[#This Row],[Purchase Qty]]*Inventory_Data[[#This Row],[Unit Cost]]</f>
        <v>192642</v>
      </c>
      <c r="O465" t="str">
        <f>IF(Inventory_Data[[#This Row],[Closing Stock]]&lt;=Inventory_Data[[#This Row],[Reorder Level]],"Low Stock","In Stock")</f>
        <v>In Stock</v>
      </c>
      <c r="P465" t="str">
        <f>TEXT(Inventory_Data[[#This Row],[Date]],"MMM")</f>
        <v>Apr</v>
      </c>
      <c r="Q465" t="str">
        <f>TEXT(Inventory_Data[[#This Row],[Date]],"YYYY")</f>
        <v>2025</v>
      </c>
    </row>
    <row r="466" spans="1:17" x14ac:dyDescent="0.3">
      <c r="A466" s="1">
        <v>45757</v>
      </c>
      <c r="B466" t="s">
        <v>36</v>
      </c>
      <c r="C466" t="s">
        <v>22</v>
      </c>
      <c r="D466" t="s">
        <v>37</v>
      </c>
      <c r="E466" t="s">
        <v>20</v>
      </c>
      <c r="F466">
        <v>409</v>
      </c>
      <c r="G466">
        <v>181</v>
      </c>
      <c r="H466">
        <v>140</v>
      </c>
      <c r="I466">
        <v>450</v>
      </c>
      <c r="J466">
        <v>137</v>
      </c>
      <c r="K466">
        <v>789</v>
      </c>
      <c r="L466">
        <v>355050</v>
      </c>
      <c r="M466">
        <f>Inventory_Data[[#This Row],[Opening Stock]]+Inventory_Data[[#This Row],[Purchase Qty]]-Inventory_Data[[#This Row],[Sales Qty]]-Inventory_Data[[#This Row],[Closing Stock]]</f>
        <v>0</v>
      </c>
      <c r="N466">
        <f>Inventory_Data[[#This Row],[Purchase Qty]]*Inventory_Data[[#This Row],[Unit Cost]]</f>
        <v>142809</v>
      </c>
      <c r="O466" t="str">
        <f>IF(Inventory_Data[[#This Row],[Closing Stock]]&lt;=Inventory_Data[[#This Row],[Reorder Level]],"Low Stock","In Stock")</f>
        <v>In Stock</v>
      </c>
      <c r="P466" t="str">
        <f>TEXT(Inventory_Data[[#This Row],[Date]],"MMM")</f>
        <v>Apr</v>
      </c>
      <c r="Q466" t="str">
        <f>TEXT(Inventory_Data[[#This Row],[Date]],"YYYY")</f>
        <v>2025</v>
      </c>
    </row>
    <row r="467" spans="1:17" x14ac:dyDescent="0.3">
      <c r="A467" s="1">
        <v>45758</v>
      </c>
      <c r="B467" t="s">
        <v>39</v>
      </c>
      <c r="C467" t="s">
        <v>28</v>
      </c>
      <c r="D467" t="s">
        <v>26</v>
      </c>
      <c r="E467" t="s">
        <v>24</v>
      </c>
      <c r="F467">
        <v>90</v>
      </c>
      <c r="G467">
        <v>80</v>
      </c>
      <c r="H467">
        <v>31</v>
      </c>
      <c r="I467">
        <v>139</v>
      </c>
      <c r="J467">
        <v>52</v>
      </c>
      <c r="K467">
        <v>64297</v>
      </c>
      <c r="L467">
        <v>8937283</v>
      </c>
      <c r="M467">
        <f>Inventory_Data[[#This Row],[Opening Stock]]+Inventory_Data[[#This Row],[Purchase Qty]]-Inventory_Data[[#This Row],[Sales Qty]]-Inventory_Data[[#This Row],[Closing Stock]]</f>
        <v>0</v>
      </c>
      <c r="N467">
        <f>Inventory_Data[[#This Row],[Purchase Qty]]*Inventory_Data[[#This Row],[Unit Cost]]</f>
        <v>5143760</v>
      </c>
      <c r="O467" t="str">
        <f>IF(Inventory_Data[[#This Row],[Closing Stock]]&lt;=Inventory_Data[[#This Row],[Reorder Level]],"Low Stock","In Stock")</f>
        <v>In Stock</v>
      </c>
      <c r="P467" t="str">
        <f>TEXT(Inventory_Data[[#This Row],[Date]],"MMM")</f>
        <v>Apr</v>
      </c>
      <c r="Q467" t="str">
        <f>TEXT(Inventory_Data[[#This Row],[Date]],"YYYY")</f>
        <v>2025</v>
      </c>
    </row>
    <row r="468" spans="1:17" x14ac:dyDescent="0.3">
      <c r="A468" s="1">
        <v>45758</v>
      </c>
      <c r="B468" t="s">
        <v>33</v>
      </c>
      <c r="C468" t="s">
        <v>13</v>
      </c>
      <c r="D468" t="s">
        <v>37</v>
      </c>
      <c r="E468" t="s">
        <v>20</v>
      </c>
      <c r="F468">
        <v>70</v>
      </c>
      <c r="G468">
        <v>72</v>
      </c>
      <c r="H468">
        <v>49</v>
      </c>
      <c r="I468">
        <v>93</v>
      </c>
      <c r="J468">
        <v>21</v>
      </c>
      <c r="K468">
        <v>15428</v>
      </c>
      <c r="L468">
        <v>1434804</v>
      </c>
      <c r="M468">
        <f>Inventory_Data[[#This Row],[Opening Stock]]+Inventory_Data[[#This Row],[Purchase Qty]]-Inventory_Data[[#This Row],[Sales Qty]]-Inventory_Data[[#This Row],[Closing Stock]]</f>
        <v>0</v>
      </c>
      <c r="N468">
        <f>Inventory_Data[[#This Row],[Purchase Qty]]*Inventory_Data[[#This Row],[Unit Cost]]</f>
        <v>1110816</v>
      </c>
      <c r="O468" t="str">
        <f>IF(Inventory_Data[[#This Row],[Closing Stock]]&lt;=Inventory_Data[[#This Row],[Reorder Level]],"Low Stock","In Stock")</f>
        <v>In Stock</v>
      </c>
      <c r="P468" t="str">
        <f>TEXT(Inventory_Data[[#This Row],[Date]],"MMM")</f>
        <v>Apr</v>
      </c>
      <c r="Q468" t="str">
        <f>TEXT(Inventory_Data[[#This Row],[Date]],"YYYY")</f>
        <v>2025</v>
      </c>
    </row>
    <row r="469" spans="1:17" x14ac:dyDescent="0.3">
      <c r="A469" s="1">
        <v>45758</v>
      </c>
      <c r="B469" t="s">
        <v>36</v>
      </c>
      <c r="C469" t="s">
        <v>22</v>
      </c>
      <c r="D469" t="s">
        <v>26</v>
      </c>
      <c r="E469" t="s">
        <v>18</v>
      </c>
      <c r="F469">
        <v>225</v>
      </c>
      <c r="G469">
        <v>146</v>
      </c>
      <c r="H469">
        <v>175</v>
      </c>
      <c r="I469">
        <v>196</v>
      </c>
      <c r="J469">
        <v>94</v>
      </c>
      <c r="K469">
        <v>60</v>
      </c>
      <c r="L469">
        <v>11760</v>
      </c>
      <c r="M469">
        <f>Inventory_Data[[#This Row],[Opening Stock]]+Inventory_Data[[#This Row],[Purchase Qty]]-Inventory_Data[[#This Row],[Sales Qty]]-Inventory_Data[[#This Row],[Closing Stock]]</f>
        <v>0</v>
      </c>
      <c r="N469">
        <f>Inventory_Data[[#This Row],[Purchase Qty]]*Inventory_Data[[#This Row],[Unit Cost]]</f>
        <v>8760</v>
      </c>
      <c r="O469" t="str">
        <f>IF(Inventory_Data[[#This Row],[Closing Stock]]&lt;=Inventory_Data[[#This Row],[Reorder Level]],"Low Stock","In Stock")</f>
        <v>In Stock</v>
      </c>
      <c r="P469" t="str">
        <f>TEXT(Inventory_Data[[#This Row],[Date]],"MMM")</f>
        <v>Apr</v>
      </c>
      <c r="Q469" t="str">
        <f>TEXT(Inventory_Data[[#This Row],[Date]],"YYYY")</f>
        <v>2025</v>
      </c>
    </row>
    <row r="470" spans="1:17" x14ac:dyDescent="0.3">
      <c r="A470" s="1">
        <v>45758</v>
      </c>
      <c r="B470" t="s">
        <v>43</v>
      </c>
      <c r="C470" t="s">
        <v>22</v>
      </c>
      <c r="D470" t="s">
        <v>37</v>
      </c>
      <c r="E470" t="s">
        <v>34</v>
      </c>
      <c r="F470">
        <v>106</v>
      </c>
      <c r="G470">
        <v>244</v>
      </c>
      <c r="H470">
        <v>165</v>
      </c>
      <c r="I470">
        <v>185</v>
      </c>
      <c r="J470">
        <v>111</v>
      </c>
      <c r="K470">
        <v>595</v>
      </c>
      <c r="L470">
        <v>110075</v>
      </c>
      <c r="M470">
        <f>Inventory_Data[[#This Row],[Opening Stock]]+Inventory_Data[[#This Row],[Purchase Qty]]-Inventory_Data[[#This Row],[Sales Qty]]-Inventory_Data[[#This Row],[Closing Stock]]</f>
        <v>0</v>
      </c>
      <c r="N470">
        <f>Inventory_Data[[#This Row],[Purchase Qty]]*Inventory_Data[[#This Row],[Unit Cost]]</f>
        <v>145180</v>
      </c>
      <c r="O470" t="str">
        <f>IF(Inventory_Data[[#This Row],[Closing Stock]]&lt;=Inventory_Data[[#This Row],[Reorder Level]],"Low Stock","In Stock")</f>
        <v>In Stock</v>
      </c>
      <c r="P470" t="str">
        <f>TEXT(Inventory_Data[[#This Row],[Date]],"MMM")</f>
        <v>Apr</v>
      </c>
      <c r="Q470" t="str">
        <f>TEXT(Inventory_Data[[#This Row],[Date]],"YYYY")</f>
        <v>2025</v>
      </c>
    </row>
    <row r="471" spans="1:17" x14ac:dyDescent="0.3">
      <c r="A471" s="1">
        <v>45759</v>
      </c>
      <c r="B471" t="s">
        <v>35</v>
      </c>
      <c r="C471" t="s">
        <v>22</v>
      </c>
      <c r="D471" t="s">
        <v>23</v>
      </c>
      <c r="E471" t="s">
        <v>18</v>
      </c>
      <c r="F471">
        <v>93</v>
      </c>
      <c r="G471">
        <v>44</v>
      </c>
      <c r="H471">
        <v>137</v>
      </c>
      <c r="I471">
        <v>0</v>
      </c>
      <c r="J471">
        <v>102</v>
      </c>
      <c r="K471">
        <v>70</v>
      </c>
      <c r="L471">
        <v>0</v>
      </c>
      <c r="M471">
        <f>Inventory_Data[[#This Row],[Opening Stock]]+Inventory_Data[[#This Row],[Purchase Qty]]-Inventory_Data[[#This Row],[Sales Qty]]-Inventory_Data[[#This Row],[Closing Stock]]</f>
        <v>0</v>
      </c>
      <c r="N471">
        <f>Inventory_Data[[#This Row],[Purchase Qty]]*Inventory_Data[[#This Row],[Unit Cost]]</f>
        <v>3080</v>
      </c>
      <c r="O471" t="str">
        <f>IF(Inventory_Data[[#This Row],[Closing Stock]]&lt;=Inventory_Data[[#This Row],[Reorder Level]],"Low Stock","In Stock")</f>
        <v>Low Stock</v>
      </c>
      <c r="P471" t="str">
        <f>TEXT(Inventory_Data[[#This Row],[Date]],"MMM")</f>
        <v>Apr</v>
      </c>
      <c r="Q471" t="str">
        <f>TEXT(Inventory_Data[[#This Row],[Date]],"YYYY")</f>
        <v>2025</v>
      </c>
    </row>
    <row r="472" spans="1:17" x14ac:dyDescent="0.3">
      <c r="A472" s="1">
        <v>45759</v>
      </c>
      <c r="B472" t="s">
        <v>45</v>
      </c>
      <c r="C472" t="s">
        <v>13</v>
      </c>
      <c r="D472" t="s">
        <v>26</v>
      </c>
      <c r="E472" t="s">
        <v>24</v>
      </c>
      <c r="F472">
        <v>105</v>
      </c>
      <c r="G472">
        <v>49</v>
      </c>
      <c r="H472">
        <v>45</v>
      </c>
      <c r="I472">
        <v>109</v>
      </c>
      <c r="J472">
        <v>27</v>
      </c>
      <c r="K472">
        <v>9544</v>
      </c>
      <c r="L472">
        <v>1040296</v>
      </c>
      <c r="M472">
        <f>Inventory_Data[[#This Row],[Opening Stock]]+Inventory_Data[[#This Row],[Purchase Qty]]-Inventory_Data[[#This Row],[Sales Qty]]-Inventory_Data[[#This Row],[Closing Stock]]</f>
        <v>0</v>
      </c>
      <c r="N472">
        <f>Inventory_Data[[#This Row],[Purchase Qty]]*Inventory_Data[[#This Row],[Unit Cost]]</f>
        <v>467656</v>
      </c>
      <c r="O472" t="str">
        <f>IF(Inventory_Data[[#This Row],[Closing Stock]]&lt;=Inventory_Data[[#This Row],[Reorder Level]],"Low Stock","In Stock")</f>
        <v>In Stock</v>
      </c>
      <c r="P472" t="str">
        <f>TEXT(Inventory_Data[[#This Row],[Date]],"MMM")</f>
        <v>Apr</v>
      </c>
      <c r="Q472" t="str">
        <f>TEXT(Inventory_Data[[#This Row],[Date]],"YYYY")</f>
        <v>2025</v>
      </c>
    </row>
    <row r="473" spans="1:17" x14ac:dyDescent="0.3">
      <c r="A473" s="1">
        <v>45759</v>
      </c>
      <c r="B473" t="s">
        <v>43</v>
      </c>
      <c r="C473" t="s">
        <v>22</v>
      </c>
      <c r="D473" t="s">
        <v>26</v>
      </c>
      <c r="E473" t="s">
        <v>24</v>
      </c>
      <c r="F473">
        <v>69</v>
      </c>
      <c r="G473">
        <v>146</v>
      </c>
      <c r="H473">
        <v>183</v>
      </c>
      <c r="I473">
        <v>32</v>
      </c>
      <c r="J473">
        <v>94</v>
      </c>
      <c r="K473">
        <v>904</v>
      </c>
      <c r="L473">
        <v>28928</v>
      </c>
      <c r="M473">
        <f>Inventory_Data[[#This Row],[Opening Stock]]+Inventory_Data[[#This Row],[Purchase Qty]]-Inventory_Data[[#This Row],[Sales Qty]]-Inventory_Data[[#This Row],[Closing Stock]]</f>
        <v>0</v>
      </c>
      <c r="N473">
        <f>Inventory_Data[[#This Row],[Purchase Qty]]*Inventory_Data[[#This Row],[Unit Cost]]</f>
        <v>131984</v>
      </c>
      <c r="O473" t="str">
        <f>IF(Inventory_Data[[#This Row],[Closing Stock]]&lt;=Inventory_Data[[#This Row],[Reorder Level]],"Low Stock","In Stock")</f>
        <v>Low Stock</v>
      </c>
      <c r="P473" t="str">
        <f>TEXT(Inventory_Data[[#This Row],[Date]],"MMM")</f>
        <v>Apr</v>
      </c>
      <c r="Q473" t="str">
        <f>TEXT(Inventory_Data[[#This Row],[Date]],"YYYY")</f>
        <v>2025</v>
      </c>
    </row>
    <row r="474" spans="1:17" x14ac:dyDescent="0.3">
      <c r="A474" s="1">
        <v>45759</v>
      </c>
      <c r="B474" t="s">
        <v>45</v>
      </c>
      <c r="C474" t="s">
        <v>13</v>
      </c>
      <c r="D474" t="s">
        <v>23</v>
      </c>
      <c r="E474" t="s">
        <v>34</v>
      </c>
      <c r="F474">
        <v>56</v>
      </c>
      <c r="G474">
        <v>36</v>
      </c>
      <c r="H474">
        <v>41</v>
      </c>
      <c r="I474">
        <v>51</v>
      </c>
      <c r="J474">
        <v>28</v>
      </c>
      <c r="K474">
        <v>7464</v>
      </c>
      <c r="L474">
        <v>380664</v>
      </c>
      <c r="M474">
        <f>Inventory_Data[[#This Row],[Opening Stock]]+Inventory_Data[[#This Row],[Purchase Qty]]-Inventory_Data[[#This Row],[Sales Qty]]-Inventory_Data[[#This Row],[Closing Stock]]</f>
        <v>0</v>
      </c>
      <c r="N474">
        <f>Inventory_Data[[#This Row],[Purchase Qty]]*Inventory_Data[[#This Row],[Unit Cost]]</f>
        <v>268704</v>
      </c>
      <c r="O474" t="str">
        <f>IF(Inventory_Data[[#This Row],[Closing Stock]]&lt;=Inventory_Data[[#This Row],[Reorder Level]],"Low Stock","In Stock")</f>
        <v>In Stock</v>
      </c>
      <c r="P474" t="str">
        <f>TEXT(Inventory_Data[[#This Row],[Date]],"MMM")</f>
        <v>Apr</v>
      </c>
      <c r="Q474" t="str">
        <f>TEXT(Inventory_Data[[#This Row],[Date]],"YYYY")</f>
        <v>2025</v>
      </c>
    </row>
    <row r="475" spans="1:17" x14ac:dyDescent="0.3">
      <c r="A475" s="1">
        <v>45759</v>
      </c>
      <c r="B475" t="s">
        <v>44</v>
      </c>
      <c r="C475" t="s">
        <v>28</v>
      </c>
      <c r="D475" t="s">
        <v>26</v>
      </c>
      <c r="E475" t="s">
        <v>24</v>
      </c>
      <c r="F475">
        <v>73</v>
      </c>
      <c r="G475">
        <v>23</v>
      </c>
      <c r="H475">
        <v>40</v>
      </c>
      <c r="I475">
        <v>56</v>
      </c>
      <c r="J475">
        <v>37</v>
      </c>
      <c r="K475">
        <v>43505</v>
      </c>
      <c r="L475">
        <v>2436280</v>
      </c>
      <c r="M475">
        <f>Inventory_Data[[#This Row],[Opening Stock]]+Inventory_Data[[#This Row],[Purchase Qty]]-Inventory_Data[[#This Row],[Sales Qty]]-Inventory_Data[[#This Row],[Closing Stock]]</f>
        <v>0</v>
      </c>
      <c r="N475">
        <f>Inventory_Data[[#This Row],[Purchase Qty]]*Inventory_Data[[#This Row],[Unit Cost]]</f>
        <v>1000615</v>
      </c>
      <c r="O475" t="str">
        <f>IF(Inventory_Data[[#This Row],[Closing Stock]]&lt;=Inventory_Data[[#This Row],[Reorder Level]],"Low Stock","In Stock")</f>
        <v>In Stock</v>
      </c>
      <c r="P475" t="str">
        <f>TEXT(Inventory_Data[[#This Row],[Date]],"MMM")</f>
        <v>Apr</v>
      </c>
      <c r="Q475" t="str">
        <f>TEXT(Inventory_Data[[#This Row],[Date]],"YYYY")</f>
        <v>2025</v>
      </c>
    </row>
    <row r="476" spans="1:17" x14ac:dyDescent="0.3">
      <c r="A476" s="1">
        <v>45759</v>
      </c>
      <c r="B476" t="s">
        <v>39</v>
      </c>
      <c r="C476" t="s">
        <v>28</v>
      </c>
      <c r="D476" t="s">
        <v>23</v>
      </c>
      <c r="E476" t="s">
        <v>15</v>
      </c>
      <c r="F476">
        <v>78</v>
      </c>
      <c r="G476">
        <v>36</v>
      </c>
      <c r="H476">
        <v>73</v>
      </c>
      <c r="I476">
        <v>41</v>
      </c>
      <c r="J476">
        <v>22</v>
      </c>
      <c r="K476">
        <v>10552</v>
      </c>
      <c r="L476">
        <v>432632</v>
      </c>
      <c r="M476">
        <f>Inventory_Data[[#This Row],[Opening Stock]]+Inventory_Data[[#This Row],[Purchase Qty]]-Inventory_Data[[#This Row],[Sales Qty]]-Inventory_Data[[#This Row],[Closing Stock]]</f>
        <v>0</v>
      </c>
      <c r="N476">
        <f>Inventory_Data[[#This Row],[Purchase Qty]]*Inventory_Data[[#This Row],[Unit Cost]]</f>
        <v>379872</v>
      </c>
      <c r="O476" t="str">
        <f>IF(Inventory_Data[[#This Row],[Closing Stock]]&lt;=Inventory_Data[[#This Row],[Reorder Level]],"Low Stock","In Stock")</f>
        <v>In Stock</v>
      </c>
      <c r="P476" t="str">
        <f>TEXT(Inventory_Data[[#This Row],[Date]],"MMM")</f>
        <v>Apr</v>
      </c>
      <c r="Q476" t="str">
        <f>TEXT(Inventory_Data[[#This Row],[Date]],"YYYY")</f>
        <v>2025</v>
      </c>
    </row>
    <row r="477" spans="1:17" x14ac:dyDescent="0.3">
      <c r="A477" s="1">
        <v>45760</v>
      </c>
      <c r="B477" t="s">
        <v>31</v>
      </c>
      <c r="C477" t="s">
        <v>22</v>
      </c>
      <c r="D477" t="s">
        <v>23</v>
      </c>
      <c r="E477" t="s">
        <v>29</v>
      </c>
      <c r="F477">
        <v>59</v>
      </c>
      <c r="G477">
        <v>100</v>
      </c>
      <c r="H477">
        <v>99</v>
      </c>
      <c r="I477">
        <v>60</v>
      </c>
      <c r="J477">
        <v>79</v>
      </c>
      <c r="K477">
        <v>245</v>
      </c>
      <c r="L477">
        <v>14700</v>
      </c>
      <c r="M477">
        <f>Inventory_Data[[#This Row],[Opening Stock]]+Inventory_Data[[#This Row],[Purchase Qty]]-Inventory_Data[[#This Row],[Sales Qty]]-Inventory_Data[[#This Row],[Closing Stock]]</f>
        <v>0</v>
      </c>
      <c r="N477">
        <f>Inventory_Data[[#This Row],[Purchase Qty]]*Inventory_Data[[#This Row],[Unit Cost]]</f>
        <v>24500</v>
      </c>
      <c r="O477" t="str">
        <f>IF(Inventory_Data[[#This Row],[Closing Stock]]&lt;=Inventory_Data[[#This Row],[Reorder Level]],"Low Stock","In Stock")</f>
        <v>Low Stock</v>
      </c>
      <c r="P477" t="str">
        <f>TEXT(Inventory_Data[[#This Row],[Date]],"MMM")</f>
        <v>Apr</v>
      </c>
      <c r="Q477" t="str">
        <f>TEXT(Inventory_Data[[#This Row],[Date]],"YYYY")</f>
        <v>2025</v>
      </c>
    </row>
    <row r="478" spans="1:17" x14ac:dyDescent="0.3">
      <c r="A478" s="1">
        <v>45760</v>
      </c>
      <c r="B478" t="s">
        <v>44</v>
      </c>
      <c r="C478" t="s">
        <v>28</v>
      </c>
      <c r="D478" t="s">
        <v>14</v>
      </c>
      <c r="E478" t="s">
        <v>34</v>
      </c>
      <c r="F478">
        <v>179</v>
      </c>
      <c r="G478">
        <v>88</v>
      </c>
      <c r="H478">
        <v>17</v>
      </c>
      <c r="I478">
        <v>250</v>
      </c>
      <c r="J478">
        <v>21</v>
      </c>
      <c r="K478">
        <v>34587</v>
      </c>
      <c r="L478">
        <v>8646750</v>
      </c>
      <c r="M478">
        <f>Inventory_Data[[#This Row],[Opening Stock]]+Inventory_Data[[#This Row],[Purchase Qty]]-Inventory_Data[[#This Row],[Sales Qty]]-Inventory_Data[[#This Row],[Closing Stock]]</f>
        <v>0</v>
      </c>
      <c r="N478">
        <f>Inventory_Data[[#This Row],[Purchase Qty]]*Inventory_Data[[#This Row],[Unit Cost]]</f>
        <v>3043656</v>
      </c>
      <c r="O478" t="str">
        <f>IF(Inventory_Data[[#This Row],[Closing Stock]]&lt;=Inventory_Data[[#This Row],[Reorder Level]],"Low Stock","In Stock")</f>
        <v>In Stock</v>
      </c>
      <c r="P478" t="str">
        <f>TEXT(Inventory_Data[[#This Row],[Date]],"MMM")</f>
        <v>Apr</v>
      </c>
      <c r="Q478" t="str">
        <f>TEXT(Inventory_Data[[#This Row],[Date]],"YYYY")</f>
        <v>2025</v>
      </c>
    </row>
    <row r="479" spans="1:17" x14ac:dyDescent="0.3">
      <c r="A479" s="1">
        <v>45760</v>
      </c>
      <c r="B479" t="s">
        <v>40</v>
      </c>
      <c r="C479" t="s">
        <v>28</v>
      </c>
      <c r="D479" t="s">
        <v>37</v>
      </c>
      <c r="E479" t="s">
        <v>15</v>
      </c>
      <c r="F479">
        <v>74</v>
      </c>
      <c r="G479">
        <v>10</v>
      </c>
      <c r="H479">
        <v>74</v>
      </c>
      <c r="I479">
        <v>10</v>
      </c>
      <c r="J479">
        <v>53</v>
      </c>
      <c r="K479">
        <v>36428</v>
      </c>
      <c r="L479">
        <v>364280</v>
      </c>
      <c r="M479">
        <f>Inventory_Data[[#This Row],[Opening Stock]]+Inventory_Data[[#This Row],[Purchase Qty]]-Inventory_Data[[#This Row],[Sales Qty]]-Inventory_Data[[#This Row],[Closing Stock]]</f>
        <v>0</v>
      </c>
      <c r="N479">
        <f>Inventory_Data[[#This Row],[Purchase Qty]]*Inventory_Data[[#This Row],[Unit Cost]]</f>
        <v>364280</v>
      </c>
      <c r="O479" t="str">
        <f>IF(Inventory_Data[[#This Row],[Closing Stock]]&lt;=Inventory_Data[[#This Row],[Reorder Level]],"Low Stock","In Stock")</f>
        <v>Low Stock</v>
      </c>
      <c r="P479" t="str">
        <f>TEXT(Inventory_Data[[#This Row],[Date]],"MMM")</f>
        <v>Apr</v>
      </c>
      <c r="Q479" t="str">
        <f>TEXT(Inventory_Data[[#This Row],[Date]],"YYYY")</f>
        <v>2025</v>
      </c>
    </row>
    <row r="480" spans="1:17" x14ac:dyDescent="0.3">
      <c r="A480" s="1">
        <v>45760</v>
      </c>
      <c r="B480" t="s">
        <v>44</v>
      </c>
      <c r="C480" t="s">
        <v>28</v>
      </c>
      <c r="D480" t="s">
        <v>14</v>
      </c>
      <c r="E480" t="s">
        <v>15</v>
      </c>
      <c r="F480">
        <v>122</v>
      </c>
      <c r="G480">
        <v>99</v>
      </c>
      <c r="H480">
        <v>50</v>
      </c>
      <c r="I480">
        <v>171</v>
      </c>
      <c r="J480">
        <v>34</v>
      </c>
      <c r="K480">
        <v>11161</v>
      </c>
      <c r="L480">
        <v>1908531</v>
      </c>
      <c r="M480">
        <f>Inventory_Data[[#This Row],[Opening Stock]]+Inventory_Data[[#This Row],[Purchase Qty]]-Inventory_Data[[#This Row],[Sales Qty]]-Inventory_Data[[#This Row],[Closing Stock]]</f>
        <v>0</v>
      </c>
      <c r="N480">
        <f>Inventory_Data[[#This Row],[Purchase Qty]]*Inventory_Data[[#This Row],[Unit Cost]]</f>
        <v>1104939</v>
      </c>
      <c r="O480" t="str">
        <f>IF(Inventory_Data[[#This Row],[Closing Stock]]&lt;=Inventory_Data[[#This Row],[Reorder Level]],"Low Stock","In Stock")</f>
        <v>In Stock</v>
      </c>
      <c r="P480" t="str">
        <f>TEXT(Inventory_Data[[#This Row],[Date]],"MMM")</f>
        <v>Apr</v>
      </c>
      <c r="Q480" t="str">
        <f>TEXT(Inventory_Data[[#This Row],[Date]],"YYYY")</f>
        <v>2025</v>
      </c>
    </row>
    <row r="481" spans="1:17" x14ac:dyDescent="0.3">
      <c r="A481" s="1">
        <v>45761</v>
      </c>
      <c r="B481" t="s">
        <v>39</v>
      </c>
      <c r="C481" t="s">
        <v>28</v>
      </c>
      <c r="D481" t="s">
        <v>23</v>
      </c>
      <c r="E481" t="s">
        <v>34</v>
      </c>
      <c r="F481">
        <v>145</v>
      </c>
      <c r="G481">
        <v>80</v>
      </c>
      <c r="H481">
        <v>37</v>
      </c>
      <c r="I481">
        <v>188</v>
      </c>
      <c r="J481">
        <v>26</v>
      </c>
      <c r="K481">
        <v>56419</v>
      </c>
      <c r="L481">
        <v>10606772</v>
      </c>
      <c r="M481">
        <f>Inventory_Data[[#This Row],[Opening Stock]]+Inventory_Data[[#This Row],[Purchase Qty]]-Inventory_Data[[#This Row],[Sales Qty]]-Inventory_Data[[#This Row],[Closing Stock]]</f>
        <v>0</v>
      </c>
      <c r="N481">
        <f>Inventory_Data[[#This Row],[Purchase Qty]]*Inventory_Data[[#This Row],[Unit Cost]]</f>
        <v>4513520</v>
      </c>
      <c r="O481" t="str">
        <f>IF(Inventory_Data[[#This Row],[Closing Stock]]&lt;=Inventory_Data[[#This Row],[Reorder Level]],"Low Stock","In Stock")</f>
        <v>In Stock</v>
      </c>
      <c r="P481" t="str">
        <f>TEXT(Inventory_Data[[#This Row],[Date]],"MMM")</f>
        <v>Apr</v>
      </c>
      <c r="Q481" t="str">
        <f>TEXT(Inventory_Data[[#This Row],[Date]],"YYYY")</f>
        <v>2025</v>
      </c>
    </row>
    <row r="482" spans="1:17" x14ac:dyDescent="0.3">
      <c r="A482" s="1">
        <v>45761</v>
      </c>
      <c r="B482" t="s">
        <v>42</v>
      </c>
      <c r="C482" t="s">
        <v>17</v>
      </c>
      <c r="D482" t="s">
        <v>37</v>
      </c>
      <c r="E482" t="s">
        <v>29</v>
      </c>
      <c r="F482">
        <v>91</v>
      </c>
      <c r="G482">
        <v>46</v>
      </c>
      <c r="H482">
        <v>21</v>
      </c>
      <c r="I482">
        <v>116</v>
      </c>
      <c r="J482">
        <v>21</v>
      </c>
      <c r="K482">
        <v>21409</v>
      </c>
      <c r="L482">
        <v>2483444</v>
      </c>
      <c r="M482">
        <f>Inventory_Data[[#This Row],[Opening Stock]]+Inventory_Data[[#This Row],[Purchase Qty]]-Inventory_Data[[#This Row],[Sales Qty]]-Inventory_Data[[#This Row],[Closing Stock]]</f>
        <v>0</v>
      </c>
      <c r="N482">
        <f>Inventory_Data[[#This Row],[Purchase Qty]]*Inventory_Data[[#This Row],[Unit Cost]]</f>
        <v>984814</v>
      </c>
      <c r="O482" t="str">
        <f>IF(Inventory_Data[[#This Row],[Closing Stock]]&lt;=Inventory_Data[[#This Row],[Reorder Level]],"Low Stock","In Stock")</f>
        <v>In Stock</v>
      </c>
      <c r="P482" t="str">
        <f>TEXT(Inventory_Data[[#This Row],[Date]],"MMM")</f>
        <v>Apr</v>
      </c>
      <c r="Q482" t="str">
        <f>TEXT(Inventory_Data[[#This Row],[Date]],"YYYY")</f>
        <v>2025</v>
      </c>
    </row>
    <row r="483" spans="1:17" x14ac:dyDescent="0.3">
      <c r="A483" s="1">
        <v>45761</v>
      </c>
      <c r="B483" t="s">
        <v>32</v>
      </c>
      <c r="C483" t="s">
        <v>28</v>
      </c>
      <c r="D483" t="s">
        <v>37</v>
      </c>
      <c r="E483" t="s">
        <v>18</v>
      </c>
      <c r="F483">
        <v>83</v>
      </c>
      <c r="G483">
        <v>115</v>
      </c>
      <c r="H483">
        <v>93</v>
      </c>
      <c r="I483">
        <v>105</v>
      </c>
      <c r="J483">
        <v>40</v>
      </c>
      <c r="K483">
        <v>3881</v>
      </c>
      <c r="L483">
        <v>407505</v>
      </c>
      <c r="M483">
        <f>Inventory_Data[[#This Row],[Opening Stock]]+Inventory_Data[[#This Row],[Purchase Qty]]-Inventory_Data[[#This Row],[Sales Qty]]-Inventory_Data[[#This Row],[Closing Stock]]</f>
        <v>0</v>
      </c>
      <c r="N483">
        <f>Inventory_Data[[#This Row],[Purchase Qty]]*Inventory_Data[[#This Row],[Unit Cost]]</f>
        <v>446315</v>
      </c>
      <c r="O483" t="str">
        <f>IF(Inventory_Data[[#This Row],[Closing Stock]]&lt;=Inventory_Data[[#This Row],[Reorder Level]],"Low Stock","In Stock")</f>
        <v>In Stock</v>
      </c>
      <c r="P483" t="str">
        <f>TEXT(Inventory_Data[[#This Row],[Date]],"MMM")</f>
        <v>Apr</v>
      </c>
      <c r="Q483" t="str">
        <f>TEXT(Inventory_Data[[#This Row],[Date]],"YYYY")</f>
        <v>2025</v>
      </c>
    </row>
    <row r="484" spans="1:17" x14ac:dyDescent="0.3">
      <c r="A484" s="1">
        <v>45761</v>
      </c>
      <c r="B484" t="s">
        <v>36</v>
      </c>
      <c r="C484" t="s">
        <v>22</v>
      </c>
      <c r="D484" t="s">
        <v>37</v>
      </c>
      <c r="E484" t="s">
        <v>34</v>
      </c>
      <c r="F484">
        <v>190</v>
      </c>
      <c r="G484">
        <v>196</v>
      </c>
      <c r="H484">
        <v>37</v>
      </c>
      <c r="I484">
        <v>349</v>
      </c>
      <c r="J484">
        <v>77</v>
      </c>
      <c r="K484">
        <v>581</v>
      </c>
      <c r="L484">
        <v>202769</v>
      </c>
      <c r="M484">
        <f>Inventory_Data[[#This Row],[Opening Stock]]+Inventory_Data[[#This Row],[Purchase Qty]]-Inventory_Data[[#This Row],[Sales Qty]]-Inventory_Data[[#This Row],[Closing Stock]]</f>
        <v>0</v>
      </c>
      <c r="N484">
        <f>Inventory_Data[[#This Row],[Purchase Qty]]*Inventory_Data[[#This Row],[Unit Cost]]</f>
        <v>113876</v>
      </c>
      <c r="O484" t="str">
        <f>IF(Inventory_Data[[#This Row],[Closing Stock]]&lt;=Inventory_Data[[#This Row],[Reorder Level]],"Low Stock","In Stock")</f>
        <v>In Stock</v>
      </c>
      <c r="P484" t="str">
        <f>TEXT(Inventory_Data[[#This Row],[Date]],"MMM")</f>
        <v>Apr</v>
      </c>
      <c r="Q484" t="str">
        <f>TEXT(Inventory_Data[[#This Row],[Date]],"YYYY")</f>
        <v>2025</v>
      </c>
    </row>
    <row r="485" spans="1:17" x14ac:dyDescent="0.3">
      <c r="A485" s="1">
        <v>45761</v>
      </c>
      <c r="B485" t="s">
        <v>27</v>
      </c>
      <c r="C485" t="s">
        <v>28</v>
      </c>
      <c r="D485" t="s">
        <v>26</v>
      </c>
      <c r="E485" t="s">
        <v>29</v>
      </c>
      <c r="F485">
        <v>120</v>
      </c>
      <c r="G485">
        <v>38</v>
      </c>
      <c r="H485">
        <v>86</v>
      </c>
      <c r="I485">
        <v>72</v>
      </c>
      <c r="J485">
        <v>58</v>
      </c>
      <c r="K485">
        <v>39209</v>
      </c>
      <c r="L485">
        <v>2823048</v>
      </c>
      <c r="M485">
        <f>Inventory_Data[[#This Row],[Opening Stock]]+Inventory_Data[[#This Row],[Purchase Qty]]-Inventory_Data[[#This Row],[Sales Qty]]-Inventory_Data[[#This Row],[Closing Stock]]</f>
        <v>0</v>
      </c>
      <c r="N485">
        <f>Inventory_Data[[#This Row],[Purchase Qty]]*Inventory_Data[[#This Row],[Unit Cost]]</f>
        <v>1489942</v>
      </c>
      <c r="O485" t="str">
        <f>IF(Inventory_Data[[#This Row],[Closing Stock]]&lt;=Inventory_Data[[#This Row],[Reorder Level]],"Low Stock","In Stock")</f>
        <v>In Stock</v>
      </c>
      <c r="P485" t="str">
        <f>TEXT(Inventory_Data[[#This Row],[Date]],"MMM")</f>
        <v>Apr</v>
      </c>
      <c r="Q485" t="str">
        <f>TEXT(Inventory_Data[[#This Row],[Date]],"YYYY")</f>
        <v>2025</v>
      </c>
    </row>
    <row r="486" spans="1:17" x14ac:dyDescent="0.3">
      <c r="A486" s="1">
        <v>45761</v>
      </c>
      <c r="B486" t="s">
        <v>39</v>
      </c>
      <c r="C486" t="s">
        <v>28</v>
      </c>
      <c r="D486" t="s">
        <v>26</v>
      </c>
      <c r="E486" t="s">
        <v>18</v>
      </c>
      <c r="F486">
        <v>156</v>
      </c>
      <c r="G486">
        <v>52</v>
      </c>
      <c r="H486">
        <v>52</v>
      </c>
      <c r="I486">
        <v>156</v>
      </c>
      <c r="J486">
        <v>48</v>
      </c>
      <c r="K486">
        <v>40774</v>
      </c>
      <c r="L486">
        <v>6360744</v>
      </c>
      <c r="M486">
        <f>Inventory_Data[[#This Row],[Opening Stock]]+Inventory_Data[[#This Row],[Purchase Qty]]-Inventory_Data[[#This Row],[Sales Qty]]-Inventory_Data[[#This Row],[Closing Stock]]</f>
        <v>0</v>
      </c>
      <c r="N486">
        <f>Inventory_Data[[#This Row],[Purchase Qty]]*Inventory_Data[[#This Row],[Unit Cost]]</f>
        <v>2120248</v>
      </c>
      <c r="O486" t="str">
        <f>IF(Inventory_Data[[#This Row],[Closing Stock]]&lt;=Inventory_Data[[#This Row],[Reorder Level]],"Low Stock","In Stock")</f>
        <v>In Stock</v>
      </c>
      <c r="P486" t="str">
        <f>TEXT(Inventory_Data[[#This Row],[Date]],"MMM")</f>
        <v>Apr</v>
      </c>
      <c r="Q486" t="str">
        <f>TEXT(Inventory_Data[[#This Row],[Date]],"YYYY")</f>
        <v>2025</v>
      </c>
    </row>
    <row r="487" spans="1:17" x14ac:dyDescent="0.3">
      <c r="A487" s="1">
        <v>45761</v>
      </c>
      <c r="B487" t="s">
        <v>19</v>
      </c>
      <c r="C487" t="s">
        <v>13</v>
      </c>
      <c r="D487" t="s">
        <v>23</v>
      </c>
      <c r="E487" t="s">
        <v>18</v>
      </c>
      <c r="F487">
        <v>58</v>
      </c>
      <c r="G487">
        <v>27</v>
      </c>
      <c r="H487">
        <v>59</v>
      </c>
      <c r="I487">
        <v>26</v>
      </c>
      <c r="J487">
        <v>27</v>
      </c>
      <c r="K487">
        <v>1514</v>
      </c>
      <c r="L487">
        <v>39364</v>
      </c>
      <c r="M487">
        <f>Inventory_Data[[#This Row],[Opening Stock]]+Inventory_Data[[#This Row],[Purchase Qty]]-Inventory_Data[[#This Row],[Sales Qty]]-Inventory_Data[[#This Row],[Closing Stock]]</f>
        <v>0</v>
      </c>
      <c r="N487">
        <f>Inventory_Data[[#This Row],[Purchase Qty]]*Inventory_Data[[#This Row],[Unit Cost]]</f>
        <v>40878</v>
      </c>
      <c r="O487" t="str">
        <f>IF(Inventory_Data[[#This Row],[Closing Stock]]&lt;=Inventory_Data[[#This Row],[Reorder Level]],"Low Stock","In Stock")</f>
        <v>Low Stock</v>
      </c>
      <c r="P487" t="str">
        <f>TEXT(Inventory_Data[[#This Row],[Date]],"MMM")</f>
        <v>Apr</v>
      </c>
      <c r="Q487" t="str">
        <f>TEXT(Inventory_Data[[#This Row],[Date]],"YYYY")</f>
        <v>2025</v>
      </c>
    </row>
    <row r="488" spans="1:17" x14ac:dyDescent="0.3">
      <c r="A488" s="1">
        <v>45762</v>
      </c>
      <c r="B488" t="s">
        <v>12</v>
      </c>
      <c r="C488" t="s">
        <v>13</v>
      </c>
      <c r="D488" t="s">
        <v>37</v>
      </c>
      <c r="E488" t="s">
        <v>34</v>
      </c>
      <c r="F488">
        <v>119</v>
      </c>
      <c r="G488">
        <v>73</v>
      </c>
      <c r="H488">
        <v>17</v>
      </c>
      <c r="I488">
        <v>175</v>
      </c>
      <c r="J488">
        <v>17</v>
      </c>
      <c r="K488">
        <v>6506</v>
      </c>
      <c r="L488">
        <v>1138550</v>
      </c>
      <c r="M488">
        <f>Inventory_Data[[#This Row],[Opening Stock]]+Inventory_Data[[#This Row],[Purchase Qty]]-Inventory_Data[[#This Row],[Sales Qty]]-Inventory_Data[[#This Row],[Closing Stock]]</f>
        <v>0</v>
      </c>
      <c r="N488">
        <f>Inventory_Data[[#This Row],[Purchase Qty]]*Inventory_Data[[#This Row],[Unit Cost]]</f>
        <v>474938</v>
      </c>
      <c r="O488" t="str">
        <f>IF(Inventory_Data[[#This Row],[Closing Stock]]&lt;=Inventory_Data[[#This Row],[Reorder Level]],"Low Stock","In Stock")</f>
        <v>In Stock</v>
      </c>
      <c r="P488" t="str">
        <f>TEXT(Inventory_Data[[#This Row],[Date]],"MMM")</f>
        <v>Apr</v>
      </c>
      <c r="Q488" t="str">
        <f>TEXT(Inventory_Data[[#This Row],[Date]],"YYYY")</f>
        <v>2025</v>
      </c>
    </row>
    <row r="489" spans="1:17" x14ac:dyDescent="0.3">
      <c r="A489" s="1">
        <v>45762</v>
      </c>
      <c r="B489" t="s">
        <v>40</v>
      </c>
      <c r="C489" t="s">
        <v>28</v>
      </c>
      <c r="D489" t="s">
        <v>37</v>
      </c>
      <c r="E489" t="s">
        <v>34</v>
      </c>
      <c r="F489">
        <v>164</v>
      </c>
      <c r="G489">
        <v>65</v>
      </c>
      <c r="H489">
        <v>49</v>
      </c>
      <c r="I489">
        <v>180</v>
      </c>
      <c r="J489">
        <v>29</v>
      </c>
      <c r="K489">
        <v>21437</v>
      </c>
      <c r="L489">
        <v>3858660</v>
      </c>
      <c r="M489">
        <f>Inventory_Data[[#This Row],[Opening Stock]]+Inventory_Data[[#This Row],[Purchase Qty]]-Inventory_Data[[#This Row],[Sales Qty]]-Inventory_Data[[#This Row],[Closing Stock]]</f>
        <v>0</v>
      </c>
      <c r="N489">
        <f>Inventory_Data[[#This Row],[Purchase Qty]]*Inventory_Data[[#This Row],[Unit Cost]]</f>
        <v>1393405</v>
      </c>
      <c r="O489" t="str">
        <f>IF(Inventory_Data[[#This Row],[Closing Stock]]&lt;=Inventory_Data[[#This Row],[Reorder Level]],"Low Stock","In Stock")</f>
        <v>In Stock</v>
      </c>
      <c r="P489" t="str">
        <f>TEXT(Inventory_Data[[#This Row],[Date]],"MMM")</f>
        <v>Apr</v>
      </c>
      <c r="Q489" t="str">
        <f>TEXT(Inventory_Data[[#This Row],[Date]],"YYYY")</f>
        <v>2025</v>
      </c>
    </row>
    <row r="490" spans="1:17" x14ac:dyDescent="0.3">
      <c r="A490" s="1">
        <v>45762</v>
      </c>
      <c r="B490" t="s">
        <v>45</v>
      </c>
      <c r="C490" t="s">
        <v>13</v>
      </c>
      <c r="D490" t="s">
        <v>26</v>
      </c>
      <c r="E490" t="s">
        <v>29</v>
      </c>
      <c r="F490">
        <v>96</v>
      </c>
      <c r="G490">
        <v>79</v>
      </c>
      <c r="H490">
        <v>50</v>
      </c>
      <c r="I490">
        <v>125</v>
      </c>
      <c r="J490">
        <v>36</v>
      </c>
      <c r="K490">
        <v>15751</v>
      </c>
      <c r="L490">
        <v>1968875</v>
      </c>
      <c r="M490">
        <f>Inventory_Data[[#This Row],[Opening Stock]]+Inventory_Data[[#This Row],[Purchase Qty]]-Inventory_Data[[#This Row],[Sales Qty]]-Inventory_Data[[#This Row],[Closing Stock]]</f>
        <v>0</v>
      </c>
      <c r="N490">
        <f>Inventory_Data[[#This Row],[Purchase Qty]]*Inventory_Data[[#This Row],[Unit Cost]]</f>
        <v>1244329</v>
      </c>
      <c r="O490" t="str">
        <f>IF(Inventory_Data[[#This Row],[Closing Stock]]&lt;=Inventory_Data[[#This Row],[Reorder Level]],"Low Stock","In Stock")</f>
        <v>In Stock</v>
      </c>
      <c r="P490" t="str">
        <f>TEXT(Inventory_Data[[#This Row],[Date]],"MMM")</f>
        <v>Apr</v>
      </c>
      <c r="Q490" t="str">
        <f>TEXT(Inventory_Data[[#This Row],[Date]],"YYYY")</f>
        <v>2025</v>
      </c>
    </row>
    <row r="491" spans="1:17" x14ac:dyDescent="0.3">
      <c r="A491" s="1">
        <v>45762</v>
      </c>
      <c r="B491" t="s">
        <v>35</v>
      </c>
      <c r="C491" t="s">
        <v>22</v>
      </c>
      <c r="D491" t="s">
        <v>37</v>
      </c>
      <c r="E491" t="s">
        <v>15</v>
      </c>
      <c r="F491">
        <v>230</v>
      </c>
      <c r="G491">
        <v>73</v>
      </c>
      <c r="H491">
        <v>184</v>
      </c>
      <c r="I491">
        <v>119</v>
      </c>
      <c r="J491">
        <v>136</v>
      </c>
      <c r="K491">
        <v>181</v>
      </c>
      <c r="L491">
        <v>21539</v>
      </c>
      <c r="M491">
        <f>Inventory_Data[[#This Row],[Opening Stock]]+Inventory_Data[[#This Row],[Purchase Qty]]-Inventory_Data[[#This Row],[Sales Qty]]-Inventory_Data[[#This Row],[Closing Stock]]</f>
        <v>0</v>
      </c>
      <c r="N491">
        <f>Inventory_Data[[#This Row],[Purchase Qty]]*Inventory_Data[[#This Row],[Unit Cost]]</f>
        <v>13213</v>
      </c>
      <c r="O491" t="str">
        <f>IF(Inventory_Data[[#This Row],[Closing Stock]]&lt;=Inventory_Data[[#This Row],[Reorder Level]],"Low Stock","In Stock")</f>
        <v>Low Stock</v>
      </c>
      <c r="P491" t="str">
        <f>TEXT(Inventory_Data[[#This Row],[Date]],"MMM")</f>
        <v>Apr</v>
      </c>
      <c r="Q491" t="str">
        <f>TEXT(Inventory_Data[[#This Row],[Date]],"YYYY")</f>
        <v>2025</v>
      </c>
    </row>
    <row r="492" spans="1:17" x14ac:dyDescent="0.3">
      <c r="A492" s="1">
        <v>45762</v>
      </c>
      <c r="B492" t="s">
        <v>16</v>
      </c>
      <c r="C492" t="s">
        <v>17</v>
      </c>
      <c r="D492" t="s">
        <v>23</v>
      </c>
      <c r="E492" t="s">
        <v>20</v>
      </c>
      <c r="F492">
        <v>28</v>
      </c>
      <c r="G492">
        <v>33</v>
      </c>
      <c r="H492">
        <v>32</v>
      </c>
      <c r="I492">
        <v>29</v>
      </c>
      <c r="J492">
        <v>15</v>
      </c>
      <c r="K492">
        <v>13137</v>
      </c>
      <c r="L492">
        <v>380973</v>
      </c>
      <c r="M492">
        <f>Inventory_Data[[#This Row],[Opening Stock]]+Inventory_Data[[#This Row],[Purchase Qty]]-Inventory_Data[[#This Row],[Sales Qty]]-Inventory_Data[[#This Row],[Closing Stock]]</f>
        <v>0</v>
      </c>
      <c r="N492">
        <f>Inventory_Data[[#This Row],[Purchase Qty]]*Inventory_Data[[#This Row],[Unit Cost]]</f>
        <v>433521</v>
      </c>
      <c r="O492" t="str">
        <f>IF(Inventory_Data[[#This Row],[Closing Stock]]&lt;=Inventory_Data[[#This Row],[Reorder Level]],"Low Stock","In Stock")</f>
        <v>In Stock</v>
      </c>
      <c r="P492" t="str">
        <f>TEXT(Inventory_Data[[#This Row],[Date]],"MMM")</f>
        <v>Apr</v>
      </c>
      <c r="Q492" t="str">
        <f>TEXT(Inventory_Data[[#This Row],[Date]],"YYYY")</f>
        <v>2025</v>
      </c>
    </row>
    <row r="493" spans="1:17" x14ac:dyDescent="0.3">
      <c r="A493" s="1">
        <v>45762</v>
      </c>
      <c r="B493" t="s">
        <v>44</v>
      </c>
      <c r="C493" t="s">
        <v>28</v>
      </c>
      <c r="D493" t="s">
        <v>23</v>
      </c>
      <c r="E493" t="s">
        <v>34</v>
      </c>
      <c r="F493">
        <v>89</v>
      </c>
      <c r="G493">
        <v>71</v>
      </c>
      <c r="H493">
        <v>84</v>
      </c>
      <c r="I493">
        <v>76</v>
      </c>
      <c r="J493">
        <v>42</v>
      </c>
      <c r="K493">
        <v>5697</v>
      </c>
      <c r="L493">
        <v>432972</v>
      </c>
      <c r="M493">
        <f>Inventory_Data[[#This Row],[Opening Stock]]+Inventory_Data[[#This Row],[Purchase Qty]]-Inventory_Data[[#This Row],[Sales Qty]]-Inventory_Data[[#This Row],[Closing Stock]]</f>
        <v>0</v>
      </c>
      <c r="N493">
        <f>Inventory_Data[[#This Row],[Purchase Qty]]*Inventory_Data[[#This Row],[Unit Cost]]</f>
        <v>404487</v>
      </c>
      <c r="O493" t="str">
        <f>IF(Inventory_Data[[#This Row],[Closing Stock]]&lt;=Inventory_Data[[#This Row],[Reorder Level]],"Low Stock","In Stock")</f>
        <v>In Stock</v>
      </c>
      <c r="P493" t="str">
        <f>TEXT(Inventory_Data[[#This Row],[Date]],"MMM")</f>
        <v>Apr</v>
      </c>
      <c r="Q493" t="str">
        <f>TEXT(Inventory_Data[[#This Row],[Date]],"YYYY")</f>
        <v>2025</v>
      </c>
    </row>
    <row r="494" spans="1:17" x14ac:dyDescent="0.3">
      <c r="A494" s="1">
        <v>45762</v>
      </c>
      <c r="B494" t="s">
        <v>41</v>
      </c>
      <c r="C494" t="s">
        <v>22</v>
      </c>
      <c r="D494" t="s">
        <v>37</v>
      </c>
      <c r="E494" t="s">
        <v>20</v>
      </c>
      <c r="F494">
        <v>299</v>
      </c>
      <c r="G494">
        <v>123</v>
      </c>
      <c r="H494">
        <v>229</v>
      </c>
      <c r="I494">
        <v>193</v>
      </c>
      <c r="J494">
        <v>118</v>
      </c>
      <c r="K494">
        <v>870</v>
      </c>
      <c r="L494">
        <v>167910</v>
      </c>
      <c r="M494">
        <f>Inventory_Data[[#This Row],[Opening Stock]]+Inventory_Data[[#This Row],[Purchase Qty]]-Inventory_Data[[#This Row],[Sales Qty]]-Inventory_Data[[#This Row],[Closing Stock]]</f>
        <v>0</v>
      </c>
      <c r="N494">
        <f>Inventory_Data[[#This Row],[Purchase Qty]]*Inventory_Data[[#This Row],[Unit Cost]]</f>
        <v>107010</v>
      </c>
      <c r="O494" t="str">
        <f>IF(Inventory_Data[[#This Row],[Closing Stock]]&lt;=Inventory_Data[[#This Row],[Reorder Level]],"Low Stock","In Stock")</f>
        <v>In Stock</v>
      </c>
      <c r="P494" t="str">
        <f>TEXT(Inventory_Data[[#This Row],[Date]],"MMM")</f>
        <v>Apr</v>
      </c>
      <c r="Q494" t="str">
        <f>TEXT(Inventory_Data[[#This Row],[Date]],"YYYY")</f>
        <v>2025</v>
      </c>
    </row>
    <row r="495" spans="1:17" x14ac:dyDescent="0.3">
      <c r="A495" s="1">
        <v>45763</v>
      </c>
      <c r="B495" t="s">
        <v>45</v>
      </c>
      <c r="C495" t="s">
        <v>13</v>
      </c>
      <c r="D495" t="s">
        <v>26</v>
      </c>
      <c r="E495" t="s">
        <v>18</v>
      </c>
      <c r="F495">
        <v>65</v>
      </c>
      <c r="G495">
        <v>20</v>
      </c>
      <c r="H495">
        <v>26</v>
      </c>
      <c r="I495">
        <v>59</v>
      </c>
      <c r="J495">
        <v>17</v>
      </c>
      <c r="K495">
        <v>11785</v>
      </c>
      <c r="L495">
        <v>695315</v>
      </c>
      <c r="M495">
        <f>Inventory_Data[[#This Row],[Opening Stock]]+Inventory_Data[[#This Row],[Purchase Qty]]-Inventory_Data[[#This Row],[Sales Qty]]-Inventory_Data[[#This Row],[Closing Stock]]</f>
        <v>0</v>
      </c>
      <c r="N495">
        <f>Inventory_Data[[#This Row],[Purchase Qty]]*Inventory_Data[[#This Row],[Unit Cost]]</f>
        <v>235700</v>
      </c>
      <c r="O495" t="str">
        <f>IF(Inventory_Data[[#This Row],[Closing Stock]]&lt;=Inventory_Data[[#This Row],[Reorder Level]],"Low Stock","In Stock")</f>
        <v>In Stock</v>
      </c>
      <c r="P495" t="str">
        <f>TEXT(Inventory_Data[[#This Row],[Date]],"MMM")</f>
        <v>Apr</v>
      </c>
      <c r="Q495" t="str">
        <f>TEXT(Inventory_Data[[#This Row],[Date]],"YYYY")</f>
        <v>2025</v>
      </c>
    </row>
    <row r="496" spans="1:17" x14ac:dyDescent="0.3">
      <c r="A496" s="1">
        <v>45763</v>
      </c>
      <c r="B496" t="s">
        <v>21</v>
      </c>
      <c r="C496" t="s">
        <v>22</v>
      </c>
      <c r="D496" t="s">
        <v>26</v>
      </c>
      <c r="E496" t="s">
        <v>15</v>
      </c>
      <c r="F496">
        <v>207</v>
      </c>
      <c r="G496">
        <v>176</v>
      </c>
      <c r="H496">
        <v>154</v>
      </c>
      <c r="I496">
        <v>229</v>
      </c>
      <c r="J496">
        <v>112</v>
      </c>
      <c r="K496">
        <v>139</v>
      </c>
      <c r="L496">
        <v>31831</v>
      </c>
      <c r="M496">
        <f>Inventory_Data[[#This Row],[Opening Stock]]+Inventory_Data[[#This Row],[Purchase Qty]]-Inventory_Data[[#This Row],[Sales Qty]]-Inventory_Data[[#This Row],[Closing Stock]]</f>
        <v>0</v>
      </c>
      <c r="N496">
        <f>Inventory_Data[[#This Row],[Purchase Qty]]*Inventory_Data[[#This Row],[Unit Cost]]</f>
        <v>24464</v>
      </c>
      <c r="O496" t="str">
        <f>IF(Inventory_Data[[#This Row],[Closing Stock]]&lt;=Inventory_Data[[#This Row],[Reorder Level]],"Low Stock","In Stock")</f>
        <v>In Stock</v>
      </c>
      <c r="P496" t="str">
        <f>TEXT(Inventory_Data[[#This Row],[Date]],"MMM")</f>
        <v>Apr</v>
      </c>
      <c r="Q496" t="str">
        <f>TEXT(Inventory_Data[[#This Row],[Date]],"YYYY")</f>
        <v>2025</v>
      </c>
    </row>
    <row r="497" spans="1:17" x14ac:dyDescent="0.3">
      <c r="A497" s="1">
        <v>45763</v>
      </c>
      <c r="B497" t="s">
        <v>32</v>
      </c>
      <c r="C497" t="s">
        <v>28</v>
      </c>
      <c r="D497" t="s">
        <v>14</v>
      </c>
      <c r="E497" t="s">
        <v>34</v>
      </c>
      <c r="F497">
        <v>51</v>
      </c>
      <c r="G497">
        <v>83</v>
      </c>
      <c r="H497">
        <v>47</v>
      </c>
      <c r="I497">
        <v>87</v>
      </c>
      <c r="J497">
        <v>24</v>
      </c>
      <c r="K497">
        <v>31344</v>
      </c>
      <c r="L497">
        <v>2726928</v>
      </c>
      <c r="M497">
        <f>Inventory_Data[[#This Row],[Opening Stock]]+Inventory_Data[[#This Row],[Purchase Qty]]-Inventory_Data[[#This Row],[Sales Qty]]-Inventory_Data[[#This Row],[Closing Stock]]</f>
        <v>0</v>
      </c>
      <c r="N497">
        <f>Inventory_Data[[#This Row],[Purchase Qty]]*Inventory_Data[[#This Row],[Unit Cost]]</f>
        <v>2601552</v>
      </c>
      <c r="O497" t="str">
        <f>IF(Inventory_Data[[#This Row],[Closing Stock]]&lt;=Inventory_Data[[#This Row],[Reorder Level]],"Low Stock","In Stock")</f>
        <v>In Stock</v>
      </c>
      <c r="P497" t="str">
        <f>TEXT(Inventory_Data[[#This Row],[Date]],"MMM")</f>
        <v>Apr</v>
      </c>
      <c r="Q497" t="str">
        <f>TEXT(Inventory_Data[[#This Row],[Date]],"YYYY")</f>
        <v>2025</v>
      </c>
    </row>
    <row r="498" spans="1:17" x14ac:dyDescent="0.3">
      <c r="A498" s="1">
        <v>45764</v>
      </c>
      <c r="B498" t="s">
        <v>35</v>
      </c>
      <c r="C498" t="s">
        <v>22</v>
      </c>
      <c r="D498" t="s">
        <v>26</v>
      </c>
      <c r="E498" t="s">
        <v>24</v>
      </c>
      <c r="F498">
        <v>431</v>
      </c>
      <c r="G498">
        <v>273</v>
      </c>
      <c r="H498">
        <v>82</v>
      </c>
      <c r="I498">
        <v>622</v>
      </c>
      <c r="J498">
        <v>133</v>
      </c>
      <c r="K498">
        <v>888</v>
      </c>
      <c r="L498">
        <v>552336</v>
      </c>
      <c r="M498">
        <f>Inventory_Data[[#This Row],[Opening Stock]]+Inventory_Data[[#This Row],[Purchase Qty]]-Inventory_Data[[#This Row],[Sales Qty]]-Inventory_Data[[#This Row],[Closing Stock]]</f>
        <v>0</v>
      </c>
      <c r="N498">
        <f>Inventory_Data[[#This Row],[Purchase Qty]]*Inventory_Data[[#This Row],[Unit Cost]]</f>
        <v>242424</v>
      </c>
      <c r="O498" t="str">
        <f>IF(Inventory_Data[[#This Row],[Closing Stock]]&lt;=Inventory_Data[[#This Row],[Reorder Level]],"Low Stock","In Stock")</f>
        <v>In Stock</v>
      </c>
      <c r="P498" t="str">
        <f>TEXT(Inventory_Data[[#This Row],[Date]],"MMM")</f>
        <v>Apr</v>
      </c>
      <c r="Q498" t="str">
        <f>TEXT(Inventory_Data[[#This Row],[Date]],"YYYY")</f>
        <v>2025</v>
      </c>
    </row>
    <row r="499" spans="1:17" x14ac:dyDescent="0.3">
      <c r="A499" s="1">
        <v>45764</v>
      </c>
      <c r="B499" t="s">
        <v>16</v>
      </c>
      <c r="C499" t="s">
        <v>17</v>
      </c>
      <c r="D499" t="s">
        <v>23</v>
      </c>
      <c r="E499" t="s">
        <v>20</v>
      </c>
      <c r="F499">
        <v>26</v>
      </c>
      <c r="G499">
        <v>19</v>
      </c>
      <c r="H499">
        <v>34</v>
      </c>
      <c r="I499">
        <v>11</v>
      </c>
      <c r="J499">
        <v>28</v>
      </c>
      <c r="K499">
        <v>22763</v>
      </c>
      <c r="L499">
        <v>250393</v>
      </c>
      <c r="M499">
        <f>Inventory_Data[[#This Row],[Opening Stock]]+Inventory_Data[[#This Row],[Purchase Qty]]-Inventory_Data[[#This Row],[Sales Qty]]-Inventory_Data[[#This Row],[Closing Stock]]</f>
        <v>0</v>
      </c>
      <c r="N499">
        <f>Inventory_Data[[#This Row],[Purchase Qty]]*Inventory_Data[[#This Row],[Unit Cost]]</f>
        <v>432497</v>
      </c>
      <c r="O499" t="str">
        <f>IF(Inventory_Data[[#This Row],[Closing Stock]]&lt;=Inventory_Data[[#This Row],[Reorder Level]],"Low Stock","In Stock")</f>
        <v>Low Stock</v>
      </c>
      <c r="P499" t="str">
        <f>TEXT(Inventory_Data[[#This Row],[Date]],"MMM")</f>
        <v>Apr</v>
      </c>
      <c r="Q499" t="str">
        <f>TEXT(Inventory_Data[[#This Row],[Date]],"YYYY")</f>
        <v>2025</v>
      </c>
    </row>
    <row r="500" spans="1:17" x14ac:dyDescent="0.3">
      <c r="A500" s="1">
        <v>45764</v>
      </c>
      <c r="B500" t="s">
        <v>21</v>
      </c>
      <c r="C500" t="s">
        <v>22</v>
      </c>
      <c r="D500" t="s">
        <v>26</v>
      </c>
      <c r="E500" t="s">
        <v>34</v>
      </c>
      <c r="F500">
        <v>275</v>
      </c>
      <c r="G500">
        <v>247</v>
      </c>
      <c r="H500">
        <v>250</v>
      </c>
      <c r="I500">
        <v>272</v>
      </c>
      <c r="J500">
        <v>52</v>
      </c>
      <c r="K500">
        <v>525</v>
      </c>
      <c r="L500">
        <v>142800</v>
      </c>
      <c r="M500">
        <f>Inventory_Data[[#This Row],[Opening Stock]]+Inventory_Data[[#This Row],[Purchase Qty]]-Inventory_Data[[#This Row],[Sales Qty]]-Inventory_Data[[#This Row],[Closing Stock]]</f>
        <v>0</v>
      </c>
      <c r="N500">
        <f>Inventory_Data[[#This Row],[Purchase Qty]]*Inventory_Data[[#This Row],[Unit Cost]]</f>
        <v>129675</v>
      </c>
      <c r="O500" t="str">
        <f>IF(Inventory_Data[[#This Row],[Closing Stock]]&lt;=Inventory_Data[[#This Row],[Reorder Level]],"Low Stock","In Stock")</f>
        <v>In Stock</v>
      </c>
      <c r="P500" t="str">
        <f>TEXT(Inventory_Data[[#This Row],[Date]],"MMM")</f>
        <v>Apr</v>
      </c>
      <c r="Q500" t="str">
        <f>TEXT(Inventory_Data[[#This Row],[Date]],"YYYY")</f>
        <v>2025</v>
      </c>
    </row>
    <row r="501" spans="1:17" x14ac:dyDescent="0.3">
      <c r="A501" s="1">
        <v>45764</v>
      </c>
      <c r="B501" t="s">
        <v>38</v>
      </c>
      <c r="C501" t="s">
        <v>17</v>
      </c>
      <c r="D501" t="s">
        <v>23</v>
      </c>
      <c r="E501" t="s">
        <v>20</v>
      </c>
      <c r="F501">
        <v>60</v>
      </c>
      <c r="G501">
        <v>32</v>
      </c>
      <c r="H501">
        <v>22</v>
      </c>
      <c r="I501">
        <v>70</v>
      </c>
      <c r="J501">
        <v>22</v>
      </c>
      <c r="K501">
        <v>11248</v>
      </c>
      <c r="L501">
        <v>787360</v>
      </c>
      <c r="M501">
        <f>Inventory_Data[[#This Row],[Opening Stock]]+Inventory_Data[[#This Row],[Purchase Qty]]-Inventory_Data[[#This Row],[Sales Qty]]-Inventory_Data[[#This Row],[Closing Stock]]</f>
        <v>0</v>
      </c>
      <c r="N501">
        <f>Inventory_Data[[#This Row],[Purchase Qty]]*Inventory_Data[[#This Row],[Unit Cost]]</f>
        <v>359936</v>
      </c>
      <c r="O501" t="str">
        <f>IF(Inventory_Data[[#This Row],[Closing Stock]]&lt;=Inventory_Data[[#This Row],[Reorder Level]],"Low Stock","In Stock")</f>
        <v>In Stock</v>
      </c>
      <c r="P501" t="str">
        <f>TEXT(Inventory_Data[[#This Row],[Date]],"MMM")</f>
        <v>Apr</v>
      </c>
      <c r="Q501" t="str">
        <f>TEXT(Inventory_Data[[#This Row],[Date]],"YYYY")</f>
        <v>2025</v>
      </c>
    </row>
    <row r="502" spans="1:17" x14ac:dyDescent="0.3">
      <c r="A502" s="1">
        <v>45764</v>
      </c>
      <c r="B502" t="s">
        <v>40</v>
      </c>
      <c r="C502" t="s">
        <v>28</v>
      </c>
      <c r="D502" t="s">
        <v>37</v>
      </c>
      <c r="E502" t="s">
        <v>18</v>
      </c>
      <c r="F502">
        <v>55</v>
      </c>
      <c r="G502">
        <v>94</v>
      </c>
      <c r="H502">
        <v>31</v>
      </c>
      <c r="I502">
        <v>118</v>
      </c>
      <c r="J502">
        <v>47</v>
      </c>
      <c r="K502">
        <v>4040</v>
      </c>
      <c r="L502">
        <v>476720</v>
      </c>
      <c r="M502">
        <f>Inventory_Data[[#This Row],[Opening Stock]]+Inventory_Data[[#This Row],[Purchase Qty]]-Inventory_Data[[#This Row],[Sales Qty]]-Inventory_Data[[#This Row],[Closing Stock]]</f>
        <v>0</v>
      </c>
      <c r="N502">
        <f>Inventory_Data[[#This Row],[Purchase Qty]]*Inventory_Data[[#This Row],[Unit Cost]]</f>
        <v>379760</v>
      </c>
      <c r="O502" t="str">
        <f>IF(Inventory_Data[[#This Row],[Closing Stock]]&lt;=Inventory_Data[[#This Row],[Reorder Level]],"Low Stock","In Stock")</f>
        <v>In Stock</v>
      </c>
      <c r="P502" t="str">
        <f>TEXT(Inventory_Data[[#This Row],[Date]],"MMM")</f>
        <v>Apr</v>
      </c>
      <c r="Q502" t="str">
        <f>TEXT(Inventory_Data[[#This Row],[Date]],"YYYY")</f>
        <v>2025</v>
      </c>
    </row>
    <row r="503" spans="1:17" x14ac:dyDescent="0.3">
      <c r="A503" s="1">
        <v>45764</v>
      </c>
      <c r="B503" t="s">
        <v>39</v>
      </c>
      <c r="C503" t="s">
        <v>28</v>
      </c>
      <c r="D503" t="s">
        <v>37</v>
      </c>
      <c r="E503" t="s">
        <v>20</v>
      </c>
      <c r="F503">
        <v>158</v>
      </c>
      <c r="G503">
        <v>42</v>
      </c>
      <c r="H503">
        <v>62</v>
      </c>
      <c r="I503">
        <v>138</v>
      </c>
      <c r="J503">
        <v>20</v>
      </c>
      <c r="K503">
        <v>21837</v>
      </c>
      <c r="L503">
        <v>3013506</v>
      </c>
      <c r="M503">
        <f>Inventory_Data[[#This Row],[Opening Stock]]+Inventory_Data[[#This Row],[Purchase Qty]]-Inventory_Data[[#This Row],[Sales Qty]]-Inventory_Data[[#This Row],[Closing Stock]]</f>
        <v>0</v>
      </c>
      <c r="N503">
        <f>Inventory_Data[[#This Row],[Purchase Qty]]*Inventory_Data[[#This Row],[Unit Cost]]</f>
        <v>917154</v>
      </c>
      <c r="O503" t="str">
        <f>IF(Inventory_Data[[#This Row],[Closing Stock]]&lt;=Inventory_Data[[#This Row],[Reorder Level]],"Low Stock","In Stock")</f>
        <v>In Stock</v>
      </c>
      <c r="P503" t="str">
        <f>TEXT(Inventory_Data[[#This Row],[Date]],"MMM")</f>
        <v>Apr</v>
      </c>
      <c r="Q503" t="str">
        <f>TEXT(Inventory_Data[[#This Row],[Date]],"YYYY")</f>
        <v>2025</v>
      </c>
    </row>
    <row r="504" spans="1:17" x14ac:dyDescent="0.3">
      <c r="A504" s="1">
        <v>45764</v>
      </c>
      <c r="B504" t="s">
        <v>25</v>
      </c>
      <c r="C504" t="s">
        <v>17</v>
      </c>
      <c r="D504" t="s">
        <v>14</v>
      </c>
      <c r="E504" t="s">
        <v>24</v>
      </c>
      <c r="F504">
        <v>81</v>
      </c>
      <c r="G504">
        <v>5</v>
      </c>
      <c r="H504">
        <v>37</v>
      </c>
      <c r="I504">
        <v>49</v>
      </c>
      <c r="J504">
        <v>23</v>
      </c>
      <c r="K504">
        <v>21602</v>
      </c>
      <c r="L504">
        <v>1058498</v>
      </c>
      <c r="M504">
        <f>Inventory_Data[[#This Row],[Opening Stock]]+Inventory_Data[[#This Row],[Purchase Qty]]-Inventory_Data[[#This Row],[Sales Qty]]-Inventory_Data[[#This Row],[Closing Stock]]</f>
        <v>0</v>
      </c>
      <c r="N504">
        <f>Inventory_Data[[#This Row],[Purchase Qty]]*Inventory_Data[[#This Row],[Unit Cost]]</f>
        <v>108010</v>
      </c>
      <c r="O504" t="str">
        <f>IF(Inventory_Data[[#This Row],[Closing Stock]]&lt;=Inventory_Data[[#This Row],[Reorder Level]],"Low Stock","In Stock")</f>
        <v>In Stock</v>
      </c>
      <c r="P504" t="str">
        <f>TEXT(Inventory_Data[[#This Row],[Date]],"MMM")</f>
        <v>Apr</v>
      </c>
      <c r="Q504" t="str">
        <f>TEXT(Inventory_Data[[#This Row],[Date]],"YYYY")</f>
        <v>2025</v>
      </c>
    </row>
    <row r="505" spans="1:17" x14ac:dyDescent="0.3">
      <c r="A505" s="1">
        <v>45764</v>
      </c>
      <c r="B505" t="s">
        <v>35</v>
      </c>
      <c r="C505" t="s">
        <v>22</v>
      </c>
      <c r="D505" t="s">
        <v>23</v>
      </c>
      <c r="E505" t="s">
        <v>29</v>
      </c>
      <c r="F505">
        <v>368</v>
      </c>
      <c r="G505">
        <v>77</v>
      </c>
      <c r="H505">
        <v>70</v>
      </c>
      <c r="I505">
        <v>375</v>
      </c>
      <c r="J505">
        <v>75</v>
      </c>
      <c r="K505">
        <v>356</v>
      </c>
      <c r="L505">
        <v>133500</v>
      </c>
      <c r="M505">
        <f>Inventory_Data[[#This Row],[Opening Stock]]+Inventory_Data[[#This Row],[Purchase Qty]]-Inventory_Data[[#This Row],[Sales Qty]]-Inventory_Data[[#This Row],[Closing Stock]]</f>
        <v>0</v>
      </c>
      <c r="N505">
        <f>Inventory_Data[[#This Row],[Purchase Qty]]*Inventory_Data[[#This Row],[Unit Cost]]</f>
        <v>27412</v>
      </c>
      <c r="O505" t="str">
        <f>IF(Inventory_Data[[#This Row],[Closing Stock]]&lt;=Inventory_Data[[#This Row],[Reorder Level]],"Low Stock","In Stock")</f>
        <v>In Stock</v>
      </c>
      <c r="P505" t="str">
        <f>TEXT(Inventory_Data[[#This Row],[Date]],"MMM")</f>
        <v>Apr</v>
      </c>
      <c r="Q505" t="str">
        <f>TEXT(Inventory_Data[[#This Row],[Date]],"YYYY")</f>
        <v>2025</v>
      </c>
    </row>
    <row r="506" spans="1:17" x14ac:dyDescent="0.3">
      <c r="A506" s="1">
        <v>45765</v>
      </c>
      <c r="B506" t="s">
        <v>36</v>
      </c>
      <c r="C506" t="s">
        <v>22</v>
      </c>
      <c r="D506" t="s">
        <v>26</v>
      </c>
      <c r="E506" t="s">
        <v>34</v>
      </c>
      <c r="F506">
        <v>72</v>
      </c>
      <c r="G506">
        <v>173</v>
      </c>
      <c r="H506">
        <v>153</v>
      </c>
      <c r="I506">
        <v>92</v>
      </c>
      <c r="J506">
        <v>144</v>
      </c>
      <c r="K506">
        <v>75</v>
      </c>
      <c r="L506">
        <v>6900</v>
      </c>
      <c r="M506">
        <f>Inventory_Data[[#This Row],[Opening Stock]]+Inventory_Data[[#This Row],[Purchase Qty]]-Inventory_Data[[#This Row],[Sales Qty]]-Inventory_Data[[#This Row],[Closing Stock]]</f>
        <v>0</v>
      </c>
      <c r="N506">
        <f>Inventory_Data[[#This Row],[Purchase Qty]]*Inventory_Data[[#This Row],[Unit Cost]]</f>
        <v>12975</v>
      </c>
      <c r="O506" t="str">
        <f>IF(Inventory_Data[[#This Row],[Closing Stock]]&lt;=Inventory_Data[[#This Row],[Reorder Level]],"Low Stock","In Stock")</f>
        <v>Low Stock</v>
      </c>
      <c r="P506" t="str">
        <f>TEXT(Inventory_Data[[#This Row],[Date]],"MMM")</f>
        <v>Apr</v>
      </c>
      <c r="Q506" t="str">
        <f>TEXT(Inventory_Data[[#This Row],[Date]],"YYYY")</f>
        <v>2025</v>
      </c>
    </row>
    <row r="507" spans="1:17" x14ac:dyDescent="0.3">
      <c r="A507" s="1">
        <v>45765</v>
      </c>
      <c r="B507" t="s">
        <v>16</v>
      </c>
      <c r="C507" t="s">
        <v>17</v>
      </c>
      <c r="D507" t="s">
        <v>37</v>
      </c>
      <c r="E507" t="s">
        <v>34</v>
      </c>
      <c r="F507">
        <v>42</v>
      </c>
      <c r="G507">
        <v>27</v>
      </c>
      <c r="H507">
        <v>14</v>
      </c>
      <c r="I507">
        <v>55</v>
      </c>
      <c r="J507">
        <v>26</v>
      </c>
      <c r="K507">
        <v>4113</v>
      </c>
      <c r="L507">
        <v>226215</v>
      </c>
      <c r="M507">
        <f>Inventory_Data[[#This Row],[Opening Stock]]+Inventory_Data[[#This Row],[Purchase Qty]]-Inventory_Data[[#This Row],[Sales Qty]]-Inventory_Data[[#This Row],[Closing Stock]]</f>
        <v>0</v>
      </c>
      <c r="N507">
        <f>Inventory_Data[[#This Row],[Purchase Qty]]*Inventory_Data[[#This Row],[Unit Cost]]</f>
        <v>111051</v>
      </c>
      <c r="O507" t="str">
        <f>IF(Inventory_Data[[#This Row],[Closing Stock]]&lt;=Inventory_Data[[#This Row],[Reorder Level]],"Low Stock","In Stock")</f>
        <v>In Stock</v>
      </c>
      <c r="P507" t="str">
        <f>TEXT(Inventory_Data[[#This Row],[Date]],"MMM")</f>
        <v>Apr</v>
      </c>
      <c r="Q507" t="str">
        <f>TEXT(Inventory_Data[[#This Row],[Date]],"YYYY")</f>
        <v>2025</v>
      </c>
    </row>
    <row r="508" spans="1:17" x14ac:dyDescent="0.3">
      <c r="A508" s="1">
        <v>45766</v>
      </c>
      <c r="B508" t="s">
        <v>33</v>
      </c>
      <c r="C508" t="s">
        <v>13</v>
      </c>
      <c r="D508" t="s">
        <v>23</v>
      </c>
      <c r="E508" t="s">
        <v>24</v>
      </c>
      <c r="F508">
        <v>53</v>
      </c>
      <c r="G508">
        <v>14</v>
      </c>
      <c r="H508">
        <v>32</v>
      </c>
      <c r="I508">
        <v>35</v>
      </c>
      <c r="J508">
        <v>16</v>
      </c>
      <c r="K508">
        <v>16645</v>
      </c>
      <c r="L508">
        <v>582575</v>
      </c>
      <c r="M508">
        <f>Inventory_Data[[#This Row],[Opening Stock]]+Inventory_Data[[#This Row],[Purchase Qty]]-Inventory_Data[[#This Row],[Sales Qty]]-Inventory_Data[[#This Row],[Closing Stock]]</f>
        <v>0</v>
      </c>
      <c r="N508">
        <f>Inventory_Data[[#This Row],[Purchase Qty]]*Inventory_Data[[#This Row],[Unit Cost]]</f>
        <v>233030</v>
      </c>
      <c r="O508" t="str">
        <f>IF(Inventory_Data[[#This Row],[Closing Stock]]&lt;=Inventory_Data[[#This Row],[Reorder Level]],"Low Stock","In Stock")</f>
        <v>In Stock</v>
      </c>
      <c r="P508" t="str">
        <f>TEXT(Inventory_Data[[#This Row],[Date]],"MMM")</f>
        <v>Apr</v>
      </c>
      <c r="Q508" t="str">
        <f>TEXT(Inventory_Data[[#This Row],[Date]],"YYYY")</f>
        <v>2025</v>
      </c>
    </row>
    <row r="509" spans="1:17" x14ac:dyDescent="0.3">
      <c r="A509" s="1">
        <v>45766</v>
      </c>
      <c r="B509" t="s">
        <v>19</v>
      </c>
      <c r="C509" t="s">
        <v>13</v>
      </c>
      <c r="D509" t="s">
        <v>14</v>
      </c>
      <c r="E509" t="s">
        <v>15</v>
      </c>
      <c r="F509">
        <v>41</v>
      </c>
      <c r="G509">
        <v>59</v>
      </c>
      <c r="H509">
        <v>19</v>
      </c>
      <c r="I509">
        <v>81</v>
      </c>
      <c r="J509">
        <v>24</v>
      </c>
      <c r="K509">
        <v>13768</v>
      </c>
      <c r="L509">
        <v>1115208</v>
      </c>
      <c r="M509">
        <f>Inventory_Data[[#This Row],[Opening Stock]]+Inventory_Data[[#This Row],[Purchase Qty]]-Inventory_Data[[#This Row],[Sales Qty]]-Inventory_Data[[#This Row],[Closing Stock]]</f>
        <v>0</v>
      </c>
      <c r="N509">
        <f>Inventory_Data[[#This Row],[Purchase Qty]]*Inventory_Data[[#This Row],[Unit Cost]]</f>
        <v>812312</v>
      </c>
      <c r="O509" t="str">
        <f>IF(Inventory_Data[[#This Row],[Closing Stock]]&lt;=Inventory_Data[[#This Row],[Reorder Level]],"Low Stock","In Stock")</f>
        <v>In Stock</v>
      </c>
      <c r="P509" t="str">
        <f>TEXT(Inventory_Data[[#This Row],[Date]],"MMM")</f>
        <v>Apr</v>
      </c>
      <c r="Q509" t="str">
        <f>TEXT(Inventory_Data[[#This Row],[Date]],"YYYY")</f>
        <v>2025</v>
      </c>
    </row>
    <row r="510" spans="1:17" x14ac:dyDescent="0.3">
      <c r="A510" s="1">
        <v>45766</v>
      </c>
      <c r="B510" t="s">
        <v>35</v>
      </c>
      <c r="C510" t="s">
        <v>22</v>
      </c>
      <c r="D510" t="s">
        <v>23</v>
      </c>
      <c r="E510" t="s">
        <v>34</v>
      </c>
      <c r="F510">
        <v>332</v>
      </c>
      <c r="G510">
        <v>133</v>
      </c>
      <c r="H510">
        <v>265</v>
      </c>
      <c r="I510">
        <v>200</v>
      </c>
      <c r="J510">
        <v>128</v>
      </c>
      <c r="K510">
        <v>225</v>
      </c>
      <c r="L510">
        <v>45000</v>
      </c>
      <c r="M510">
        <f>Inventory_Data[[#This Row],[Opening Stock]]+Inventory_Data[[#This Row],[Purchase Qty]]-Inventory_Data[[#This Row],[Sales Qty]]-Inventory_Data[[#This Row],[Closing Stock]]</f>
        <v>0</v>
      </c>
      <c r="N510">
        <f>Inventory_Data[[#This Row],[Purchase Qty]]*Inventory_Data[[#This Row],[Unit Cost]]</f>
        <v>29925</v>
      </c>
      <c r="O510" t="str">
        <f>IF(Inventory_Data[[#This Row],[Closing Stock]]&lt;=Inventory_Data[[#This Row],[Reorder Level]],"Low Stock","In Stock")</f>
        <v>In Stock</v>
      </c>
      <c r="P510" t="str">
        <f>TEXT(Inventory_Data[[#This Row],[Date]],"MMM")</f>
        <v>Apr</v>
      </c>
      <c r="Q510" t="str">
        <f>TEXT(Inventory_Data[[#This Row],[Date]],"YYYY")</f>
        <v>2025</v>
      </c>
    </row>
    <row r="511" spans="1:17" x14ac:dyDescent="0.3">
      <c r="A511" s="1">
        <v>45766</v>
      </c>
      <c r="B511" t="s">
        <v>19</v>
      </c>
      <c r="C511" t="s">
        <v>13</v>
      </c>
      <c r="D511" t="s">
        <v>37</v>
      </c>
      <c r="E511" t="s">
        <v>34</v>
      </c>
      <c r="F511">
        <v>86</v>
      </c>
      <c r="G511">
        <v>32</v>
      </c>
      <c r="H511">
        <v>47</v>
      </c>
      <c r="I511">
        <v>71</v>
      </c>
      <c r="J511">
        <v>15</v>
      </c>
      <c r="K511">
        <v>6425</v>
      </c>
      <c r="L511">
        <v>456175</v>
      </c>
      <c r="M511">
        <f>Inventory_Data[[#This Row],[Opening Stock]]+Inventory_Data[[#This Row],[Purchase Qty]]-Inventory_Data[[#This Row],[Sales Qty]]-Inventory_Data[[#This Row],[Closing Stock]]</f>
        <v>0</v>
      </c>
      <c r="N511">
        <f>Inventory_Data[[#This Row],[Purchase Qty]]*Inventory_Data[[#This Row],[Unit Cost]]</f>
        <v>205600</v>
      </c>
      <c r="O511" t="str">
        <f>IF(Inventory_Data[[#This Row],[Closing Stock]]&lt;=Inventory_Data[[#This Row],[Reorder Level]],"Low Stock","In Stock")</f>
        <v>In Stock</v>
      </c>
      <c r="P511" t="str">
        <f>TEXT(Inventory_Data[[#This Row],[Date]],"MMM")</f>
        <v>Apr</v>
      </c>
      <c r="Q511" t="str">
        <f>TEXT(Inventory_Data[[#This Row],[Date]],"YYYY")</f>
        <v>2025</v>
      </c>
    </row>
    <row r="512" spans="1:17" x14ac:dyDescent="0.3">
      <c r="A512" s="1">
        <v>45766</v>
      </c>
      <c r="B512" t="s">
        <v>41</v>
      </c>
      <c r="C512" t="s">
        <v>22</v>
      </c>
      <c r="D512" t="s">
        <v>14</v>
      </c>
      <c r="E512" t="s">
        <v>34</v>
      </c>
      <c r="F512">
        <v>426</v>
      </c>
      <c r="G512">
        <v>79</v>
      </c>
      <c r="H512">
        <v>114</v>
      </c>
      <c r="I512">
        <v>391</v>
      </c>
      <c r="J512">
        <v>121</v>
      </c>
      <c r="K512">
        <v>1070</v>
      </c>
      <c r="L512">
        <v>418370</v>
      </c>
      <c r="M512">
        <f>Inventory_Data[[#This Row],[Opening Stock]]+Inventory_Data[[#This Row],[Purchase Qty]]-Inventory_Data[[#This Row],[Sales Qty]]-Inventory_Data[[#This Row],[Closing Stock]]</f>
        <v>0</v>
      </c>
      <c r="N512">
        <f>Inventory_Data[[#This Row],[Purchase Qty]]*Inventory_Data[[#This Row],[Unit Cost]]</f>
        <v>84530</v>
      </c>
      <c r="O512" t="str">
        <f>IF(Inventory_Data[[#This Row],[Closing Stock]]&lt;=Inventory_Data[[#This Row],[Reorder Level]],"Low Stock","In Stock")</f>
        <v>In Stock</v>
      </c>
      <c r="P512" t="str">
        <f>TEXT(Inventory_Data[[#This Row],[Date]],"MMM")</f>
        <v>Apr</v>
      </c>
      <c r="Q512" t="str">
        <f>TEXT(Inventory_Data[[#This Row],[Date]],"YYYY")</f>
        <v>2025</v>
      </c>
    </row>
    <row r="513" spans="1:17" x14ac:dyDescent="0.3">
      <c r="A513" s="1">
        <v>45767</v>
      </c>
      <c r="B513" t="s">
        <v>40</v>
      </c>
      <c r="C513" t="s">
        <v>28</v>
      </c>
      <c r="D513" t="s">
        <v>37</v>
      </c>
      <c r="E513" t="s">
        <v>24</v>
      </c>
      <c r="F513">
        <v>168</v>
      </c>
      <c r="G513">
        <v>31</v>
      </c>
      <c r="H513">
        <v>13</v>
      </c>
      <c r="I513">
        <v>186</v>
      </c>
      <c r="J513">
        <v>45</v>
      </c>
      <c r="K513">
        <v>9690</v>
      </c>
      <c r="L513">
        <v>1802340</v>
      </c>
      <c r="M513">
        <f>Inventory_Data[[#This Row],[Opening Stock]]+Inventory_Data[[#This Row],[Purchase Qty]]-Inventory_Data[[#This Row],[Sales Qty]]-Inventory_Data[[#This Row],[Closing Stock]]</f>
        <v>0</v>
      </c>
      <c r="N513">
        <f>Inventory_Data[[#This Row],[Purchase Qty]]*Inventory_Data[[#This Row],[Unit Cost]]</f>
        <v>300390</v>
      </c>
      <c r="O513" t="str">
        <f>IF(Inventory_Data[[#This Row],[Closing Stock]]&lt;=Inventory_Data[[#This Row],[Reorder Level]],"Low Stock","In Stock")</f>
        <v>In Stock</v>
      </c>
      <c r="P513" t="str">
        <f>TEXT(Inventory_Data[[#This Row],[Date]],"MMM")</f>
        <v>Apr</v>
      </c>
      <c r="Q513" t="str">
        <f>TEXT(Inventory_Data[[#This Row],[Date]],"YYYY")</f>
        <v>2025</v>
      </c>
    </row>
    <row r="514" spans="1:17" x14ac:dyDescent="0.3">
      <c r="A514" s="1">
        <v>45767</v>
      </c>
      <c r="B514" t="s">
        <v>40</v>
      </c>
      <c r="C514" t="s">
        <v>28</v>
      </c>
      <c r="D514" t="s">
        <v>37</v>
      </c>
      <c r="E514" t="s">
        <v>24</v>
      </c>
      <c r="F514">
        <v>143</v>
      </c>
      <c r="G514">
        <v>76</v>
      </c>
      <c r="H514">
        <v>75</v>
      </c>
      <c r="I514">
        <v>144</v>
      </c>
      <c r="J514">
        <v>48</v>
      </c>
      <c r="K514">
        <v>33219</v>
      </c>
      <c r="L514">
        <v>4783536</v>
      </c>
      <c r="M514">
        <f>Inventory_Data[[#This Row],[Opening Stock]]+Inventory_Data[[#This Row],[Purchase Qty]]-Inventory_Data[[#This Row],[Sales Qty]]-Inventory_Data[[#This Row],[Closing Stock]]</f>
        <v>0</v>
      </c>
      <c r="N514">
        <f>Inventory_Data[[#This Row],[Purchase Qty]]*Inventory_Data[[#This Row],[Unit Cost]]</f>
        <v>2524644</v>
      </c>
      <c r="O514" t="str">
        <f>IF(Inventory_Data[[#This Row],[Closing Stock]]&lt;=Inventory_Data[[#This Row],[Reorder Level]],"Low Stock","In Stock")</f>
        <v>In Stock</v>
      </c>
      <c r="P514" t="str">
        <f>TEXT(Inventory_Data[[#This Row],[Date]],"MMM")</f>
        <v>Apr</v>
      </c>
      <c r="Q514" t="str">
        <f>TEXT(Inventory_Data[[#This Row],[Date]],"YYYY")</f>
        <v>2025</v>
      </c>
    </row>
    <row r="515" spans="1:17" x14ac:dyDescent="0.3">
      <c r="A515" s="1">
        <v>45767</v>
      </c>
      <c r="B515" t="s">
        <v>16</v>
      </c>
      <c r="C515" t="s">
        <v>17</v>
      </c>
      <c r="D515" t="s">
        <v>23</v>
      </c>
      <c r="E515" t="s">
        <v>24</v>
      </c>
      <c r="F515">
        <v>73</v>
      </c>
      <c r="G515">
        <v>12</v>
      </c>
      <c r="H515">
        <v>30</v>
      </c>
      <c r="I515">
        <v>55</v>
      </c>
      <c r="J515">
        <v>19</v>
      </c>
      <c r="K515">
        <v>2361</v>
      </c>
      <c r="L515">
        <v>129855</v>
      </c>
      <c r="M515">
        <f>Inventory_Data[[#This Row],[Opening Stock]]+Inventory_Data[[#This Row],[Purchase Qty]]-Inventory_Data[[#This Row],[Sales Qty]]-Inventory_Data[[#This Row],[Closing Stock]]</f>
        <v>0</v>
      </c>
      <c r="N515">
        <f>Inventory_Data[[#This Row],[Purchase Qty]]*Inventory_Data[[#This Row],[Unit Cost]]</f>
        <v>28332</v>
      </c>
      <c r="O515" t="str">
        <f>IF(Inventory_Data[[#This Row],[Closing Stock]]&lt;=Inventory_Data[[#This Row],[Reorder Level]],"Low Stock","In Stock")</f>
        <v>In Stock</v>
      </c>
      <c r="P515" t="str">
        <f>TEXT(Inventory_Data[[#This Row],[Date]],"MMM")</f>
        <v>Apr</v>
      </c>
      <c r="Q515" t="str">
        <f>TEXT(Inventory_Data[[#This Row],[Date]],"YYYY")</f>
        <v>2025</v>
      </c>
    </row>
    <row r="516" spans="1:17" x14ac:dyDescent="0.3">
      <c r="A516" s="1">
        <v>45767</v>
      </c>
      <c r="B516" t="s">
        <v>30</v>
      </c>
      <c r="C516" t="s">
        <v>28</v>
      </c>
      <c r="D516" t="s">
        <v>14</v>
      </c>
      <c r="E516" t="s">
        <v>34</v>
      </c>
      <c r="F516">
        <v>133</v>
      </c>
      <c r="G516">
        <v>61</v>
      </c>
      <c r="H516">
        <v>26</v>
      </c>
      <c r="I516">
        <v>168</v>
      </c>
      <c r="J516">
        <v>25</v>
      </c>
      <c r="K516">
        <v>24355</v>
      </c>
      <c r="L516">
        <v>4091640</v>
      </c>
      <c r="M516">
        <f>Inventory_Data[[#This Row],[Opening Stock]]+Inventory_Data[[#This Row],[Purchase Qty]]-Inventory_Data[[#This Row],[Sales Qty]]-Inventory_Data[[#This Row],[Closing Stock]]</f>
        <v>0</v>
      </c>
      <c r="N516">
        <f>Inventory_Data[[#This Row],[Purchase Qty]]*Inventory_Data[[#This Row],[Unit Cost]]</f>
        <v>1485655</v>
      </c>
      <c r="O516" t="str">
        <f>IF(Inventory_Data[[#This Row],[Closing Stock]]&lt;=Inventory_Data[[#This Row],[Reorder Level]],"Low Stock","In Stock")</f>
        <v>In Stock</v>
      </c>
      <c r="P516" t="str">
        <f>TEXT(Inventory_Data[[#This Row],[Date]],"MMM")</f>
        <v>Apr</v>
      </c>
      <c r="Q516" t="str">
        <f>TEXT(Inventory_Data[[#This Row],[Date]],"YYYY")</f>
        <v>2025</v>
      </c>
    </row>
    <row r="517" spans="1:17" x14ac:dyDescent="0.3">
      <c r="A517" s="1">
        <v>45768</v>
      </c>
      <c r="B517" t="s">
        <v>27</v>
      </c>
      <c r="C517" t="s">
        <v>28</v>
      </c>
      <c r="D517" t="s">
        <v>14</v>
      </c>
      <c r="E517" t="s">
        <v>20</v>
      </c>
      <c r="F517">
        <v>53</v>
      </c>
      <c r="G517">
        <v>96</v>
      </c>
      <c r="H517">
        <v>17</v>
      </c>
      <c r="I517">
        <v>132</v>
      </c>
      <c r="J517">
        <v>51</v>
      </c>
      <c r="K517">
        <v>36902</v>
      </c>
      <c r="L517">
        <v>4871064</v>
      </c>
      <c r="M517">
        <f>Inventory_Data[[#This Row],[Opening Stock]]+Inventory_Data[[#This Row],[Purchase Qty]]-Inventory_Data[[#This Row],[Sales Qty]]-Inventory_Data[[#This Row],[Closing Stock]]</f>
        <v>0</v>
      </c>
      <c r="N517">
        <f>Inventory_Data[[#This Row],[Purchase Qty]]*Inventory_Data[[#This Row],[Unit Cost]]</f>
        <v>3542592</v>
      </c>
      <c r="O517" t="str">
        <f>IF(Inventory_Data[[#This Row],[Closing Stock]]&lt;=Inventory_Data[[#This Row],[Reorder Level]],"Low Stock","In Stock")</f>
        <v>In Stock</v>
      </c>
      <c r="P517" t="str">
        <f>TEXT(Inventory_Data[[#This Row],[Date]],"MMM")</f>
        <v>Apr</v>
      </c>
      <c r="Q517" t="str">
        <f>TEXT(Inventory_Data[[#This Row],[Date]],"YYYY")</f>
        <v>2025</v>
      </c>
    </row>
    <row r="518" spans="1:17" x14ac:dyDescent="0.3">
      <c r="A518" s="1">
        <v>45768</v>
      </c>
      <c r="B518" t="s">
        <v>31</v>
      </c>
      <c r="C518" t="s">
        <v>22</v>
      </c>
      <c r="D518" t="s">
        <v>26</v>
      </c>
      <c r="E518" t="s">
        <v>29</v>
      </c>
      <c r="F518">
        <v>153</v>
      </c>
      <c r="G518">
        <v>44</v>
      </c>
      <c r="H518">
        <v>197</v>
      </c>
      <c r="I518">
        <v>0</v>
      </c>
      <c r="J518">
        <v>134</v>
      </c>
      <c r="K518">
        <v>558</v>
      </c>
      <c r="L518">
        <v>0</v>
      </c>
      <c r="M518">
        <f>Inventory_Data[[#This Row],[Opening Stock]]+Inventory_Data[[#This Row],[Purchase Qty]]-Inventory_Data[[#This Row],[Sales Qty]]-Inventory_Data[[#This Row],[Closing Stock]]</f>
        <v>0</v>
      </c>
      <c r="N518">
        <f>Inventory_Data[[#This Row],[Purchase Qty]]*Inventory_Data[[#This Row],[Unit Cost]]</f>
        <v>24552</v>
      </c>
      <c r="O518" t="str">
        <f>IF(Inventory_Data[[#This Row],[Closing Stock]]&lt;=Inventory_Data[[#This Row],[Reorder Level]],"Low Stock","In Stock")</f>
        <v>Low Stock</v>
      </c>
      <c r="P518" t="str">
        <f>TEXT(Inventory_Data[[#This Row],[Date]],"MMM")</f>
        <v>Apr</v>
      </c>
      <c r="Q518" t="str">
        <f>TEXT(Inventory_Data[[#This Row],[Date]],"YYYY")</f>
        <v>2025</v>
      </c>
    </row>
    <row r="519" spans="1:17" x14ac:dyDescent="0.3">
      <c r="A519" s="1">
        <v>45768</v>
      </c>
      <c r="B519" t="s">
        <v>21</v>
      </c>
      <c r="C519" t="s">
        <v>22</v>
      </c>
      <c r="D519" t="s">
        <v>14</v>
      </c>
      <c r="E519" t="s">
        <v>29</v>
      </c>
      <c r="F519">
        <v>412</v>
      </c>
      <c r="G519">
        <v>267</v>
      </c>
      <c r="H519">
        <v>12</v>
      </c>
      <c r="I519">
        <v>667</v>
      </c>
      <c r="J519">
        <v>74</v>
      </c>
      <c r="K519">
        <v>423</v>
      </c>
      <c r="L519">
        <v>282141</v>
      </c>
      <c r="M519">
        <f>Inventory_Data[[#This Row],[Opening Stock]]+Inventory_Data[[#This Row],[Purchase Qty]]-Inventory_Data[[#This Row],[Sales Qty]]-Inventory_Data[[#This Row],[Closing Stock]]</f>
        <v>0</v>
      </c>
      <c r="N519">
        <f>Inventory_Data[[#This Row],[Purchase Qty]]*Inventory_Data[[#This Row],[Unit Cost]]</f>
        <v>112941</v>
      </c>
      <c r="O519" t="str">
        <f>IF(Inventory_Data[[#This Row],[Closing Stock]]&lt;=Inventory_Data[[#This Row],[Reorder Level]],"Low Stock","In Stock")</f>
        <v>In Stock</v>
      </c>
      <c r="P519" t="str">
        <f>TEXT(Inventory_Data[[#This Row],[Date]],"MMM")</f>
        <v>Apr</v>
      </c>
      <c r="Q519" t="str">
        <f>TEXT(Inventory_Data[[#This Row],[Date]],"YYYY")</f>
        <v>2025</v>
      </c>
    </row>
    <row r="520" spans="1:17" x14ac:dyDescent="0.3">
      <c r="A520" s="1">
        <v>45768</v>
      </c>
      <c r="B520" t="s">
        <v>45</v>
      </c>
      <c r="C520" t="s">
        <v>13</v>
      </c>
      <c r="D520" t="s">
        <v>23</v>
      </c>
      <c r="E520" t="s">
        <v>24</v>
      </c>
      <c r="F520">
        <v>23</v>
      </c>
      <c r="G520">
        <v>72</v>
      </c>
      <c r="H520">
        <v>48</v>
      </c>
      <c r="I520">
        <v>47</v>
      </c>
      <c r="J520">
        <v>17</v>
      </c>
      <c r="K520">
        <v>2731</v>
      </c>
      <c r="L520">
        <v>128357</v>
      </c>
      <c r="M520">
        <f>Inventory_Data[[#This Row],[Opening Stock]]+Inventory_Data[[#This Row],[Purchase Qty]]-Inventory_Data[[#This Row],[Sales Qty]]-Inventory_Data[[#This Row],[Closing Stock]]</f>
        <v>0</v>
      </c>
      <c r="N520">
        <f>Inventory_Data[[#This Row],[Purchase Qty]]*Inventory_Data[[#This Row],[Unit Cost]]</f>
        <v>196632</v>
      </c>
      <c r="O520" t="str">
        <f>IF(Inventory_Data[[#This Row],[Closing Stock]]&lt;=Inventory_Data[[#This Row],[Reorder Level]],"Low Stock","In Stock")</f>
        <v>In Stock</v>
      </c>
      <c r="P520" t="str">
        <f>TEXT(Inventory_Data[[#This Row],[Date]],"MMM")</f>
        <v>Apr</v>
      </c>
      <c r="Q520" t="str">
        <f>TEXT(Inventory_Data[[#This Row],[Date]],"YYYY")</f>
        <v>2025</v>
      </c>
    </row>
    <row r="521" spans="1:17" x14ac:dyDescent="0.3">
      <c r="A521" s="1">
        <v>45768</v>
      </c>
      <c r="B521" t="s">
        <v>33</v>
      </c>
      <c r="C521" t="s">
        <v>13</v>
      </c>
      <c r="D521" t="s">
        <v>37</v>
      </c>
      <c r="E521" t="s">
        <v>15</v>
      </c>
      <c r="F521">
        <v>100</v>
      </c>
      <c r="G521">
        <v>38</v>
      </c>
      <c r="H521">
        <v>49</v>
      </c>
      <c r="I521">
        <v>89</v>
      </c>
      <c r="J521">
        <v>22</v>
      </c>
      <c r="K521">
        <v>8643</v>
      </c>
      <c r="L521">
        <v>769227</v>
      </c>
      <c r="M521">
        <f>Inventory_Data[[#This Row],[Opening Stock]]+Inventory_Data[[#This Row],[Purchase Qty]]-Inventory_Data[[#This Row],[Sales Qty]]-Inventory_Data[[#This Row],[Closing Stock]]</f>
        <v>0</v>
      </c>
      <c r="N521">
        <f>Inventory_Data[[#This Row],[Purchase Qty]]*Inventory_Data[[#This Row],[Unit Cost]]</f>
        <v>328434</v>
      </c>
      <c r="O521" t="str">
        <f>IF(Inventory_Data[[#This Row],[Closing Stock]]&lt;=Inventory_Data[[#This Row],[Reorder Level]],"Low Stock","In Stock")</f>
        <v>In Stock</v>
      </c>
      <c r="P521" t="str">
        <f>TEXT(Inventory_Data[[#This Row],[Date]],"MMM")</f>
        <v>Apr</v>
      </c>
      <c r="Q521" t="str">
        <f>TEXT(Inventory_Data[[#This Row],[Date]],"YYYY")</f>
        <v>2025</v>
      </c>
    </row>
    <row r="522" spans="1:17" x14ac:dyDescent="0.3">
      <c r="A522" s="1">
        <v>45769</v>
      </c>
      <c r="B522" t="s">
        <v>31</v>
      </c>
      <c r="C522" t="s">
        <v>22</v>
      </c>
      <c r="D522" t="s">
        <v>26</v>
      </c>
      <c r="E522" t="s">
        <v>29</v>
      </c>
      <c r="F522">
        <v>462</v>
      </c>
      <c r="G522">
        <v>174</v>
      </c>
      <c r="H522">
        <v>165</v>
      </c>
      <c r="I522">
        <v>471</v>
      </c>
      <c r="J522">
        <v>139</v>
      </c>
      <c r="K522">
        <v>709</v>
      </c>
      <c r="L522">
        <v>333939</v>
      </c>
      <c r="M522">
        <f>Inventory_Data[[#This Row],[Opening Stock]]+Inventory_Data[[#This Row],[Purchase Qty]]-Inventory_Data[[#This Row],[Sales Qty]]-Inventory_Data[[#This Row],[Closing Stock]]</f>
        <v>0</v>
      </c>
      <c r="N522">
        <f>Inventory_Data[[#This Row],[Purchase Qty]]*Inventory_Data[[#This Row],[Unit Cost]]</f>
        <v>123366</v>
      </c>
      <c r="O522" t="str">
        <f>IF(Inventory_Data[[#This Row],[Closing Stock]]&lt;=Inventory_Data[[#This Row],[Reorder Level]],"Low Stock","In Stock")</f>
        <v>In Stock</v>
      </c>
      <c r="P522" t="str">
        <f>TEXT(Inventory_Data[[#This Row],[Date]],"MMM")</f>
        <v>Apr</v>
      </c>
      <c r="Q522" t="str">
        <f>TEXT(Inventory_Data[[#This Row],[Date]],"YYYY")</f>
        <v>2025</v>
      </c>
    </row>
    <row r="523" spans="1:17" x14ac:dyDescent="0.3">
      <c r="A523" s="1">
        <v>45769</v>
      </c>
      <c r="B523" t="s">
        <v>19</v>
      </c>
      <c r="C523" t="s">
        <v>13</v>
      </c>
      <c r="D523" t="s">
        <v>26</v>
      </c>
      <c r="E523" t="s">
        <v>20</v>
      </c>
      <c r="F523">
        <v>65</v>
      </c>
      <c r="G523">
        <v>37</v>
      </c>
      <c r="H523">
        <v>5</v>
      </c>
      <c r="I523">
        <v>97</v>
      </c>
      <c r="J523">
        <v>17</v>
      </c>
      <c r="K523">
        <v>15223</v>
      </c>
      <c r="L523">
        <v>1476631</v>
      </c>
      <c r="M523">
        <f>Inventory_Data[[#This Row],[Opening Stock]]+Inventory_Data[[#This Row],[Purchase Qty]]-Inventory_Data[[#This Row],[Sales Qty]]-Inventory_Data[[#This Row],[Closing Stock]]</f>
        <v>0</v>
      </c>
      <c r="N523">
        <f>Inventory_Data[[#This Row],[Purchase Qty]]*Inventory_Data[[#This Row],[Unit Cost]]</f>
        <v>563251</v>
      </c>
      <c r="O523" t="str">
        <f>IF(Inventory_Data[[#This Row],[Closing Stock]]&lt;=Inventory_Data[[#This Row],[Reorder Level]],"Low Stock","In Stock")</f>
        <v>In Stock</v>
      </c>
      <c r="P523" t="str">
        <f>TEXT(Inventory_Data[[#This Row],[Date]],"MMM")</f>
        <v>Apr</v>
      </c>
      <c r="Q523" t="str">
        <f>TEXT(Inventory_Data[[#This Row],[Date]],"YYYY")</f>
        <v>2025</v>
      </c>
    </row>
    <row r="524" spans="1:17" x14ac:dyDescent="0.3">
      <c r="A524" s="1">
        <v>45769</v>
      </c>
      <c r="B524" t="s">
        <v>32</v>
      </c>
      <c r="C524" t="s">
        <v>28</v>
      </c>
      <c r="D524" t="s">
        <v>26</v>
      </c>
      <c r="E524" t="s">
        <v>18</v>
      </c>
      <c r="F524">
        <v>127</v>
      </c>
      <c r="G524">
        <v>56</v>
      </c>
      <c r="H524">
        <v>91</v>
      </c>
      <c r="I524">
        <v>92</v>
      </c>
      <c r="J524">
        <v>46</v>
      </c>
      <c r="K524">
        <v>2787</v>
      </c>
      <c r="L524">
        <v>256404</v>
      </c>
      <c r="M524">
        <f>Inventory_Data[[#This Row],[Opening Stock]]+Inventory_Data[[#This Row],[Purchase Qty]]-Inventory_Data[[#This Row],[Sales Qty]]-Inventory_Data[[#This Row],[Closing Stock]]</f>
        <v>0</v>
      </c>
      <c r="N524">
        <f>Inventory_Data[[#This Row],[Purchase Qty]]*Inventory_Data[[#This Row],[Unit Cost]]</f>
        <v>156072</v>
      </c>
      <c r="O524" t="str">
        <f>IF(Inventory_Data[[#This Row],[Closing Stock]]&lt;=Inventory_Data[[#This Row],[Reorder Level]],"Low Stock","In Stock")</f>
        <v>In Stock</v>
      </c>
      <c r="P524" t="str">
        <f>TEXT(Inventory_Data[[#This Row],[Date]],"MMM")</f>
        <v>Apr</v>
      </c>
      <c r="Q524" t="str">
        <f>TEXT(Inventory_Data[[#This Row],[Date]],"YYYY")</f>
        <v>2025</v>
      </c>
    </row>
    <row r="525" spans="1:17" x14ac:dyDescent="0.3">
      <c r="A525" s="1">
        <v>45769</v>
      </c>
      <c r="B525" t="s">
        <v>33</v>
      </c>
      <c r="C525" t="s">
        <v>13</v>
      </c>
      <c r="D525" t="s">
        <v>23</v>
      </c>
      <c r="E525" t="s">
        <v>20</v>
      </c>
      <c r="F525">
        <v>116</v>
      </c>
      <c r="G525">
        <v>64</v>
      </c>
      <c r="H525">
        <v>23</v>
      </c>
      <c r="I525">
        <v>157</v>
      </c>
      <c r="J525">
        <v>33</v>
      </c>
      <c r="K525">
        <v>2724</v>
      </c>
      <c r="L525">
        <v>427668</v>
      </c>
      <c r="M525">
        <f>Inventory_Data[[#This Row],[Opening Stock]]+Inventory_Data[[#This Row],[Purchase Qty]]-Inventory_Data[[#This Row],[Sales Qty]]-Inventory_Data[[#This Row],[Closing Stock]]</f>
        <v>0</v>
      </c>
      <c r="N525">
        <f>Inventory_Data[[#This Row],[Purchase Qty]]*Inventory_Data[[#This Row],[Unit Cost]]</f>
        <v>174336</v>
      </c>
      <c r="O525" t="str">
        <f>IF(Inventory_Data[[#This Row],[Closing Stock]]&lt;=Inventory_Data[[#This Row],[Reorder Level]],"Low Stock","In Stock")</f>
        <v>In Stock</v>
      </c>
      <c r="P525" t="str">
        <f>TEXT(Inventory_Data[[#This Row],[Date]],"MMM")</f>
        <v>Apr</v>
      </c>
      <c r="Q525" t="str">
        <f>TEXT(Inventory_Data[[#This Row],[Date]],"YYYY")</f>
        <v>2025</v>
      </c>
    </row>
    <row r="526" spans="1:17" x14ac:dyDescent="0.3">
      <c r="A526" s="1">
        <v>45769</v>
      </c>
      <c r="B526" t="s">
        <v>44</v>
      </c>
      <c r="C526" t="s">
        <v>28</v>
      </c>
      <c r="D526" t="s">
        <v>37</v>
      </c>
      <c r="E526" t="s">
        <v>29</v>
      </c>
      <c r="F526">
        <v>165</v>
      </c>
      <c r="G526">
        <v>26</v>
      </c>
      <c r="H526">
        <v>42</v>
      </c>
      <c r="I526">
        <v>149</v>
      </c>
      <c r="J526">
        <v>42</v>
      </c>
      <c r="K526">
        <v>54445</v>
      </c>
      <c r="L526">
        <v>8112305</v>
      </c>
      <c r="M526">
        <f>Inventory_Data[[#This Row],[Opening Stock]]+Inventory_Data[[#This Row],[Purchase Qty]]-Inventory_Data[[#This Row],[Sales Qty]]-Inventory_Data[[#This Row],[Closing Stock]]</f>
        <v>0</v>
      </c>
      <c r="N526">
        <f>Inventory_Data[[#This Row],[Purchase Qty]]*Inventory_Data[[#This Row],[Unit Cost]]</f>
        <v>1415570</v>
      </c>
      <c r="O526" t="str">
        <f>IF(Inventory_Data[[#This Row],[Closing Stock]]&lt;=Inventory_Data[[#This Row],[Reorder Level]],"Low Stock","In Stock")</f>
        <v>In Stock</v>
      </c>
      <c r="P526" t="str">
        <f>TEXT(Inventory_Data[[#This Row],[Date]],"MMM")</f>
        <v>Apr</v>
      </c>
      <c r="Q526" t="str">
        <f>TEXT(Inventory_Data[[#This Row],[Date]],"YYYY")</f>
        <v>2025</v>
      </c>
    </row>
    <row r="527" spans="1:17" x14ac:dyDescent="0.3">
      <c r="A527" s="1">
        <v>45769</v>
      </c>
      <c r="B527" t="s">
        <v>33</v>
      </c>
      <c r="C527" t="s">
        <v>13</v>
      </c>
      <c r="D527" t="s">
        <v>37</v>
      </c>
      <c r="E527" t="s">
        <v>20</v>
      </c>
      <c r="F527">
        <v>34</v>
      </c>
      <c r="G527">
        <v>17</v>
      </c>
      <c r="H527">
        <v>13</v>
      </c>
      <c r="I527">
        <v>38</v>
      </c>
      <c r="J527">
        <v>33</v>
      </c>
      <c r="K527">
        <v>11816</v>
      </c>
      <c r="L527">
        <v>449008</v>
      </c>
      <c r="M527">
        <f>Inventory_Data[[#This Row],[Opening Stock]]+Inventory_Data[[#This Row],[Purchase Qty]]-Inventory_Data[[#This Row],[Sales Qty]]-Inventory_Data[[#This Row],[Closing Stock]]</f>
        <v>0</v>
      </c>
      <c r="N527">
        <f>Inventory_Data[[#This Row],[Purchase Qty]]*Inventory_Data[[#This Row],[Unit Cost]]</f>
        <v>200872</v>
      </c>
      <c r="O527" t="str">
        <f>IF(Inventory_Data[[#This Row],[Closing Stock]]&lt;=Inventory_Data[[#This Row],[Reorder Level]],"Low Stock","In Stock")</f>
        <v>In Stock</v>
      </c>
      <c r="P527" t="str">
        <f>TEXT(Inventory_Data[[#This Row],[Date]],"MMM")</f>
        <v>Apr</v>
      </c>
      <c r="Q527" t="str">
        <f>TEXT(Inventory_Data[[#This Row],[Date]],"YYYY")</f>
        <v>2025</v>
      </c>
    </row>
    <row r="528" spans="1:17" x14ac:dyDescent="0.3">
      <c r="A528" s="1">
        <v>45769</v>
      </c>
      <c r="B528" t="s">
        <v>38</v>
      </c>
      <c r="C528" t="s">
        <v>17</v>
      </c>
      <c r="D528" t="s">
        <v>26</v>
      </c>
      <c r="E528" t="s">
        <v>20</v>
      </c>
      <c r="F528">
        <v>25</v>
      </c>
      <c r="G528">
        <v>21</v>
      </c>
      <c r="H528">
        <v>28</v>
      </c>
      <c r="I528">
        <v>18</v>
      </c>
      <c r="J528">
        <v>29</v>
      </c>
      <c r="K528">
        <v>16226</v>
      </c>
      <c r="L528">
        <v>292068</v>
      </c>
      <c r="M528">
        <f>Inventory_Data[[#This Row],[Opening Stock]]+Inventory_Data[[#This Row],[Purchase Qty]]-Inventory_Data[[#This Row],[Sales Qty]]-Inventory_Data[[#This Row],[Closing Stock]]</f>
        <v>0</v>
      </c>
      <c r="N528">
        <f>Inventory_Data[[#This Row],[Purchase Qty]]*Inventory_Data[[#This Row],[Unit Cost]]</f>
        <v>340746</v>
      </c>
      <c r="O528" t="str">
        <f>IF(Inventory_Data[[#This Row],[Closing Stock]]&lt;=Inventory_Data[[#This Row],[Reorder Level]],"Low Stock","In Stock")</f>
        <v>Low Stock</v>
      </c>
      <c r="P528" t="str">
        <f>TEXT(Inventory_Data[[#This Row],[Date]],"MMM")</f>
        <v>Apr</v>
      </c>
      <c r="Q528" t="str">
        <f>TEXT(Inventory_Data[[#This Row],[Date]],"YYYY")</f>
        <v>2025</v>
      </c>
    </row>
    <row r="529" spans="1:17" x14ac:dyDescent="0.3">
      <c r="A529" s="1">
        <v>45770</v>
      </c>
      <c r="B529" t="s">
        <v>19</v>
      </c>
      <c r="C529" t="s">
        <v>13</v>
      </c>
      <c r="D529" t="s">
        <v>14</v>
      </c>
      <c r="E529" t="s">
        <v>15</v>
      </c>
      <c r="F529">
        <v>26</v>
      </c>
      <c r="G529">
        <v>51</v>
      </c>
      <c r="H529">
        <v>3</v>
      </c>
      <c r="I529">
        <v>74</v>
      </c>
      <c r="J529">
        <v>28</v>
      </c>
      <c r="K529">
        <v>6933</v>
      </c>
      <c r="L529">
        <v>513042</v>
      </c>
      <c r="M529">
        <f>Inventory_Data[[#This Row],[Opening Stock]]+Inventory_Data[[#This Row],[Purchase Qty]]-Inventory_Data[[#This Row],[Sales Qty]]-Inventory_Data[[#This Row],[Closing Stock]]</f>
        <v>0</v>
      </c>
      <c r="N529">
        <f>Inventory_Data[[#This Row],[Purchase Qty]]*Inventory_Data[[#This Row],[Unit Cost]]</f>
        <v>353583</v>
      </c>
      <c r="O529" t="str">
        <f>IF(Inventory_Data[[#This Row],[Closing Stock]]&lt;=Inventory_Data[[#This Row],[Reorder Level]],"Low Stock","In Stock")</f>
        <v>In Stock</v>
      </c>
      <c r="P529" t="str">
        <f>TEXT(Inventory_Data[[#This Row],[Date]],"MMM")</f>
        <v>Apr</v>
      </c>
      <c r="Q529" t="str">
        <f>TEXT(Inventory_Data[[#This Row],[Date]],"YYYY")</f>
        <v>2025</v>
      </c>
    </row>
    <row r="530" spans="1:17" x14ac:dyDescent="0.3">
      <c r="A530" s="1">
        <v>45770</v>
      </c>
      <c r="B530" t="s">
        <v>19</v>
      </c>
      <c r="C530" t="s">
        <v>13</v>
      </c>
      <c r="D530" t="s">
        <v>23</v>
      </c>
      <c r="E530" t="s">
        <v>15</v>
      </c>
      <c r="F530">
        <v>26</v>
      </c>
      <c r="G530">
        <v>57</v>
      </c>
      <c r="H530">
        <v>13</v>
      </c>
      <c r="I530">
        <v>70</v>
      </c>
      <c r="J530">
        <v>31</v>
      </c>
      <c r="K530">
        <v>17223</v>
      </c>
      <c r="L530">
        <v>1205610</v>
      </c>
      <c r="M530">
        <f>Inventory_Data[[#This Row],[Opening Stock]]+Inventory_Data[[#This Row],[Purchase Qty]]-Inventory_Data[[#This Row],[Sales Qty]]-Inventory_Data[[#This Row],[Closing Stock]]</f>
        <v>0</v>
      </c>
      <c r="N530">
        <f>Inventory_Data[[#This Row],[Purchase Qty]]*Inventory_Data[[#This Row],[Unit Cost]]</f>
        <v>981711</v>
      </c>
      <c r="O530" t="str">
        <f>IF(Inventory_Data[[#This Row],[Closing Stock]]&lt;=Inventory_Data[[#This Row],[Reorder Level]],"Low Stock","In Stock")</f>
        <v>In Stock</v>
      </c>
      <c r="P530" t="str">
        <f>TEXT(Inventory_Data[[#This Row],[Date]],"MMM")</f>
        <v>Apr</v>
      </c>
      <c r="Q530" t="str">
        <f>TEXT(Inventory_Data[[#This Row],[Date]],"YYYY")</f>
        <v>2025</v>
      </c>
    </row>
    <row r="531" spans="1:17" x14ac:dyDescent="0.3">
      <c r="A531" s="1">
        <v>45770</v>
      </c>
      <c r="B531" t="s">
        <v>35</v>
      </c>
      <c r="C531" t="s">
        <v>22</v>
      </c>
      <c r="D531" t="s">
        <v>14</v>
      </c>
      <c r="E531" t="s">
        <v>15</v>
      </c>
      <c r="F531">
        <v>215</v>
      </c>
      <c r="G531">
        <v>185</v>
      </c>
      <c r="H531">
        <v>17</v>
      </c>
      <c r="I531">
        <v>383</v>
      </c>
      <c r="J531">
        <v>138</v>
      </c>
      <c r="K531">
        <v>733</v>
      </c>
      <c r="L531">
        <v>280739</v>
      </c>
      <c r="M531">
        <f>Inventory_Data[[#This Row],[Opening Stock]]+Inventory_Data[[#This Row],[Purchase Qty]]-Inventory_Data[[#This Row],[Sales Qty]]-Inventory_Data[[#This Row],[Closing Stock]]</f>
        <v>0</v>
      </c>
      <c r="N531">
        <f>Inventory_Data[[#This Row],[Purchase Qty]]*Inventory_Data[[#This Row],[Unit Cost]]</f>
        <v>135605</v>
      </c>
      <c r="O531" t="str">
        <f>IF(Inventory_Data[[#This Row],[Closing Stock]]&lt;=Inventory_Data[[#This Row],[Reorder Level]],"Low Stock","In Stock")</f>
        <v>In Stock</v>
      </c>
      <c r="P531" t="str">
        <f>TEXT(Inventory_Data[[#This Row],[Date]],"MMM")</f>
        <v>Apr</v>
      </c>
      <c r="Q531" t="str">
        <f>TEXT(Inventory_Data[[#This Row],[Date]],"YYYY")</f>
        <v>2025</v>
      </c>
    </row>
    <row r="532" spans="1:17" x14ac:dyDescent="0.3">
      <c r="A532" s="1">
        <v>45770</v>
      </c>
      <c r="B532" t="s">
        <v>16</v>
      </c>
      <c r="C532" t="s">
        <v>17</v>
      </c>
      <c r="D532" t="s">
        <v>37</v>
      </c>
      <c r="E532" t="s">
        <v>15</v>
      </c>
      <c r="F532">
        <v>68</v>
      </c>
      <c r="G532">
        <v>43</v>
      </c>
      <c r="H532">
        <v>41</v>
      </c>
      <c r="I532">
        <v>70</v>
      </c>
      <c r="J532">
        <v>11</v>
      </c>
      <c r="K532">
        <v>19217</v>
      </c>
      <c r="L532">
        <v>1345190</v>
      </c>
      <c r="M532">
        <f>Inventory_Data[[#This Row],[Opening Stock]]+Inventory_Data[[#This Row],[Purchase Qty]]-Inventory_Data[[#This Row],[Sales Qty]]-Inventory_Data[[#This Row],[Closing Stock]]</f>
        <v>0</v>
      </c>
      <c r="N532">
        <f>Inventory_Data[[#This Row],[Purchase Qty]]*Inventory_Data[[#This Row],[Unit Cost]]</f>
        <v>826331</v>
      </c>
      <c r="O532" t="str">
        <f>IF(Inventory_Data[[#This Row],[Closing Stock]]&lt;=Inventory_Data[[#This Row],[Reorder Level]],"Low Stock","In Stock")</f>
        <v>In Stock</v>
      </c>
      <c r="P532" t="str">
        <f>TEXT(Inventory_Data[[#This Row],[Date]],"MMM")</f>
        <v>Apr</v>
      </c>
      <c r="Q532" t="str">
        <f>TEXT(Inventory_Data[[#This Row],[Date]],"YYYY")</f>
        <v>2025</v>
      </c>
    </row>
    <row r="533" spans="1:17" x14ac:dyDescent="0.3">
      <c r="A533" s="1">
        <v>45770</v>
      </c>
      <c r="B533" t="s">
        <v>16</v>
      </c>
      <c r="C533" t="s">
        <v>17</v>
      </c>
      <c r="D533" t="s">
        <v>14</v>
      </c>
      <c r="E533" t="s">
        <v>20</v>
      </c>
      <c r="F533">
        <v>45</v>
      </c>
      <c r="G533">
        <v>19</v>
      </c>
      <c r="H533">
        <v>20</v>
      </c>
      <c r="I533">
        <v>44</v>
      </c>
      <c r="J533">
        <v>11</v>
      </c>
      <c r="K533">
        <v>2801</v>
      </c>
      <c r="L533">
        <v>123244</v>
      </c>
      <c r="M533">
        <f>Inventory_Data[[#This Row],[Opening Stock]]+Inventory_Data[[#This Row],[Purchase Qty]]-Inventory_Data[[#This Row],[Sales Qty]]-Inventory_Data[[#This Row],[Closing Stock]]</f>
        <v>0</v>
      </c>
      <c r="N533">
        <f>Inventory_Data[[#This Row],[Purchase Qty]]*Inventory_Data[[#This Row],[Unit Cost]]</f>
        <v>53219</v>
      </c>
      <c r="O533" t="str">
        <f>IF(Inventory_Data[[#This Row],[Closing Stock]]&lt;=Inventory_Data[[#This Row],[Reorder Level]],"Low Stock","In Stock")</f>
        <v>In Stock</v>
      </c>
      <c r="P533" t="str">
        <f>TEXT(Inventory_Data[[#This Row],[Date]],"MMM")</f>
        <v>Apr</v>
      </c>
      <c r="Q533" t="str">
        <f>TEXT(Inventory_Data[[#This Row],[Date]],"YYYY")</f>
        <v>2025</v>
      </c>
    </row>
    <row r="534" spans="1:17" x14ac:dyDescent="0.3">
      <c r="A534" s="1">
        <v>45771</v>
      </c>
      <c r="B534" t="s">
        <v>38</v>
      </c>
      <c r="C534" t="s">
        <v>17</v>
      </c>
      <c r="D534" t="s">
        <v>14</v>
      </c>
      <c r="E534" t="s">
        <v>24</v>
      </c>
      <c r="F534">
        <v>30</v>
      </c>
      <c r="G534">
        <v>53</v>
      </c>
      <c r="H534">
        <v>29</v>
      </c>
      <c r="I534">
        <v>54</v>
      </c>
      <c r="J534">
        <v>21</v>
      </c>
      <c r="K534">
        <v>5947</v>
      </c>
      <c r="L534">
        <v>321138</v>
      </c>
      <c r="M534">
        <f>Inventory_Data[[#This Row],[Opening Stock]]+Inventory_Data[[#This Row],[Purchase Qty]]-Inventory_Data[[#This Row],[Sales Qty]]-Inventory_Data[[#This Row],[Closing Stock]]</f>
        <v>0</v>
      </c>
      <c r="N534">
        <f>Inventory_Data[[#This Row],[Purchase Qty]]*Inventory_Data[[#This Row],[Unit Cost]]</f>
        <v>315191</v>
      </c>
      <c r="O534" t="str">
        <f>IF(Inventory_Data[[#This Row],[Closing Stock]]&lt;=Inventory_Data[[#This Row],[Reorder Level]],"Low Stock","In Stock")</f>
        <v>In Stock</v>
      </c>
      <c r="P534" t="str">
        <f>TEXT(Inventory_Data[[#This Row],[Date]],"MMM")</f>
        <v>Apr</v>
      </c>
      <c r="Q534" t="str">
        <f>TEXT(Inventory_Data[[#This Row],[Date]],"YYYY")</f>
        <v>2025</v>
      </c>
    </row>
    <row r="535" spans="1:17" x14ac:dyDescent="0.3">
      <c r="A535" s="1">
        <v>45771</v>
      </c>
      <c r="B535" t="s">
        <v>36</v>
      </c>
      <c r="C535" t="s">
        <v>22</v>
      </c>
      <c r="D535" t="s">
        <v>37</v>
      </c>
      <c r="E535" t="s">
        <v>15</v>
      </c>
      <c r="F535">
        <v>152</v>
      </c>
      <c r="G535">
        <v>86</v>
      </c>
      <c r="H535">
        <v>138</v>
      </c>
      <c r="I535">
        <v>100</v>
      </c>
      <c r="J535">
        <v>113</v>
      </c>
      <c r="K535">
        <v>334</v>
      </c>
      <c r="L535">
        <v>33400</v>
      </c>
      <c r="M535">
        <f>Inventory_Data[[#This Row],[Opening Stock]]+Inventory_Data[[#This Row],[Purchase Qty]]-Inventory_Data[[#This Row],[Sales Qty]]-Inventory_Data[[#This Row],[Closing Stock]]</f>
        <v>0</v>
      </c>
      <c r="N535">
        <f>Inventory_Data[[#This Row],[Purchase Qty]]*Inventory_Data[[#This Row],[Unit Cost]]</f>
        <v>28724</v>
      </c>
      <c r="O535" t="str">
        <f>IF(Inventory_Data[[#This Row],[Closing Stock]]&lt;=Inventory_Data[[#This Row],[Reorder Level]],"Low Stock","In Stock")</f>
        <v>Low Stock</v>
      </c>
      <c r="P535" t="str">
        <f>TEXT(Inventory_Data[[#This Row],[Date]],"MMM")</f>
        <v>Apr</v>
      </c>
      <c r="Q535" t="str">
        <f>TEXT(Inventory_Data[[#This Row],[Date]],"YYYY")</f>
        <v>2025</v>
      </c>
    </row>
    <row r="536" spans="1:17" x14ac:dyDescent="0.3">
      <c r="A536" s="1">
        <v>45771</v>
      </c>
      <c r="B536" t="s">
        <v>36</v>
      </c>
      <c r="C536" t="s">
        <v>22</v>
      </c>
      <c r="D536" t="s">
        <v>26</v>
      </c>
      <c r="E536" t="s">
        <v>29</v>
      </c>
      <c r="F536">
        <v>194</v>
      </c>
      <c r="G536">
        <v>55</v>
      </c>
      <c r="H536">
        <v>145</v>
      </c>
      <c r="I536">
        <v>104</v>
      </c>
      <c r="J536">
        <v>125</v>
      </c>
      <c r="K536">
        <v>322</v>
      </c>
      <c r="L536">
        <v>33488</v>
      </c>
      <c r="M536">
        <f>Inventory_Data[[#This Row],[Opening Stock]]+Inventory_Data[[#This Row],[Purchase Qty]]-Inventory_Data[[#This Row],[Sales Qty]]-Inventory_Data[[#This Row],[Closing Stock]]</f>
        <v>0</v>
      </c>
      <c r="N536">
        <f>Inventory_Data[[#This Row],[Purchase Qty]]*Inventory_Data[[#This Row],[Unit Cost]]</f>
        <v>17710</v>
      </c>
      <c r="O536" t="str">
        <f>IF(Inventory_Data[[#This Row],[Closing Stock]]&lt;=Inventory_Data[[#This Row],[Reorder Level]],"Low Stock","In Stock")</f>
        <v>Low Stock</v>
      </c>
      <c r="P536" t="str">
        <f>TEXT(Inventory_Data[[#This Row],[Date]],"MMM")</f>
        <v>Apr</v>
      </c>
      <c r="Q536" t="str">
        <f>TEXT(Inventory_Data[[#This Row],[Date]],"YYYY")</f>
        <v>2025</v>
      </c>
    </row>
    <row r="537" spans="1:17" x14ac:dyDescent="0.3">
      <c r="A537" s="1">
        <v>45771</v>
      </c>
      <c r="B537" t="s">
        <v>27</v>
      </c>
      <c r="C537" t="s">
        <v>28</v>
      </c>
      <c r="D537" t="s">
        <v>14</v>
      </c>
      <c r="E537" t="s">
        <v>15</v>
      </c>
      <c r="F537">
        <v>151</v>
      </c>
      <c r="G537">
        <v>47</v>
      </c>
      <c r="H537">
        <v>67</v>
      </c>
      <c r="I537">
        <v>131</v>
      </c>
      <c r="J537">
        <v>20</v>
      </c>
      <c r="K537">
        <v>57294</v>
      </c>
      <c r="L537">
        <v>7505514</v>
      </c>
      <c r="M537">
        <f>Inventory_Data[[#This Row],[Opening Stock]]+Inventory_Data[[#This Row],[Purchase Qty]]-Inventory_Data[[#This Row],[Sales Qty]]-Inventory_Data[[#This Row],[Closing Stock]]</f>
        <v>0</v>
      </c>
      <c r="N537">
        <f>Inventory_Data[[#This Row],[Purchase Qty]]*Inventory_Data[[#This Row],[Unit Cost]]</f>
        <v>2692818</v>
      </c>
      <c r="O537" t="str">
        <f>IF(Inventory_Data[[#This Row],[Closing Stock]]&lt;=Inventory_Data[[#This Row],[Reorder Level]],"Low Stock","In Stock")</f>
        <v>In Stock</v>
      </c>
      <c r="P537" t="str">
        <f>TEXT(Inventory_Data[[#This Row],[Date]],"MMM")</f>
        <v>Apr</v>
      </c>
      <c r="Q537" t="str">
        <f>TEXT(Inventory_Data[[#This Row],[Date]],"YYYY")</f>
        <v>2025</v>
      </c>
    </row>
    <row r="538" spans="1:17" x14ac:dyDescent="0.3">
      <c r="A538" s="1">
        <v>45771</v>
      </c>
      <c r="B538" t="s">
        <v>32</v>
      </c>
      <c r="C538" t="s">
        <v>28</v>
      </c>
      <c r="D538" t="s">
        <v>14</v>
      </c>
      <c r="E538" t="s">
        <v>18</v>
      </c>
      <c r="F538">
        <v>59</v>
      </c>
      <c r="G538">
        <v>54</v>
      </c>
      <c r="H538">
        <v>66</v>
      </c>
      <c r="I538">
        <v>47</v>
      </c>
      <c r="J538">
        <v>22</v>
      </c>
      <c r="K538">
        <v>3196</v>
      </c>
      <c r="L538">
        <v>150212</v>
      </c>
      <c r="M538">
        <f>Inventory_Data[[#This Row],[Opening Stock]]+Inventory_Data[[#This Row],[Purchase Qty]]-Inventory_Data[[#This Row],[Sales Qty]]-Inventory_Data[[#This Row],[Closing Stock]]</f>
        <v>0</v>
      </c>
      <c r="N538">
        <f>Inventory_Data[[#This Row],[Purchase Qty]]*Inventory_Data[[#This Row],[Unit Cost]]</f>
        <v>172584</v>
      </c>
      <c r="O538" t="str">
        <f>IF(Inventory_Data[[#This Row],[Closing Stock]]&lt;=Inventory_Data[[#This Row],[Reorder Level]],"Low Stock","In Stock")</f>
        <v>In Stock</v>
      </c>
      <c r="P538" t="str">
        <f>TEXT(Inventory_Data[[#This Row],[Date]],"MMM")</f>
        <v>Apr</v>
      </c>
      <c r="Q538" t="str">
        <f>TEXT(Inventory_Data[[#This Row],[Date]],"YYYY")</f>
        <v>2025</v>
      </c>
    </row>
    <row r="539" spans="1:17" x14ac:dyDescent="0.3">
      <c r="A539" s="1">
        <v>45771</v>
      </c>
      <c r="B539" t="s">
        <v>44</v>
      </c>
      <c r="C539" t="s">
        <v>28</v>
      </c>
      <c r="D539" t="s">
        <v>37</v>
      </c>
      <c r="E539" t="s">
        <v>24</v>
      </c>
      <c r="F539">
        <v>179</v>
      </c>
      <c r="G539">
        <v>68</v>
      </c>
      <c r="H539">
        <v>96</v>
      </c>
      <c r="I539">
        <v>151</v>
      </c>
      <c r="J539">
        <v>31</v>
      </c>
      <c r="K539">
        <v>9348</v>
      </c>
      <c r="L539">
        <v>1411548</v>
      </c>
      <c r="M539">
        <f>Inventory_Data[[#This Row],[Opening Stock]]+Inventory_Data[[#This Row],[Purchase Qty]]-Inventory_Data[[#This Row],[Sales Qty]]-Inventory_Data[[#This Row],[Closing Stock]]</f>
        <v>0</v>
      </c>
      <c r="N539">
        <f>Inventory_Data[[#This Row],[Purchase Qty]]*Inventory_Data[[#This Row],[Unit Cost]]</f>
        <v>635664</v>
      </c>
      <c r="O539" t="str">
        <f>IF(Inventory_Data[[#This Row],[Closing Stock]]&lt;=Inventory_Data[[#This Row],[Reorder Level]],"Low Stock","In Stock")</f>
        <v>In Stock</v>
      </c>
      <c r="P539" t="str">
        <f>TEXT(Inventory_Data[[#This Row],[Date]],"MMM")</f>
        <v>Apr</v>
      </c>
      <c r="Q539" t="str">
        <f>TEXT(Inventory_Data[[#This Row],[Date]],"YYYY")</f>
        <v>2025</v>
      </c>
    </row>
    <row r="540" spans="1:17" x14ac:dyDescent="0.3">
      <c r="A540" s="1">
        <v>45772</v>
      </c>
      <c r="B540" t="s">
        <v>21</v>
      </c>
      <c r="C540" t="s">
        <v>22</v>
      </c>
      <c r="D540" t="s">
        <v>37</v>
      </c>
      <c r="E540" t="s">
        <v>24</v>
      </c>
      <c r="F540">
        <v>208</v>
      </c>
      <c r="G540">
        <v>287</v>
      </c>
      <c r="H540">
        <v>99</v>
      </c>
      <c r="I540">
        <v>396</v>
      </c>
      <c r="J540">
        <v>91</v>
      </c>
      <c r="K540">
        <v>776</v>
      </c>
      <c r="L540">
        <v>307296</v>
      </c>
      <c r="M540">
        <f>Inventory_Data[[#This Row],[Opening Stock]]+Inventory_Data[[#This Row],[Purchase Qty]]-Inventory_Data[[#This Row],[Sales Qty]]-Inventory_Data[[#This Row],[Closing Stock]]</f>
        <v>0</v>
      </c>
      <c r="N540">
        <f>Inventory_Data[[#This Row],[Purchase Qty]]*Inventory_Data[[#This Row],[Unit Cost]]</f>
        <v>222712</v>
      </c>
      <c r="O540" t="str">
        <f>IF(Inventory_Data[[#This Row],[Closing Stock]]&lt;=Inventory_Data[[#This Row],[Reorder Level]],"Low Stock","In Stock")</f>
        <v>In Stock</v>
      </c>
      <c r="P540" t="str">
        <f>TEXT(Inventory_Data[[#This Row],[Date]],"MMM")</f>
        <v>Apr</v>
      </c>
      <c r="Q540" t="str">
        <f>TEXT(Inventory_Data[[#This Row],[Date]],"YYYY")</f>
        <v>2025</v>
      </c>
    </row>
    <row r="541" spans="1:17" x14ac:dyDescent="0.3">
      <c r="A541" s="1">
        <v>45773</v>
      </c>
      <c r="B541" t="s">
        <v>19</v>
      </c>
      <c r="C541" t="s">
        <v>13</v>
      </c>
      <c r="D541" t="s">
        <v>23</v>
      </c>
      <c r="E541" t="s">
        <v>34</v>
      </c>
      <c r="F541">
        <v>44</v>
      </c>
      <c r="G541">
        <v>71</v>
      </c>
      <c r="H541">
        <v>53</v>
      </c>
      <c r="I541">
        <v>62</v>
      </c>
      <c r="J541">
        <v>17</v>
      </c>
      <c r="K541">
        <v>7072</v>
      </c>
      <c r="L541">
        <v>438464</v>
      </c>
      <c r="M541">
        <f>Inventory_Data[[#This Row],[Opening Stock]]+Inventory_Data[[#This Row],[Purchase Qty]]-Inventory_Data[[#This Row],[Sales Qty]]-Inventory_Data[[#This Row],[Closing Stock]]</f>
        <v>0</v>
      </c>
      <c r="N541">
        <f>Inventory_Data[[#This Row],[Purchase Qty]]*Inventory_Data[[#This Row],[Unit Cost]]</f>
        <v>502112</v>
      </c>
      <c r="O541" t="str">
        <f>IF(Inventory_Data[[#This Row],[Closing Stock]]&lt;=Inventory_Data[[#This Row],[Reorder Level]],"Low Stock","In Stock")</f>
        <v>In Stock</v>
      </c>
      <c r="P541" t="str">
        <f>TEXT(Inventory_Data[[#This Row],[Date]],"MMM")</f>
        <v>Apr</v>
      </c>
      <c r="Q541" t="str">
        <f>TEXT(Inventory_Data[[#This Row],[Date]],"YYYY")</f>
        <v>2025</v>
      </c>
    </row>
    <row r="542" spans="1:17" x14ac:dyDescent="0.3">
      <c r="A542" s="1">
        <v>45773</v>
      </c>
      <c r="B542" t="s">
        <v>16</v>
      </c>
      <c r="C542" t="s">
        <v>17</v>
      </c>
      <c r="D542" t="s">
        <v>37</v>
      </c>
      <c r="E542" t="s">
        <v>18</v>
      </c>
      <c r="F542">
        <v>68</v>
      </c>
      <c r="G542">
        <v>17</v>
      </c>
      <c r="H542">
        <v>22</v>
      </c>
      <c r="I542">
        <v>63</v>
      </c>
      <c r="J542">
        <v>14</v>
      </c>
      <c r="K542">
        <v>3867</v>
      </c>
      <c r="L542">
        <v>243621</v>
      </c>
      <c r="M542">
        <f>Inventory_Data[[#This Row],[Opening Stock]]+Inventory_Data[[#This Row],[Purchase Qty]]-Inventory_Data[[#This Row],[Sales Qty]]-Inventory_Data[[#This Row],[Closing Stock]]</f>
        <v>0</v>
      </c>
      <c r="N542">
        <f>Inventory_Data[[#This Row],[Purchase Qty]]*Inventory_Data[[#This Row],[Unit Cost]]</f>
        <v>65739</v>
      </c>
      <c r="O542" t="str">
        <f>IF(Inventory_Data[[#This Row],[Closing Stock]]&lt;=Inventory_Data[[#This Row],[Reorder Level]],"Low Stock","In Stock")</f>
        <v>In Stock</v>
      </c>
      <c r="P542" t="str">
        <f>TEXT(Inventory_Data[[#This Row],[Date]],"MMM")</f>
        <v>Apr</v>
      </c>
      <c r="Q542" t="str">
        <f>TEXT(Inventory_Data[[#This Row],[Date]],"YYYY")</f>
        <v>2025</v>
      </c>
    </row>
    <row r="543" spans="1:17" x14ac:dyDescent="0.3">
      <c r="A543" s="1">
        <v>45773</v>
      </c>
      <c r="B543" t="s">
        <v>25</v>
      </c>
      <c r="C543" t="s">
        <v>17</v>
      </c>
      <c r="D543" t="s">
        <v>23</v>
      </c>
      <c r="E543" t="s">
        <v>20</v>
      </c>
      <c r="F543">
        <v>55</v>
      </c>
      <c r="G543">
        <v>57</v>
      </c>
      <c r="H543">
        <v>35</v>
      </c>
      <c r="I543">
        <v>77</v>
      </c>
      <c r="J543">
        <v>13</v>
      </c>
      <c r="K543">
        <v>3192</v>
      </c>
      <c r="L543">
        <v>245784</v>
      </c>
      <c r="M543">
        <f>Inventory_Data[[#This Row],[Opening Stock]]+Inventory_Data[[#This Row],[Purchase Qty]]-Inventory_Data[[#This Row],[Sales Qty]]-Inventory_Data[[#This Row],[Closing Stock]]</f>
        <v>0</v>
      </c>
      <c r="N543">
        <f>Inventory_Data[[#This Row],[Purchase Qty]]*Inventory_Data[[#This Row],[Unit Cost]]</f>
        <v>181944</v>
      </c>
      <c r="O543" t="str">
        <f>IF(Inventory_Data[[#This Row],[Closing Stock]]&lt;=Inventory_Data[[#This Row],[Reorder Level]],"Low Stock","In Stock")</f>
        <v>In Stock</v>
      </c>
      <c r="P543" t="str">
        <f>TEXT(Inventory_Data[[#This Row],[Date]],"MMM")</f>
        <v>Apr</v>
      </c>
      <c r="Q543" t="str">
        <f>TEXT(Inventory_Data[[#This Row],[Date]],"YYYY")</f>
        <v>2025</v>
      </c>
    </row>
    <row r="544" spans="1:17" x14ac:dyDescent="0.3">
      <c r="A544" s="1">
        <v>45773</v>
      </c>
      <c r="B544" t="s">
        <v>27</v>
      </c>
      <c r="C544" t="s">
        <v>28</v>
      </c>
      <c r="D544" t="s">
        <v>14</v>
      </c>
      <c r="E544" t="s">
        <v>34</v>
      </c>
      <c r="F544">
        <v>42</v>
      </c>
      <c r="G544">
        <v>107</v>
      </c>
      <c r="H544">
        <v>76</v>
      </c>
      <c r="I544">
        <v>73</v>
      </c>
      <c r="J544">
        <v>42</v>
      </c>
      <c r="K544">
        <v>4780</v>
      </c>
      <c r="L544">
        <v>348940</v>
      </c>
      <c r="M544">
        <f>Inventory_Data[[#This Row],[Opening Stock]]+Inventory_Data[[#This Row],[Purchase Qty]]-Inventory_Data[[#This Row],[Sales Qty]]-Inventory_Data[[#This Row],[Closing Stock]]</f>
        <v>0</v>
      </c>
      <c r="N544">
        <f>Inventory_Data[[#This Row],[Purchase Qty]]*Inventory_Data[[#This Row],[Unit Cost]]</f>
        <v>511460</v>
      </c>
      <c r="O544" t="str">
        <f>IF(Inventory_Data[[#This Row],[Closing Stock]]&lt;=Inventory_Data[[#This Row],[Reorder Level]],"Low Stock","In Stock")</f>
        <v>In Stock</v>
      </c>
      <c r="P544" t="str">
        <f>TEXT(Inventory_Data[[#This Row],[Date]],"MMM")</f>
        <v>Apr</v>
      </c>
      <c r="Q544" t="str">
        <f>TEXT(Inventory_Data[[#This Row],[Date]],"YYYY")</f>
        <v>2025</v>
      </c>
    </row>
    <row r="545" spans="1:17" x14ac:dyDescent="0.3">
      <c r="A545" s="1">
        <v>45774</v>
      </c>
      <c r="B545" t="s">
        <v>27</v>
      </c>
      <c r="C545" t="s">
        <v>28</v>
      </c>
      <c r="D545" t="s">
        <v>14</v>
      </c>
      <c r="E545" t="s">
        <v>18</v>
      </c>
      <c r="F545">
        <v>69</v>
      </c>
      <c r="G545">
        <v>103</v>
      </c>
      <c r="H545">
        <v>44</v>
      </c>
      <c r="I545">
        <v>128</v>
      </c>
      <c r="J545">
        <v>30</v>
      </c>
      <c r="K545">
        <v>20185</v>
      </c>
      <c r="L545">
        <v>2583680</v>
      </c>
      <c r="M545">
        <f>Inventory_Data[[#This Row],[Opening Stock]]+Inventory_Data[[#This Row],[Purchase Qty]]-Inventory_Data[[#This Row],[Sales Qty]]-Inventory_Data[[#This Row],[Closing Stock]]</f>
        <v>0</v>
      </c>
      <c r="N545">
        <f>Inventory_Data[[#This Row],[Purchase Qty]]*Inventory_Data[[#This Row],[Unit Cost]]</f>
        <v>2079055</v>
      </c>
      <c r="O545" t="str">
        <f>IF(Inventory_Data[[#This Row],[Closing Stock]]&lt;=Inventory_Data[[#This Row],[Reorder Level]],"Low Stock","In Stock")</f>
        <v>In Stock</v>
      </c>
      <c r="P545" t="str">
        <f>TEXT(Inventory_Data[[#This Row],[Date]],"MMM")</f>
        <v>Apr</v>
      </c>
      <c r="Q545" t="str">
        <f>TEXT(Inventory_Data[[#This Row],[Date]],"YYYY")</f>
        <v>2025</v>
      </c>
    </row>
    <row r="546" spans="1:17" x14ac:dyDescent="0.3">
      <c r="A546" s="1">
        <v>45774</v>
      </c>
      <c r="B546" t="s">
        <v>45</v>
      </c>
      <c r="C546" t="s">
        <v>13</v>
      </c>
      <c r="D546" t="s">
        <v>37</v>
      </c>
      <c r="E546" t="s">
        <v>24</v>
      </c>
      <c r="F546">
        <v>112</v>
      </c>
      <c r="G546">
        <v>15</v>
      </c>
      <c r="H546">
        <v>56</v>
      </c>
      <c r="I546">
        <v>71</v>
      </c>
      <c r="J546">
        <v>29</v>
      </c>
      <c r="K546">
        <v>2408</v>
      </c>
      <c r="L546">
        <v>170968</v>
      </c>
      <c r="M546">
        <f>Inventory_Data[[#This Row],[Opening Stock]]+Inventory_Data[[#This Row],[Purchase Qty]]-Inventory_Data[[#This Row],[Sales Qty]]-Inventory_Data[[#This Row],[Closing Stock]]</f>
        <v>0</v>
      </c>
      <c r="N546">
        <f>Inventory_Data[[#This Row],[Purchase Qty]]*Inventory_Data[[#This Row],[Unit Cost]]</f>
        <v>36120</v>
      </c>
      <c r="O546" t="str">
        <f>IF(Inventory_Data[[#This Row],[Closing Stock]]&lt;=Inventory_Data[[#This Row],[Reorder Level]],"Low Stock","In Stock")</f>
        <v>In Stock</v>
      </c>
      <c r="P546" t="str">
        <f>TEXT(Inventory_Data[[#This Row],[Date]],"MMM")</f>
        <v>Apr</v>
      </c>
      <c r="Q546" t="str">
        <f>TEXT(Inventory_Data[[#This Row],[Date]],"YYYY")</f>
        <v>2025</v>
      </c>
    </row>
    <row r="547" spans="1:17" x14ac:dyDescent="0.3">
      <c r="A547" s="1">
        <v>45774</v>
      </c>
      <c r="B547" t="s">
        <v>44</v>
      </c>
      <c r="C547" t="s">
        <v>28</v>
      </c>
      <c r="D547" t="s">
        <v>37</v>
      </c>
      <c r="E547" t="s">
        <v>34</v>
      </c>
      <c r="F547">
        <v>49</v>
      </c>
      <c r="G547">
        <v>35</v>
      </c>
      <c r="H547">
        <v>20</v>
      </c>
      <c r="I547">
        <v>64</v>
      </c>
      <c r="J547">
        <v>58</v>
      </c>
      <c r="K547">
        <v>45548</v>
      </c>
      <c r="L547">
        <v>2915072</v>
      </c>
      <c r="M547">
        <f>Inventory_Data[[#This Row],[Opening Stock]]+Inventory_Data[[#This Row],[Purchase Qty]]-Inventory_Data[[#This Row],[Sales Qty]]-Inventory_Data[[#This Row],[Closing Stock]]</f>
        <v>0</v>
      </c>
      <c r="N547">
        <f>Inventory_Data[[#This Row],[Purchase Qty]]*Inventory_Data[[#This Row],[Unit Cost]]</f>
        <v>1594180</v>
      </c>
      <c r="O547" t="str">
        <f>IF(Inventory_Data[[#This Row],[Closing Stock]]&lt;=Inventory_Data[[#This Row],[Reorder Level]],"Low Stock","In Stock")</f>
        <v>In Stock</v>
      </c>
      <c r="P547" t="str">
        <f>TEXT(Inventory_Data[[#This Row],[Date]],"MMM")</f>
        <v>Apr</v>
      </c>
      <c r="Q547" t="str">
        <f>TEXT(Inventory_Data[[#This Row],[Date]],"YYYY")</f>
        <v>2025</v>
      </c>
    </row>
    <row r="548" spans="1:17" x14ac:dyDescent="0.3">
      <c r="A548" s="1">
        <v>45774</v>
      </c>
      <c r="B548" t="s">
        <v>31</v>
      </c>
      <c r="C548" t="s">
        <v>22</v>
      </c>
      <c r="D548" t="s">
        <v>26</v>
      </c>
      <c r="E548" t="s">
        <v>15</v>
      </c>
      <c r="F548">
        <v>249</v>
      </c>
      <c r="G548">
        <v>51</v>
      </c>
      <c r="H548">
        <v>228</v>
      </c>
      <c r="I548">
        <v>72</v>
      </c>
      <c r="J548">
        <v>66</v>
      </c>
      <c r="K548">
        <v>920</v>
      </c>
      <c r="L548">
        <v>66240</v>
      </c>
      <c r="M548">
        <f>Inventory_Data[[#This Row],[Opening Stock]]+Inventory_Data[[#This Row],[Purchase Qty]]-Inventory_Data[[#This Row],[Sales Qty]]-Inventory_Data[[#This Row],[Closing Stock]]</f>
        <v>0</v>
      </c>
      <c r="N548">
        <f>Inventory_Data[[#This Row],[Purchase Qty]]*Inventory_Data[[#This Row],[Unit Cost]]</f>
        <v>46920</v>
      </c>
      <c r="O548" t="str">
        <f>IF(Inventory_Data[[#This Row],[Closing Stock]]&lt;=Inventory_Data[[#This Row],[Reorder Level]],"Low Stock","In Stock")</f>
        <v>In Stock</v>
      </c>
      <c r="P548" t="str">
        <f>TEXT(Inventory_Data[[#This Row],[Date]],"MMM")</f>
        <v>Apr</v>
      </c>
      <c r="Q548" t="str">
        <f>TEXT(Inventory_Data[[#This Row],[Date]],"YYYY")</f>
        <v>2025</v>
      </c>
    </row>
    <row r="549" spans="1:17" x14ac:dyDescent="0.3">
      <c r="A549" s="1">
        <v>45774</v>
      </c>
      <c r="B549" t="s">
        <v>16</v>
      </c>
      <c r="C549" t="s">
        <v>17</v>
      </c>
      <c r="D549" t="s">
        <v>23</v>
      </c>
      <c r="E549" t="s">
        <v>29</v>
      </c>
      <c r="F549">
        <v>88</v>
      </c>
      <c r="G549">
        <v>20</v>
      </c>
      <c r="H549">
        <v>34</v>
      </c>
      <c r="I549">
        <v>74</v>
      </c>
      <c r="J549">
        <v>28</v>
      </c>
      <c r="K549">
        <v>24677</v>
      </c>
      <c r="L549">
        <v>1826098</v>
      </c>
      <c r="M549">
        <f>Inventory_Data[[#This Row],[Opening Stock]]+Inventory_Data[[#This Row],[Purchase Qty]]-Inventory_Data[[#This Row],[Sales Qty]]-Inventory_Data[[#This Row],[Closing Stock]]</f>
        <v>0</v>
      </c>
      <c r="N549">
        <f>Inventory_Data[[#This Row],[Purchase Qty]]*Inventory_Data[[#This Row],[Unit Cost]]</f>
        <v>493540</v>
      </c>
      <c r="O549" t="str">
        <f>IF(Inventory_Data[[#This Row],[Closing Stock]]&lt;=Inventory_Data[[#This Row],[Reorder Level]],"Low Stock","In Stock")</f>
        <v>In Stock</v>
      </c>
      <c r="P549" t="str">
        <f>TEXT(Inventory_Data[[#This Row],[Date]],"MMM")</f>
        <v>Apr</v>
      </c>
      <c r="Q549" t="str">
        <f>TEXT(Inventory_Data[[#This Row],[Date]],"YYYY")</f>
        <v>2025</v>
      </c>
    </row>
    <row r="550" spans="1:17" x14ac:dyDescent="0.3">
      <c r="A550" s="1">
        <v>45774</v>
      </c>
      <c r="B550" t="s">
        <v>36</v>
      </c>
      <c r="C550" t="s">
        <v>22</v>
      </c>
      <c r="D550" t="s">
        <v>37</v>
      </c>
      <c r="E550" t="s">
        <v>34</v>
      </c>
      <c r="F550">
        <v>263</v>
      </c>
      <c r="G550">
        <v>46</v>
      </c>
      <c r="H550">
        <v>188</v>
      </c>
      <c r="I550">
        <v>121</v>
      </c>
      <c r="J550">
        <v>63</v>
      </c>
      <c r="K550">
        <v>243</v>
      </c>
      <c r="L550">
        <v>29403</v>
      </c>
      <c r="M550">
        <f>Inventory_Data[[#This Row],[Opening Stock]]+Inventory_Data[[#This Row],[Purchase Qty]]-Inventory_Data[[#This Row],[Sales Qty]]-Inventory_Data[[#This Row],[Closing Stock]]</f>
        <v>0</v>
      </c>
      <c r="N550">
        <f>Inventory_Data[[#This Row],[Purchase Qty]]*Inventory_Data[[#This Row],[Unit Cost]]</f>
        <v>11178</v>
      </c>
      <c r="O550" t="str">
        <f>IF(Inventory_Data[[#This Row],[Closing Stock]]&lt;=Inventory_Data[[#This Row],[Reorder Level]],"Low Stock","In Stock")</f>
        <v>In Stock</v>
      </c>
      <c r="P550" t="str">
        <f>TEXT(Inventory_Data[[#This Row],[Date]],"MMM")</f>
        <v>Apr</v>
      </c>
      <c r="Q550" t="str">
        <f>TEXT(Inventory_Data[[#This Row],[Date]],"YYYY")</f>
        <v>2025</v>
      </c>
    </row>
    <row r="551" spans="1:17" x14ac:dyDescent="0.3">
      <c r="A551" s="1">
        <v>45774</v>
      </c>
      <c r="B551" t="s">
        <v>38</v>
      </c>
      <c r="C551" t="s">
        <v>17</v>
      </c>
      <c r="D551" t="s">
        <v>26</v>
      </c>
      <c r="E551" t="s">
        <v>18</v>
      </c>
      <c r="F551">
        <v>34</v>
      </c>
      <c r="G551">
        <v>32</v>
      </c>
      <c r="H551">
        <v>37</v>
      </c>
      <c r="I551">
        <v>29</v>
      </c>
      <c r="J551">
        <v>15</v>
      </c>
      <c r="K551">
        <v>10797</v>
      </c>
      <c r="L551">
        <v>313113</v>
      </c>
      <c r="M551">
        <f>Inventory_Data[[#This Row],[Opening Stock]]+Inventory_Data[[#This Row],[Purchase Qty]]-Inventory_Data[[#This Row],[Sales Qty]]-Inventory_Data[[#This Row],[Closing Stock]]</f>
        <v>0</v>
      </c>
      <c r="N551">
        <f>Inventory_Data[[#This Row],[Purchase Qty]]*Inventory_Data[[#This Row],[Unit Cost]]</f>
        <v>345504</v>
      </c>
      <c r="O551" t="str">
        <f>IF(Inventory_Data[[#This Row],[Closing Stock]]&lt;=Inventory_Data[[#This Row],[Reorder Level]],"Low Stock","In Stock")</f>
        <v>In Stock</v>
      </c>
      <c r="P551" t="str">
        <f>TEXT(Inventory_Data[[#This Row],[Date]],"MMM")</f>
        <v>Apr</v>
      </c>
      <c r="Q551" t="str">
        <f>TEXT(Inventory_Data[[#This Row],[Date]],"YYYY")</f>
        <v>2025</v>
      </c>
    </row>
    <row r="552" spans="1:17" x14ac:dyDescent="0.3">
      <c r="A552" s="1">
        <v>45775</v>
      </c>
      <c r="B552" t="s">
        <v>21</v>
      </c>
      <c r="C552" t="s">
        <v>22</v>
      </c>
      <c r="D552" t="s">
        <v>14</v>
      </c>
      <c r="E552" t="s">
        <v>18</v>
      </c>
      <c r="F552">
        <v>54</v>
      </c>
      <c r="G552">
        <v>272</v>
      </c>
      <c r="H552">
        <v>30</v>
      </c>
      <c r="I552">
        <v>296</v>
      </c>
      <c r="J552">
        <v>67</v>
      </c>
      <c r="K552">
        <v>659</v>
      </c>
      <c r="L552">
        <v>195064</v>
      </c>
      <c r="M552">
        <f>Inventory_Data[[#This Row],[Opening Stock]]+Inventory_Data[[#This Row],[Purchase Qty]]-Inventory_Data[[#This Row],[Sales Qty]]-Inventory_Data[[#This Row],[Closing Stock]]</f>
        <v>0</v>
      </c>
      <c r="N552">
        <f>Inventory_Data[[#This Row],[Purchase Qty]]*Inventory_Data[[#This Row],[Unit Cost]]</f>
        <v>179248</v>
      </c>
      <c r="O552" t="str">
        <f>IF(Inventory_Data[[#This Row],[Closing Stock]]&lt;=Inventory_Data[[#This Row],[Reorder Level]],"Low Stock","In Stock")</f>
        <v>In Stock</v>
      </c>
      <c r="P552" t="str">
        <f>TEXT(Inventory_Data[[#This Row],[Date]],"MMM")</f>
        <v>Apr</v>
      </c>
      <c r="Q552" t="str">
        <f>TEXT(Inventory_Data[[#This Row],[Date]],"YYYY")</f>
        <v>2025</v>
      </c>
    </row>
    <row r="553" spans="1:17" x14ac:dyDescent="0.3">
      <c r="A553" s="1">
        <v>45775</v>
      </c>
      <c r="B553" t="s">
        <v>27</v>
      </c>
      <c r="C553" t="s">
        <v>28</v>
      </c>
      <c r="D553" t="s">
        <v>37</v>
      </c>
      <c r="E553" t="s">
        <v>29</v>
      </c>
      <c r="F553">
        <v>132</v>
      </c>
      <c r="G553">
        <v>103</v>
      </c>
      <c r="H553">
        <v>55</v>
      </c>
      <c r="I553">
        <v>180</v>
      </c>
      <c r="J553">
        <v>21</v>
      </c>
      <c r="K553">
        <v>64861</v>
      </c>
      <c r="L553">
        <v>11674980</v>
      </c>
      <c r="M553">
        <f>Inventory_Data[[#This Row],[Opening Stock]]+Inventory_Data[[#This Row],[Purchase Qty]]-Inventory_Data[[#This Row],[Sales Qty]]-Inventory_Data[[#This Row],[Closing Stock]]</f>
        <v>0</v>
      </c>
      <c r="N553">
        <f>Inventory_Data[[#This Row],[Purchase Qty]]*Inventory_Data[[#This Row],[Unit Cost]]</f>
        <v>6680683</v>
      </c>
      <c r="O553" t="str">
        <f>IF(Inventory_Data[[#This Row],[Closing Stock]]&lt;=Inventory_Data[[#This Row],[Reorder Level]],"Low Stock","In Stock")</f>
        <v>In Stock</v>
      </c>
      <c r="P553" t="str">
        <f>TEXT(Inventory_Data[[#This Row],[Date]],"MMM")</f>
        <v>Apr</v>
      </c>
      <c r="Q553" t="str">
        <f>TEXT(Inventory_Data[[#This Row],[Date]],"YYYY")</f>
        <v>2025</v>
      </c>
    </row>
    <row r="554" spans="1:17" x14ac:dyDescent="0.3">
      <c r="A554" s="1">
        <v>45775</v>
      </c>
      <c r="B554" t="s">
        <v>25</v>
      </c>
      <c r="C554" t="s">
        <v>17</v>
      </c>
      <c r="D554" t="s">
        <v>23</v>
      </c>
      <c r="E554" t="s">
        <v>15</v>
      </c>
      <c r="F554">
        <v>90</v>
      </c>
      <c r="G554">
        <v>15</v>
      </c>
      <c r="H554">
        <v>2</v>
      </c>
      <c r="I554">
        <v>103</v>
      </c>
      <c r="J554">
        <v>13</v>
      </c>
      <c r="K554">
        <v>3391</v>
      </c>
      <c r="L554">
        <v>349273</v>
      </c>
      <c r="M554">
        <f>Inventory_Data[[#This Row],[Opening Stock]]+Inventory_Data[[#This Row],[Purchase Qty]]-Inventory_Data[[#This Row],[Sales Qty]]-Inventory_Data[[#This Row],[Closing Stock]]</f>
        <v>0</v>
      </c>
      <c r="N554">
        <f>Inventory_Data[[#This Row],[Purchase Qty]]*Inventory_Data[[#This Row],[Unit Cost]]</f>
        <v>50865</v>
      </c>
      <c r="O554" t="str">
        <f>IF(Inventory_Data[[#This Row],[Closing Stock]]&lt;=Inventory_Data[[#This Row],[Reorder Level]],"Low Stock","In Stock")</f>
        <v>In Stock</v>
      </c>
      <c r="P554" t="str">
        <f>TEXT(Inventory_Data[[#This Row],[Date]],"MMM")</f>
        <v>Apr</v>
      </c>
      <c r="Q554" t="str">
        <f>TEXT(Inventory_Data[[#This Row],[Date]],"YYYY")</f>
        <v>2025</v>
      </c>
    </row>
    <row r="555" spans="1:17" x14ac:dyDescent="0.3">
      <c r="A555" s="1">
        <v>45776</v>
      </c>
      <c r="B555" t="s">
        <v>19</v>
      </c>
      <c r="C555" t="s">
        <v>13</v>
      </c>
      <c r="D555" t="s">
        <v>26</v>
      </c>
      <c r="E555" t="s">
        <v>34</v>
      </c>
      <c r="F555">
        <v>101</v>
      </c>
      <c r="G555">
        <v>67</v>
      </c>
      <c r="H555">
        <v>5</v>
      </c>
      <c r="I555">
        <v>163</v>
      </c>
      <c r="J555">
        <v>29</v>
      </c>
      <c r="K555">
        <v>8354</v>
      </c>
      <c r="L555">
        <v>1361702</v>
      </c>
      <c r="M555">
        <f>Inventory_Data[[#This Row],[Opening Stock]]+Inventory_Data[[#This Row],[Purchase Qty]]-Inventory_Data[[#This Row],[Sales Qty]]-Inventory_Data[[#This Row],[Closing Stock]]</f>
        <v>0</v>
      </c>
      <c r="N555">
        <f>Inventory_Data[[#This Row],[Purchase Qty]]*Inventory_Data[[#This Row],[Unit Cost]]</f>
        <v>559718</v>
      </c>
      <c r="O555" t="str">
        <f>IF(Inventory_Data[[#This Row],[Closing Stock]]&lt;=Inventory_Data[[#This Row],[Reorder Level]],"Low Stock","In Stock")</f>
        <v>In Stock</v>
      </c>
      <c r="P555" t="str">
        <f>TEXT(Inventory_Data[[#This Row],[Date]],"MMM")</f>
        <v>Apr</v>
      </c>
      <c r="Q555" t="str">
        <f>TEXT(Inventory_Data[[#This Row],[Date]],"YYYY")</f>
        <v>2025</v>
      </c>
    </row>
    <row r="556" spans="1:17" x14ac:dyDescent="0.3">
      <c r="A556" s="1">
        <v>45776</v>
      </c>
      <c r="B556" t="s">
        <v>44</v>
      </c>
      <c r="C556" t="s">
        <v>28</v>
      </c>
      <c r="D556" t="s">
        <v>14</v>
      </c>
      <c r="E556" t="s">
        <v>18</v>
      </c>
      <c r="F556">
        <v>170</v>
      </c>
      <c r="G556">
        <v>14</v>
      </c>
      <c r="H556">
        <v>75</v>
      </c>
      <c r="I556">
        <v>109</v>
      </c>
      <c r="J556">
        <v>25</v>
      </c>
      <c r="K556">
        <v>26584</v>
      </c>
      <c r="L556">
        <v>2897656</v>
      </c>
      <c r="M556">
        <f>Inventory_Data[[#This Row],[Opening Stock]]+Inventory_Data[[#This Row],[Purchase Qty]]-Inventory_Data[[#This Row],[Sales Qty]]-Inventory_Data[[#This Row],[Closing Stock]]</f>
        <v>0</v>
      </c>
      <c r="N556">
        <f>Inventory_Data[[#This Row],[Purchase Qty]]*Inventory_Data[[#This Row],[Unit Cost]]</f>
        <v>372176</v>
      </c>
      <c r="O556" t="str">
        <f>IF(Inventory_Data[[#This Row],[Closing Stock]]&lt;=Inventory_Data[[#This Row],[Reorder Level]],"Low Stock","In Stock")</f>
        <v>In Stock</v>
      </c>
      <c r="P556" t="str">
        <f>TEXT(Inventory_Data[[#This Row],[Date]],"MMM")</f>
        <v>Apr</v>
      </c>
      <c r="Q556" t="str">
        <f>TEXT(Inventory_Data[[#This Row],[Date]],"YYYY")</f>
        <v>2025</v>
      </c>
    </row>
    <row r="557" spans="1:17" x14ac:dyDescent="0.3">
      <c r="A557" s="1">
        <v>45776</v>
      </c>
      <c r="B557" t="s">
        <v>19</v>
      </c>
      <c r="C557" t="s">
        <v>13</v>
      </c>
      <c r="D557" t="s">
        <v>37</v>
      </c>
      <c r="E557" t="s">
        <v>15</v>
      </c>
      <c r="F557">
        <v>107</v>
      </c>
      <c r="G557">
        <v>18</v>
      </c>
      <c r="H557">
        <v>11</v>
      </c>
      <c r="I557">
        <v>114</v>
      </c>
      <c r="J557">
        <v>31</v>
      </c>
      <c r="K557">
        <v>13525</v>
      </c>
      <c r="L557">
        <v>1541850</v>
      </c>
      <c r="M557">
        <f>Inventory_Data[[#This Row],[Opening Stock]]+Inventory_Data[[#This Row],[Purchase Qty]]-Inventory_Data[[#This Row],[Sales Qty]]-Inventory_Data[[#This Row],[Closing Stock]]</f>
        <v>0</v>
      </c>
      <c r="N557">
        <f>Inventory_Data[[#This Row],[Purchase Qty]]*Inventory_Data[[#This Row],[Unit Cost]]</f>
        <v>243450</v>
      </c>
      <c r="O557" t="str">
        <f>IF(Inventory_Data[[#This Row],[Closing Stock]]&lt;=Inventory_Data[[#This Row],[Reorder Level]],"Low Stock","In Stock")</f>
        <v>In Stock</v>
      </c>
      <c r="P557" t="str">
        <f>TEXT(Inventory_Data[[#This Row],[Date]],"MMM")</f>
        <v>Apr</v>
      </c>
      <c r="Q557" t="str">
        <f>TEXT(Inventory_Data[[#This Row],[Date]],"YYYY")</f>
        <v>2025</v>
      </c>
    </row>
    <row r="558" spans="1:17" x14ac:dyDescent="0.3">
      <c r="A558" s="1">
        <v>45776</v>
      </c>
      <c r="B558" t="s">
        <v>42</v>
      </c>
      <c r="C558" t="s">
        <v>17</v>
      </c>
      <c r="D558" t="s">
        <v>37</v>
      </c>
      <c r="E558" t="s">
        <v>18</v>
      </c>
      <c r="F558">
        <v>50</v>
      </c>
      <c r="G558">
        <v>19</v>
      </c>
      <c r="H558">
        <v>3</v>
      </c>
      <c r="I558">
        <v>66</v>
      </c>
      <c r="J558">
        <v>20</v>
      </c>
      <c r="K558">
        <v>24358</v>
      </c>
      <c r="L558">
        <v>1607628</v>
      </c>
      <c r="M558">
        <f>Inventory_Data[[#This Row],[Opening Stock]]+Inventory_Data[[#This Row],[Purchase Qty]]-Inventory_Data[[#This Row],[Sales Qty]]-Inventory_Data[[#This Row],[Closing Stock]]</f>
        <v>0</v>
      </c>
      <c r="N558">
        <f>Inventory_Data[[#This Row],[Purchase Qty]]*Inventory_Data[[#This Row],[Unit Cost]]</f>
        <v>462802</v>
      </c>
      <c r="O558" t="str">
        <f>IF(Inventory_Data[[#This Row],[Closing Stock]]&lt;=Inventory_Data[[#This Row],[Reorder Level]],"Low Stock","In Stock")</f>
        <v>In Stock</v>
      </c>
      <c r="P558" t="str">
        <f>TEXT(Inventory_Data[[#This Row],[Date]],"MMM")</f>
        <v>Apr</v>
      </c>
      <c r="Q558" t="str">
        <f>TEXT(Inventory_Data[[#This Row],[Date]],"YYYY")</f>
        <v>2025</v>
      </c>
    </row>
    <row r="559" spans="1:17" x14ac:dyDescent="0.3">
      <c r="A559" s="1">
        <v>45777</v>
      </c>
      <c r="B559" t="s">
        <v>30</v>
      </c>
      <c r="C559" t="s">
        <v>28</v>
      </c>
      <c r="D559" t="s">
        <v>26</v>
      </c>
      <c r="E559" t="s">
        <v>20</v>
      </c>
      <c r="F559">
        <v>144</v>
      </c>
      <c r="G559">
        <v>98</v>
      </c>
      <c r="H559">
        <v>77</v>
      </c>
      <c r="I559">
        <v>165</v>
      </c>
      <c r="J559">
        <v>33</v>
      </c>
      <c r="K559">
        <v>38243</v>
      </c>
      <c r="L559">
        <v>6310095</v>
      </c>
      <c r="M559">
        <f>Inventory_Data[[#This Row],[Opening Stock]]+Inventory_Data[[#This Row],[Purchase Qty]]-Inventory_Data[[#This Row],[Sales Qty]]-Inventory_Data[[#This Row],[Closing Stock]]</f>
        <v>0</v>
      </c>
      <c r="N559">
        <f>Inventory_Data[[#This Row],[Purchase Qty]]*Inventory_Data[[#This Row],[Unit Cost]]</f>
        <v>3747814</v>
      </c>
      <c r="O559" t="str">
        <f>IF(Inventory_Data[[#This Row],[Closing Stock]]&lt;=Inventory_Data[[#This Row],[Reorder Level]],"Low Stock","In Stock")</f>
        <v>In Stock</v>
      </c>
      <c r="P559" t="str">
        <f>TEXT(Inventory_Data[[#This Row],[Date]],"MMM")</f>
        <v>Apr</v>
      </c>
      <c r="Q559" t="str">
        <f>TEXT(Inventory_Data[[#This Row],[Date]],"YYYY")</f>
        <v>2025</v>
      </c>
    </row>
    <row r="560" spans="1:17" x14ac:dyDescent="0.3">
      <c r="A560" s="1">
        <v>45777</v>
      </c>
      <c r="B560" t="s">
        <v>39</v>
      </c>
      <c r="C560" t="s">
        <v>28</v>
      </c>
      <c r="D560" t="s">
        <v>14</v>
      </c>
      <c r="E560" t="s">
        <v>29</v>
      </c>
      <c r="F560">
        <v>134</v>
      </c>
      <c r="G560">
        <v>22</v>
      </c>
      <c r="H560">
        <v>73</v>
      </c>
      <c r="I560">
        <v>83</v>
      </c>
      <c r="J560">
        <v>32</v>
      </c>
      <c r="K560">
        <v>37576</v>
      </c>
      <c r="L560">
        <v>3118808</v>
      </c>
      <c r="M560">
        <f>Inventory_Data[[#This Row],[Opening Stock]]+Inventory_Data[[#This Row],[Purchase Qty]]-Inventory_Data[[#This Row],[Sales Qty]]-Inventory_Data[[#This Row],[Closing Stock]]</f>
        <v>0</v>
      </c>
      <c r="N560">
        <f>Inventory_Data[[#This Row],[Purchase Qty]]*Inventory_Data[[#This Row],[Unit Cost]]</f>
        <v>826672</v>
      </c>
      <c r="O560" t="str">
        <f>IF(Inventory_Data[[#This Row],[Closing Stock]]&lt;=Inventory_Data[[#This Row],[Reorder Level]],"Low Stock","In Stock")</f>
        <v>In Stock</v>
      </c>
      <c r="P560" t="str">
        <f>TEXT(Inventory_Data[[#This Row],[Date]],"MMM")</f>
        <v>Apr</v>
      </c>
      <c r="Q560" t="str">
        <f>TEXT(Inventory_Data[[#This Row],[Date]],"YYYY")</f>
        <v>2025</v>
      </c>
    </row>
    <row r="561" spans="1:17" x14ac:dyDescent="0.3">
      <c r="A561" s="1">
        <v>45777</v>
      </c>
      <c r="B561" t="s">
        <v>30</v>
      </c>
      <c r="C561" t="s">
        <v>28</v>
      </c>
      <c r="D561" t="s">
        <v>14</v>
      </c>
      <c r="E561" t="s">
        <v>29</v>
      </c>
      <c r="F561">
        <v>114</v>
      </c>
      <c r="G561">
        <v>116</v>
      </c>
      <c r="H561">
        <v>84</v>
      </c>
      <c r="I561">
        <v>146</v>
      </c>
      <c r="J561">
        <v>25</v>
      </c>
      <c r="K561">
        <v>51259</v>
      </c>
      <c r="L561">
        <v>7483814</v>
      </c>
      <c r="M561">
        <f>Inventory_Data[[#This Row],[Opening Stock]]+Inventory_Data[[#This Row],[Purchase Qty]]-Inventory_Data[[#This Row],[Sales Qty]]-Inventory_Data[[#This Row],[Closing Stock]]</f>
        <v>0</v>
      </c>
      <c r="N561">
        <f>Inventory_Data[[#This Row],[Purchase Qty]]*Inventory_Data[[#This Row],[Unit Cost]]</f>
        <v>5946044</v>
      </c>
      <c r="O561" t="str">
        <f>IF(Inventory_Data[[#This Row],[Closing Stock]]&lt;=Inventory_Data[[#This Row],[Reorder Level]],"Low Stock","In Stock")</f>
        <v>In Stock</v>
      </c>
      <c r="P561" t="str">
        <f>TEXT(Inventory_Data[[#This Row],[Date]],"MMM")</f>
        <v>Apr</v>
      </c>
      <c r="Q561" t="str">
        <f>TEXT(Inventory_Data[[#This Row],[Date]],"YYYY")</f>
        <v>2025</v>
      </c>
    </row>
    <row r="562" spans="1:17" x14ac:dyDescent="0.3">
      <c r="A562" s="1">
        <v>45778</v>
      </c>
      <c r="B562" t="s">
        <v>40</v>
      </c>
      <c r="C562" t="s">
        <v>28</v>
      </c>
      <c r="D562" t="s">
        <v>23</v>
      </c>
      <c r="E562" t="s">
        <v>24</v>
      </c>
      <c r="F562">
        <v>160</v>
      </c>
      <c r="G562">
        <v>74</v>
      </c>
      <c r="H562">
        <v>24</v>
      </c>
      <c r="I562">
        <v>210</v>
      </c>
      <c r="J562">
        <v>27</v>
      </c>
      <c r="K562">
        <v>13912</v>
      </c>
      <c r="L562">
        <v>2921520</v>
      </c>
      <c r="M562">
        <f>Inventory_Data[[#This Row],[Opening Stock]]+Inventory_Data[[#This Row],[Purchase Qty]]-Inventory_Data[[#This Row],[Sales Qty]]-Inventory_Data[[#This Row],[Closing Stock]]</f>
        <v>0</v>
      </c>
      <c r="N562">
        <f>Inventory_Data[[#This Row],[Purchase Qty]]*Inventory_Data[[#This Row],[Unit Cost]]</f>
        <v>1029488</v>
      </c>
      <c r="O562" t="str">
        <f>IF(Inventory_Data[[#This Row],[Closing Stock]]&lt;=Inventory_Data[[#This Row],[Reorder Level]],"Low Stock","In Stock")</f>
        <v>In Stock</v>
      </c>
      <c r="P562" t="str">
        <f>TEXT(Inventory_Data[[#This Row],[Date]],"MMM")</f>
        <v>May</v>
      </c>
      <c r="Q562" t="str">
        <f>TEXT(Inventory_Data[[#This Row],[Date]],"YYYY")</f>
        <v>2025</v>
      </c>
    </row>
    <row r="563" spans="1:17" x14ac:dyDescent="0.3">
      <c r="A563" s="1">
        <v>45778</v>
      </c>
      <c r="B563" t="s">
        <v>43</v>
      </c>
      <c r="C563" t="s">
        <v>22</v>
      </c>
      <c r="D563" t="s">
        <v>37</v>
      </c>
      <c r="E563" t="s">
        <v>34</v>
      </c>
      <c r="F563">
        <v>429</v>
      </c>
      <c r="G563">
        <v>291</v>
      </c>
      <c r="H563">
        <v>225</v>
      </c>
      <c r="I563">
        <v>495</v>
      </c>
      <c r="J563">
        <v>141</v>
      </c>
      <c r="K563">
        <v>580</v>
      </c>
      <c r="L563">
        <v>287100</v>
      </c>
      <c r="M563">
        <f>Inventory_Data[[#This Row],[Opening Stock]]+Inventory_Data[[#This Row],[Purchase Qty]]-Inventory_Data[[#This Row],[Sales Qty]]-Inventory_Data[[#This Row],[Closing Stock]]</f>
        <v>0</v>
      </c>
      <c r="N563">
        <f>Inventory_Data[[#This Row],[Purchase Qty]]*Inventory_Data[[#This Row],[Unit Cost]]</f>
        <v>168780</v>
      </c>
      <c r="O563" t="str">
        <f>IF(Inventory_Data[[#This Row],[Closing Stock]]&lt;=Inventory_Data[[#This Row],[Reorder Level]],"Low Stock","In Stock")</f>
        <v>In Stock</v>
      </c>
      <c r="P563" t="str">
        <f>TEXT(Inventory_Data[[#This Row],[Date]],"MMM")</f>
        <v>May</v>
      </c>
      <c r="Q563" t="str">
        <f>TEXT(Inventory_Data[[#This Row],[Date]],"YYYY")</f>
        <v>2025</v>
      </c>
    </row>
    <row r="564" spans="1:17" x14ac:dyDescent="0.3">
      <c r="A564" s="1">
        <v>45778</v>
      </c>
      <c r="B564" t="s">
        <v>39</v>
      </c>
      <c r="C564" t="s">
        <v>28</v>
      </c>
      <c r="D564" t="s">
        <v>14</v>
      </c>
      <c r="E564" t="s">
        <v>18</v>
      </c>
      <c r="F564">
        <v>57</v>
      </c>
      <c r="G564">
        <v>107</v>
      </c>
      <c r="H564">
        <v>30</v>
      </c>
      <c r="I564">
        <v>134</v>
      </c>
      <c r="J564">
        <v>23</v>
      </c>
      <c r="K564">
        <v>11936</v>
      </c>
      <c r="L564">
        <v>1599424</v>
      </c>
      <c r="M564">
        <f>Inventory_Data[[#This Row],[Opening Stock]]+Inventory_Data[[#This Row],[Purchase Qty]]-Inventory_Data[[#This Row],[Sales Qty]]-Inventory_Data[[#This Row],[Closing Stock]]</f>
        <v>0</v>
      </c>
      <c r="N564">
        <f>Inventory_Data[[#This Row],[Purchase Qty]]*Inventory_Data[[#This Row],[Unit Cost]]</f>
        <v>1277152</v>
      </c>
      <c r="O564" t="str">
        <f>IF(Inventory_Data[[#This Row],[Closing Stock]]&lt;=Inventory_Data[[#This Row],[Reorder Level]],"Low Stock","In Stock")</f>
        <v>In Stock</v>
      </c>
      <c r="P564" t="str">
        <f>TEXT(Inventory_Data[[#This Row],[Date]],"MMM")</f>
        <v>May</v>
      </c>
      <c r="Q564" t="str">
        <f>TEXT(Inventory_Data[[#This Row],[Date]],"YYYY")</f>
        <v>2025</v>
      </c>
    </row>
    <row r="565" spans="1:17" x14ac:dyDescent="0.3">
      <c r="A565" s="1">
        <v>45779</v>
      </c>
      <c r="B565" t="s">
        <v>38</v>
      </c>
      <c r="C565" t="s">
        <v>17</v>
      </c>
      <c r="D565" t="s">
        <v>37</v>
      </c>
      <c r="E565" t="s">
        <v>20</v>
      </c>
      <c r="F565">
        <v>25</v>
      </c>
      <c r="G565">
        <v>48</v>
      </c>
      <c r="H565">
        <v>8</v>
      </c>
      <c r="I565">
        <v>65</v>
      </c>
      <c r="J565">
        <v>22</v>
      </c>
      <c r="K565">
        <v>3915</v>
      </c>
      <c r="L565">
        <v>254475</v>
      </c>
      <c r="M565">
        <f>Inventory_Data[[#This Row],[Opening Stock]]+Inventory_Data[[#This Row],[Purchase Qty]]-Inventory_Data[[#This Row],[Sales Qty]]-Inventory_Data[[#This Row],[Closing Stock]]</f>
        <v>0</v>
      </c>
      <c r="N565">
        <f>Inventory_Data[[#This Row],[Purchase Qty]]*Inventory_Data[[#This Row],[Unit Cost]]</f>
        <v>187920</v>
      </c>
      <c r="O565" t="str">
        <f>IF(Inventory_Data[[#This Row],[Closing Stock]]&lt;=Inventory_Data[[#This Row],[Reorder Level]],"Low Stock","In Stock")</f>
        <v>In Stock</v>
      </c>
      <c r="P565" t="str">
        <f>TEXT(Inventory_Data[[#This Row],[Date]],"MMM")</f>
        <v>May</v>
      </c>
      <c r="Q565" t="str">
        <f>TEXT(Inventory_Data[[#This Row],[Date]],"YYYY")</f>
        <v>2025</v>
      </c>
    </row>
    <row r="566" spans="1:17" x14ac:dyDescent="0.3">
      <c r="A566" s="1">
        <v>45780</v>
      </c>
      <c r="B566" t="s">
        <v>27</v>
      </c>
      <c r="C566" t="s">
        <v>28</v>
      </c>
      <c r="D566" t="s">
        <v>37</v>
      </c>
      <c r="E566" t="s">
        <v>34</v>
      </c>
      <c r="F566">
        <v>118</v>
      </c>
      <c r="G566">
        <v>44</v>
      </c>
      <c r="H566">
        <v>35</v>
      </c>
      <c r="I566">
        <v>127</v>
      </c>
      <c r="J566">
        <v>58</v>
      </c>
      <c r="K566">
        <v>53435</v>
      </c>
      <c r="L566">
        <v>6786245</v>
      </c>
      <c r="M566">
        <f>Inventory_Data[[#This Row],[Opening Stock]]+Inventory_Data[[#This Row],[Purchase Qty]]-Inventory_Data[[#This Row],[Sales Qty]]-Inventory_Data[[#This Row],[Closing Stock]]</f>
        <v>0</v>
      </c>
      <c r="N566">
        <f>Inventory_Data[[#This Row],[Purchase Qty]]*Inventory_Data[[#This Row],[Unit Cost]]</f>
        <v>2351140</v>
      </c>
      <c r="O566" t="str">
        <f>IF(Inventory_Data[[#This Row],[Closing Stock]]&lt;=Inventory_Data[[#This Row],[Reorder Level]],"Low Stock","In Stock")</f>
        <v>In Stock</v>
      </c>
      <c r="P566" t="str">
        <f>TEXT(Inventory_Data[[#This Row],[Date]],"MMM")</f>
        <v>May</v>
      </c>
      <c r="Q566" t="str">
        <f>TEXT(Inventory_Data[[#This Row],[Date]],"YYYY")</f>
        <v>2025</v>
      </c>
    </row>
    <row r="567" spans="1:17" x14ac:dyDescent="0.3">
      <c r="A567" s="1">
        <v>45780</v>
      </c>
      <c r="B567" t="s">
        <v>19</v>
      </c>
      <c r="C567" t="s">
        <v>13</v>
      </c>
      <c r="D567" t="s">
        <v>26</v>
      </c>
      <c r="E567" t="s">
        <v>18</v>
      </c>
      <c r="F567">
        <v>78</v>
      </c>
      <c r="G567">
        <v>30</v>
      </c>
      <c r="H567">
        <v>9</v>
      </c>
      <c r="I567">
        <v>99</v>
      </c>
      <c r="J567">
        <v>22</v>
      </c>
      <c r="K567">
        <v>15682</v>
      </c>
      <c r="L567">
        <v>1552518</v>
      </c>
      <c r="M567">
        <f>Inventory_Data[[#This Row],[Opening Stock]]+Inventory_Data[[#This Row],[Purchase Qty]]-Inventory_Data[[#This Row],[Sales Qty]]-Inventory_Data[[#This Row],[Closing Stock]]</f>
        <v>0</v>
      </c>
      <c r="N567">
        <f>Inventory_Data[[#This Row],[Purchase Qty]]*Inventory_Data[[#This Row],[Unit Cost]]</f>
        <v>470460</v>
      </c>
      <c r="O567" t="str">
        <f>IF(Inventory_Data[[#This Row],[Closing Stock]]&lt;=Inventory_Data[[#This Row],[Reorder Level]],"Low Stock","In Stock")</f>
        <v>In Stock</v>
      </c>
      <c r="P567" t="str">
        <f>TEXT(Inventory_Data[[#This Row],[Date]],"MMM")</f>
        <v>May</v>
      </c>
      <c r="Q567" t="str">
        <f>TEXT(Inventory_Data[[#This Row],[Date]],"YYYY")</f>
        <v>2025</v>
      </c>
    </row>
    <row r="568" spans="1:17" x14ac:dyDescent="0.3">
      <c r="A568" s="1">
        <v>45780</v>
      </c>
      <c r="B568" t="s">
        <v>38</v>
      </c>
      <c r="C568" t="s">
        <v>17</v>
      </c>
      <c r="D568" t="s">
        <v>26</v>
      </c>
      <c r="E568" t="s">
        <v>20</v>
      </c>
      <c r="F568">
        <v>12</v>
      </c>
      <c r="G568">
        <v>23</v>
      </c>
      <c r="H568">
        <v>11</v>
      </c>
      <c r="I568">
        <v>24</v>
      </c>
      <c r="J568">
        <v>24</v>
      </c>
      <c r="K568">
        <v>3895</v>
      </c>
      <c r="L568">
        <v>93480</v>
      </c>
      <c r="M568">
        <f>Inventory_Data[[#This Row],[Opening Stock]]+Inventory_Data[[#This Row],[Purchase Qty]]-Inventory_Data[[#This Row],[Sales Qty]]-Inventory_Data[[#This Row],[Closing Stock]]</f>
        <v>0</v>
      </c>
      <c r="N568">
        <f>Inventory_Data[[#This Row],[Purchase Qty]]*Inventory_Data[[#This Row],[Unit Cost]]</f>
        <v>89585</v>
      </c>
      <c r="O568" t="str">
        <f>IF(Inventory_Data[[#This Row],[Closing Stock]]&lt;=Inventory_Data[[#This Row],[Reorder Level]],"Low Stock","In Stock")</f>
        <v>Low Stock</v>
      </c>
      <c r="P568" t="str">
        <f>TEXT(Inventory_Data[[#This Row],[Date]],"MMM")</f>
        <v>May</v>
      </c>
      <c r="Q568" t="str">
        <f>TEXT(Inventory_Data[[#This Row],[Date]],"YYYY")</f>
        <v>2025</v>
      </c>
    </row>
    <row r="569" spans="1:17" x14ac:dyDescent="0.3">
      <c r="A569" s="1">
        <v>45781</v>
      </c>
      <c r="B569" t="s">
        <v>35</v>
      </c>
      <c r="C569" t="s">
        <v>22</v>
      </c>
      <c r="D569" t="s">
        <v>26</v>
      </c>
      <c r="E569" t="s">
        <v>29</v>
      </c>
      <c r="F569">
        <v>124</v>
      </c>
      <c r="G569">
        <v>166</v>
      </c>
      <c r="H569">
        <v>99</v>
      </c>
      <c r="I569">
        <v>191</v>
      </c>
      <c r="J569">
        <v>110</v>
      </c>
      <c r="K569">
        <v>856</v>
      </c>
      <c r="L569">
        <v>163496</v>
      </c>
      <c r="M569">
        <f>Inventory_Data[[#This Row],[Opening Stock]]+Inventory_Data[[#This Row],[Purchase Qty]]-Inventory_Data[[#This Row],[Sales Qty]]-Inventory_Data[[#This Row],[Closing Stock]]</f>
        <v>0</v>
      </c>
      <c r="N569">
        <f>Inventory_Data[[#This Row],[Purchase Qty]]*Inventory_Data[[#This Row],[Unit Cost]]</f>
        <v>142096</v>
      </c>
      <c r="O569" t="str">
        <f>IF(Inventory_Data[[#This Row],[Closing Stock]]&lt;=Inventory_Data[[#This Row],[Reorder Level]],"Low Stock","In Stock")</f>
        <v>In Stock</v>
      </c>
      <c r="P569" t="str">
        <f>TEXT(Inventory_Data[[#This Row],[Date]],"MMM")</f>
        <v>May</v>
      </c>
      <c r="Q569" t="str">
        <f>TEXT(Inventory_Data[[#This Row],[Date]],"YYYY")</f>
        <v>2025</v>
      </c>
    </row>
    <row r="570" spans="1:17" x14ac:dyDescent="0.3">
      <c r="A570" s="1">
        <v>45782</v>
      </c>
      <c r="B570" t="s">
        <v>33</v>
      </c>
      <c r="C570" t="s">
        <v>13</v>
      </c>
      <c r="D570" t="s">
        <v>23</v>
      </c>
      <c r="E570" t="s">
        <v>18</v>
      </c>
      <c r="F570">
        <v>75</v>
      </c>
      <c r="G570">
        <v>79</v>
      </c>
      <c r="H570">
        <v>45</v>
      </c>
      <c r="I570">
        <v>109</v>
      </c>
      <c r="J570">
        <v>25</v>
      </c>
      <c r="K570">
        <v>2383</v>
      </c>
      <c r="L570">
        <v>259747</v>
      </c>
      <c r="M570">
        <f>Inventory_Data[[#This Row],[Opening Stock]]+Inventory_Data[[#This Row],[Purchase Qty]]-Inventory_Data[[#This Row],[Sales Qty]]-Inventory_Data[[#This Row],[Closing Stock]]</f>
        <v>0</v>
      </c>
      <c r="N570">
        <f>Inventory_Data[[#This Row],[Purchase Qty]]*Inventory_Data[[#This Row],[Unit Cost]]</f>
        <v>188257</v>
      </c>
      <c r="O570" t="str">
        <f>IF(Inventory_Data[[#This Row],[Closing Stock]]&lt;=Inventory_Data[[#This Row],[Reorder Level]],"Low Stock","In Stock")</f>
        <v>In Stock</v>
      </c>
      <c r="P570" t="str">
        <f>TEXT(Inventory_Data[[#This Row],[Date]],"MMM")</f>
        <v>May</v>
      </c>
      <c r="Q570" t="str">
        <f>TEXT(Inventory_Data[[#This Row],[Date]],"YYYY")</f>
        <v>2025</v>
      </c>
    </row>
    <row r="571" spans="1:17" x14ac:dyDescent="0.3">
      <c r="A571" s="1">
        <v>45783</v>
      </c>
      <c r="B571" t="s">
        <v>38</v>
      </c>
      <c r="C571" t="s">
        <v>17</v>
      </c>
      <c r="D571" t="s">
        <v>37</v>
      </c>
      <c r="E571" t="s">
        <v>29</v>
      </c>
      <c r="F571">
        <v>26</v>
      </c>
      <c r="G571">
        <v>52</v>
      </c>
      <c r="H571">
        <v>14</v>
      </c>
      <c r="I571">
        <v>64</v>
      </c>
      <c r="J571">
        <v>27</v>
      </c>
      <c r="K571">
        <v>17875</v>
      </c>
      <c r="L571">
        <v>1144000</v>
      </c>
      <c r="M571">
        <f>Inventory_Data[[#This Row],[Opening Stock]]+Inventory_Data[[#This Row],[Purchase Qty]]-Inventory_Data[[#This Row],[Sales Qty]]-Inventory_Data[[#This Row],[Closing Stock]]</f>
        <v>0</v>
      </c>
      <c r="N571">
        <f>Inventory_Data[[#This Row],[Purchase Qty]]*Inventory_Data[[#This Row],[Unit Cost]]</f>
        <v>929500</v>
      </c>
      <c r="O571" t="str">
        <f>IF(Inventory_Data[[#This Row],[Closing Stock]]&lt;=Inventory_Data[[#This Row],[Reorder Level]],"Low Stock","In Stock")</f>
        <v>In Stock</v>
      </c>
      <c r="P571" t="str">
        <f>TEXT(Inventory_Data[[#This Row],[Date]],"MMM")</f>
        <v>May</v>
      </c>
      <c r="Q571" t="str">
        <f>TEXT(Inventory_Data[[#This Row],[Date]],"YYYY")</f>
        <v>2025</v>
      </c>
    </row>
    <row r="572" spans="1:17" x14ac:dyDescent="0.3">
      <c r="A572" s="1">
        <v>45783</v>
      </c>
      <c r="B572" t="s">
        <v>25</v>
      </c>
      <c r="C572" t="s">
        <v>17</v>
      </c>
      <c r="D572" t="s">
        <v>26</v>
      </c>
      <c r="E572" t="s">
        <v>29</v>
      </c>
      <c r="F572">
        <v>58</v>
      </c>
      <c r="G572">
        <v>28</v>
      </c>
      <c r="H572">
        <v>15</v>
      </c>
      <c r="I572">
        <v>71</v>
      </c>
      <c r="J572">
        <v>14</v>
      </c>
      <c r="K572">
        <v>13966</v>
      </c>
      <c r="L572">
        <v>991586</v>
      </c>
      <c r="M572">
        <f>Inventory_Data[[#This Row],[Opening Stock]]+Inventory_Data[[#This Row],[Purchase Qty]]-Inventory_Data[[#This Row],[Sales Qty]]-Inventory_Data[[#This Row],[Closing Stock]]</f>
        <v>0</v>
      </c>
      <c r="N572">
        <f>Inventory_Data[[#This Row],[Purchase Qty]]*Inventory_Data[[#This Row],[Unit Cost]]</f>
        <v>391048</v>
      </c>
      <c r="O572" t="str">
        <f>IF(Inventory_Data[[#This Row],[Closing Stock]]&lt;=Inventory_Data[[#This Row],[Reorder Level]],"Low Stock","In Stock")</f>
        <v>In Stock</v>
      </c>
      <c r="P572" t="str">
        <f>TEXT(Inventory_Data[[#This Row],[Date]],"MMM")</f>
        <v>May</v>
      </c>
      <c r="Q572" t="str">
        <f>TEXT(Inventory_Data[[#This Row],[Date]],"YYYY")</f>
        <v>2025</v>
      </c>
    </row>
    <row r="573" spans="1:17" x14ac:dyDescent="0.3">
      <c r="A573" s="1">
        <v>45783</v>
      </c>
      <c r="B573" t="s">
        <v>36</v>
      </c>
      <c r="C573" t="s">
        <v>22</v>
      </c>
      <c r="D573" t="s">
        <v>23</v>
      </c>
      <c r="E573" t="s">
        <v>18</v>
      </c>
      <c r="F573">
        <v>355</v>
      </c>
      <c r="G573">
        <v>219</v>
      </c>
      <c r="H573">
        <v>98</v>
      </c>
      <c r="I573">
        <v>476</v>
      </c>
      <c r="J573">
        <v>145</v>
      </c>
      <c r="K573">
        <v>647</v>
      </c>
      <c r="L573">
        <v>307972</v>
      </c>
      <c r="M573">
        <f>Inventory_Data[[#This Row],[Opening Stock]]+Inventory_Data[[#This Row],[Purchase Qty]]-Inventory_Data[[#This Row],[Sales Qty]]-Inventory_Data[[#This Row],[Closing Stock]]</f>
        <v>0</v>
      </c>
      <c r="N573">
        <f>Inventory_Data[[#This Row],[Purchase Qty]]*Inventory_Data[[#This Row],[Unit Cost]]</f>
        <v>141693</v>
      </c>
      <c r="O573" t="str">
        <f>IF(Inventory_Data[[#This Row],[Closing Stock]]&lt;=Inventory_Data[[#This Row],[Reorder Level]],"Low Stock","In Stock")</f>
        <v>In Stock</v>
      </c>
      <c r="P573" t="str">
        <f>TEXT(Inventory_Data[[#This Row],[Date]],"MMM")</f>
        <v>May</v>
      </c>
      <c r="Q573" t="str">
        <f>TEXT(Inventory_Data[[#This Row],[Date]],"YYYY")</f>
        <v>2025</v>
      </c>
    </row>
    <row r="574" spans="1:17" x14ac:dyDescent="0.3">
      <c r="A574" s="1">
        <v>45783</v>
      </c>
      <c r="B574" t="s">
        <v>42</v>
      </c>
      <c r="C574" t="s">
        <v>17</v>
      </c>
      <c r="D574" t="s">
        <v>14</v>
      </c>
      <c r="E574" t="s">
        <v>18</v>
      </c>
      <c r="F574">
        <v>17</v>
      </c>
      <c r="G574">
        <v>28</v>
      </c>
      <c r="H574">
        <v>21</v>
      </c>
      <c r="I574">
        <v>24</v>
      </c>
      <c r="J574">
        <v>29</v>
      </c>
      <c r="K574">
        <v>6475</v>
      </c>
      <c r="L574">
        <v>155400</v>
      </c>
      <c r="M574">
        <f>Inventory_Data[[#This Row],[Opening Stock]]+Inventory_Data[[#This Row],[Purchase Qty]]-Inventory_Data[[#This Row],[Sales Qty]]-Inventory_Data[[#This Row],[Closing Stock]]</f>
        <v>0</v>
      </c>
      <c r="N574">
        <f>Inventory_Data[[#This Row],[Purchase Qty]]*Inventory_Data[[#This Row],[Unit Cost]]</f>
        <v>181300</v>
      </c>
      <c r="O574" t="str">
        <f>IF(Inventory_Data[[#This Row],[Closing Stock]]&lt;=Inventory_Data[[#This Row],[Reorder Level]],"Low Stock","In Stock")</f>
        <v>Low Stock</v>
      </c>
      <c r="P574" t="str">
        <f>TEXT(Inventory_Data[[#This Row],[Date]],"MMM")</f>
        <v>May</v>
      </c>
      <c r="Q574" t="str">
        <f>TEXT(Inventory_Data[[#This Row],[Date]],"YYYY")</f>
        <v>2025</v>
      </c>
    </row>
    <row r="575" spans="1:17" x14ac:dyDescent="0.3">
      <c r="A575" s="1">
        <v>45784</v>
      </c>
      <c r="B575" t="s">
        <v>42</v>
      </c>
      <c r="C575" t="s">
        <v>17</v>
      </c>
      <c r="D575" t="s">
        <v>23</v>
      </c>
      <c r="E575" t="s">
        <v>15</v>
      </c>
      <c r="F575">
        <v>18</v>
      </c>
      <c r="G575">
        <v>12</v>
      </c>
      <c r="H575">
        <v>16</v>
      </c>
      <c r="I575">
        <v>14</v>
      </c>
      <c r="J575">
        <v>10</v>
      </c>
      <c r="K575">
        <v>7869</v>
      </c>
      <c r="L575">
        <v>110166</v>
      </c>
      <c r="M575">
        <f>Inventory_Data[[#This Row],[Opening Stock]]+Inventory_Data[[#This Row],[Purchase Qty]]-Inventory_Data[[#This Row],[Sales Qty]]-Inventory_Data[[#This Row],[Closing Stock]]</f>
        <v>0</v>
      </c>
      <c r="N575">
        <f>Inventory_Data[[#This Row],[Purchase Qty]]*Inventory_Data[[#This Row],[Unit Cost]]</f>
        <v>94428</v>
      </c>
      <c r="O575" t="str">
        <f>IF(Inventory_Data[[#This Row],[Closing Stock]]&lt;=Inventory_Data[[#This Row],[Reorder Level]],"Low Stock","In Stock")</f>
        <v>In Stock</v>
      </c>
      <c r="P575" t="str">
        <f>TEXT(Inventory_Data[[#This Row],[Date]],"MMM")</f>
        <v>May</v>
      </c>
      <c r="Q575" t="str">
        <f>TEXT(Inventory_Data[[#This Row],[Date]],"YYYY")</f>
        <v>2025</v>
      </c>
    </row>
    <row r="576" spans="1:17" x14ac:dyDescent="0.3">
      <c r="A576" s="1">
        <v>45784</v>
      </c>
      <c r="B576" t="s">
        <v>31</v>
      </c>
      <c r="C576" t="s">
        <v>22</v>
      </c>
      <c r="D576" t="s">
        <v>37</v>
      </c>
      <c r="E576" t="s">
        <v>29</v>
      </c>
      <c r="F576">
        <v>196</v>
      </c>
      <c r="G576">
        <v>147</v>
      </c>
      <c r="H576">
        <v>161</v>
      </c>
      <c r="I576">
        <v>182</v>
      </c>
      <c r="J576">
        <v>58</v>
      </c>
      <c r="K576">
        <v>382</v>
      </c>
      <c r="L576">
        <v>69524</v>
      </c>
      <c r="M576">
        <f>Inventory_Data[[#This Row],[Opening Stock]]+Inventory_Data[[#This Row],[Purchase Qty]]-Inventory_Data[[#This Row],[Sales Qty]]-Inventory_Data[[#This Row],[Closing Stock]]</f>
        <v>0</v>
      </c>
      <c r="N576">
        <f>Inventory_Data[[#This Row],[Purchase Qty]]*Inventory_Data[[#This Row],[Unit Cost]]</f>
        <v>56154</v>
      </c>
      <c r="O576" t="str">
        <f>IF(Inventory_Data[[#This Row],[Closing Stock]]&lt;=Inventory_Data[[#This Row],[Reorder Level]],"Low Stock","In Stock")</f>
        <v>In Stock</v>
      </c>
      <c r="P576" t="str">
        <f>TEXT(Inventory_Data[[#This Row],[Date]],"MMM")</f>
        <v>May</v>
      </c>
      <c r="Q576" t="str">
        <f>TEXT(Inventory_Data[[#This Row],[Date]],"YYYY")</f>
        <v>2025</v>
      </c>
    </row>
    <row r="577" spans="1:17" x14ac:dyDescent="0.3">
      <c r="A577" s="1">
        <v>45784</v>
      </c>
      <c r="B577" t="s">
        <v>21</v>
      </c>
      <c r="C577" t="s">
        <v>22</v>
      </c>
      <c r="D577" t="s">
        <v>14</v>
      </c>
      <c r="E577" t="s">
        <v>24</v>
      </c>
      <c r="F577">
        <v>398</v>
      </c>
      <c r="G577">
        <v>50</v>
      </c>
      <c r="H577">
        <v>208</v>
      </c>
      <c r="I577">
        <v>240</v>
      </c>
      <c r="J577">
        <v>125</v>
      </c>
      <c r="K577">
        <v>720</v>
      </c>
      <c r="L577">
        <v>172800</v>
      </c>
      <c r="M577">
        <f>Inventory_Data[[#This Row],[Opening Stock]]+Inventory_Data[[#This Row],[Purchase Qty]]-Inventory_Data[[#This Row],[Sales Qty]]-Inventory_Data[[#This Row],[Closing Stock]]</f>
        <v>0</v>
      </c>
      <c r="N577">
        <f>Inventory_Data[[#This Row],[Purchase Qty]]*Inventory_Data[[#This Row],[Unit Cost]]</f>
        <v>36000</v>
      </c>
      <c r="O577" t="str">
        <f>IF(Inventory_Data[[#This Row],[Closing Stock]]&lt;=Inventory_Data[[#This Row],[Reorder Level]],"Low Stock","In Stock")</f>
        <v>In Stock</v>
      </c>
      <c r="P577" t="str">
        <f>TEXT(Inventory_Data[[#This Row],[Date]],"MMM")</f>
        <v>May</v>
      </c>
      <c r="Q577" t="str">
        <f>TEXT(Inventory_Data[[#This Row],[Date]],"YYYY")</f>
        <v>2025</v>
      </c>
    </row>
    <row r="578" spans="1:17" x14ac:dyDescent="0.3">
      <c r="A578" s="1">
        <v>45784</v>
      </c>
      <c r="B578" t="s">
        <v>42</v>
      </c>
      <c r="C578" t="s">
        <v>17</v>
      </c>
      <c r="D578" t="s">
        <v>26</v>
      </c>
      <c r="E578" t="s">
        <v>18</v>
      </c>
      <c r="F578">
        <v>83</v>
      </c>
      <c r="G578">
        <v>13</v>
      </c>
      <c r="H578">
        <v>32</v>
      </c>
      <c r="I578">
        <v>64</v>
      </c>
      <c r="J578">
        <v>28</v>
      </c>
      <c r="K578">
        <v>16285</v>
      </c>
      <c r="L578">
        <v>1042240</v>
      </c>
      <c r="M578">
        <f>Inventory_Data[[#This Row],[Opening Stock]]+Inventory_Data[[#This Row],[Purchase Qty]]-Inventory_Data[[#This Row],[Sales Qty]]-Inventory_Data[[#This Row],[Closing Stock]]</f>
        <v>0</v>
      </c>
      <c r="N578">
        <f>Inventory_Data[[#This Row],[Purchase Qty]]*Inventory_Data[[#This Row],[Unit Cost]]</f>
        <v>211705</v>
      </c>
      <c r="O578" t="str">
        <f>IF(Inventory_Data[[#This Row],[Closing Stock]]&lt;=Inventory_Data[[#This Row],[Reorder Level]],"Low Stock","In Stock")</f>
        <v>In Stock</v>
      </c>
      <c r="P578" t="str">
        <f>TEXT(Inventory_Data[[#This Row],[Date]],"MMM")</f>
        <v>May</v>
      </c>
      <c r="Q578" t="str">
        <f>TEXT(Inventory_Data[[#This Row],[Date]],"YYYY")</f>
        <v>2025</v>
      </c>
    </row>
    <row r="579" spans="1:17" x14ac:dyDescent="0.3">
      <c r="A579" s="1">
        <v>45784</v>
      </c>
      <c r="B579" t="s">
        <v>38</v>
      </c>
      <c r="C579" t="s">
        <v>17</v>
      </c>
      <c r="D579" t="s">
        <v>14</v>
      </c>
      <c r="E579" t="s">
        <v>18</v>
      </c>
      <c r="F579">
        <v>74</v>
      </c>
      <c r="G579">
        <v>55</v>
      </c>
      <c r="H579">
        <v>7</v>
      </c>
      <c r="I579">
        <v>122</v>
      </c>
      <c r="J579">
        <v>19</v>
      </c>
      <c r="K579">
        <v>20461</v>
      </c>
      <c r="L579">
        <v>2496242</v>
      </c>
      <c r="M579">
        <f>Inventory_Data[[#This Row],[Opening Stock]]+Inventory_Data[[#This Row],[Purchase Qty]]-Inventory_Data[[#This Row],[Sales Qty]]-Inventory_Data[[#This Row],[Closing Stock]]</f>
        <v>0</v>
      </c>
      <c r="N579">
        <f>Inventory_Data[[#This Row],[Purchase Qty]]*Inventory_Data[[#This Row],[Unit Cost]]</f>
        <v>1125355</v>
      </c>
      <c r="O579" t="str">
        <f>IF(Inventory_Data[[#This Row],[Closing Stock]]&lt;=Inventory_Data[[#This Row],[Reorder Level]],"Low Stock","In Stock")</f>
        <v>In Stock</v>
      </c>
      <c r="P579" t="str">
        <f>TEXT(Inventory_Data[[#This Row],[Date]],"MMM")</f>
        <v>May</v>
      </c>
      <c r="Q579" t="str">
        <f>TEXT(Inventory_Data[[#This Row],[Date]],"YYYY")</f>
        <v>2025</v>
      </c>
    </row>
    <row r="580" spans="1:17" x14ac:dyDescent="0.3">
      <c r="A580" s="1">
        <v>45784</v>
      </c>
      <c r="B580" t="s">
        <v>19</v>
      </c>
      <c r="C580" t="s">
        <v>13</v>
      </c>
      <c r="D580" t="s">
        <v>37</v>
      </c>
      <c r="E580" t="s">
        <v>20</v>
      </c>
      <c r="F580">
        <v>39</v>
      </c>
      <c r="G580">
        <v>32</v>
      </c>
      <c r="H580">
        <v>49</v>
      </c>
      <c r="I580">
        <v>22</v>
      </c>
      <c r="J580">
        <v>23</v>
      </c>
      <c r="K580">
        <v>4376</v>
      </c>
      <c r="L580">
        <v>96272</v>
      </c>
      <c r="M580">
        <f>Inventory_Data[[#This Row],[Opening Stock]]+Inventory_Data[[#This Row],[Purchase Qty]]-Inventory_Data[[#This Row],[Sales Qty]]-Inventory_Data[[#This Row],[Closing Stock]]</f>
        <v>0</v>
      </c>
      <c r="N580">
        <f>Inventory_Data[[#This Row],[Purchase Qty]]*Inventory_Data[[#This Row],[Unit Cost]]</f>
        <v>140032</v>
      </c>
      <c r="O580" t="str">
        <f>IF(Inventory_Data[[#This Row],[Closing Stock]]&lt;=Inventory_Data[[#This Row],[Reorder Level]],"Low Stock","In Stock")</f>
        <v>Low Stock</v>
      </c>
      <c r="P580" t="str">
        <f>TEXT(Inventory_Data[[#This Row],[Date]],"MMM")</f>
        <v>May</v>
      </c>
      <c r="Q580" t="str">
        <f>TEXT(Inventory_Data[[#This Row],[Date]],"YYYY")</f>
        <v>2025</v>
      </c>
    </row>
    <row r="581" spans="1:17" x14ac:dyDescent="0.3">
      <c r="A581" s="1">
        <v>45785</v>
      </c>
      <c r="B581" t="s">
        <v>40</v>
      </c>
      <c r="C581" t="s">
        <v>28</v>
      </c>
      <c r="D581" t="s">
        <v>23</v>
      </c>
      <c r="E581" t="s">
        <v>29</v>
      </c>
      <c r="F581">
        <v>33</v>
      </c>
      <c r="G581">
        <v>23</v>
      </c>
      <c r="H581">
        <v>33</v>
      </c>
      <c r="I581">
        <v>23</v>
      </c>
      <c r="J581">
        <v>56</v>
      </c>
      <c r="K581">
        <v>64496</v>
      </c>
      <c r="L581">
        <v>1483408</v>
      </c>
      <c r="M581">
        <f>Inventory_Data[[#This Row],[Opening Stock]]+Inventory_Data[[#This Row],[Purchase Qty]]-Inventory_Data[[#This Row],[Sales Qty]]-Inventory_Data[[#This Row],[Closing Stock]]</f>
        <v>0</v>
      </c>
      <c r="N581">
        <f>Inventory_Data[[#This Row],[Purchase Qty]]*Inventory_Data[[#This Row],[Unit Cost]]</f>
        <v>1483408</v>
      </c>
      <c r="O581" t="str">
        <f>IF(Inventory_Data[[#This Row],[Closing Stock]]&lt;=Inventory_Data[[#This Row],[Reorder Level]],"Low Stock","In Stock")</f>
        <v>Low Stock</v>
      </c>
      <c r="P581" t="str">
        <f>TEXT(Inventory_Data[[#This Row],[Date]],"MMM")</f>
        <v>May</v>
      </c>
      <c r="Q581" t="str">
        <f>TEXT(Inventory_Data[[#This Row],[Date]],"YYYY")</f>
        <v>2025</v>
      </c>
    </row>
    <row r="582" spans="1:17" x14ac:dyDescent="0.3">
      <c r="A582" s="1">
        <v>45785</v>
      </c>
      <c r="B582" t="s">
        <v>43</v>
      </c>
      <c r="C582" t="s">
        <v>22</v>
      </c>
      <c r="D582" t="s">
        <v>26</v>
      </c>
      <c r="E582" t="s">
        <v>34</v>
      </c>
      <c r="F582">
        <v>162</v>
      </c>
      <c r="G582">
        <v>159</v>
      </c>
      <c r="H582">
        <v>141</v>
      </c>
      <c r="I582">
        <v>180</v>
      </c>
      <c r="J582">
        <v>88</v>
      </c>
      <c r="K582">
        <v>616</v>
      </c>
      <c r="L582">
        <v>110880</v>
      </c>
      <c r="M582">
        <f>Inventory_Data[[#This Row],[Opening Stock]]+Inventory_Data[[#This Row],[Purchase Qty]]-Inventory_Data[[#This Row],[Sales Qty]]-Inventory_Data[[#This Row],[Closing Stock]]</f>
        <v>0</v>
      </c>
      <c r="N582">
        <f>Inventory_Data[[#This Row],[Purchase Qty]]*Inventory_Data[[#This Row],[Unit Cost]]</f>
        <v>97944</v>
      </c>
      <c r="O582" t="str">
        <f>IF(Inventory_Data[[#This Row],[Closing Stock]]&lt;=Inventory_Data[[#This Row],[Reorder Level]],"Low Stock","In Stock")</f>
        <v>In Stock</v>
      </c>
      <c r="P582" t="str">
        <f>TEXT(Inventory_Data[[#This Row],[Date]],"MMM")</f>
        <v>May</v>
      </c>
      <c r="Q582" t="str">
        <f>TEXT(Inventory_Data[[#This Row],[Date]],"YYYY")</f>
        <v>2025</v>
      </c>
    </row>
    <row r="583" spans="1:17" x14ac:dyDescent="0.3">
      <c r="A583" s="1">
        <v>45785</v>
      </c>
      <c r="B583" t="s">
        <v>44</v>
      </c>
      <c r="C583" t="s">
        <v>28</v>
      </c>
      <c r="D583" t="s">
        <v>23</v>
      </c>
      <c r="E583" t="s">
        <v>24</v>
      </c>
      <c r="F583">
        <v>37</v>
      </c>
      <c r="G583">
        <v>34</v>
      </c>
      <c r="H583">
        <v>71</v>
      </c>
      <c r="I583">
        <v>0</v>
      </c>
      <c r="J583">
        <v>22</v>
      </c>
      <c r="K583">
        <v>23893</v>
      </c>
      <c r="L583">
        <v>0</v>
      </c>
      <c r="M583">
        <f>Inventory_Data[[#This Row],[Opening Stock]]+Inventory_Data[[#This Row],[Purchase Qty]]-Inventory_Data[[#This Row],[Sales Qty]]-Inventory_Data[[#This Row],[Closing Stock]]</f>
        <v>0</v>
      </c>
      <c r="N583">
        <f>Inventory_Data[[#This Row],[Purchase Qty]]*Inventory_Data[[#This Row],[Unit Cost]]</f>
        <v>812362</v>
      </c>
      <c r="O583" t="str">
        <f>IF(Inventory_Data[[#This Row],[Closing Stock]]&lt;=Inventory_Data[[#This Row],[Reorder Level]],"Low Stock","In Stock")</f>
        <v>Low Stock</v>
      </c>
      <c r="P583" t="str">
        <f>TEXT(Inventory_Data[[#This Row],[Date]],"MMM")</f>
        <v>May</v>
      </c>
      <c r="Q583" t="str">
        <f>TEXT(Inventory_Data[[#This Row],[Date]],"YYYY")</f>
        <v>2025</v>
      </c>
    </row>
    <row r="584" spans="1:17" x14ac:dyDescent="0.3">
      <c r="A584" s="1">
        <v>45785</v>
      </c>
      <c r="B584" t="s">
        <v>38</v>
      </c>
      <c r="C584" t="s">
        <v>17</v>
      </c>
      <c r="D584" t="s">
        <v>23</v>
      </c>
      <c r="E584" t="s">
        <v>18</v>
      </c>
      <c r="F584">
        <v>17</v>
      </c>
      <c r="G584">
        <v>46</v>
      </c>
      <c r="H584">
        <v>17</v>
      </c>
      <c r="I584">
        <v>46</v>
      </c>
      <c r="J584">
        <v>21</v>
      </c>
      <c r="K584">
        <v>24156</v>
      </c>
      <c r="L584">
        <v>1111176</v>
      </c>
      <c r="M584">
        <f>Inventory_Data[[#This Row],[Opening Stock]]+Inventory_Data[[#This Row],[Purchase Qty]]-Inventory_Data[[#This Row],[Sales Qty]]-Inventory_Data[[#This Row],[Closing Stock]]</f>
        <v>0</v>
      </c>
      <c r="N584">
        <f>Inventory_Data[[#This Row],[Purchase Qty]]*Inventory_Data[[#This Row],[Unit Cost]]</f>
        <v>1111176</v>
      </c>
      <c r="O584" t="str">
        <f>IF(Inventory_Data[[#This Row],[Closing Stock]]&lt;=Inventory_Data[[#This Row],[Reorder Level]],"Low Stock","In Stock")</f>
        <v>In Stock</v>
      </c>
      <c r="P584" t="str">
        <f>TEXT(Inventory_Data[[#This Row],[Date]],"MMM")</f>
        <v>May</v>
      </c>
      <c r="Q584" t="str">
        <f>TEXT(Inventory_Data[[#This Row],[Date]],"YYYY")</f>
        <v>2025</v>
      </c>
    </row>
    <row r="585" spans="1:17" x14ac:dyDescent="0.3">
      <c r="A585" s="1">
        <v>45785</v>
      </c>
      <c r="B585" t="s">
        <v>31</v>
      </c>
      <c r="C585" t="s">
        <v>22</v>
      </c>
      <c r="D585" t="s">
        <v>37</v>
      </c>
      <c r="E585" t="s">
        <v>24</v>
      </c>
      <c r="F585">
        <v>244</v>
      </c>
      <c r="G585">
        <v>172</v>
      </c>
      <c r="H585">
        <v>120</v>
      </c>
      <c r="I585">
        <v>296</v>
      </c>
      <c r="J585">
        <v>73</v>
      </c>
      <c r="K585">
        <v>109</v>
      </c>
      <c r="L585">
        <v>32264</v>
      </c>
      <c r="M585">
        <f>Inventory_Data[[#This Row],[Opening Stock]]+Inventory_Data[[#This Row],[Purchase Qty]]-Inventory_Data[[#This Row],[Sales Qty]]-Inventory_Data[[#This Row],[Closing Stock]]</f>
        <v>0</v>
      </c>
      <c r="N585">
        <f>Inventory_Data[[#This Row],[Purchase Qty]]*Inventory_Data[[#This Row],[Unit Cost]]</f>
        <v>18748</v>
      </c>
      <c r="O585" t="str">
        <f>IF(Inventory_Data[[#This Row],[Closing Stock]]&lt;=Inventory_Data[[#This Row],[Reorder Level]],"Low Stock","In Stock")</f>
        <v>In Stock</v>
      </c>
      <c r="P585" t="str">
        <f>TEXT(Inventory_Data[[#This Row],[Date]],"MMM")</f>
        <v>May</v>
      </c>
      <c r="Q585" t="str">
        <f>TEXT(Inventory_Data[[#This Row],[Date]],"YYYY")</f>
        <v>2025</v>
      </c>
    </row>
    <row r="586" spans="1:17" x14ac:dyDescent="0.3">
      <c r="A586" s="1">
        <v>45785</v>
      </c>
      <c r="B586" t="s">
        <v>25</v>
      </c>
      <c r="C586" t="s">
        <v>17</v>
      </c>
      <c r="D586" t="s">
        <v>26</v>
      </c>
      <c r="E586" t="s">
        <v>29</v>
      </c>
      <c r="F586">
        <v>67</v>
      </c>
      <c r="G586">
        <v>16</v>
      </c>
      <c r="H586">
        <v>23</v>
      </c>
      <c r="I586">
        <v>60</v>
      </c>
      <c r="J586">
        <v>15</v>
      </c>
      <c r="K586">
        <v>7635</v>
      </c>
      <c r="L586">
        <v>458100</v>
      </c>
      <c r="M586">
        <f>Inventory_Data[[#This Row],[Opening Stock]]+Inventory_Data[[#This Row],[Purchase Qty]]-Inventory_Data[[#This Row],[Sales Qty]]-Inventory_Data[[#This Row],[Closing Stock]]</f>
        <v>0</v>
      </c>
      <c r="N586">
        <f>Inventory_Data[[#This Row],[Purchase Qty]]*Inventory_Data[[#This Row],[Unit Cost]]</f>
        <v>122160</v>
      </c>
      <c r="O586" t="str">
        <f>IF(Inventory_Data[[#This Row],[Closing Stock]]&lt;=Inventory_Data[[#This Row],[Reorder Level]],"Low Stock","In Stock")</f>
        <v>In Stock</v>
      </c>
      <c r="P586" t="str">
        <f>TEXT(Inventory_Data[[#This Row],[Date]],"MMM")</f>
        <v>May</v>
      </c>
      <c r="Q586" t="str">
        <f>TEXT(Inventory_Data[[#This Row],[Date]],"YYYY")</f>
        <v>2025</v>
      </c>
    </row>
    <row r="587" spans="1:17" x14ac:dyDescent="0.3">
      <c r="A587" s="1">
        <v>45785</v>
      </c>
      <c r="B587" t="s">
        <v>31</v>
      </c>
      <c r="C587" t="s">
        <v>22</v>
      </c>
      <c r="D587" t="s">
        <v>23</v>
      </c>
      <c r="E587" t="s">
        <v>24</v>
      </c>
      <c r="F587">
        <v>249</v>
      </c>
      <c r="G587">
        <v>64</v>
      </c>
      <c r="H587">
        <v>153</v>
      </c>
      <c r="I587">
        <v>160</v>
      </c>
      <c r="J587">
        <v>125</v>
      </c>
      <c r="K587">
        <v>85</v>
      </c>
      <c r="L587">
        <v>13600</v>
      </c>
      <c r="M587">
        <f>Inventory_Data[[#This Row],[Opening Stock]]+Inventory_Data[[#This Row],[Purchase Qty]]-Inventory_Data[[#This Row],[Sales Qty]]-Inventory_Data[[#This Row],[Closing Stock]]</f>
        <v>0</v>
      </c>
      <c r="N587">
        <f>Inventory_Data[[#This Row],[Purchase Qty]]*Inventory_Data[[#This Row],[Unit Cost]]</f>
        <v>5440</v>
      </c>
      <c r="O587" t="str">
        <f>IF(Inventory_Data[[#This Row],[Closing Stock]]&lt;=Inventory_Data[[#This Row],[Reorder Level]],"Low Stock","In Stock")</f>
        <v>In Stock</v>
      </c>
      <c r="P587" t="str">
        <f>TEXT(Inventory_Data[[#This Row],[Date]],"MMM")</f>
        <v>May</v>
      </c>
      <c r="Q587" t="str">
        <f>TEXT(Inventory_Data[[#This Row],[Date]],"YYYY")</f>
        <v>2025</v>
      </c>
    </row>
    <row r="588" spans="1:17" x14ac:dyDescent="0.3">
      <c r="A588" s="1">
        <v>45785</v>
      </c>
      <c r="B588" t="s">
        <v>42</v>
      </c>
      <c r="C588" t="s">
        <v>17</v>
      </c>
      <c r="D588" t="s">
        <v>26</v>
      </c>
      <c r="E588" t="s">
        <v>18</v>
      </c>
      <c r="F588">
        <v>40</v>
      </c>
      <c r="G588">
        <v>59</v>
      </c>
      <c r="H588">
        <v>42</v>
      </c>
      <c r="I588">
        <v>57</v>
      </c>
      <c r="J588">
        <v>11</v>
      </c>
      <c r="K588">
        <v>13541</v>
      </c>
      <c r="L588">
        <v>771837</v>
      </c>
      <c r="M588">
        <f>Inventory_Data[[#This Row],[Opening Stock]]+Inventory_Data[[#This Row],[Purchase Qty]]-Inventory_Data[[#This Row],[Sales Qty]]-Inventory_Data[[#This Row],[Closing Stock]]</f>
        <v>0</v>
      </c>
      <c r="N588">
        <f>Inventory_Data[[#This Row],[Purchase Qty]]*Inventory_Data[[#This Row],[Unit Cost]]</f>
        <v>798919</v>
      </c>
      <c r="O588" t="str">
        <f>IF(Inventory_Data[[#This Row],[Closing Stock]]&lt;=Inventory_Data[[#This Row],[Reorder Level]],"Low Stock","In Stock")</f>
        <v>In Stock</v>
      </c>
      <c r="P588" t="str">
        <f>TEXT(Inventory_Data[[#This Row],[Date]],"MMM")</f>
        <v>May</v>
      </c>
      <c r="Q588" t="str">
        <f>TEXT(Inventory_Data[[#This Row],[Date]],"YYYY")</f>
        <v>2025</v>
      </c>
    </row>
    <row r="589" spans="1:17" x14ac:dyDescent="0.3">
      <c r="A589" s="1">
        <v>45785</v>
      </c>
      <c r="B589" t="s">
        <v>16</v>
      </c>
      <c r="C589" t="s">
        <v>17</v>
      </c>
      <c r="D589" t="s">
        <v>14</v>
      </c>
      <c r="E589" t="s">
        <v>15</v>
      </c>
      <c r="F589">
        <v>82</v>
      </c>
      <c r="G589">
        <v>5</v>
      </c>
      <c r="H589">
        <v>37</v>
      </c>
      <c r="I589">
        <v>50</v>
      </c>
      <c r="J589">
        <v>17</v>
      </c>
      <c r="K589">
        <v>11933</v>
      </c>
      <c r="L589">
        <v>596650</v>
      </c>
      <c r="M589">
        <f>Inventory_Data[[#This Row],[Opening Stock]]+Inventory_Data[[#This Row],[Purchase Qty]]-Inventory_Data[[#This Row],[Sales Qty]]-Inventory_Data[[#This Row],[Closing Stock]]</f>
        <v>0</v>
      </c>
      <c r="N589">
        <f>Inventory_Data[[#This Row],[Purchase Qty]]*Inventory_Data[[#This Row],[Unit Cost]]</f>
        <v>59665</v>
      </c>
      <c r="O589" t="str">
        <f>IF(Inventory_Data[[#This Row],[Closing Stock]]&lt;=Inventory_Data[[#This Row],[Reorder Level]],"Low Stock","In Stock")</f>
        <v>In Stock</v>
      </c>
      <c r="P589" t="str">
        <f>TEXT(Inventory_Data[[#This Row],[Date]],"MMM")</f>
        <v>May</v>
      </c>
      <c r="Q589" t="str">
        <f>TEXT(Inventory_Data[[#This Row],[Date]],"YYYY")</f>
        <v>2025</v>
      </c>
    </row>
    <row r="590" spans="1:17" x14ac:dyDescent="0.3">
      <c r="A590" s="1">
        <v>45786</v>
      </c>
      <c r="B590" t="s">
        <v>25</v>
      </c>
      <c r="C590" t="s">
        <v>17</v>
      </c>
      <c r="D590" t="s">
        <v>26</v>
      </c>
      <c r="E590" t="s">
        <v>24</v>
      </c>
      <c r="F590">
        <v>76</v>
      </c>
      <c r="G590">
        <v>41</v>
      </c>
      <c r="H590">
        <v>8</v>
      </c>
      <c r="I590">
        <v>109</v>
      </c>
      <c r="J590">
        <v>13</v>
      </c>
      <c r="K590">
        <v>5726</v>
      </c>
      <c r="L590">
        <v>624134</v>
      </c>
      <c r="M590">
        <f>Inventory_Data[[#This Row],[Opening Stock]]+Inventory_Data[[#This Row],[Purchase Qty]]-Inventory_Data[[#This Row],[Sales Qty]]-Inventory_Data[[#This Row],[Closing Stock]]</f>
        <v>0</v>
      </c>
      <c r="N590">
        <f>Inventory_Data[[#This Row],[Purchase Qty]]*Inventory_Data[[#This Row],[Unit Cost]]</f>
        <v>234766</v>
      </c>
      <c r="O590" t="str">
        <f>IF(Inventory_Data[[#This Row],[Closing Stock]]&lt;=Inventory_Data[[#This Row],[Reorder Level]],"Low Stock","In Stock")</f>
        <v>In Stock</v>
      </c>
      <c r="P590" t="str">
        <f>TEXT(Inventory_Data[[#This Row],[Date]],"MMM")</f>
        <v>May</v>
      </c>
      <c r="Q590" t="str">
        <f>TEXT(Inventory_Data[[#This Row],[Date]],"YYYY")</f>
        <v>2025</v>
      </c>
    </row>
    <row r="591" spans="1:17" x14ac:dyDescent="0.3">
      <c r="A591" s="1">
        <v>45786</v>
      </c>
      <c r="B591" t="s">
        <v>35</v>
      </c>
      <c r="C591" t="s">
        <v>22</v>
      </c>
      <c r="D591" t="s">
        <v>14</v>
      </c>
      <c r="E591" t="s">
        <v>20</v>
      </c>
      <c r="F591">
        <v>496</v>
      </c>
      <c r="G591">
        <v>131</v>
      </c>
      <c r="H591">
        <v>44</v>
      </c>
      <c r="I591">
        <v>583</v>
      </c>
      <c r="J591">
        <v>120</v>
      </c>
      <c r="K591">
        <v>838</v>
      </c>
      <c r="L591">
        <v>488554</v>
      </c>
      <c r="M591">
        <f>Inventory_Data[[#This Row],[Opening Stock]]+Inventory_Data[[#This Row],[Purchase Qty]]-Inventory_Data[[#This Row],[Sales Qty]]-Inventory_Data[[#This Row],[Closing Stock]]</f>
        <v>0</v>
      </c>
      <c r="N591">
        <f>Inventory_Data[[#This Row],[Purchase Qty]]*Inventory_Data[[#This Row],[Unit Cost]]</f>
        <v>109778</v>
      </c>
      <c r="O591" t="str">
        <f>IF(Inventory_Data[[#This Row],[Closing Stock]]&lt;=Inventory_Data[[#This Row],[Reorder Level]],"Low Stock","In Stock")</f>
        <v>In Stock</v>
      </c>
      <c r="P591" t="str">
        <f>TEXT(Inventory_Data[[#This Row],[Date]],"MMM")</f>
        <v>May</v>
      </c>
      <c r="Q591" t="str">
        <f>TEXT(Inventory_Data[[#This Row],[Date]],"YYYY")</f>
        <v>2025</v>
      </c>
    </row>
    <row r="592" spans="1:17" x14ac:dyDescent="0.3">
      <c r="A592" s="1">
        <v>45786</v>
      </c>
      <c r="B592" t="s">
        <v>27</v>
      </c>
      <c r="C592" t="s">
        <v>28</v>
      </c>
      <c r="D592" t="s">
        <v>23</v>
      </c>
      <c r="E592" t="s">
        <v>20</v>
      </c>
      <c r="F592">
        <v>68</v>
      </c>
      <c r="G592">
        <v>34</v>
      </c>
      <c r="H592">
        <v>14</v>
      </c>
      <c r="I592">
        <v>88</v>
      </c>
      <c r="J592">
        <v>35</v>
      </c>
      <c r="K592">
        <v>30613</v>
      </c>
      <c r="L592">
        <v>2693944</v>
      </c>
      <c r="M592">
        <f>Inventory_Data[[#This Row],[Opening Stock]]+Inventory_Data[[#This Row],[Purchase Qty]]-Inventory_Data[[#This Row],[Sales Qty]]-Inventory_Data[[#This Row],[Closing Stock]]</f>
        <v>0</v>
      </c>
      <c r="N592">
        <f>Inventory_Data[[#This Row],[Purchase Qty]]*Inventory_Data[[#This Row],[Unit Cost]]</f>
        <v>1040842</v>
      </c>
      <c r="O592" t="str">
        <f>IF(Inventory_Data[[#This Row],[Closing Stock]]&lt;=Inventory_Data[[#This Row],[Reorder Level]],"Low Stock","In Stock")</f>
        <v>In Stock</v>
      </c>
      <c r="P592" t="str">
        <f>TEXT(Inventory_Data[[#This Row],[Date]],"MMM")</f>
        <v>May</v>
      </c>
      <c r="Q592" t="str">
        <f>TEXT(Inventory_Data[[#This Row],[Date]],"YYYY")</f>
        <v>2025</v>
      </c>
    </row>
    <row r="593" spans="1:17" x14ac:dyDescent="0.3">
      <c r="A593" s="1">
        <v>45787</v>
      </c>
      <c r="B593" t="s">
        <v>36</v>
      </c>
      <c r="C593" t="s">
        <v>22</v>
      </c>
      <c r="D593" t="s">
        <v>14</v>
      </c>
      <c r="E593" t="s">
        <v>34</v>
      </c>
      <c r="F593">
        <v>447</v>
      </c>
      <c r="G593">
        <v>69</v>
      </c>
      <c r="H593">
        <v>25</v>
      </c>
      <c r="I593">
        <v>491</v>
      </c>
      <c r="J593">
        <v>142</v>
      </c>
      <c r="K593">
        <v>904</v>
      </c>
      <c r="L593">
        <v>443864</v>
      </c>
      <c r="M593">
        <f>Inventory_Data[[#This Row],[Opening Stock]]+Inventory_Data[[#This Row],[Purchase Qty]]-Inventory_Data[[#This Row],[Sales Qty]]-Inventory_Data[[#This Row],[Closing Stock]]</f>
        <v>0</v>
      </c>
      <c r="N593">
        <f>Inventory_Data[[#This Row],[Purchase Qty]]*Inventory_Data[[#This Row],[Unit Cost]]</f>
        <v>62376</v>
      </c>
      <c r="O593" t="str">
        <f>IF(Inventory_Data[[#This Row],[Closing Stock]]&lt;=Inventory_Data[[#This Row],[Reorder Level]],"Low Stock","In Stock")</f>
        <v>In Stock</v>
      </c>
      <c r="P593" t="str">
        <f>TEXT(Inventory_Data[[#This Row],[Date]],"MMM")</f>
        <v>May</v>
      </c>
      <c r="Q593" t="str">
        <f>TEXT(Inventory_Data[[#This Row],[Date]],"YYYY")</f>
        <v>2025</v>
      </c>
    </row>
    <row r="594" spans="1:17" x14ac:dyDescent="0.3">
      <c r="A594" s="1">
        <v>45787</v>
      </c>
      <c r="B594" t="s">
        <v>33</v>
      </c>
      <c r="C594" t="s">
        <v>13</v>
      </c>
      <c r="D594" t="s">
        <v>26</v>
      </c>
      <c r="E594" t="s">
        <v>24</v>
      </c>
      <c r="F594">
        <v>111</v>
      </c>
      <c r="G594">
        <v>79</v>
      </c>
      <c r="H594">
        <v>36</v>
      </c>
      <c r="I594">
        <v>154</v>
      </c>
      <c r="J594">
        <v>17</v>
      </c>
      <c r="K594">
        <v>16369</v>
      </c>
      <c r="L594">
        <v>2520826</v>
      </c>
      <c r="M594">
        <f>Inventory_Data[[#This Row],[Opening Stock]]+Inventory_Data[[#This Row],[Purchase Qty]]-Inventory_Data[[#This Row],[Sales Qty]]-Inventory_Data[[#This Row],[Closing Stock]]</f>
        <v>0</v>
      </c>
      <c r="N594">
        <f>Inventory_Data[[#This Row],[Purchase Qty]]*Inventory_Data[[#This Row],[Unit Cost]]</f>
        <v>1293151</v>
      </c>
      <c r="O594" t="str">
        <f>IF(Inventory_Data[[#This Row],[Closing Stock]]&lt;=Inventory_Data[[#This Row],[Reorder Level]],"Low Stock","In Stock")</f>
        <v>In Stock</v>
      </c>
      <c r="P594" t="str">
        <f>TEXT(Inventory_Data[[#This Row],[Date]],"MMM")</f>
        <v>May</v>
      </c>
      <c r="Q594" t="str">
        <f>TEXT(Inventory_Data[[#This Row],[Date]],"YYYY")</f>
        <v>2025</v>
      </c>
    </row>
    <row r="595" spans="1:17" x14ac:dyDescent="0.3">
      <c r="A595" s="1">
        <v>45787</v>
      </c>
      <c r="B595" t="s">
        <v>19</v>
      </c>
      <c r="C595" t="s">
        <v>13</v>
      </c>
      <c r="D595" t="s">
        <v>14</v>
      </c>
      <c r="E595" t="s">
        <v>24</v>
      </c>
      <c r="F595">
        <v>78</v>
      </c>
      <c r="G595">
        <v>40</v>
      </c>
      <c r="H595">
        <v>7</v>
      </c>
      <c r="I595">
        <v>111</v>
      </c>
      <c r="J595">
        <v>22</v>
      </c>
      <c r="K595">
        <v>9961</v>
      </c>
      <c r="L595">
        <v>1105671</v>
      </c>
      <c r="M595">
        <f>Inventory_Data[[#This Row],[Opening Stock]]+Inventory_Data[[#This Row],[Purchase Qty]]-Inventory_Data[[#This Row],[Sales Qty]]-Inventory_Data[[#This Row],[Closing Stock]]</f>
        <v>0</v>
      </c>
      <c r="N595">
        <f>Inventory_Data[[#This Row],[Purchase Qty]]*Inventory_Data[[#This Row],[Unit Cost]]</f>
        <v>398440</v>
      </c>
      <c r="O595" t="str">
        <f>IF(Inventory_Data[[#This Row],[Closing Stock]]&lt;=Inventory_Data[[#This Row],[Reorder Level]],"Low Stock","In Stock")</f>
        <v>In Stock</v>
      </c>
      <c r="P595" t="str">
        <f>TEXT(Inventory_Data[[#This Row],[Date]],"MMM")</f>
        <v>May</v>
      </c>
      <c r="Q595" t="str">
        <f>TEXT(Inventory_Data[[#This Row],[Date]],"YYYY")</f>
        <v>2025</v>
      </c>
    </row>
    <row r="596" spans="1:17" x14ac:dyDescent="0.3">
      <c r="A596" s="1">
        <v>45787</v>
      </c>
      <c r="B596" t="s">
        <v>27</v>
      </c>
      <c r="C596" t="s">
        <v>28</v>
      </c>
      <c r="D596" t="s">
        <v>23</v>
      </c>
      <c r="E596" t="s">
        <v>24</v>
      </c>
      <c r="F596">
        <v>36</v>
      </c>
      <c r="G596">
        <v>74</v>
      </c>
      <c r="H596">
        <v>62</v>
      </c>
      <c r="I596">
        <v>48</v>
      </c>
      <c r="J596">
        <v>49</v>
      </c>
      <c r="K596">
        <v>59789</v>
      </c>
      <c r="L596">
        <v>2869872</v>
      </c>
      <c r="M596">
        <f>Inventory_Data[[#This Row],[Opening Stock]]+Inventory_Data[[#This Row],[Purchase Qty]]-Inventory_Data[[#This Row],[Sales Qty]]-Inventory_Data[[#This Row],[Closing Stock]]</f>
        <v>0</v>
      </c>
      <c r="N596">
        <f>Inventory_Data[[#This Row],[Purchase Qty]]*Inventory_Data[[#This Row],[Unit Cost]]</f>
        <v>4424386</v>
      </c>
      <c r="O596" t="str">
        <f>IF(Inventory_Data[[#This Row],[Closing Stock]]&lt;=Inventory_Data[[#This Row],[Reorder Level]],"Low Stock","In Stock")</f>
        <v>Low Stock</v>
      </c>
      <c r="P596" t="str">
        <f>TEXT(Inventory_Data[[#This Row],[Date]],"MMM")</f>
        <v>May</v>
      </c>
      <c r="Q596" t="str">
        <f>TEXT(Inventory_Data[[#This Row],[Date]],"YYYY")</f>
        <v>2025</v>
      </c>
    </row>
    <row r="597" spans="1:17" x14ac:dyDescent="0.3">
      <c r="A597" s="1">
        <v>45787</v>
      </c>
      <c r="B597" t="s">
        <v>39</v>
      </c>
      <c r="C597" t="s">
        <v>28</v>
      </c>
      <c r="D597" t="s">
        <v>37</v>
      </c>
      <c r="E597" t="s">
        <v>34</v>
      </c>
      <c r="F597">
        <v>157</v>
      </c>
      <c r="G597">
        <v>32</v>
      </c>
      <c r="H597">
        <v>19</v>
      </c>
      <c r="I597">
        <v>170</v>
      </c>
      <c r="J597">
        <v>31</v>
      </c>
      <c r="K597">
        <v>23957</v>
      </c>
      <c r="L597">
        <v>4072690</v>
      </c>
      <c r="M597">
        <f>Inventory_Data[[#This Row],[Opening Stock]]+Inventory_Data[[#This Row],[Purchase Qty]]-Inventory_Data[[#This Row],[Sales Qty]]-Inventory_Data[[#This Row],[Closing Stock]]</f>
        <v>0</v>
      </c>
      <c r="N597">
        <f>Inventory_Data[[#This Row],[Purchase Qty]]*Inventory_Data[[#This Row],[Unit Cost]]</f>
        <v>766624</v>
      </c>
      <c r="O597" t="str">
        <f>IF(Inventory_Data[[#This Row],[Closing Stock]]&lt;=Inventory_Data[[#This Row],[Reorder Level]],"Low Stock","In Stock")</f>
        <v>In Stock</v>
      </c>
      <c r="P597" t="str">
        <f>TEXT(Inventory_Data[[#This Row],[Date]],"MMM")</f>
        <v>May</v>
      </c>
      <c r="Q597" t="str">
        <f>TEXT(Inventory_Data[[#This Row],[Date]],"YYYY")</f>
        <v>2025</v>
      </c>
    </row>
    <row r="598" spans="1:17" x14ac:dyDescent="0.3">
      <c r="A598" s="1">
        <v>45788</v>
      </c>
      <c r="B598" t="s">
        <v>42</v>
      </c>
      <c r="C598" t="s">
        <v>17</v>
      </c>
      <c r="D598" t="s">
        <v>14</v>
      </c>
      <c r="E598" t="s">
        <v>34</v>
      </c>
      <c r="F598">
        <v>44</v>
      </c>
      <c r="G598">
        <v>37</v>
      </c>
      <c r="H598">
        <v>22</v>
      </c>
      <c r="I598">
        <v>59</v>
      </c>
      <c r="J598">
        <v>29</v>
      </c>
      <c r="K598">
        <v>14138</v>
      </c>
      <c r="L598">
        <v>834142</v>
      </c>
      <c r="M598">
        <f>Inventory_Data[[#This Row],[Opening Stock]]+Inventory_Data[[#This Row],[Purchase Qty]]-Inventory_Data[[#This Row],[Sales Qty]]-Inventory_Data[[#This Row],[Closing Stock]]</f>
        <v>0</v>
      </c>
      <c r="N598">
        <f>Inventory_Data[[#This Row],[Purchase Qty]]*Inventory_Data[[#This Row],[Unit Cost]]</f>
        <v>523106</v>
      </c>
      <c r="O598" t="str">
        <f>IF(Inventory_Data[[#This Row],[Closing Stock]]&lt;=Inventory_Data[[#This Row],[Reorder Level]],"Low Stock","In Stock")</f>
        <v>In Stock</v>
      </c>
      <c r="P598" t="str">
        <f>TEXT(Inventory_Data[[#This Row],[Date]],"MMM")</f>
        <v>May</v>
      </c>
      <c r="Q598" t="str">
        <f>TEXT(Inventory_Data[[#This Row],[Date]],"YYYY")</f>
        <v>2025</v>
      </c>
    </row>
    <row r="599" spans="1:17" x14ac:dyDescent="0.3">
      <c r="A599" s="1">
        <v>45789</v>
      </c>
      <c r="B599" t="s">
        <v>44</v>
      </c>
      <c r="C599" t="s">
        <v>28</v>
      </c>
      <c r="D599" t="s">
        <v>23</v>
      </c>
      <c r="E599" t="s">
        <v>15</v>
      </c>
      <c r="F599">
        <v>28</v>
      </c>
      <c r="G599">
        <v>39</v>
      </c>
      <c r="H599">
        <v>49</v>
      </c>
      <c r="I599">
        <v>18</v>
      </c>
      <c r="J599">
        <v>24</v>
      </c>
      <c r="K599">
        <v>39715</v>
      </c>
      <c r="L599">
        <v>714870</v>
      </c>
      <c r="M599">
        <f>Inventory_Data[[#This Row],[Opening Stock]]+Inventory_Data[[#This Row],[Purchase Qty]]-Inventory_Data[[#This Row],[Sales Qty]]-Inventory_Data[[#This Row],[Closing Stock]]</f>
        <v>0</v>
      </c>
      <c r="N599">
        <f>Inventory_Data[[#This Row],[Purchase Qty]]*Inventory_Data[[#This Row],[Unit Cost]]</f>
        <v>1548885</v>
      </c>
      <c r="O599" t="str">
        <f>IF(Inventory_Data[[#This Row],[Closing Stock]]&lt;=Inventory_Data[[#This Row],[Reorder Level]],"Low Stock","In Stock")</f>
        <v>Low Stock</v>
      </c>
      <c r="P599" t="str">
        <f>TEXT(Inventory_Data[[#This Row],[Date]],"MMM")</f>
        <v>May</v>
      </c>
      <c r="Q599" t="str">
        <f>TEXT(Inventory_Data[[#This Row],[Date]],"YYYY")</f>
        <v>2025</v>
      </c>
    </row>
    <row r="600" spans="1:17" x14ac:dyDescent="0.3">
      <c r="A600" s="1">
        <v>45789</v>
      </c>
      <c r="B600" t="s">
        <v>31</v>
      </c>
      <c r="C600" t="s">
        <v>22</v>
      </c>
      <c r="D600" t="s">
        <v>37</v>
      </c>
      <c r="E600" t="s">
        <v>29</v>
      </c>
      <c r="F600">
        <v>88</v>
      </c>
      <c r="G600">
        <v>101</v>
      </c>
      <c r="H600">
        <v>169</v>
      </c>
      <c r="I600">
        <v>20</v>
      </c>
      <c r="J600">
        <v>112</v>
      </c>
      <c r="K600">
        <v>505</v>
      </c>
      <c r="L600">
        <v>10100</v>
      </c>
      <c r="M600">
        <f>Inventory_Data[[#This Row],[Opening Stock]]+Inventory_Data[[#This Row],[Purchase Qty]]-Inventory_Data[[#This Row],[Sales Qty]]-Inventory_Data[[#This Row],[Closing Stock]]</f>
        <v>0</v>
      </c>
      <c r="N600">
        <f>Inventory_Data[[#This Row],[Purchase Qty]]*Inventory_Data[[#This Row],[Unit Cost]]</f>
        <v>51005</v>
      </c>
      <c r="O600" t="str">
        <f>IF(Inventory_Data[[#This Row],[Closing Stock]]&lt;=Inventory_Data[[#This Row],[Reorder Level]],"Low Stock","In Stock")</f>
        <v>Low Stock</v>
      </c>
      <c r="P600" t="str">
        <f>TEXT(Inventory_Data[[#This Row],[Date]],"MMM")</f>
        <v>May</v>
      </c>
      <c r="Q600" t="str">
        <f>TEXT(Inventory_Data[[#This Row],[Date]],"YYYY")</f>
        <v>2025</v>
      </c>
    </row>
    <row r="601" spans="1:17" x14ac:dyDescent="0.3">
      <c r="A601" s="1">
        <v>45789</v>
      </c>
      <c r="B601" t="s">
        <v>39</v>
      </c>
      <c r="C601" t="s">
        <v>28</v>
      </c>
      <c r="D601" t="s">
        <v>14</v>
      </c>
      <c r="E601" t="s">
        <v>18</v>
      </c>
      <c r="F601">
        <v>119</v>
      </c>
      <c r="G601">
        <v>63</v>
      </c>
      <c r="H601">
        <v>29</v>
      </c>
      <c r="I601">
        <v>153</v>
      </c>
      <c r="J601">
        <v>28</v>
      </c>
      <c r="K601">
        <v>12450</v>
      </c>
      <c r="L601">
        <v>1904850</v>
      </c>
      <c r="M601">
        <f>Inventory_Data[[#This Row],[Opening Stock]]+Inventory_Data[[#This Row],[Purchase Qty]]-Inventory_Data[[#This Row],[Sales Qty]]-Inventory_Data[[#This Row],[Closing Stock]]</f>
        <v>0</v>
      </c>
      <c r="N601">
        <f>Inventory_Data[[#This Row],[Purchase Qty]]*Inventory_Data[[#This Row],[Unit Cost]]</f>
        <v>784350</v>
      </c>
      <c r="O601" t="str">
        <f>IF(Inventory_Data[[#This Row],[Closing Stock]]&lt;=Inventory_Data[[#This Row],[Reorder Level]],"Low Stock","In Stock")</f>
        <v>In Stock</v>
      </c>
      <c r="P601" t="str">
        <f>TEXT(Inventory_Data[[#This Row],[Date]],"MMM")</f>
        <v>May</v>
      </c>
      <c r="Q601" t="str">
        <f>TEXT(Inventory_Data[[#This Row],[Date]],"YYYY")</f>
        <v>2025</v>
      </c>
    </row>
    <row r="602" spans="1:17" x14ac:dyDescent="0.3">
      <c r="A602" s="1">
        <v>45789</v>
      </c>
      <c r="B602" t="s">
        <v>21</v>
      </c>
      <c r="C602" t="s">
        <v>22</v>
      </c>
      <c r="D602" t="s">
        <v>23</v>
      </c>
      <c r="E602" t="s">
        <v>20</v>
      </c>
      <c r="F602">
        <v>62</v>
      </c>
      <c r="G602">
        <v>127</v>
      </c>
      <c r="H602">
        <v>129</v>
      </c>
      <c r="I602">
        <v>60</v>
      </c>
      <c r="J602">
        <v>97</v>
      </c>
      <c r="K602">
        <v>312</v>
      </c>
      <c r="L602">
        <v>18720</v>
      </c>
      <c r="M602">
        <f>Inventory_Data[[#This Row],[Opening Stock]]+Inventory_Data[[#This Row],[Purchase Qty]]-Inventory_Data[[#This Row],[Sales Qty]]-Inventory_Data[[#This Row],[Closing Stock]]</f>
        <v>0</v>
      </c>
      <c r="N602">
        <f>Inventory_Data[[#This Row],[Purchase Qty]]*Inventory_Data[[#This Row],[Unit Cost]]</f>
        <v>39624</v>
      </c>
      <c r="O602" t="str">
        <f>IF(Inventory_Data[[#This Row],[Closing Stock]]&lt;=Inventory_Data[[#This Row],[Reorder Level]],"Low Stock","In Stock")</f>
        <v>Low Stock</v>
      </c>
      <c r="P602" t="str">
        <f>TEXT(Inventory_Data[[#This Row],[Date]],"MMM")</f>
        <v>May</v>
      </c>
      <c r="Q602" t="str">
        <f>TEXT(Inventory_Data[[#This Row],[Date]],"YYYY")</f>
        <v>2025</v>
      </c>
    </row>
    <row r="603" spans="1:17" x14ac:dyDescent="0.3">
      <c r="A603" s="1">
        <v>45789</v>
      </c>
      <c r="B603" t="s">
        <v>43</v>
      </c>
      <c r="C603" t="s">
        <v>22</v>
      </c>
      <c r="D603" t="s">
        <v>14</v>
      </c>
      <c r="E603" t="s">
        <v>15</v>
      </c>
      <c r="F603">
        <v>278</v>
      </c>
      <c r="G603">
        <v>63</v>
      </c>
      <c r="H603">
        <v>92</v>
      </c>
      <c r="I603">
        <v>249</v>
      </c>
      <c r="J603">
        <v>53</v>
      </c>
      <c r="K603">
        <v>948</v>
      </c>
      <c r="L603">
        <v>236052</v>
      </c>
      <c r="M603">
        <f>Inventory_Data[[#This Row],[Opening Stock]]+Inventory_Data[[#This Row],[Purchase Qty]]-Inventory_Data[[#This Row],[Sales Qty]]-Inventory_Data[[#This Row],[Closing Stock]]</f>
        <v>0</v>
      </c>
      <c r="N603">
        <f>Inventory_Data[[#This Row],[Purchase Qty]]*Inventory_Data[[#This Row],[Unit Cost]]</f>
        <v>59724</v>
      </c>
      <c r="O603" t="str">
        <f>IF(Inventory_Data[[#This Row],[Closing Stock]]&lt;=Inventory_Data[[#This Row],[Reorder Level]],"Low Stock","In Stock")</f>
        <v>In Stock</v>
      </c>
      <c r="P603" t="str">
        <f>TEXT(Inventory_Data[[#This Row],[Date]],"MMM")</f>
        <v>May</v>
      </c>
      <c r="Q603" t="str">
        <f>TEXT(Inventory_Data[[#This Row],[Date]],"YYYY")</f>
        <v>2025</v>
      </c>
    </row>
    <row r="604" spans="1:17" x14ac:dyDescent="0.3">
      <c r="A604" s="1">
        <v>45789</v>
      </c>
      <c r="B604" t="s">
        <v>45</v>
      </c>
      <c r="C604" t="s">
        <v>13</v>
      </c>
      <c r="D604" t="s">
        <v>26</v>
      </c>
      <c r="E604" t="s">
        <v>20</v>
      </c>
      <c r="F604">
        <v>118</v>
      </c>
      <c r="G604">
        <v>52</v>
      </c>
      <c r="H604">
        <v>34</v>
      </c>
      <c r="I604">
        <v>136</v>
      </c>
      <c r="J604">
        <v>16</v>
      </c>
      <c r="K604">
        <v>10757</v>
      </c>
      <c r="L604">
        <v>1462952</v>
      </c>
      <c r="M604">
        <f>Inventory_Data[[#This Row],[Opening Stock]]+Inventory_Data[[#This Row],[Purchase Qty]]-Inventory_Data[[#This Row],[Sales Qty]]-Inventory_Data[[#This Row],[Closing Stock]]</f>
        <v>0</v>
      </c>
      <c r="N604">
        <f>Inventory_Data[[#This Row],[Purchase Qty]]*Inventory_Data[[#This Row],[Unit Cost]]</f>
        <v>559364</v>
      </c>
      <c r="O604" t="str">
        <f>IF(Inventory_Data[[#This Row],[Closing Stock]]&lt;=Inventory_Data[[#This Row],[Reorder Level]],"Low Stock","In Stock")</f>
        <v>In Stock</v>
      </c>
      <c r="P604" t="str">
        <f>TEXT(Inventory_Data[[#This Row],[Date]],"MMM")</f>
        <v>May</v>
      </c>
      <c r="Q604" t="str">
        <f>TEXT(Inventory_Data[[#This Row],[Date]],"YYYY")</f>
        <v>2025</v>
      </c>
    </row>
    <row r="605" spans="1:17" x14ac:dyDescent="0.3">
      <c r="A605" s="1">
        <v>45789</v>
      </c>
      <c r="B605" t="s">
        <v>43</v>
      </c>
      <c r="C605" t="s">
        <v>22</v>
      </c>
      <c r="D605" t="s">
        <v>14</v>
      </c>
      <c r="E605" t="s">
        <v>34</v>
      </c>
      <c r="F605">
        <v>93</v>
      </c>
      <c r="G605">
        <v>152</v>
      </c>
      <c r="H605">
        <v>145</v>
      </c>
      <c r="I605">
        <v>100</v>
      </c>
      <c r="J605">
        <v>104</v>
      </c>
      <c r="K605">
        <v>392</v>
      </c>
      <c r="L605">
        <v>39200</v>
      </c>
      <c r="M605">
        <f>Inventory_Data[[#This Row],[Opening Stock]]+Inventory_Data[[#This Row],[Purchase Qty]]-Inventory_Data[[#This Row],[Sales Qty]]-Inventory_Data[[#This Row],[Closing Stock]]</f>
        <v>0</v>
      </c>
      <c r="N605">
        <f>Inventory_Data[[#This Row],[Purchase Qty]]*Inventory_Data[[#This Row],[Unit Cost]]</f>
        <v>59584</v>
      </c>
      <c r="O605" t="str">
        <f>IF(Inventory_Data[[#This Row],[Closing Stock]]&lt;=Inventory_Data[[#This Row],[Reorder Level]],"Low Stock","In Stock")</f>
        <v>Low Stock</v>
      </c>
      <c r="P605" t="str">
        <f>TEXT(Inventory_Data[[#This Row],[Date]],"MMM")</f>
        <v>May</v>
      </c>
      <c r="Q605" t="str">
        <f>TEXT(Inventory_Data[[#This Row],[Date]],"YYYY")</f>
        <v>2025</v>
      </c>
    </row>
    <row r="606" spans="1:17" x14ac:dyDescent="0.3">
      <c r="A606" s="1">
        <v>45790</v>
      </c>
      <c r="B606" t="s">
        <v>44</v>
      </c>
      <c r="C606" t="s">
        <v>28</v>
      </c>
      <c r="D606" t="s">
        <v>14</v>
      </c>
      <c r="E606" t="s">
        <v>18</v>
      </c>
      <c r="F606">
        <v>99</v>
      </c>
      <c r="G606">
        <v>24</v>
      </c>
      <c r="H606">
        <v>32</v>
      </c>
      <c r="I606">
        <v>91</v>
      </c>
      <c r="J606">
        <v>42</v>
      </c>
      <c r="K606">
        <v>11774</v>
      </c>
      <c r="L606">
        <v>1071434</v>
      </c>
      <c r="M606">
        <f>Inventory_Data[[#This Row],[Opening Stock]]+Inventory_Data[[#This Row],[Purchase Qty]]-Inventory_Data[[#This Row],[Sales Qty]]-Inventory_Data[[#This Row],[Closing Stock]]</f>
        <v>0</v>
      </c>
      <c r="N606">
        <f>Inventory_Data[[#This Row],[Purchase Qty]]*Inventory_Data[[#This Row],[Unit Cost]]</f>
        <v>282576</v>
      </c>
      <c r="O606" t="str">
        <f>IF(Inventory_Data[[#This Row],[Closing Stock]]&lt;=Inventory_Data[[#This Row],[Reorder Level]],"Low Stock","In Stock")</f>
        <v>In Stock</v>
      </c>
      <c r="P606" t="str">
        <f>TEXT(Inventory_Data[[#This Row],[Date]],"MMM")</f>
        <v>May</v>
      </c>
      <c r="Q606" t="str">
        <f>TEXT(Inventory_Data[[#This Row],[Date]],"YYYY")</f>
        <v>2025</v>
      </c>
    </row>
    <row r="607" spans="1:17" x14ac:dyDescent="0.3">
      <c r="A607" s="1">
        <v>45790</v>
      </c>
      <c r="B607" t="s">
        <v>40</v>
      </c>
      <c r="C607" t="s">
        <v>28</v>
      </c>
      <c r="D607" t="s">
        <v>37</v>
      </c>
      <c r="E607" t="s">
        <v>15</v>
      </c>
      <c r="F607">
        <v>42</v>
      </c>
      <c r="G607">
        <v>18</v>
      </c>
      <c r="H607">
        <v>60</v>
      </c>
      <c r="I607">
        <v>0</v>
      </c>
      <c r="J607">
        <v>48</v>
      </c>
      <c r="K607">
        <v>37338</v>
      </c>
      <c r="L607">
        <v>0</v>
      </c>
      <c r="M607">
        <f>Inventory_Data[[#This Row],[Opening Stock]]+Inventory_Data[[#This Row],[Purchase Qty]]-Inventory_Data[[#This Row],[Sales Qty]]-Inventory_Data[[#This Row],[Closing Stock]]</f>
        <v>0</v>
      </c>
      <c r="N607">
        <f>Inventory_Data[[#This Row],[Purchase Qty]]*Inventory_Data[[#This Row],[Unit Cost]]</f>
        <v>672084</v>
      </c>
      <c r="O607" t="str">
        <f>IF(Inventory_Data[[#This Row],[Closing Stock]]&lt;=Inventory_Data[[#This Row],[Reorder Level]],"Low Stock","In Stock")</f>
        <v>Low Stock</v>
      </c>
      <c r="P607" t="str">
        <f>TEXT(Inventory_Data[[#This Row],[Date]],"MMM")</f>
        <v>May</v>
      </c>
      <c r="Q607" t="str">
        <f>TEXT(Inventory_Data[[#This Row],[Date]],"YYYY")</f>
        <v>2025</v>
      </c>
    </row>
    <row r="608" spans="1:17" x14ac:dyDescent="0.3">
      <c r="A608" s="1">
        <v>45790</v>
      </c>
      <c r="B608" t="s">
        <v>35</v>
      </c>
      <c r="C608" t="s">
        <v>22</v>
      </c>
      <c r="D608" t="s">
        <v>37</v>
      </c>
      <c r="E608" t="s">
        <v>15</v>
      </c>
      <c r="F608">
        <v>113</v>
      </c>
      <c r="G608">
        <v>228</v>
      </c>
      <c r="H608">
        <v>265</v>
      </c>
      <c r="I608">
        <v>76</v>
      </c>
      <c r="J608">
        <v>84</v>
      </c>
      <c r="K608">
        <v>320</v>
      </c>
      <c r="L608">
        <v>24320</v>
      </c>
      <c r="M608">
        <f>Inventory_Data[[#This Row],[Opening Stock]]+Inventory_Data[[#This Row],[Purchase Qty]]-Inventory_Data[[#This Row],[Sales Qty]]-Inventory_Data[[#This Row],[Closing Stock]]</f>
        <v>0</v>
      </c>
      <c r="N608">
        <f>Inventory_Data[[#This Row],[Purchase Qty]]*Inventory_Data[[#This Row],[Unit Cost]]</f>
        <v>72960</v>
      </c>
      <c r="O608" t="str">
        <f>IF(Inventory_Data[[#This Row],[Closing Stock]]&lt;=Inventory_Data[[#This Row],[Reorder Level]],"Low Stock","In Stock")</f>
        <v>Low Stock</v>
      </c>
      <c r="P608" t="str">
        <f>TEXT(Inventory_Data[[#This Row],[Date]],"MMM")</f>
        <v>May</v>
      </c>
      <c r="Q608" t="str">
        <f>TEXT(Inventory_Data[[#This Row],[Date]],"YYYY")</f>
        <v>2025</v>
      </c>
    </row>
    <row r="609" spans="1:17" x14ac:dyDescent="0.3">
      <c r="A609" s="1">
        <v>45790</v>
      </c>
      <c r="B609" t="s">
        <v>32</v>
      </c>
      <c r="C609" t="s">
        <v>28</v>
      </c>
      <c r="D609" t="s">
        <v>23</v>
      </c>
      <c r="E609" t="s">
        <v>29</v>
      </c>
      <c r="F609">
        <v>87</v>
      </c>
      <c r="G609">
        <v>18</v>
      </c>
      <c r="H609">
        <v>97</v>
      </c>
      <c r="I609">
        <v>8</v>
      </c>
      <c r="J609">
        <v>46</v>
      </c>
      <c r="K609">
        <v>43445</v>
      </c>
      <c r="L609">
        <v>347560</v>
      </c>
      <c r="M609">
        <f>Inventory_Data[[#This Row],[Opening Stock]]+Inventory_Data[[#This Row],[Purchase Qty]]-Inventory_Data[[#This Row],[Sales Qty]]-Inventory_Data[[#This Row],[Closing Stock]]</f>
        <v>0</v>
      </c>
      <c r="N609">
        <f>Inventory_Data[[#This Row],[Purchase Qty]]*Inventory_Data[[#This Row],[Unit Cost]]</f>
        <v>782010</v>
      </c>
      <c r="O609" t="str">
        <f>IF(Inventory_Data[[#This Row],[Closing Stock]]&lt;=Inventory_Data[[#This Row],[Reorder Level]],"Low Stock","In Stock")</f>
        <v>Low Stock</v>
      </c>
      <c r="P609" t="str">
        <f>TEXT(Inventory_Data[[#This Row],[Date]],"MMM")</f>
        <v>May</v>
      </c>
      <c r="Q609" t="str">
        <f>TEXT(Inventory_Data[[#This Row],[Date]],"YYYY")</f>
        <v>2025</v>
      </c>
    </row>
    <row r="610" spans="1:17" x14ac:dyDescent="0.3">
      <c r="A610" s="1">
        <v>45791</v>
      </c>
      <c r="B610" t="s">
        <v>25</v>
      </c>
      <c r="C610" t="s">
        <v>17</v>
      </c>
      <c r="D610" t="s">
        <v>14</v>
      </c>
      <c r="E610" t="s">
        <v>20</v>
      </c>
      <c r="F610">
        <v>66</v>
      </c>
      <c r="G610">
        <v>8</v>
      </c>
      <c r="H610">
        <v>12</v>
      </c>
      <c r="I610">
        <v>62</v>
      </c>
      <c r="J610">
        <v>17</v>
      </c>
      <c r="K610">
        <v>13128</v>
      </c>
      <c r="L610">
        <v>813936</v>
      </c>
      <c r="M610">
        <f>Inventory_Data[[#This Row],[Opening Stock]]+Inventory_Data[[#This Row],[Purchase Qty]]-Inventory_Data[[#This Row],[Sales Qty]]-Inventory_Data[[#This Row],[Closing Stock]]</f>
        <v>0</v>
      </c>
      <c r="N610">
        <f>Inventory_Data[[#This Row],[Purchase Qty]]*Inventory_Data[[#This Row],[Unit Cost]]</f>
        <v>105024</v>
      </c>
      <c r="O610" t="str">
        <f>IF(Inventory_Data[[#This Row],[Closing Stock]]&lt;=Inventory_Data[[#This Row],[Reorder Level]],"Low Stock","In Stock")</f>
        <v>In Stock</v>
      </c>
      <c r="P610" t="str">
        <f>TEXT(Inventory_Data[[#This Row],[Date]],"MMM")</f>
        <v>May</v>
      </c>
      <c r="Q610" t="str">
        <f>TEXT(Inventory_Data[[#This Row],[Date]],"YYYY")</f>
        <v>2025</v>
      </c>
    </row>
    <row r="611" spans="1:17" x14ac:dyDescent="0.3">
      <c r="A611" s="1">
        <v>45791</v>
      </c>
      <c r="B611" t="s">
        <v>41</v>
      </c>
      <c r="C611" t="s">
        <v>22</v>
      </c>
      <c r="D611" t="s">
        <v>37</v>
      </c>
      <c r="E611" t="s">
        <v>29</v>
      </c>
      <c r="F611">
        <v>446</v>
      </c>
      <c r="G611">
        <v>115</v>
      </c>
      <c r="H611">
        <v>84</v>
      </c>
      <c r="I611">
        <v>477</v>
      </c>
      <c r="J611">
        <v>94</v>
      </c>
      <c r="K611">
        <v>666</v>
      </c>
      <c r="L611">
        <v>317682</v>
      </c>
      <c r="M611">
        <f>Inventory_Data[[#This Row],[Opening Stock]]+Inventory_Data[[#This Row],[Purchase Qty]]-Inventory_Data[[#This Row],[Sales Qty]]-Inventory_Data[[#This Row],[Closing Stock]]</f>
        <v>0</v>
      </c>
      <c r="N611">
        <f>Inventory_Data[[#This Row],[Purchase Qty]]*Inventory_Data[[#This Row],[Unit Cost]]</f>
        <v>76590</v>
      </c>
      <c r="O611" t="str">
        <f>IF(Inventory_Data[[#This Row],[Closing Stock]]&lt;=Inventory_Data[[#This Row],[Reorder Level]],"Low Stock","In Stock")</f>
        <v>In Stock</v>
      </c>
      <c r="P611" t="str">
        <f>TEXT(Inventory_Data[[#This Row],[Date]],"MMM")</f>
        <v>May</v>
      </c>
      <c r="Q611" t="str">
        <f>TEXT(Inventory_Data[[#This Row],[Date]],"YYYY")</f>
        <v>2025</v>
      </c>
    </row>
    <row r="612" spans="1:17" x14ac:dyDescent="0.3">
      <c r="A612" s="1">
        <v>45791</v>
      </c>
      <c r="B612" t="s">
        <v>44</v>
      </c>
      <c r="C612" t="s">
        <v>28</v>
      </c>
      <c r="D612" t="s">
        <v>26</v>
      </c>
      <c r="E612" t="s">
        <v>20</v>
      </c>
      <c r="F612">
        <v>77</v>
      </c>
      <c r="G612">
        <v>53</v>
      </c>
      <c r="H612">
        <v>49</v>
      </c>
      <c r="I612">
        <v>81</v>
      </c>
      <c r="J612">
        <v>40</v>
      </c>
      <c r="K612">
        <v>64959</v>
      </c>
      <c r="L612">
        <v>5261679</v>
      </c>
      <c r="M612">
        <f>Inventory_Data[[#This Row],[Opening Stock]]+Inventory_Data[[#This Row],[Purchase Qty]]-Inventory_Data[[#This Row],[Sales Qty]]-Inventory_Data[[#This Row],[Closing Stock]]</f>
        <v>0</v>
      </c>
      <c r="N612">
        <f>Inventory_Data[[#This Row],[Purchase Qty]]*Inventory_Data[[#This Row],[Unit Cost]]</f>
        <v>3442827</v>
      </c>
      <c r="O612" t="str">
        <f>IF(Inventory_Data[[#This Row],[Closing Stock]]&lt;=Inventory_Data[[#This Row],[Reorder Level]],"Low Stock","In Stock")</f>
        <v>In Stock</v>
      </c>
      <c r="P612" t="str">
        <f>TEXT(Inventory_Data[[#This Row],[Date]],"MMM")</f>
        <v>May</v>
      </c>
      <c r="Q612" t="str">
        <f>TEXT(Inventory_Data[[#This Row],[Date]],"YYYY")</f>
        <v>2025</v>
      </c>
    </row>
    <row r="613" spans="1:17" x14ac:dyDescent="0.3">
      <c r="A613" s="1">
        <v>45791</v>
      </c>
      <c r="B613" t="s">
        <v>30</v>
      </c>
      <c r="C613" t="s">
        <v>28</v>
      </c>
      <c r="D613" t="s">
        <v>37</v>
      </c>
      <c r="E613" t="s">
        <v>20</v>
      </c>
      <c r="F613">
        <v>148</v>
      </c>
      <c r="G613">
        <v>61</v>
      </c>
      <c r="H613">
        <v>28</v>
      </c>
      <c r="I613">
        <v>181</v>
      </c>
      <c r="J613">
        <v>53</v>
      </c>
      <c r="K613">
        <v>62597</v>
      </c>
      <c r="L613">
        <v>11330057</v>
      </c>
      <c r="M613">
        <f>Inventory_Data[[#This Row],[Opening Stock]]+Inventory_Data[[#This Row],[Purchase Qty]]-Inventory_Data[[#This Row],[Sales Qty]]-Inventory_Data[[#This Row],[Closing Stock]]</f>
        <v>0</v>
      </c>
      <c r="N613">
        <f>Inventory_Data[[#This Row],[Purchase Qty]]*Inventory_Data[[#This Row],[Unit Cost]]</f>
        <v>3818417</v>
      </c>
      <c r="O613" t="str">
        <f>IF(Inventory_Data[[#This Row],[Closing Stock]]&lt;=Inventory_Data[[#This Row],[Reorder Level]],"Low Stock","In Stock")</f>
        <v>In Stock</v>
      </c>
      <c r="P613" t="str">
        <f>TEXT(Inventory_Data[[#This Row],[Date]],"MMM")</f>
        <v>May</v>
      </c>
      <c r="Q613" t="str">
        <f>TEXT(Inventory_Data[[#This Row],[Date]],"YYYY")</f>
        <v>2025</v>
      </c>
    </row>
    <row r="614" spans="1:17" x14ac:dyDescent="0.3">
      <c r="A614" s="1">
        <v>45791</v>
      </c>
      <c r="B614" t="s">
        <v>25</v>
      </c>
      <c r="C614" t="s">
        <v>17</v>
      </c>
      <c r="D614" t="s">
        <v>26</v>
      </c>
      <c r="E614" t="s">
        <v>29</v>
      </c>
      <c r="F614">
        <v>76</v>
      </c>
      <c r="G614">
        <v>20</v>
      </c>
      <c r="H614">
        <v>8</v>
      </c>
      <c r="I614">
        <v>88</v>
      </c>
      <c r="J614">
        <v>18</v>
      </c>
      <c r="K614">
        <v>9193</v>
      </c>
      <c r="L614">
        <v>808984</v>
      </c>
      <c r="M614">
        <f>Inventory_Data[[#This Row],[Opening Stock]]+Inventory_Data[[#This Row],[Purchase Qty]]-Inventory_Data[[#This Row],[Sales Qty]]-Inventory_Data[[#This Row],[Closing Stock]]</f>
        <v>0</v>
      </c>
      <c r="N614">
        <f>Inventory_Data[[#This Row],[Purchase Qty]]*Inventory_Data[[#This Row],[Unit Cost]]</f>
        <v>183860</v>
      </c>
      <c r="O614" t="str">
        <f>IF(Inventory_Data[[#This Row],[Closing Stock]]&lt;=Inventory_Data[[#This Row],[Reorder Level]],"Low Stock","In Stock")</f>
        <v>In Stock</v>
      </c>
      <c r="P614" t="str">
        <f>TEXT(Inventory_Data[[#This Row],[Date]],"MMM")</f>
        <v>May</v>
      </c>
      <c r="Q614" t="str">
        <f>TEXT(Inventory_Data[[#This Row],[Date]],"YYYY")</f>
        <v>2025</v>
      </c>
    </row>
    <row r="615" spans="1:17" x14ac:dyDescent="0.3">
      <c r="A615" s="1">
        <v>45791</v>
      </c>
      <c r="B615" t="s">
        <v>33</v>
      </c>
      <c r="C615" t="s">
        <v>13</v>
      </c>
      <c r="D615" t="s">
        <v>26</v>
      </c>
      <c r="E615" t="s">
        <v>18</v>
      </c>
      <c r="F615">
        <v>64</v>
      </c>
      <c r="G615">
        <v>70</v>
      </c>
      <c r="H615">
        <v>53</v>
      </c>
      <c r="I615">
        <v>81</v>
      </c>
      <c r="J615">
        <v>39</v>
      </c>
      <c r="K615">
        <v>956</v>
      </c>
      <c r="L615">
        <v>77436</v>
      </c>
      <c r="M615">
        <f>Inventory_Data[[#This Row],[Opening Stock]]+Inventory_Data[[#This Row],[Purchase Qty]]-Inventory_Data[[#This Row],[Sales Qty]]-Inventory_Data[[#This Row],[Closing Stock]]</f>
        <v>0</v>
      </c>
      <c r="N615">
        <f>Inventory_Data[[#This Row],[Purchase Qty]]*Inventory_Data[[#This Row],[Unit Cost]]</f>
        <v>66920</v>
      </c>
      <c r="O615" t="str">
        <f>IF(Inventory_Data[[#This Row],[Closing Stock]]&lt;=Inventory_Data[[#This Row],[Reorder Level]],"Low Stock","In Stock")</f>
        <v>In Stock</v>
      </c>
      <c r="P615" t="str">
        <f>TEXT(Inventory_Data[[#This Row],[Date]],"MMM")</f>
        <v>May</v>
      </c>
      <c r="Q615" t="str">
        <f>TEXT(Inventory_Data[[#This Row],[Date]],"YYYY")</f>
        <v>2025</v>
      </c>
    </row>
    <row r="616" spans="1:17" x14ac:dyDescent="0.3">
      <c r="A616" s="1">
        <v>45792</v>
      </c>
      <c r="B616" t="s">
        <v>32</v>
      </c>
      <c r="C616" t="s">
        <v>28</v>
      </c>
      <c r="D616" t="s">
        <v>23</v>
      </c>
      <c r="E616" t="s">
        <v>29</v>
      </c>
      <c r="F616">
        <v>32</v>
      </c>
      <c r="G616">
        <v>13</v>
      </c>
      <c r="H616">
        <v>45</v>
      </c>
      <c r="I616">
        <v>0</v>
      </c>
      <c r="J616">
        <v>22</v>
      </c>
      <c r="K616">
        <v>58889</v>
      </c>
      <c r="L616">
        <v>0</v>
      </c>
      <c r="M616">
        <f>Inventory_Data[[#This Row],[Opening Stock]]+Inventory_Data[[#This Row],[Purchase Qty]]-Inventory_Data[[#This Row],[Sales Qty]]-Inventory_Data[[#This Row],[Closing Stock]]</f>
        <v>0</v>
      </c>
      <c r="N616">
        <f>Inventory_Data[[#This Row],[Purchase Qty]]*Inventory_Data[[#This Row],[Unit Cost]]</f>
        <v>765557</v>
      </c>
      <c r="O616" t="str">
        <f>IF(Inventory_Data[[#This Row],[Closing Stock]]&lt;=Inventory_Data[[#This Row],[Reorder Level]],"Low Stock","In Stock")</f>
        <v>Low Stock</v>
      </c>
      <c r="P616" t="str">
        <f>TEXT(Inventory_Data[[#This Row],[Date]],"MMM")</f>
        <v>May</v>
      </c>
      <c r="Q616" t="str">
        <f>TEXT(Inventory_Data[[#This Row],[Date]],"YYYY")</f>
        <v>2025</v>
      </c>
    </row>
    <row r="617" spans="1:17" x14ac:dyDescent="0.3">
      <c r="A617" s="1">
        <v>45792</v>
      </c>
      <c r="B617" t="s">
        <v>41</v>
      </c>
      <c r="C617" t="s">
        <v>22</v>
      </c>
      <c r="D617" t="s">
        <v>23</v>
      </c>
      <c r="E617" t="s">
        <v>18</v>
      </c>
      <c r="F617">
        <v>194</v>
      </c>
      <c r="G617">
        <v>156</v>
      </c>
      <c r="H617">
        <v>235</v>
      </c>
      <c r="I617">
        <v>115</v>
      </c>
      <c r="J617">
        <v>120</v>
      </c>
      <c r="K617">
        <v>958</v>
      </c>
      <c r="L617">
        <v>110170</v>
      </c>
      <c r="M617">
        <f>Inventory_Data[[#This Row],[Opening Stock]]+Inventory_Data[[#This Row],[Purchase Qty]]-Inventory_Data[[#This Row],[Sales Qty]]-Inventory_Data[[#This Row],[Closing Stock]]</f>
        <v>0</v>
      </c>
      <c r="N617">
        <f>Inventory_Data[[#This Row],[Purchase Qty]]*Inventory_Data[[#This Row],[Unit Cost]]</f>
        <v>149448</v>
      </c>
      <c r="O617" t="str">
        <f>IF(Inventory_Data[[#This Row],[Closing Stock]]&lt;=Inventory_Data[[#This Row],[Reorder Level]],"Low Stock","In Stock")</f>
        <v>Low Stock</v>
      </c>
      <c r="P617" t="str">
        <f>TEXT(Inventory_Data[[#This Row],[Date]],"MMM")</f>
        <v>May</v>
      </c>
      <c r="Q617" t="str">
        <f>TEXT(Inventory_Data[[#This Row],[Date]],"YYYY")</f>
        <v>2025</v>
      </c>
    </row>
    <row r="618" spans="1:17" x14ac:dyDescent="0.3">
      <c r="A618" s="1">
        <v>45792</v>
      </c>
      <c r="B618" t="s">
        <v>38</v>
      </c>
      <c r="C618" t="s">
        <v>17</v>
      </c>
      <c r="D618" t="s">
        <v>26</v>
      </c>
      <c r="E618" t="s">
        <v>15</v>
      </c>
      <c r="F618">
        <v>48</v>
      </c>
      <c r="G618">
        <v>8</v>
      </c>
      <c r="H618">
        <v>36</v>
      </c>
      <c r="I618">
        <v>20</v>
      </c>
      <c r="J618">
        <v>24</v>
      </c>
      <c r="K618">
        <v>16654</v>
      </c>
      <c r="L618">
        <v>333080</v>
      </c>
      <c r="M618">
        <f>Inventory_Data[[#This Row],[Opening Stock]]+Inventory_Data[[#This Row],[Purchase Qty]]-Inventory_Data[[#This Row],[Sales Qty]]-Inventory_Data[[#This Row],[Closing Stock]]</f>
        <v>0</v>
      </c>
      <c r="N618">
        <f>Inventory_Data[[#This Row],[Purchase Qty]]*Inventory_Data[[#This Row],[Unit Cost]]</f>
        <v>133232</v>
      </c>
      <c r="O618" t="str">
        <f>IF(Inventory_Data[[#This Row],[Closing Stock]]&lt;=Inventory_Data[[#This Row],[Reorder Level]],"Low Stock","In Stock")</f>
        <v>Low Stock</v>
      </c>
      <c r="P618" t="str">
        <f>TEXT(Inventory_Data[[#This Row],[Date]],"MMM")</f>
        <v>May</v>
      </c>
      <c r="Q618" t="str">
        <f>TEXT(Inventory_Data[[#This Row],[Date]],"YYYY")</f>
        <v>2025</v>
      </c>
    </row>
    <row r="619" spans="1:17" x14ac:dyDescent="0.3">
      <c r="A619" s="1">
        <v>45792</v>
      </c>
      <c r="B619" t="s">
        <v>39</v>
      </c>
      <c r="C619" t="s">
        <v>28</v>
      </c>
      <c r="D619" t="s">
        <v>14</v>
      </c>
      <c r="E619" t="s">
        <v>34</v>
      </c>
      <c r="F619">
        <v>165</v>
      </c>
      <c r="G619">
        <v>60</v>
      </c>
      <c r="H619">
        <v>12</v>
      </c>
      <c r="I619">
        <v>213</v>
      </c>
      <c r="J619">
        <v>31</v>
      </c>
      <c r="K619">
        <v>14422</v>
      </c>
      <c r="L619">
        <v>3071886</v>
      </c>
      <c r="M619">
        <f>Inventory_Data[[#This Row],[Opening Stock]]+Inventory_Data[[#This Row],[Purchase Qty]]-Inventory_Data[[#This Row],[Sales Qty]]-Inventory_Data[[#This Row],[Closing Stock]]</f>
        <v>0</v>
      </c>
      <c r="N619">
        <f>Inventory_Data[[#This Row],[Purchase Qty]]*Inventory_Data[[#This Row],[Unit Cost]]</f>
        <v>865320</v>
      </c>
      <c r="O619" t="str">
        <f>IF(Inventory_Data[[#This Row],[Closing Stock]]&lt;=Inventory_Data[[#This Row],[Reorder Level]],"Low Stock","In Stock")</f>
        <v>In Stock</v>
      </c>
      <c r="P619" t="str">
        <f>TEXT(Inventory_Data[[#This Row],[Date]],"MMM")</f>
        <v>May</v>
      </c>
      <c r="Q619" t="str">
        <f>TEXT(Inventory_Data[[#This Row],[Date]],"YYYY")</f>
        <v>2025</v>
      </c>
    </row>
    <row r="620" spans="1:17" x14ac:dyDescent="0.3">
      <c r="A620" s="1">
        <v>45792</v>
      </c>
      <c r="B620" t="s">
        <v>41</v>
      </c>
      <c r="C620" t="s">
        <v>22</v>
      </c>
      <c r="D620" t="s">
        <v>37</v>
      </c>
      <c r="E620" t="s">
        <v>29</v>
      </c>
      <c r="F620">
        <v>414</v>
      </c>
      <c r="G620">
        <v>48</v>
      </c>
      <c r="H620">
        <v>92</v>
      </c>
      <c r="I620">
        <v>370</v>
      </c>
      <c r="J620">
        <v>58</v>
      </c>
      <c r="K620">
        <v>759</v>
      </c>
      <c r="L620">
        <v>280830</v>
      </c>
      <c r="M620">
        <f>Inventory_Data[[#This Row],[Opening Stock]]+Inventory_Data[[#This Row],[Purchase Qty]]-Inventory_Data[[#This Row],[Sales Qty]]-Inventory_Data[[#This Row],[Closing Stock]]</f>
        <v>0</v>
      </c>
      <c r="N620">
        <f>Inventory_Data[[#This Row],[Purchase Qty]]*Inventory_Data[[#This Row],[Unit Cost]]</f>
        <v>36432</v>
      </c>
      <c r="O620" t="str">
        <f>IF(Inventory_Data[[#This Row],[Closing Stock]]&lt;=Inventory_Data[[#This Row],[Reorder Level]],"Low Stock","In Stock")</f>
        <v>In Stock</v>
      </c>
      <c r="P620" t="str">
        <f>TEXT(Inventory_Data[[#This Row],[Date]],"MMM")</f>
        <v>May</v>
      </c>
      <c r="Q620" t="str">
        <f>TEXT(Inventory_Data[[#This Row],[Date]],"YYYY")</f>
        <v>2025</v>
      </c>
    </row>
    <row r="621" spans="1:17" x14ac:dyDescent="0.3">
      <c r="A621" s="1">
        <v>45793</v>
      </c>
      <c r="B621" t="s">
        <v>31</v>
      </c>
      <c r="C621" t="s">
        <v>22</v>
      </c>
      <c r="D621" t="s">
        <v>14</v>
      </c>
      <c r="E621" t="s">
        <v>29</v>
      </c>
      <c r="F621">
        <v>353</v>
      </c>
      <c r="G621">
        <v>108</v>
      </c>
      <c r="H621">
        <v>252</v>
      </c>
      <c r="I621">
        <v>209</v>
      </c>
      <c r="J621">
        <v>135</v>
      </c>
      <c r="K621">
        <v>724</v>
      </c>
      <c r="L621">
        <v>151316</v>
      </c>
      <c r="M621">
        <f>Inventory_Data[[#This Row],[Opening Stock]]+Inventory_Data[[#This Row],[Purchase Qty]]-Inventory_Data[[#This Row],[Sales Qty]]-Inventory_Data[[#This Row],[Closing Stock]]</f>
        <v>0</v>
      </c>
      <c r="N621">
        <f>Inventory_Data[[#This Row],[Purchase Qty]]*Inventory_Data[[#This Row],[Unit Cost]]</f>
        <v>78192</v>
      </c>
      <c r="O621" t="str">
        <f>IF(Inventory_Data[[#This Row],[Closing Stock]]&lt;=Inventory_Data[[#This Row],[Reorder Level]],"Low Stock","In Stock")</f>
        <v>In Stock</v>
      </c>
      <c r="P621" t="str">
        <f>TEXT(Inventory_Data[[#This Row],[Date]],"MMM")</f>
        <v>May</v>
      </c>
      <c r="Q621" t="str">
        <f>TEXT(Inventory_Data[[#This Row],[Date]],"YYYY")</f>
        <v>2025</v>
      </c>
    </row>
    <row r="622" spans="1:17" x14ac:dyDescent="0.3">
      <c r="A622" s="1">
        <v>45793</v>
      </c>
      <c r="B622" t="s">
        <v>31</v>
      </c>
      <c r="C622" t="s">
        <v>22</v>
      </c>
      <c r="D622" t="s">
        <v>14</v>
      </c>
      <c r="E622" t="s">
        <v>18</v>
      </c>
      <c r="F622">
        <v>192</v>
      </c>
      <c r="G622">
        <v>216</v>
      </c>
      <c r="H622">
        <v>20</v>
      </c>
      <c r="I622">
        <v>388</v>
      </c>
      <c r="J622">
        <v>104</v>
      </c>
      <c r="K622">
        <v>679</v>
      </c>
      <c r="L622">
        <v>263452</v>
      </c>
      <c r="M622">
        <f>Inventory_Data[[#This Row],[Opening Stock]]+Inventory_Data[[#This Row],[Purchase Qty]]-Inventory_Data[[#This Row],[Sales Qty]]-Inventory_Data[[#This Row],[Closing Stock]]</f>
        <v>0</v>
      </c>
      <c r="N622">
        <f>Inventory_Data[[#This Row],[Purchase Qty]]*Inventory_Data[[#This Row],[Unit Cost]]</f>
        <v>146664</v>
      </c>
      <c r="O622" t="str">
        <f>IF(Inventory_Data[[#This Row],[Closing Stock]]&lt;=Inventory_Data[[#This Row],[Reorder Level]],"Low Stock","In Stock")</f>
        <v>In Stock</v>
      </c>
      <c r="P622" t="str">
        <f>TEXT(Inventory_Data[[#This Row],[Date]],"MMM")</f>
        <v>May</v>
      </c>
      <c r="Q622" t="str">
        <f>TEXT(Inventory_Data[[#This Row],[Date]],"YYYY")</f>
        <v>2025</v>
      </c>
    </row>
    <row r="623" spans="1:17" x14ac:dyDescent="0.3">
      <c r="A623" s="1">
        <v>45793</v>
      </c>
      <c r="B623" t="s">
        <v>38</v>
      </c>
      <c r="C623" t="s">
        <v>17</v>
      </c>
      <c r="D623" t="s">
        <v>26</v>
      </c>
      <c r="E623" t="s">
        <v>20</v>
      </c>
      <c r="F623">
        <v>27</v>
      </c>
      <c r="G623">
        <v>42</v>
      </c>
      <c r="H623">
        <v>19</v>
      </c>
      <c r="I623">
        <v>50</v>
      </c>
      <c r="J623">
        <v>22</v>
      </c>
      <c r="K623">
        <v>21828</v>
      </c>
      <c r="L623">
        <v>1091400</v>
      </c>
      <c r="M623">
        <f>Inventory_Data[[#This Row],[Opening Stock]]+Inventory_Data[[#This Row],[Purchase Qty]]-Inventory_Data[[#This Row],[Sales Qty]]-Inventory_Data[[#This Row],[Closing Stock]]</f>
        <v>0</v>
      </c>
      <c r="N623">
        <f>Inventory_Data[[#This Row],[Purchase Qty]]*Inventory_Data[[#This Row],[Unit Cost]]</f>
        <v>916776</v>
      </c>
      <c r="O623" t="str">
        <f>IF(Inventory_Data[[#This Row],[Closing Stock]]&lt;=Inventory_Data[[#This Row],[Reorder Level]],"Low Stock","In Stock")</f>
        <v>In Stock</v>
      </c>
      <c r="P623" t="str">
        <f>TEXT(Inventory_Data[[#This Row],[Date]],"MMM")</f>
        <v>May</v>
      </c>
      <c r="Q623" t="str">
        <f>TEXT(Inventory_Data[[#This Row],[Date]],"YYYY")</f>
        <v>2025</v>
      </c>
    </row>
    <row r="624" spans="1:17" x14ac:dyDescent="0.3">
      <c r="A624" s="1">
        <v>45793</v>
      </c>
      <c r="B624" t="s">
        <v>38</v>
      </c>
      <c r="C624" t="s">
        <v>17</v>
      </c>
      <c r="D624" t="s">
        <v>23</v>
      </c>
      <c r="E624" t="s">
        <v>34</v>
      </c>
      <c r="F624">
        <v>24</v>
      </c>
      <c r="G624">
        <v>31</v>
      </c>
      <c r="H624">
        <v>17</v>
      </c>
      <c r="I624">
        <v>38</v>
      </c>
      <c r="J624">
        <v>19</v>
      </c>
      <c r="K624">
        <v>15772</v>
      </c>
      <c r="L624">
        <v>599336</v>
      </c>
      <c r="M624">
        <f>Inventory_Data[[#This Row],[Opening Stock]]+Inventory_Data[[#This Row],[Purchase Qty]]-Inventory_Data[[#This Row],[Sales Qty]]-Inventory_Data[[#This Row],[Closing Stock]]</f>
        <v>0</v>
      </c>
      <c r="N624">
        <f>Inventory_Data[[#This Row],[Purchase Qty]]*Inventory_Data[[#This Row],[Unit Cost]]</f>
        <v>488932</v>
      </c>
      <c r="O624" t="str">
        <f>IF(Inventory_Data[[#This Row],[Closing Stock]]&lt;=Inventory_Data[[#This Row],[Reorder Level]],"Low Stock","In Stock")</f>
        <v>In Stock</v>
      </c>
      <c r="P624" t="str">
        <f>TEXT(Inventory_Data[[#This Row],[Date]],"MMM")</f>
        <v>May</v>
      </c>
      <c r="Q624" t="str">
        <f>TEXT(Inventory_Data[[#This Row],[Date]],"YYYY")</f>
        <v>2025</v>
      </c>
    </row>
    <row r="625" spans="1:17" x14ac:dyDescent="0.3">
      <c r="A625" s="1">
        <v>45793</v>
      </c>
      <c r="B625" t="s">
        <v>45</v>
      </c>
      <c r="C625" t="s">
        <v>13</v>
      </c>
      <c r="D625" t="s">
        <v>26</v>
      </c>
      <c r="E625" t="s">
        <v>20</v>
      </c>
      <c r="F625">
        <v>17</v>
      </c>
      <c r="G625">
        <v>29</v>
      </c>
      <c r="H625">
        <v>46</v>
      </c>
      <c r="I625">
        <v>0</v>
      </c>
      <c r="J625">
        <v>22</v>
      </c>
      <c r="K625">
        <v>10610</v>
      </c>
      <c r="L625">
        <v>0</v>
      </c>
      <c r="M625">
        <f>Inventory_Data[[#This Row],[Opening Stock]]+Inventory_Data[[#This Row],[Purchase Qty]]-Inventory_Data[[#This Row],[Sales Qty]]-Inventory_Data[[#This Row],[Closing Stock]]</f>
        <v>0</v>
      </c>
      <c r="N625">
        <f>Inventory_Data[[#This Row],[Purchase Qty]]*Inventory_Data[[#This Row],[Unit Cost]]</f>
        <v>307690</v>
      </c>
      <c r="O625" t="str">
        <f>IF(Inventory_Data[[#This Row],[Closing Stock]]&lt;=Inventory_Data[[#This Row],[Reorder Level]],"Low Stock","In Stock")</f>
        <v>Low Stock</v>
      </c>
      <c r="P625" t="str">
        <f>TEXT(Inventory_Data[[#This Row],[Date]],"MMM")</f>
        <v>May</v>
      </c>
      <c r="Q625" t="str">
        <f>TEXT(Inventory_Data[[#This Row],[Date]],"YYYY")</f>
        <v>2025</v>
      </c>
    </row>
    <row r="626" spans="1:17" x14ac:dyDescent="0.3">
      <c r="A626" s="1">
        <v>45793</v>
      </c>
      <c r="B626" t="s">
        <v>45</v>
      </c>
      <c r="C626" t="s">
        <v>13</v>
      </c>
      <c r="D626" t="s">
        <v>23</v>
      </c>
      <c r="E626" t="s">
        <v>15</v>
      </c>
      <c r="F626">
        <v>109</v>
      </c>
      <c r="G626">
        <v>7</v>
      </c>
      <c r="H626">
        <v>5</v>
      </c>
      <c r="I626">
        <v>111</v>
      </c>
      <c r="J626">
        <v>36</v>
      </c>
      <c r="K626">
        <v>8890</v>
      </c>
      <c r="L626">
        <v>986790</v>
      </c>
      <c r="M626">
        <f>Inventory_Data[[#This Row],[Opening Stock]]+Inventory_Data[[#This Row],[Purchase Qty]]-Inventory_Data[[#This Row],[Sales Qty]]-Inventory_Data[[#This Row],[Closing Stock]]</f>
        <v>0</v>
      </c>
      <c r="N626">
        <f>Inventory_Data[[#This Row],[Purchase Qty]]*Inventory_Data[[#This Row],[Unit Cost]]</f>
        <v>62230</v>
      </c>
      <c r="O626" t="str">
        <f>IF(Inventory_Data[[#This Row],[Closing Stock]]&lt;=Inventory_Data[[#This Row],[Reorder Level]],"Low Stock","In Stock")</f>
        <v>In Stock</v>
      </c>
      <c r="P626" t="str">
        <f>TEXT(Inventory_Data[[#This Row],[Date]],"MMM")</f>
        <v>May</v>
      </c>
      <c r="Q626" t="str">
        <f>TEXT(Inventory_Data[[#This Row],[Date]],"YYYY")</f>
        <v>2025</v>
      </c>
    </row>
    <row r="627" spans="1:17" x14ac:dyDescent="0.3">
      <c r="A627" s="1">
        <v>45793</v>
      </c>
      <c r="B627" t="s">
        <v>21</v>
      </c>
      <c r="C627" t="s">
        <v>22</v>
      </c>
      <c r="D627" t="s">
        <v>26</v>
      </c>
      <c r="E627" t="s">
        <v>24</v>
      </c>
      <c r="F627">
        <v>329</v>
      </c>
      <c r="G627">
        <v>200</v>
      </c>
      <c r="H627">
        <v>168</v>
      </c>
      <c r="I627">
        <v>361</v>
      </c>
      <c r="J627">
        <v>94</v>
      </c>
      <c r="K627">
        <v>220</v>
      </c>
      <c r="L627">
        <v>79420</v>
      </c>
      <c r="M627">
        <f>Inventory_Data[[#This Row],[Opening Stock]]+Inventory_Data[[#This Row],[Purchase Qty]]-Inventory_Data[[#This Row],[Sales Qty]]-Inventory_Data[[#This Row],[Closing Stock]]</f>
        <v>0</v>
      </c>
      <c r="N627">
        <f>Inventory_Data[[#This Row],[Purchase Qty]]*Inventory_Data[[#This Row],[Unit Cost]]</f>
        <v>44000</v>
      </c>
      <c r="O627" t="str">
        <f>IF(Inventory_Data[[#This Row],[Closing Stock]]&lt;=Inventory_Data[[#This Row],[Reorder Level]],"Low Stock","In Stock")</f>
        <v>In Stock</v>
      </c>
      <c r="P627" t="str">
        <f>TEXT(Inventory_Data[[#This Row],[Date]],"MMM")</f>
        <v>May</v>
      </c>
      <c r="Q627" t="str">
        <f>TEXT(Inventory_Data[[#This Row],[Date]],"YYYY")</f>
        <v>2025</v>
      </c>
    </row>
    <row r="628" spans="1:17" x14ac:dyDescent="0.3">
      <c r="A628" s="1">
        <v>45793</v>
      </c>
      <c r="B628" t="s">
        <v>45</v>
      </c>
      <c r="C628" t="s">
        <v>13</v>
      </c>
      <c r="D628" t="s">
        <v>37</v>
      </c>
      <c r="E628" t="s">
        <v>15</v>
      </c>
      <c r="F628">
        <v>35</v>
      </c>
      <c r="G628">
        <v>47</v>
      </c>
      <c r="H628">
        <v>23</v>
      </c>
      <c r="I628">
        <v>59</v>
      </c>
      <c r="J628">
        <v>37</v>
      </c>
      <c r="K628">
        <v>2778</v>
      </c>
      <c r="L628">
        <v>163902</v>
      </c>
      <c r="M628">
        <f>Inventory_Data[[#This Row],[Opening Stock]]+Inventory_Data[[#This Row],[Purchase Qty]]-Inventory_Data[[#This Row],[Sales Qty]]-Inventory_Data[[#This Row],[Closing Stock]]</f>
        <v>0</v>
      </c>
      <c r="N628">
        <f>Inventory_Data[[#This Row],[Purchase Qty]]*Inventory_Data[[#This Row],[Unit Cost]]</f>
        <v>130566</v>
      </c>
      <c r="O628" t="str">
        <f>IF(Inventory_Data[[#This Row],[Closing Stock]]&lt;=Inventory_Data[[#This Row],[Reorder Level]],"Low Stock","In Stock")</f>
        <v>In Stock</v>
      </c>
      <c r="P628" t="str">
        <f>TEXT(Inventory_Data[[#This Row],[Date]],"MMM")</f>
        <v>May</v>
      </c>
      <c r="Q628" t="str">
        <f>TEXT(Inventory_Data[[#This Row],[Date]],"YYYY")</f>
        <v>2025</v>
      </c>
    </row>
    <row r="629" spans="1:17" x14ac:dyDescent="0.3">
      <c r="A629" s="1">
        <v>45794</v>
      </c>
      <c r="B629" t="s">
        <v>44</v>
      </c>
      <c r="C629" t="s">
        <v>28</v>
      </c>
      <c r="D629" t="s">
        <v>37</v>
      </c>
      <c r="E629" t="s">
        <v>24</v>
      </c>
      <c r="F629">
        <v>174</v>
      </c>
      <c r="G629">
        <v>43</v>
      </c>
      <c r="H629">
        <v>48</v>
      </c>
      <c r="I629">
        <v>169</v>
      </c>
      <c r="J629">
        <v>55</v>
      </c>
      <c r="K629">
        <v>6371</v>
      </c>
      <c r="L629">
        <v>1076699</v>
      </c>
      <c r="M629">
        <f>Inventory_Data[[#This Row],[Opening Stock]]+Inventory_Data[[#This Row],[Purchase Qty]]-Inventory_Data[[#This Row],[Sales Qty]]-Inventory_Data[[#This Row],[Closing Stock]]</f>
        <v>0</v>
      </c>
      <c r="N629">
        <f>Inventory_Data[[#This Row],[Purchase Qty]]*Inventory_Data[[#This Row],[Unit Cost]]</f>
        <v>273953</v>
      </c>
      <c r="O629" t="str">
        <f>IF(Inventory_Data[[#This Row],[Closing Stock]]&lt;=Inventory_Data[[#This Row],[Reorder Level]],"Low Stock","In Stock")</f>
        <v>In Stock</v>
      </c>
      <c r="P629" t="str">
        <f>TEXT(Inventory_Data[[#This Row],[Date]],"MMM")</f>
        <v>May</v>
      </c>
      <c r="Q629" t="str">
        <f>TEXT(Inventory_Data[[#This Row],[Date]],"YYYY")</f>
        <v>2025</v>
      </c>
    </row>
    <row r="630" spans="1:17" x14ac:dyDescent="0.3">
      <c r="A630" s="1">
        <v>45794</v>
      </c>
      <c r="B630" t="s">
        <v>12</v>
      </c>
      <c r="C630" t="s">
        <v>13</v>
      </c>
      <c r="D630" t="s">
        <v>14</v>
      </c>
      <c r="E630" t="s">
        <v>20</v>
      </c>
      <c r="F630">
        <v>20</v>
      </c>
      <c r="G630">
        <v>39</v>
      </c>
      <c r="H630">
        <v>41</v>
      </c>
      <c r="I630">
        <v>18</v>
      </c>
      <c r="J630">
        <v>23</v>
      </c>
      <c r="K630">
        <v>1361</v>
      </c>
      <c r="L630">
        <v>24498</v>
      </c>
      <c r="M630">
        <f>Inventory_Data[[#This Row],[Opening Stock]]+Inventory_Data[[#This Row],[Purchase Qty]]-Inventory_Data[[#This Row],[Sales Qty]]-Inventory_Data[[#This Row],[Closing Stock]]</f>
        <v>0</v>
      </c>
      <c r="N630">
        <f>Inventory_Data[[#This Row],[Purchase Qty]]*Inventory_Data[[#This Row],[Unit Cost]]</f>
        <v>53079</v>
      </c>
      <c r="O630" t="str">
        <f>IF(Inventory_Data[[#This Row],[Closing Stock]]&lt;=Inventory_Data[[#This Row],[Reorder Level]],"Low Stock","In Stock")</f>
        <v>Low Stock</v>
      </c>
      <c r="P630" t="str">
        <f>TEXT(Inventory_Data[[#This Row],[Date]],"MMM")</f>
        <v>May</v>
      </c>
      <c r="Q630" t="str">
        <f>TEXT(Inventory_Data[[#This Row],[Date]],"YYYY")</f>
        <v>2025</v>
      </c>
    </row>
    <row r="631" spans="1:17" x14ac:dyDescent="0.3">
      <c r="A631" s="1">
        <v>45794</v>
      </c>
      <c r="B631" t="s">
        <v>45</v>
      </c>
      <c r="C631" t="s">
        <v>13</v>
      </c>
      <c r="D631" t="s">
        <v>37</v>
      </c>
      <c r="E631" t="s">
        <v>24</v>
      </c>
      <c r="F631">
        <v>44</v>
      </c>
      <c r="G631">
        <v>60</v>
      </c>
      <c r="H631">
        <v>19</v>
      </c>
      <c r="I631">
        <v>85</v>
      </c>
      <c r="J631">
        <v>26</v>
      </c>
      <c r="K631">
        <v>1443</v>
      </c>
      <c r="L631">
        <v>122655</v>
      </c>
      <c r="M631">
        <f>Inventory_Data[[#This Row],[Opening Stock]]+Inventory_Data[[#This Row],[Purchase Qty]]-Inventory_Data[[#This Row],[Sales Qty]]-Inventory_Data[[#This Row],[Closing Stock]]</f>
        <v>0</v>
      </c>
      <c r="N631">
        <f>Inventory_Data[[#This Row],[Purchase Qty]]*Inventory_Data[[#This Row],[Unit Cost]]</f>
        <v>86580</v>
      </c>
      <c r="O631" t="str">
        <f>IF(Inventory_Data[[#This Row],[Closing Stock]]&lt;=Inventory_Data[[#This Row],[Reorder Level]],"Low Stock","In Stock")</f>
        <v>In Stock</v>
      </c>
      <c r="P631" t="str">
        <f>TEXT(Inventory_Data[[#This Row],[Date]],"MMM")</f>
        <v>May</v>
      </c>
      <c r="Q631" t="str">
        <f>TEXT(Inventory_Data[[#This Row],[Date]],"YYYY")</f>
        <v>2025</v>
      </c>
    </row>
    <row r="632" spans="1:17" x14ac:dyDescent="0.3">
      <c r="A632" s="1">
        <v>45795</v>
      </c>
      <c r="B632" t="s">
        <v>39</v>
      </c>
      <c r="C632" t="s">
        <v>28</v>
      </c>
      <c r="D632" t="s">
        <v>37</v>
      </c>
      <c r="E632" t="s">
        <v>15</v>
      </c>
      <c r="F632">
        <v>149</v>
      </c>
      <c r="G632">
        <v>75</v>
      </c>
      <c r="H632">
        <v>64</v>
      </c>
      <c r="I632">
        <v>160</v>
      </c>
      <c r="J632">
        <v>36</v>
      </c>
      <c r="K632">
        <v>25335</v>
      </c>
      <c r="L632">
        <v>4053600</v>
      </c>
      <c r="M632">
        <f>Inventory_Data[[#This Row],[Opening Stock]]+Inventory_Data[[#This Row],[Purchase Qty]]-Inventory_Data[[#This Row],[Sales Qty]]-Inventory_Data[[#This Row],[Closing Stock]]</f>
        <v>0</v>
      </c>
      <c r="N632">
        <f>Inventory_Data[[#This Row],[Purchase Qty]]*Inventory_Data[[#This Row],[Unit Cost]]</f>
        <v>1900125</v>
      </c>
      <c r="O632" t="str">
        <f>IF(Inventory_Data[[#This Row],[Closing Stock]]&lt;=Inventory_Data[[#This Row],[Reorder Level]],"Low Stock","In Stock")</f>
        <v>In Stock</v>
      </c>
      <c r="P632" t="str">
        <f>TEXT(Inventory_Data[[#This Row],[Date]],"MMM")</f>
        <v>May</v>
      </c>
      <c r="Q632" t="str">
        <f>TEXT(Inventory_Data[[#This Row],[Date]],"YYYY")</f>
        <v>2025</v>
      </c>
    </row>
    <row r="633" spans="1:17" x14ac:dyDescent="0.3">
      <c r="A633" s="1">
        <v>45795</v>
      </c>
      <c r="B633" t="s">
        <v>21</v>
      </c>
      <c r="C633" t="s">
        <v>22</v>
      </c>
      <c r="D633" t="s">
        <v>23</v>
      </c>
      <c r="E633" t="s">
        <v>15</v>
      </c>
      <c r="F633">
        <v>471</v>
      </c>
      <c r="G633">
        <v>86</v>
      </c>
      <c r="H633">
        <v>59</v>
      </c>
      <c r="I633">
        <v>498</v>
      </c>
      <c r="J633">
        <v>120</v>
      </c>
      <c r="K633">
        <v>1029</v>
      </c>
      <c r="L633">
        <v>512442</v>
      </c>
      <c r="M633">
        <f>Inventory_Data[[#This Row],[Opening Stock]]+Inventory_Data[[#This Row],[Purchase Qty]]-Inventory_Data[[#This Row],[Sales Qty]]-Inventory_Data[[#This Row],[Closing Stock]]</f>
        <v>0</v>
      </c>
      <c r="N633">
        <f>Inventory_Data[[#This Row],[Purchase Qty]]*Inventory_Data[[#This Row],[Unit Cost]]</f>
        <v>88494</v>
      </c>
      <c r="O633" t="str">
        <f>IF(Inventory_Data[[#This Row],[Closing Stock]]&lt;=Inventory_Data[[#This Row],[Reorder Level]],"Low Stock","In Stock")</f>
        <v>In Stock</v>
      </c>
      <c r="P633" t="str">
        <f>TEXT(Inventory_Data[[#This Row],[Date]],"MMM")</f>
        <v>May</v>
      </c>
      <c r="Q633" t="str">
        <f>TEXT(Inventory_Data[[#This Row],[Date]],"YYYY")</f>
        <v>2025</v>
      </c>
    </row>
    <row r="634" spans="1:17" x14ac:dyDescent="0.3">
      <c r="A634" s="1">
        <v>45795</v>
      </c>
      <c r="B634" t="s">
        <v>33</v>
      </c>
      <c r="C634" t="s">
        <v>13</v>
      </c>
      <c r="D634" t="s">
        <v>37</v>
      </c>
      <c r="E634" t="s">
        <v>29</v>
      </c>
      <c r="F634">
        <v>66</v>
      </c>
      <c r="G634">
        <v>77</v>
      </c>
      <c r="H634">
        <v>48</v>
      </c>
      <c r="I634">
        <v>95</v>
      </c>
      <c r="J634">
        <v>28</v>
      </c>
      <c r="K634">
        <v>7666</v>
      </c>
      <c r="L634">
        <v>728270</v>
      </c>
      <c r="M634">
        <f>Inventory_Data[[#This Row],[Opening Stock]]+Inventory_Data[[#This Row],[Purchase Qty]]-Inventory_Data[[#This Row],[Sales Qty]]-Inventory_Data[[#This Row],[Closing Stock]]</f>
        <v>0</v>
      </c>
      <c r="N634">
        <f>Inventory_Data[[#This Row],[Purchase Qty]]*Inventory_Data[[#This Row],[Unit Cost]]</f>
        <v>590282</v>
      </c>
      <c r="O634" t="str">
        <f>IF(Inventory_Data[[#This Row],[Closing Stock]]&lt;=Inventory_Data[[#This Row],[Reorder Level]],"Low Stock","In Stock")</f>
        <v>In Stock</v>
      </c>
      <c r="P634" t="str">
        <f>TEXT(Inventory_Data[[#This Row],[Date]],"MMM")</f>
        <v>May</v>
      </c>
      <c r="Q634" t="str">
        <f>TEXT(Inventory_Data[[#This Row],[Date]],"YYYY")</f>
        <v>2025</v>
      </c>
    </row>
    <row r="635" spans="1:17" x14ac:dyDescent="0.3">
      <c r="A635" s="1">
        <v>45795</v>
      </c>
      <c r="B635" t="s">
        <v>40</v>
      </c>
      <c r="C635" t="s">
        <v>28</v>
      </c>
      <c r="D635" t="s">
        <v>23</v>
      </c>
      <c r="E635" t="s">
        <v>24</v>
      </c>
      <c r="F635">
        <v>117</v>
      </c>
      <c r="G635">
        <v>40</v>
      </c>
      <c r="H635">
        <v>16</v>
      </c>
      <c r="I635">
        <v>141</v>
      </c>
      <c r="J635">
        <v>35</v>
      </c>
      <c r="K635">
        <v>40978</v>
      </c>
      <c r="L635">
        <v>5777898</v>
      </c>
      <c r="M635">
        <f>Inventory_Data[[#This Row],[Opening Stock]]+Inventory_Data[[#This Row],[Purchase Qty]]-Inventory_Data[[#This Row],[Sales Qty]]-Inventory_Data[[#This Row],[Closing Stock]]</f>
        <v>0</v>
      </c>
      <c r="N635">
        <f>Inventory_Data[[#This Row],[Purchase Qty]]*Inventory_Data[[#This Row],[Unit Cost]]</f>
        <v>1639120</v>
      </c>
      <c r="O635" t="str">
        <f>IF(Inventory_Data[[#This Row],[Closing Stock]]&lt;=Inventory_Data[[#This Row],[Reorder Level]],"Low Stock","In Stock")</f>
        <v>In Stock</v>
      </c>
      <c r="P635" t="str">
        <f>TEXT(Inventory_Data[[#This Row],[Date]],"MMM")</f>
        <v>May</v>
      </c>
      <c r="Q635" t="str">
        <f>TEXT(Inventory_Data[[#This Row],[Date]],"YYYY")</f>
        <v>2025</v>
      </c>
    </row>
    <row r="636" spans="1:17" x14ac:dyDescent="0.3">
      <c r="A636" s="1">
        <v>45796</v>
      </c>
      <c r="B636" t="s">
        <v>42</v>
      </c>
      <c r="C636" t="s">
        <v>17</v>
      </c>
      <c r="D636" t="s">
        <v>14</v>
      </c>
      <c r="E636" t="s">
        <v>20</v>
      </c>
      <c r="F636">
        <v>77</v>
      </c>
      <c r="G636">
        <v>14</v>
      </c>
      <c r="H636">
        <v>40</v>
      </c>
      <c r="I636">
        <v>51</v>
      </c>
      <c r="J636">
        <v>15</v>
      </c>
      <c r="K636">
        <v>17084</v>
      </c>
      <c r="L636">
        <v>871284</v>
      </c>
      <c r="M636">
        <f>Inventory_Data[[#This Row],[Opening Stock]]+Inventory_Data[[#This Row],[Purchase Qty]]-Inventory_Data[[#This Row],[Sales Qty]]-Inventory_Data[[#This Row],[Closing Stock]]</f>
        <v>0</v>
      </c>
      <c r="N636">
        <f>Inventory_Data[[#This Row],[Purchase Qty]]*Inventory_Data[[#This Row],[Unit Cost]]</f>
        <v>239176</v>
      </c>
      <c r="O636" t="str">
        <f>IF(Inventory_Data[[#This Row],[Closing Stock]]&lt;=Inventory_Data[[#This Row],[Reorder Level]],"Low Stock","In Stock")</f>
        <v>In Stock</v>
      </c>
      <c r="P636" t="str">
        <f>TEXT(Inventory_Data[[#This Row],[Date]],"MMM")</f>
        <v>May</v>
      </c>
      <c r="Q636" t="str">
        <f>TEXT(Inventory_Data[[#This Row],[Date]],"YYYY")</f>
        <v>2025</v>
      </c>
    </row>
    <row r="637" spans="1:17" x14ac:dyDescent="0.3">
      <c r="A637" s="1">
        <v>45796</v>
      </c>
      <c r="B637" t="s">
        <v>40</v>
      </c>
      <c r="C637" t="s">
        <v>28</v>
      </c>
      <c r="D637" t="s">
        <v>14</v>
      </c>
      <c r="E637" t="s">
        <v>29</v>
      </c>
      <c r="F637">
        <v>119</v>
      </c>
      <c r="G637">
        <v>86</v>
      </c>
      <c r="H637">
        <v>7</v>
      </c>
      <c r="I637">
        <v>198</v>
      </c>
      <c r="J637">
        <v>25</v>
      </c>
      <c r="K637">
        <v>20928</v>
      </c>
      <c r="L637">
        <v>4143744</v>
      </c>
      <c r="M637">
        <f>Inventory_Data[[#This Row],[Opening Stock]]+Inventory_Data[[#This Row],[Purchase Qty]]-Inventory_Data[[#This Row],[Sales Qty]]-Inventory_Data[[#This Row],[Closing Stock]]</f>
        <v>0</v>
      </c>
      <c r="N637">
        <f>Inventory_Data[[#This Row],[Purchase Qty]]*Inventory_Data[[#This Row],[Unit Cost]]</f>
        <v>1799808</v>
      </c>
      <c r="O637" t="str">
        <f>IF(Inventory_Data[[#This Row],[Closing Stock]]&lt;=Inventory_Data[[#This Row],[Reorder Level]],"Low Stock","In Stock")</f>
        <v>In Stock</v>
      </c>
      <c r="P637" t="str">
        <f>TEXT(Inventory_Data[[#This Row],[Date]],"MMM")</f>
        <v>May</v>
      </c>
      <c r="Q637" t="str">
        <f>TEXT(Inventory_Data[[#This Row],[Date]],"YYYY")</f>
        <v>2025</v>
      </c>
    </row>
    <row r="638" spans="1:17" x14ac:dyDescent="0.3">
      <c r="A638" s="1">
        <v>45796</v>
      </c>
      <c r="B638" t="s">
        <v>43</v>
      </c>
      <c r="C638" t="s">
        <v>22</v>
      </c>
      <c r="D638" t="s">
        <v>37</v>
      </c>
      <c r="E638" t="s">
        <v>29</v>
      </c>
      <c r="F638">
        <v>467</v>
      </c>
      <c r="G638">
        <v>142</v>
      </c>
      <c r="H638">
        <v>152</v>
      </c>
      <c r="I638">
        <v>457</v>
      </c>
      <c r="J638">
        <v>59</v>
      </c>
      <c r="K638">
        <v>528</v>
      </c>
      <c r="L638">
        <v>241296</v>
      </c>
      <c r="M638">
        <f>Inventory_Data[[#This Row],[Opening Stock]]+Inventory_Data[[#This Row],[Purchase Qty]]-Inventory_Data[[#This Row],[Sales Qty]]-Inventory_Data[[#This Row],[Closing Stock]]</f>
        <v>0</v>
      </c>
      <c r="N638">
        <f>Inventory_Data[[#This Row],[Purchase Qty]]*Inventory_Data[[#This Row],[Unit Cost]]</f>
        <v>74976</v>
      </c>
      <c r="O638" t="str">
        <f>IF(Inventory_Data[[#This Row],[Closing Stock]]&lt;=Inventory_Data[[#This Row],[Reorder Level]],"Low Stock","In Stock")</f>
        <v>In Stock</v>
      </c>
      <c r="P638" t="str">
        <f>TEXT(Inventory_Data[[#This Row],[Date]],"MMM")</f>
        <v>May</v>
      </c>
      <c r="Q638" t="str">
        <f>TEXT(Inventory_Data[[#This Row],[Date]],"YYYY")</f>
        <v>2025</v>
      </c>
    </row>
    <row r="639" spans="1:17" x14ac:dyDescent="0.3">
      <c r="A639" s="1">
        <v>45796</v>
      </c>
      <c r="B639" t="s">
        <v>41</v>
      </c>
      <c r="C639" t="s">
        <v>22</v>
      </c>
      <c r="D639" t="s">
        <v>14</v>
      </c>
      <c r="E639" t="s">
        <v>15</v>
      </c>
      <c r="F639">
        <v>408</v>
      </c>
      <c r="G639">
        <v>121</v>
      </c>
      <c r="H639">
        <v>134</v>
      </c>
      <c r="I639">
        <v>395</v>
      </c>
      <c r="J639">
        <v>62</v>
      </c>
      <c r="K639">
        <v>502</v>
      </c>
      <c r="L639">
        <v>198290</v>
      </c>
      <c r="M639">
        <f>Inventory_Data[[#This Row],[Opening Stock]]+Inventory_Data[[#This Row],[Purchase Qty]]-Inventory_Data[[#This Row],[Sales Qty]]-Inventory_Data[[#This Row],[Closing Stock]]</f>
        <v>0</v>
      </c>
      <c r="N639">
        <f>Inventory_Data[[#This Row],[Purchase Qty]]*Inventory_Data[[#This Row],[Unit Cost]]</f>
        <v>60742</v>
      </c>
      <c r="O639" t="str">
        <f>IF(Inventory_Data[[#This Row],[Closing Stock]]&lt;=Inventory_Data[[#This Row],[Reorder Level]],"Low Stock","In Stock")</f>
        <v>In Stock</v>
      </c>
      <c r="P639" t="str">
        <f>TEXT(Inventory_Data[[#This Row],[Date]],"MMM")</f>
        <v>May</v>
      </c>
      <c r="Q639" t="str">
        <f>TEXT(Inventory_Data[[#This Row],[Date]],"YYYY")</f>
        <v>2025</v>
      </c>
    </row>
    <row r="640" spans="1:17" x14ac:dyDescent="0.3">
      <c r="A640" s="1">
        <v>45797</v>
      </c>
      <c r="B640" t="s">
        <v>41</v>
      </c>
      <c r="C640" t="s">
        <v>22</v>
      </c>
      <c r="D640" t="s">
        <v>26</v>
      </c>
      <c r="E640" t="s">
        <v>18</v>
      </c>
      <c r="F640">
        <v>267</v>
      </c>
      <c r="G640">
        <v>73</v>
      </c>
      <c r="H640">
        <v>278</v>
      </c>
      <c r="I640">
        <v>62</v>
      </c>
      <c r="J640">
        <v>147</v>
      </c>
      <c r="K640">
        <v>913</v>
      </c>
      <c r="L640">
        <v>56606</v>
      </c>
      <c r="M640">
        <f>Inventory_Data[[#This Row],[Opening Stock]]+Inventory_Data[[#This Row],[Purchase Qty]]-Inventory_Data[[#This Row],[Sales Qty]]-Inventory_Data[[#This Row],[Closing Stock]]</f>
        <v>0</v>
      </c>
      <c r="N640">
        <f>Inventory_Data[[#This Row],[Purchase Qty]]*Inventory_Data[[#This Row],[Unit Cost]]</f>
        <v>66649</v>
      </c>
      <c r="O640" t="str">
        <f>IF(Inventory_Data[[#This Row],[Closing Stock]]&lt;=Inventory_Data[[#This Row],[Reorder Level]],"Low Stock","In Stock")</f>
        <v>Low Stock</v>
      </c>
      <c r="P640" t="str">
        <f>TEXT(Inventory_Data[[#This Row],[Date]],"MMM")</f>
        <v>May</v>
      </c>
      <c r="Q640" t="str">
        <f>TEXT(Inventory_Data[[#This Row],[Date]],"YYYY")</f>
        <v>2025</v>
      </c>
    </row>
    <row r="641" spans="1:17" x14ac:dyDescent="0.3">
      <c r="A641" s="1">
        <v>45797</v>
      </c>
      <c r="B641" t="s">
        <v>31</v>
      </c>
      <c r="C641" t="s">
        <v>22</v>
      </c>
      <c r="D641" t="s">
        <v>26</v>
      </c>
      <c r="E641" t="s">
        <v>20</v>
      </c>
      <c r="F641">
        <v>90</v>
      </c>
      <c r="G641">
        <v>79</v>
      </c>
      <c r="H641">
        <v>169</v>
      </c>
      <c r="I641">
        <v>0</v>
      </c>
      <c r="J641">
        <v>63</v>
      </c>
      <c r="K641">
        <v>459</v>
      </c>
      <c r="L641">
        <v>0</v>
      </c>
      <c r="M641">
        <f>Inventory_Data[[#This Row],[Opening Stock]]+Inventory_Data[[#This Row],[Purchase Qty]]-Inventory_Data[[#This Row],[Sales Qty]]-Inventory_Data[[#This Row],[Closing Stock]]</f>
        <v>0</v>
      </c>
      <c r="N641">
        <f>Inventory_Data[[#This Row],[Purchase Qty]]*Inventory_Data[[#This Row],[Unit Cost]]</f>
        <v>36261</v>
      </c>
      <c r="O641" t="str">
        <f>IF(Inventory_Data[[#This Row],[Closing Stock]]&lt;=Inventory_Data[[#This Row],[Reorder Level]],"Low Stock","In Stock")</f>
        <v>Low Stock</v>
      </c>
      <c r="P641" t="str">
        <f>TEXT(Inventory_Data[[#This Row],[Date]],"MMM")</f>
        <v>May</v>
      </c>
      <c r="Q641" t="str">
        <f>TEXT(Inventory_Data[[#This Row],[Date]],"YYYY")</f>
        <v>2025</v>
      </c>
    </row>
    <row r="642" spans="1:17" x14ac:dyDescent="0.3">
      <c r="A642" s="1">
        <v>45797</v>
      </c>
      <c r="B642" t="s">
        <v>36</v>
      </c>
      <c r="C642" t="s">
        <v>22</v>
      </c>
      <c r="D642" t="s">
        <v>26</v>
      </c>
      <c r="E642" t="s">
        <v>18</v>
      </c>
      <c r="F642">
        <v>286</v>
      </c>
      <c r="G642">
        <v>101</v>
      </c>
      <c r="H642">
        <v>164</v>
      </c>
      <c r="I642">
        <v>223</v>
      </c>
      <c r="J642">
        <v>91</v>
      </c>
      <c r="K642">
        <v>126</v>
      </c>
      <c r="L642">
        <v>28098</v>
      </c>
      <c r="M642">
        <f>Inventory_Data[[#This Row],[Opening Stock]]+Inventory_Data[[#This Row],[Purchase Qty]]-Inventory_Data[[#This Row],[Sales Qty]]-Inventory_Data[[#This Row],[Closing Stock]]</f>
        <v>0</v>
      </c>
      <c r="N642">
        <f>Inventory_Data[[#This Row],[Purchase Qty]]*Inventory_Data[[#This Row],[Unit Cost]]</f>
        <v>12726</v>
      </c>
      <c r="O642" t="str">
        <f>IF(Inventory_Data[[#This Row],[Closing Stock]]&lt;=Inventory_Data[[#This Row],[Reorder Level]],"Low Stock","In Stock")</f>
        <v>In Stock</v>
      </c>
      <c r="P642" t="str">
        <f>TEXT(Inventory_Data[[#This Row],[Date]],"MMM")</f>
        <v>May</v>
      </c>
      <c r="Q642" t="str">
        <f>TEXT(Inventory_Data[[#This Row],[Date]],"YYYY")</f>
        <v>2025</v>
      </c>
    </row>
    <row r="643" spans="1:17" x14ac:dyDescent="0.3">
      <c r="A643" s="1">
        <v>45797</v>
      </c>
      <c r="B643" t="s">
        <v>33</v>
      </c>
      <c r="C643" t="s">
        <v>13</v>
      </c>
      <c r="D643" t="s">
        <v>23</v>
      </c>
      <c r="E643" t="s">
        <v>15</v>
      </c>
      <c r="F643">
        <v>43</v>
      </c>
      <c r="G643">
        <v>11</v>
      </c>
      <c r="H643">
        <v>16</v>
      </c>
      <c r="I643">
        <v>38</v>
      </c>
      <c r="J643">
        <v>17</v>
      </c>
      <c r="K643">
        <v>5831</v>
      </c>
      <c r="L643">
        <v>221578</v>
      </c>
      <c r="M643">
        <f>Inventory_Data[[#This Row],[Opening Stock]]+Inventory_Data[[#This Row],[Purchase Qty]]-Inventory_Data[[#This Row],[Sales Qty]]-Inventory_Data[[#This Row],[Closing Stock]]</f>
        <v>0</v>
      </c>
      <c r="N643">
        <f>Inventory_Data[[#This Row],[Purchase Qty]]*Inventory_Data[[#This Row],[Unit Cost]]</f>
        <v>64141</v>
      </c>
      <c r="O643" t="str">
        <f>IF(Inventory_Data[[#This Row],[Closing Stock]]&lt;=Inventory_Data[[#This Row],[Reorder Level]],"Low Stock","In Stock")</f>
        <v>In Stock</v>
      </c>
      <c r="P643" t="str">
        <f>TEXT(Inventory_Data[[#This Row],[Date]],"MMM")</f>
        <v>May</v>
      </c>
      <c r="Q643" t="str">
        <f>TEXT(Inventory_Data[[#This Row],[Date]],"YYYY")</f>
        <v>2025</v>
      </c>
    </row>
    <row r="644" spans="1:17" x14ac:dyDescent="0.3">
      <c r="A644" s="1">
        <v>45797</v>
      </c>
      <c r="B644" t="s">
        <v>44</v>
      </c>
      <c r="C644" t="s">
        <v>28</v>
      </c>
      <c r="D644" t="s">
        <v>23</v>
      </c>
      <c r="E644" t="s">
        <v>24</v>
      </c>
      <c r="F644">
        <v>63</v>
      </c>
      <c r="G644">
        <v>22</v>
      </c>
      <c r="H644">
        <v>28</v>
      </c>
      <c r="I644">
        <v>57</v>
      </c>
      <c r="J644">
        <v>51</v>
      </c>
      <c r="K644">
        <v>41163</v>
      </c>
      <c r="L644">
        <v>2346291</v>
      </c>
      <c r="M644">
        <f>Inventory_Data[[#This Row],[Opening Stock]]+Inventory_Data[[#This Row],[Purchase Qty]]-Inventory_Data[[#This Row],[Sales Qty]]-Inventory_Data[[#This Row],[Closing Stock]]</f>
        <v>0</v>
      </c>
      <c r="N644">
        <f>Inventory_Data[[#This Row],[Purchase Qty]]*Inventory_Data[[#This Row],[Unit Cost]]</f>
        <v>905586</v>
      </c>
      <c r="O644" t="str">
        <f>IF(Inventory_Data[[#This Row],[Closing Stock]]&lt;=Inventory_Data[[#This Row],[Reorder Level]],"Low Stock","In Stock")</f>
        <v>In Stock</v>
      </c>
      <c r="P644" t="str">
        <f>TEXT(Inventory_Data[[#This Row],[Date]],"MMM")</f>
        <v>May</v>
      </c>
      <c r="Q644" t="str">
        <f>TEXT(Inventory_Data[[#This Row],[Date]],"YYYY")</f>
        <v>2025</v>
      </c>
    </row>
    <row r="645" spans="1:17" x14ac:dyDescent="0.3">
      <c r="A645" s="1">
        <v>45798</v>
      </c>
      <c r="B645" t="s">
        <v>38</v>
      </c>
      <c r="C645" t="s">
        <v>17</v>
      </c>
      <c r="D645" t="s">
        <v>23</v>
      </c>
      <c r="E645" t="s">
        <v>18</v>
      </c>
      <c r="F645">
        <v>93</v>
      </c>
      <c r="G645">
        <v>58</v>
      </c>
      <c r="H645">
        <v>8</v>
      </c>
      <c r="I645">
        <v>143</v>
      </c>
      <c r="J645">
        <v>23</v>
      </c>
      <c r="K645">
        <v>17450</v>
      </c>
      <c r="L645">
        <v>2495350</v>
      </c>
      <c r="M645">
        <f>Inventory_Data[[#This Row],[Opening Stock]]+Inventory_Data[[#This Row],[Purchase Qty]]-Inventory_Data[[#This Row],[Sales Qty]]-Inventory_Data[[#This Row],[Closing Stock]]</f>
        <v>0</v>
      </c>
      <c r="N645">
        <f>Inventory_Data[[#This Row],[Purchase Qty]]*Inventory_Data[[#This Row],[Unit Cost]]</f>
        <v>1012100</v>
      </c>
      <c r="O645" t="str">
        <f>IF(Inventory_Data[[#This Row],[Closing Stock]]&lt;=Inventory_Data[[#This Row],[Reorder Level]],"Low Stock","In Stock")</f>
        <v>In Stock</v>
      </c>
      <c r="P645" t="str">
        <f>TEXT(Inventory_Data[[#This Row],[Date]],"MMM")</f>
        <v>May</v>
      </c>
      <c r="Q645" t="str">
        <f>TEXT(Inventory_Data[[#This Row],[Date]],"YYYY")</f>
        <v>2025</v>
      </c>
    </row>
    <row r="646" spans="1:17" x14ac:dyDescent="0.3">
      <c r="A646" s="1">
        <v>45798</v>
      </c>
      <c r="B646" t="s">
        <v>33</v>
      </c>
      <c r="C646" t="s">
        <v>13</v>
      </c>
      <c r="D646" t="s">
        <v>37</v>
      </c>
      <c r="E646" t="s">
        <v>24</v>
      </c>
      <c r="F646">
        <v>97</v>
      </c>
      <c r="G646">
        <v>53</v>
      </c>
      <c r="H646">
        <v>8</v>
      </c>
      <c r="I646">
        <v>142</v>
      </c>
      <c r="J646">
        <v>26</v>
      </c>
      <c r="K646">
        <v>16627</v>
      </c>
      <c r="L646">
        <v>2361034</v>
      </c>
      <c r="M646">
        <f>Inventory_Data[[#This Row],[Opening Stock]]+Inventory_Data[[#This Row],[Purchase Qty]]-Inventory_Data[[#This Row],[Sales Qty]]-Inventory_Data[[#This Row],[Closing Stock]]</f>
        <v>0</v>
      </c>
      <c r="N646">
        <f>Inventory_Data[[#This Row],[Purchase Qty]]*Inventory_Data[[#This Row],[Unit Cost]]</f>
        <v>881231</v>
      </c>
      <c r="O646" t="str">
        <f>IF(Inventory_Data[[#This Row],[Closing Stock]]&lt;=Inventory_Data[[#This Row],[Reorder Level]],"Low Stock","In Stock")</f>
        <v>In Stock</v>
      </c>
      <c r="P646" t="str">
        <f>TEXT(Inventory_Data[[#This Row],[Date]],"MMM")</f>
        <v>May</v>
      </c>
      <c r="Q646" t="str">
        <f>TEXT(Inventory_Data[[#This Row],[Date]],"YYYY")</f>
        <v>2025</v>
      </c>
    </row>
    <row r="647" spans="1:17" x14ac:dyDescent="0.3">
      <c r="A647" s="1">
        <v>45798</v>
      </c>
      <c r="B647" t="s">
        <v>19</v>
      </c>
      <c r="C647" t="s">
        <v>13</v>
      </c>
      <c r="D647" t="s">
        <v>26</v>
      </c>
      <c r="E647" t="s">
        <v>20</v>
      </c>
      <c r="F647">
        <v>113</v>
      </c>
      <c r="G647">
        <v>53</v>
      </c>
      <c r="H647">
        <v>27</v>
      </c>
      <c r="I647">
        <v>139</v>
      </c>
      <c r="J647">
        <v>26</v>
      </c>
      <c r="K647">
        <v>8137</v>
      </c>
      <c r="L647">
        <v>1131043</v>
      </c>
      <c r="M647">
        <f>Inventory_Data[[#This Row],[Opening Stock]]+Inventory_Data[[#This Row],[Purchase Qty]]-Inventory_Data[[#This Row],[Sales Qty]]-Inventory_Data[[#This Row],[Closing Stock]]</f>
        <v>0</v>
      </c>
      <c r="N647">
        <f>Inventory_Data[[#This Row],[Purchase Qty]]*Inventory_Data[[#This Row],[Unit Cost]]</f>
        <v>431261</v>
      </c>
      <c r="O647" t="str">
        <f>IF(Inventory_Data[[#This Row],[Closing Stock]]&lt;=Inventory_Data[[#This Row],[Reorder Level]],"Low Stock","In Stock")</f>
        <v>In Stock</v>
      </c>
      <c r="P647" t="str">
        <f>TEXT(Inventory_Data[[#This Row],[Date]],"MMM")</f>
        <v>May</v>
      </c>
      <c r="Q647" t="str">
        <f>TEXT(Inventory_Data[[#This Row],[Date]],"YYYY")</f>
        <v>2025</v>
      </c>
    </row>
    <row r="648" spans="1:17" x14ac:dyDescent="0.3">
      <c r="A648" s="1">
        <v>45798</v>
      </c>
      <c r="B648" t="s">
        <v>27</v>
      </c>
      <c r="C648" t="s">
        <v>28</v>
      </c>
      <c r="D648" t="s">
        <v>14</v>
      </c>
      <c r="E648" t="s">
        <v>34</v>
      </c>
      <c r="F648">
        <v>177</v>
      </c>
      <c r="G648">
        <v>107</v>
      </c>
      <c r="H648">
        <v>34</v>
      </c>
      <c r="I648">
        <v>250</v>
      </c>
      <c r="J648">
        <v>43</v>
      </c>
      <c r="K648">
        <v>60114</v>
      </c>
      <c r="L648">
        <v>15028500</v>
      </c>
      <c r="M648">
        <f>Inventory_Data[[#This Row],[Opening Stock]]+Inventory_Data[[#This Row],[Purchase Qty]]-Inventory_Data[[#This Row],[Sales Qty]]-Inventory_Data[[#This Row],[Closing Stock]]</f>
        <v>0</v>
      </c>
      <c r="N648">
        <f>Inventory_Data[[#This Row],[Purchase Qty]]*Inventory_Data[[#This Row],[Unit Cost]]</f>
        <v>6432198</v>
      </c>
      <c r="O648" t="str">
        <f>IF(Inventory_Data[[#This Row],[Closing Stock]]&lt;=Inventory_Data[[#This Row],[Reorder Level]],"Low Stock","In Stock")</f>
        <v>In Stock</v>
      </c>
      <c r="P648" t="str">
        <f>TEXT(Inventory_Data[[#This Row],[Date]],"MMM")</f>
        <v>May</v>
      </c>
      <c r="Q648" t="str">
        <f>TEXT(Inventory_Data[[#This Row],[Date]],"YYYY")</f>
        <v>2025</v>
      </c>
    </row>
    <row r="649" spans="1:17" x14ac:dyDescent="0.3">
      <c r="A649" s="1">
        <v>45798</v>
      </c>
      <c r="B649" t="s">
        <v>12</v>
      </c>
      <c r="C649" t="s">
        <v>13</v>
      </c>
      <c r="D649" t="s">
        <v>37</v>
      </c>
      <c r="E649" t="s">
        <v>18</v>
      </c>
      <c r="F649">
        <v>108</v>
      </c>
      <c r="G649">
        <v>55</v>
      </c>
      <c r="H649">
        <v>61</v>
      </c>
      <c r="I649">
        <v>102</v>
      </c>
      <c r="J649">
        <v>33</v>
      </c>
      <c r="K649">
        <v>1651</v>
      </c>
      <c r="L649">
        <v>168402</v>
      </c>
      <c r="M649">
        <f>Inventory_Data[[#This Row],[Opening Stock]]+Inventory_Data[[#This Row],[Purchase Qty]]-Inventory_Data[[#This Row],[Sales Qty]]-Inventory_Data[[#This Row],[Closing Stock]]</f>
        <v>0</v>
      </c>
      <c r="N649">
        <f>Inventory_Data[[#This Row],[Purchase Qty]]*Inventory_Data[[#This Row],[Unit Cost]]</f>
        <v>90805</v>
      </c>
      <c r="O649" t="str">
        <f>IF(Inventory_Data[[#This Row],[Closing Stock]]&lt;=Inventory_Data[[#This Row],[Reorder Level]],"Low Stock","In Stock")</f>
        <v>In Stock</v>
      </c>
      <c r="P649" t="str">
        <f>TEXT(Inventory_Data[[#This Row],[Date]],"MMM")</f>
        <v>May</v>
      </c>
      <c r="Q649" t="str">
        <f>TEXT(Inventory_Data[[#This Row],[Date]],"YYYY")</f>
        <v>2025</v>
      </c>
    </row>
    <row r="650" spans="1:17" x14ac:dyDescent="0.3">
      <c r="A650" s="1">
        <v>45798</v>
      </c>
      <c r="B650" t="s">
        <v>33</v>
      </c>
      <c r="C650" t="s">
        <v>13</v>
      </c>
      <c r="D650" t="s">
        <v>26</v>
      </c>
      <c r="E650" t="s">
        <v>24</v>
      </c>
      <c r="F650">
        <v>15</v>
      </c>
      <c r="G650">
        <v>38</v>
      </c>
      <c r="H650">
        <v>31</v>
      </c>
      <c r="I650">
        <v>22</v>
      </c>
      <c r="J650">
        <v>29</v>
      </c>
      <c r="K650">
        <v>12907</v>
      </c>
      <c r="L650">
        <v>283954</v>
      </c>
      <c r="M650">
        <f>Inventory_Data[[#This Row],[Opening Stock]]+Inventory_Data[[#This Row],[Purchase Qty]]-Inventory_Data[[#This Row],[Sales Qty]]-Inventory_Data[[#This Row],[Closing Stock]]</f>
        <v>0</v>
      </c>
      <c r="N650">
        <f>Inventory_Data[[#This Row],[Purchase Qty]]*Inventory_Data[[#This Row],[Unit Cost]]</f>
        <v>490466</v>
      </c>
      <c r="O650" t="str">
        <f>IF(Inventory_Data[[#This Row],[Closing Stock]]&lt;=Inventory_Data[[#This Row],[Reorder Level]],"Low Stock","In Stock")</f>
        <v>Low Stock</v>
      </c>
      <c r="P650" t="str">
        <f>TEXT(Inventory_Data[[#This Row],[Date]],"MMM")</f>
        <v>May</v>
      </c>
      <c r="Q650" t="str">
        <f>TEXT(Inventory_Data[[#This Row],[Date]],"YYYY")</f>
        <v>2025</v>
      </c>
    </row>
    <row r="651" spans="1:17" x14ac:dyDescent="0.3">
      <c r="A651" s="1">
        <v>45798</v>
      </c>
      <c r="B651" t="s">
        <v>30</v>
      </c>
      <c r="C651" t="s">
        <v>28</v>
      </c>
      <c r="D651" t="s">
        <v>23</v>
      </c>
      <c r="E651" t="s">
        <v>15</v>
      </c>
      <c r="F651">
        <v>77</v>
      </c>
      <c r="G651">
        <v>23</v>
      </c>
      <c r="H651">
        <v>41</v>
      </c>
      <c r="I651">
        <v>59</v>
      </c>
      <c r="J651">
        <v>34</v>
      </c>
      <c r="K651">
        <v>40591</v>
      </c>
      <c r="L651">
        <v>2394869</v>
      </c>
      <c r="M651">
        <f>Inventory_Data[[#This Row],[Opening Stock]]+Inventory_Data[[#This Row],[Purchase Qty]]-Inventory_Data[[#This Row],[Sales Qty]]-Inventory_Data[[#This Row],[Closing Stock]]</f>
        <v>0</v>
      </c>
      <c r="N651">
        <f>Inventory_Data[[#This Row],[Purchase Qty]]*Inventory_Data[[#This Row],[Unit Cost]]</f>
        <v>933593</v>
      </c>
      <c r="O651" t="str">
        <f>IF(Inventory_Data[[#This Row],[Closing Stock]]&lt;=Inventory_Data[[#This Row],[Reorder Level]],"Low Stock","In Stock")</f>
        <v>In Stock</v>
      </c>
      <c r="P651" t="str">
        <f>TEXT(Inventory_Data[[#This Row],[Date]],"MMM")</f>
        <v>May</v>
      </c>
      <c r="Q651" t="str">
        <f>TEXT(Inventory_Data[[#This Row],[Date]],"YYYY")</f>
        <v>2025</v>
      </c>
    </row>
    <row r="652" spans="1:17" x14ac:dyDescent="0.3">
      <c r="A652" s="1">
        <v>45798</v>
      </c>
      <c r="B652" t="s">
        <v>16</v>
      </c>
      <c r="C652" t="s">
        <v>17</v>
      </c>
      <c r="D652" t="s">
        <v>14</v>
      </c>
      <c r="E652" t="s">
        <v>15</v>
      </c>
      <c r="F652">
        <v>36</v>
      </c>
      <c r="G652">
        <v>10</v>
      </c>
      <c r="H652">
        <v>18</v>
      </c>
      <c r="I652">
        <v>28</v>
      </c>
      <c r="J652">
        <v>17</v>
      </c>
      <c r="K652">
        <v>15231</v>
      </c>
      <c r="L652">
        <v>426468</v>
      </c>
      <c r="M652">
        <f>Inventory_Data[[#This Row],[Opening Stock]]+Inventory_Data[[#This Row],[Purchase Qty]]-Inventory_Data[[#This Row],[Sales Qty]]-Inventory_Data[[#This Row],[Closing Stock]]</f>
        <v>0</v>
      </c>
      <c r="N652">
        <f>Inventory_Data[[#This Row],[Purchase Qty]]*Inventory_Data[[#This Row],[Unit Cost]]</f>
        <v>152310</v>
      </c>
      <c r="O652" t="str">
        <f>IF(Inventory_Data[[#This Row],[Closing Stock]]&lt;=Inventory_Data[[#This Row],[Reorder Level]],"Low Stock","In Stock")</f>
        <v>In Stock</v>
      </c>
      <c r="P652" t="str">
        <f>TEXT(Inventory_Data[[#This Row],[Date]],"MMM")</f>
        <v>May</v>
      </c>
      <c r="Q652" t="str">
        <f>TEXT(Inventory_Data[[#This Row],[Date]],"YYYY")</f>
        <v>2025</v>
      </c>
    </row>
    <row r="653" spans="1:17" x14ac:dyDescent="0.3">
      <c r="A653" s="1">
        <v>45799</v>
      </c>
      <c r="B653" t="s">
        <v>31</v>
      </c>
      <c r="C653" t="s">
        <v>22</v>
      </c>
      <c r="D653" t="s">
        <v>14</v>
      </c>
      <c r="E653" t="s">
        <v>29</v>
      </c>
      <c r="F653">
        <v>185</v>
      </c>
      <c r="G653">
        <v>205</v>
      </c>
      <c r="H653">
        <v>151</v>
      </c>
      <c r="I653">
        <v>239</v>
      </c>
      <c r="J653">
        <v>129</v>
      </c>
      <c r="K653">
        <v>468</v>
      </c>
      <c r="L653">
        <v>111852</v>
      </c>
      <c r="M653">
        <f>Inventory_Data[[#This Row],[Opening Stock]]+Inventory_Data[[#This Row],[Purchase Qty]]-Inventory_Data[[#This Row],[Sales Qty]]-Inventory_Data[[#This Row],[Closing Stock]]</f>
        <v>0</v>
      </c>
      <c r="N653">
        <f>Inventory_Data[[#This Row],[Purchase Qty]]*Inventory_Data[[#This Row],[Unit Cost]]</f>
        <v>95940</v>
      </c>
      <c r="O653" t="str">
        <f>IF(Inventory_Data[[#This Row],[Closing Stock]]&lt;=Inventory_Data[[#This Row],[Reorder Level]],"Low Stock","In Stock")</f>
        <v>In Stock</v>
      </c>
      <c r="P653" t="str">
        <f>TEXT(Inventory_Data[[#This Row],[Date]],"MMM")</f>
        <v>May</v>
      </c>
      <c r="Q653" t="str">
        <f>TEXT(Inventory_Data[[#This Row],[Date]],"YYYY")</f>
        <v>2025</v>
      </c>
    </row>
    <row r="654" spans="1:17" x14ac:dyDescent="0.3">
      <c r="A654" s="1">
        <v>45799</v>
      </c>
      <c r="B654" t="s">
        <v>35</v>
      </c>
      <c r="C654" t="s">
        <v>22</v>
      </c>
      <c r="D654" t="s">
        <v>14</v>
      </c>
      <c r="E654" t="s">
        <v>34</v>
      </c>
      <c r="F654">
        <v>466</v>
      </c>
      <c r="G654">
        <v>222</v>
      </c>
      <c r="H654">
        <v>217</v>
      </c>
      <c r="I654">
        <v>471</v>
      </c>
      <c r="J654">
        <v>121</v>
      </c>
      <c r="K654">
        <v>462</v>
      </c>
      <c r="L654">
        <v>217602</v>
      </c>
      <c r="M654">
        <f>Inventory_Data[[#This Row],[Opening Stock]]+Inventory_Data[[#This Row],[Purchase Qty]]-Inventory_Data[[#This Row],[Sales Qty]]-Inventory_Data[[#This Row],[Closing Stock]]</f>
        <v>0</v>
      </c>
      <c r="N654">
        <f>Inventory_Data[[#This Row],[Purchase Qty]]*Inventory_Data[[#This Row],[Unit Cost]]</f>
        <v>102564</v>
      </c>
      <c r="O654" t="str">
        <f>IF(Inventory_Data[[#This Row],[Closing Stock]]&lt;=Inventory_Data[[#This Row],[Reorder Level]],"Low Stock","In Stock")</f>
        <v>In Stock</v>
      </c>
      <c r="P654" t="str">
        <f>TEXT(Inventory_Data[[#This Row],[Date]],"MMM")</f>
        <v>May</v>
      </c>
      <c r="Q654" t="str">
        <f>TEXT(Inventory_Data[[#This Row],[Date]],"YYYY")</f>
        <v>2025</v>
      </c>
    </row>
    <row r="655" spans="1:17" x14ac:dyDescent="0.3">
      <c r="A655" s="1">
        <v>45800</v>
      </c>
      <c r="B655" t="s">
        <v>25</v>
      </c>
      <c r="C655" t="s">
        <v>17</v>
      </c>
      <c r="D655" t="s">
        <v>23</v>
      </c>
      <c r="E655" t="s">
        <v>18</v>
      </c>
      <c r="F655">
        <v>41</v>
      </c>
      <c r="G655">
        <v>57</v>
      </c>
      <c r="H655">
        <v>4</v>
      </c>
      <c r="I655">
        <v>94</v>
      </c>
      <c r="J655">
        <v>21</v>
      </c>
      <c r="K655">
        <v>22248</v>
      </c>
      <c r="L655">
        <v>2091312</v>
      </c>
      <c r="M655">
        <f>Inventory_Data[[#This Row],[Opening Stock]]+Inventory_Data[[#This Row],[Purchase Qty]]-Inventory_Data[[#This Row],[Sales Qty]]-Inventory_Data[[#This Row],[Closing Stock]]</f>
        <v>0</v>
      </c>
      <c r="N655">
        <f>Inventory_Data[[#This Row],[Purchase Qty]]*Inventory_Data[[#This Row],[Unit Cost]]</f>
        <v>1268136</v>
      </c>
      <c r="O655" t="str">
        <f>IF(Inventory_Data[[#This Row],[Closing Stock]]&lt;=Inventory_Data[[#This Row],[Reorder Level]],"Low Stock","In Stock")</f>
        <v>In Stock</v>
      </c>
      <c r="P655" t="str">
        <f>TEXT(Inventory_Data[[#This Row],[Date]],"MMM")</f>
        <v>May</v>
      </c>
      <c r="Q655" t="str">
        <f>TEXT(Inventory_Data[[#This Row],[Date]],"YYYY")</f>
        <v>2025</v>
      </c>
    </row>
    <row r="656" spans="1:17" x14ac:dyDescent="0.3">
      <c r="A656" s="1">
        <v>45800</v>
      </c>
      <c r="B656" t="s">
        <v>44</v>
      </c>
      <c r="C656" t="s">
        <v>28</v>
      </c>
      <c r="D656" t="s">
        <v>23</v>
      </c>
      <c r="E656" t="s">
        <v>29</v>
      </c>
      <c r="F656">
        <v>129</v>
      </c>
      <c r="G656">
        <v>61</v>
      </c>
      <c r="H656">
        <v>83</v>
      </c>
      <c r="I656">
        <v>107</v>
      </c>
      <c r="J656">
        <v>44</v>
      </c>
      <c r="K656">
        <v>26701</v>
      </c>
      <c r="L656">
        <v>2857007</v>
      </c>
      <c r="M656">
        <f>Inventory_Data[[#This Row],[Opening Stock]]+Inventory_Data[[#This Row],[Purchase Qty]]-Inventory_Data[[#This Row],[Sales Qty]]-Inventory_Data[[#This Row],[Closing Stock]]</f>
        <v>0</v>
      </c>
      <c r="N656">
        <f>Inventory_Data[[#This Row],[Purchase Qty]]*Inventory_Data[[#This Row],[Unit Cost]]</f>
        <v>1628761</v>
      </c>
      <c r="O656" t="str">
        <f>IF(Inventory_Data[[#This Row],[Closing Stock]]&lt;=Inventory_Data[[#This Row],[Reorder Level]],"Low Stock","In Stock")</f>
        <v>In Stock</v>
      </c>
      <c r="P656" t="str">
        <f>TEXT(Inventory_Data[[#This Row],[Date]],"MMM")</f>
        <v>May</v>
      </c>
      <c r="Q656" t="str">
        <f>TEXT(Inventory_Data[[#This Row],[Date]],"YYYY")</f>
        <v>2025</v>
      </c>
    </row>
    <row r="657" spans="1:17" x14ac:dyDescent="0.3">
      <c r="A657" s="1">
        <v>45800</v>
      </c>
      <c r="B657" t="s">
        <v>19</v>
      </c>
      <c r="C657" t="s">
        <v>13</v>
      </c>
      <c r="D657" t="s">
        <v>37</v>
      </c>
      <c r="E657" t="s">
        <v>15</v>
      </c>
      <c r="F657">
        <v>104</v>
      </c>
      <c r="G657">
        <v>46</v>
      </c>
      <c r="H657">
        <v>13</v>
      </c>
      <c r="I657">
        <v>137</v>
      </c>
      <c r="J657">
        <v>25</v>
      </c>
      <c r="K657">
        <v>10500</v>
      </c>
      <c r="L657">
        <v>1438500</v>
      </c>
      <c r="M657">
        <f>Inventory_Data[[#This Row],[Opening Stock]]+Inventory_Data[[#This Row],[Purchase Qty]]-Inventory_Data[[#This Row],[Sales Qty]]-Inventory_Data[[#This Row],[Closing Stock]]</f>
        <v>0</v>
      </c>
      <c r="N657">
        <f>Inventory_Data[[#This Row],[Purchase Qty]]*Inventory_Data[[#This Row],[Unit Cost]]</f>
        <v>483000</v>
      </c>
      <c r="O657" t="str">
        <f>IF(Inventory_Data[[#This Row],[Closing Stock]]&lt;=Inventory_Data[[#This Row],[Reorder Level]],"Low Stock","In Stock")</f>
        <v>In Stock</v>
      </c>
      <c r="P657" t="str">
        <f>TEXT(Inventory_Data[[#This Row],[Date]],"MMM")</f>
        <v>May</v>
      </c>
      <c r="Q657" t="str">
        <f>TEXT(Inventory_Data[[#This Row],[Date]],"YYYY")</f>
        <v>2025</v>
      </c>
    </row>
    <row r="658" spans="1:17" x14ac:dyDescent="0.3">
      <c r="A658" s="1">
        <v>45800</v>
      </c>
      <c r="B658" t="s">
        <v>33</v>
      </c>
      <c r="C658" t="s">
        <v>13</v>
      </c>
      <c r="D658" t="s">
        <v>26</v>
      </c>
      <c r="E658" t="s">
        <v>18</v>
      </c>
      <c r="F658">
        <v>20</v>
      </c>
      <c r="G658">
        <v>46</v>
      </c>
      <c r="H658">
        <v>31</v>
      </c>
      <c r="I658">
        <v>35</v>
      </c>
      <c r="J658">
        <v>18</v>
      </c>
      <c r="K658">
        <v>15370</v>
      </c>
      <c r="L658">
        <v>537950</v>
      </c>
      <c r="M658">
        <f>Inventory_Data[[#This Row],[Opening Stock]]+Inventory_Data[[#This Row],[Purchase Qty]]-Inventory_Data[[#This Row],[Sales Qty]]-Inventory_Data[[#This Row],[Closing Stock]]</f>
        <v>0</v>
      </c>
      <c r="N658">
        <f>Inventory_Data[[#This Row],[Purchase Qty]]*Inventory_Data[[#This Row],[Unit Cost]]</f>
        <v>707020</v>
      </c>
      <c r="O658" t="str">
        <f>IF(Inventory_Data[[#This Row],[Closing Stock]]&lt;=Inventory_Data[[#This Row],[Reorder Level]],"Low Stock","In Stock")</f>
        <v>In Stock</v>
      </c>
      <c r="P658" t="str">
        <f>TEXT(Inventory_Data[[#This Row],[Date]],"MMM")</f>
        <v>May</v>
      </c>
      <c r="Q658" t="str">
        <f>TEXT(Inventory_Data[[#This Row],[Date]],"YYYY")</f>
        <v>2025</v>
      </c>
    </row>
    <row r="659" spans="1:17" x14ac:dyDescent="0.3">
      <c r="A659" s="1">
        <v>45800</v>
      </c>
      <c r="B659" t="s">
        <v>42</v>
      </c>
      <c r="C659" t="s">
        <v>17</v>
      </c>
      <c r="D659" t="s">
        <v>23</v>
      </c>
      <c r="E659" t="s">
        <v>20</v>
      </c>
      <c r="F659">
        <v>71</v>
      </c>
      <c r="G659">
        <v>9</v>
      </c>
      <c r="H659">
        <v>8</v>
      </c>
      <c r="I659">
        <v>72</v>
      </c>
      <c r="J659">
        <v>16</v>
      </c>
      <c r="K659">
        <v>23627</v>
      </c>
      <c r="L659">
        <v>1701144</v>
      </c>
      <c r="M659">
        <f>Inventory_Data[[#This Row],[Opening Stock]]+Inventory_Data[[#This Row],[Purchase Qty]]-Inventory_Data[[#This Row],[Sales Qty]]-Inventory_Data[[#This Row],[Closing Stock]]</f>
        <v>0</v>
      </c>
      <c r="N659">
        <f>Inventory_Data[[#This Row],[Purchase Qty]]*Inventory_Data[[#This Row],[Unit Cost]]</f>
        <v>212643</v>
      </c>
      <c r="O659" t="str">
        <f>IF(Inventory_Data[[#This Row],[Closing Stock]]&lt;=Inventory_Data[[#This Row],[Reorder Level]],"Low Stock","In Stock")</f>
        <v>In Stock</v>
      </c>
      <c r="P659" t="str">
        <f>TEXT(Inventory_Data[[#This Row],[Date]],"MMM")</f>
        <v>May</v>
      </c>
      <c r="Q659" t="str">
        <f>TEXT(Inventory_Data[[#This Row],[Date]],"YYYY")</f>
        <v>2025</v>
      </c>
    </row>
    <row r="660" spans="1:17" x14ac:dyDescent="0.3">
      <c r="A660" s="1">
        <v>45800</v>
      </c>
      <c r="B660" t="s">
        <v>30</v>
      </c>
      <c r="C660" t="s">
        <v>28</v>
      </c>
      <c r="D660" t="s">
        <v>23</v>
      </c>
      <c r="E660" t="s">
        <v>34</v>
      </c>
      <c r="F660">
        <v>40</v>
      </c>
      <c r="G660">
        <v>108</v>
      </c>
      <c r="H660">
        <v>61</v>
      </c>
      <c r="I660">
        <v>87</v>
      </c>
      <c r="J660">
        <v>33</v>
      </c>
      <c r="K660">
        <v>29076</v>
      </c>
      <c r="L660">
        <v>2529612</v>
      </c>
      <c r="M660">
        <f>Inventory_Data[[#This Row],[Opening Stock]]+Inventory_Data[[#This Row],[Purchase Qty]]-Inventory_Data[[#This Row],[Sales Qty]]-Inventory_Data[[#This Row],[Closing Stock]]</f>
        <v>0</v>
      </c>
      <c r="N660">
        <f>Inventory_Data[[#This Row],[Purchase Qty]]*Inventory_Data[[#This Row],[Unit Cost]]</f>
        <v>3140208</v>
      </c>
      <c r="O660" t="str">
        <f>IF(Inventory_Data[[#This Row],[Closing Stock]]&lt;=Inventory_Data[[#This Row],[Reorder Level]],"Low Stock","In Stock")</f>
        <v>In Stock</v>
      </c>
      <c r="P660" t="str">
        <f>TEXT(Inventory_Data[[#This Row],[Date]],"MMM")</f>
        <v>May</v>
      </c>
      <c r="Q660" t="str">
        <f>TEXT(Inventory_Data[[#This Row],[Date]],"YYYY")</f>
        <v>2025</v>
      </c>
    </row>
    <row r="661" spans="1:17" x14ac:dyDescent="0.3">
      <c r="A661" s="1">
        <v>45801</v>
      </c>
      <c r="B661" t="s">
        <v>42</v>
      </c>
      <c r="C661" t="s">
        <v>17</v>
      </c>
      <c r="D661" t="s">
        <v>23</v>
      </c>
      <c r="E661" t="s">
        <v>18</v>
      </c>
      <c r="F661">
        <v>37</v>
      </c>
      <c r="G661">
        <v>55</v>
      </c>
      <c r="H661">
        <v>17</v>
      </c>
      <c r="I661">
        <v>75</v>
      </c>
      <c r="J661">
        <v>23</v>
      </c>
      <c r="K661">
        <v>13844</v>
      </c>
      <c r="L661">
        <v>1038300</v>
      </c>
      <c r="M661">
        <f>Inventory_Data[[#This Row],[Opening Stock]]+Inventory_Data[[#This Row],[Purchase Qty]]-Inventory_Data[[#This Row],[Sales Qty]]-Inventory_Data[[#This Row],[Closing Stock]]</f>
        <v>0</v>
      </c>
      <c r="N661">
        <f>Inventory_Data[[#This Row],[Purchase Qty]]*Inventory_Data[[#This Row],[Unit Cost]]</f>
        <v>761420</v>
      </c>
      <c r="O661" t="str">
        <f>IF(Inventory_Data[[#This Row],[Closing Stock]]&lt;=Inventory_Data[[#This Row],[Reorder Level]],"Low Stock","In Stock")</f>
        <v>In Stock</v>
      </c>
      <c r="P661" t="str">
        <f>TEXT(Inventory_Data[[#This Row],[Date]],"MMM")</f>
        <v>May</v>
      </c>
      <c r="Q661" t="str">
        <f>TEXT(Inventory_Data[[#This Row],[Date]],"YYYY")</f>
        <v>2025</v>
      </c>
    </row>
    <row r="662" spans="1:17" x14ac:dyDescent="0.3">
      <c r="A662" s="1">
        <v>45801</v>
      </c>
      <c r="B662" t="s">
        <v>35</v>
      </c>
      <c r="C662" t="s">
        <v>22</v>
      </c>
      <c r="D662" t="s">
        <v>14</v>
      </c>
      <c r="E662" t="s">
        <v>18</v>
      </c>
      <c r="F662">
        <v>122</v>
      </c>
      <c r="G662">
        <v>185</v>
      </c>
      <c r="H662">
        <v>86</v>
      </c>
      <c r="I662">
        <v>221</v>
      </c>
      <c r="J662">
        <v>126</v>
      </c>
      <c r="K662">
        <v>700</v>
      </c>
      <c r="L662">
        <v>154700</v>
      </c>
      <c r="M662">
        <f>Inventory_Data[[#This Row],[Opening Stock]]+Inventory_Data[[#This Row],[Purchase Qty]]-Inventory_Data[[#This Row],[Sales Qty]]-Inventory_Data[[#This Row],[Closing Stock]]</f>
        <v>0</v>
      </c>
      <c r="N662">
        <f>Inventory_Data[[#This Row],[Purchase Qty]]*Inventory_Data[[#This Row],[Unit Cost]]</f>
        <v>129500</v>
      </c>
      <c r="O662" t="str">
        <f>IF(Inventory_Data[[#This Row],[Closing Stock]]&lt;=Inventory_Data[[#This Row],[Reorder Level]],"Low Stock","In Stock")</f>
        <v>In Stock</v>
      </c>
      <c r="P662" t="str">
        <f>TEXT(Inventory_Data[[#This Row],[Date]],"MMM")</f>
        <v>May</v>
      </c>
      <c r="Q662" t="str">
        <f>TEXT(Inventory_Data[[#This Row],[Date]],"YYYY")</f>
        <v>2025</v>
      </c>
    </row>
    <row r="663" spans="1:17" x14ac:dyDescent="0.3">
      <c r="A663" s="1">
        <v>45802</v>
      </c>
      <c r="B663" t="s">
        <v>27</v>
      </c>
      <c r="C663" t="s">
        <v>28</v>
      </c>
      <c r="D663" t="s">
        <v>37</v>
      </c>
      <c r="E663" t="s">
        <v>24</v>
      </c>
      <c r="F663">
        <v>127</v>
      </c>
      <c r="G663">
        <v>75</v>
      </c>
      <c r="H663">
        <v>74</v>
      </c>
      <c r="I663">
        <v>128</v>
      </c>
      <c r="J663">
        <v>24</v>
      </c>
      <c r="K663">
        <v>18152</v>
      </c>
      <c r="L663">
        <v>2323456</v>
      </c>
      <c r="M663">
        <f>Inventory_Data[[#This Row],[Opening Stock]]+Inventory_Data[[#This Row],[Purchase Qty]]-Inventory_Data[[#This Row],[Sales Qty]]-Inventory_Data[[#This Row],[Closing Stock]]</f>
        <v>0</v>
      </c>
      <c r="N663">
        <f>Inventory_Data[[#This Row],[Purchase Qty]]*Inventory_Data[[#This Row],[Unit Cost]]</f>
        <v>1361400</v>
      </c>
      <c r="O663" t="str">
        <f>IF(Inventory_Data[[#This Row],[Closing Stock]]&lt;=Inventory_Data[[#This Row],[Reorder Level]],"Low Stock","In Stock")</f>
        <v>In Stock</v>
      </c>
      <c r="P663" t="str">
        <f>TEXT(Inventory_Data[[#This Row],[Date]],"MMM")</f>
        <v>May</v>
      </c>
      <c r="Q663" t="str">
        <f>TEXT(Inventory_Data[[#This Row],[Date]],"YYYY")</f>
        <v>2025</v>
      </c>
    </row>
    <row r="664" spans="1:17" x14ac:dyDescent="0.3">
      <c r="A664" s="1">
        <v>45802</v>
      </c>
      <c r="B664" t="s">
        <v>40</v>
      </c>
      <c r="C664" t="s">
        <v>28</v>
      </c>
      <c r="D664" t="s">
        <v>14</v>
      </c>
      <c r="E664" t="s">
        <v>18</v>
      </c>
      <c r="F664">
        <v>78</v>
      </c>
      <c r="G664">
        <v>106</v>
      </c>
      <c r="H664">
        <v>43</v>
      </c>
      <c r="I664">
        <v>141</v>
      </c>
      <c r="J664">
        <v>56</v>
      </c>
      <c r="K664">
        <v>48981</v>
      </c>
      <c r="L664">
        <v>6906321</v>
      </c>
      <c r="M664">
        <f>Inventory_Data[[#This Row],[Opening Stock]]+Inventory_Data[[#This Row],[Purchase Qty]]-Inventory_Data[[#This Row],[Sales Qty]]-Inventory_Data[[#This Row],[Closing Stock]]</f>
        <v>0</v>
      </c>
      <c r="N664">
        <f>Inventory_Data[[#This Row],[Purchase Qty]]*Inventory_Data[[#This Row],[Unit Cost]]</f>
        <v>5191986</v>
      </c>
      <c r="O664" t="str">
        <f>IF(Inventory_Data[[#This Row],[Closing Stock]]&lt;=Inventory_Data[[#This Row],[Reorder Level]],"Low Stock","In Stock")</f>
        <v>In Stock</v>
      </c>
      <c r="P664" t="str">
        <f>TEXT(Inventory_Data[[#This Row],[Date]],"MMM")</f>
        <v>May</v>
      </c>
      <c r="Q664" t="str">
        <f>TEXT(Inventory_Data[[#This Row],[Date]],"YYYY")</f>
        <v>2025</v>
      </c>
    </row>
    <row r="665" spans="1:17" x14ac:dyDescent="0.3">
      <c r="A665" s="1">
        <v>45802</v>
      </c>
      <c r="B665" t="s">
        <v>31</v>
      </c>
      <c r="C665" t="s">
        <v>22</v>
      </c>
      <c r="D665" t="s">
        <v>26</v>
      </c>
      <c r="E665" t="s">
        <v>20</v>
      </c>
      <c r="F665">
        <v>364</v>
      </c>
      <c r="G665">
        <v>294</v>
      </c>
      <c r="H665">
        <v>232</v>
      </c>
      <c r="I665">
        <v>426</v>
      </c>
      <c r="J665">
        <v>94</v>
      </c>
      <c r="K665">
        <v>425</v>
      </c>
      <c r="L665">
        <v>181050</v>
      </c>
      <c r="M665">
        <f>Inventory_Data[[#This Row],[Opening Stock]]+Inventory_Data[[#This Row],[Purchase Qty]]-Inventory_Data[[#This Row],[Sales Qty]]-Inventory_Data[[#This Row],[Closing Stock]]</f>
        <v>0</v>
      </c>
      <c r="N665">
        <f>Inventory_Data[[#This Row],[Purchase Qty]]*Inventory_Data[[#This Row],[Unit Cost]]</f>
        <v>124950</v>
      </c>
      <c r="O665" t="str">
        <f>IF(Inventory_Data[[#This Row],[Closing Stock]]&lt;=Inventory_Data[[#This Row],[Reorder Level]],"Low Stock","In Stock")</f>
        <v>In Stock</v>
      </c>
      <c r="P665" t="str">
        <f>TEXT(Inventory_Data[[#This Row],[Date]],"MMM")</f>
        <v>May</v>
      </c>
      <c r="Q665" t="str">
        <f>TEXT(Inventory_Data[[#This Row],[Date]],"YYYY")</f>
        <v>2025</v>
      </c>
    </row>
    <row r="666" spans="1:17" x14ac:dyDescent="0.3">
      <c r="A666" s="1">
        <v>45802</v>
      </c>
      <c r="B666" t="s">
        <v>25</v>
      </c>
      <c r="C666" t="s">
        <v>17</v>
      </c>
      <c r="D666" t="s">
        <v>26</v>
      </c>
      <c r="E666" t="s">
        <v>18</v>
      </c>
      <c r="F666">
        <v>38</v>
      </c>
      <c r="G666">
        <v>40</v>
      </c>
      <c r="H666">
        <v>13</v>
      </c>
      <c r="I666">
        <v>65</v>
      </c>
      <c r="J666">
        <v>26</v>
      </c>
      <c r="K666">
        <v>24762</v>
      </c>
      <c r="L666">
        <v>1609530</v>
      </c>
      <c r="M666">
        <f>Inventory_Data[[#This Row],[Opening Stock]]+Inventory_Data[[#This Row],[Purchase Qty]]-Inventory_Data[[#This Row],[Sales Qty]]-Inventory_Data[[#This Row],[Closing Stock]]</f>
        <v>0</v>
      </c>
      <c r="N666">
        <f>Inventory_Data[[#This Row],[Purchase Qty]]*Inventory_Data[[#This Row],[Unit Cost]]</f>
        <v>990480</v>
      </c>
      <c r="O666" t="str">
        <f>IF(Inventory_Data[[#This Row],[Closing Stock]]&lt;=Inventory_Data[[#This Row],[Reorder Level]],"Low Stock","In Stock")</f>
        <v>In Stock</v>
      </c>
      <c r="P666" t="str">
        <f>TEXT(Inventory_Data[[#This Row],[Date]],"MMM")</f>
        <v>May</v>
      </c>
      <c r="Q666" t="str">
        <f>TEXT(Inventory_Data[[#This Row],[Date]],"YYYY")</f>
        <v>2025</v>
      </c>
    </row>
    <row r="667" spans="1:17" x14ac:dyDescent="0.3">
      <c r="A667" s="1">
        <v>45802</v>
      </c>
      <c r="B667" t="s">
        <v>43</v>
      </c>
      <c r="C667" t="s">
        <v>22</v>
      </c>
      <c r="D667" t="s">
        <v>14</v>
      </c>
      <c r="E667" t="s">
        <v>20</v>
      </c>
      <c r="F667">
        <v>86</v>
      </c>
      <c r="G667">
        <v>74</v>
      </c>
      <c r="H667">
        <v>160</v>
      </c>
      <c r="I667">
        <v>0</v>
      </c>
      <c r="J667">
        <v>85</v>
      </c>
      <c r="K667">
        <v>81</v>
      </c>
      <c r="L667">
        <v>0</v>
      </c>
      <c r="M667">
        <f>Inventory_Data[[#This Row],[Opening Stock]]+Inventory_Data[[#This Row],[Purchase Qty]]-Inventory_Data[[#This Row],[Sales Qty]]-Inventory_Data[[#This Row],[Closing Stock]]</f>
        <v>0</v>
      </c>
      <c r="N667">
        <f>Inventory_Data[[#This Row],[Purchase Qty]]*Inventory_Data[[#This Row],[Unit Cost]]</f>
        <v>5994</v>
      </c>
      <c r="O667" t="str">
        <f>IF(Inventory_Data[[#This Row],[Closing Stock]]&lt;=Inventory_Data[[#This Row],[Reorder Level]],"Low Stock","In Stock")</f>
        <v>Low Stock</v>
      </c>
      <c r="P667" t="str">
        <f>TEXT(Inventory_Data[[#This Row],[Date]],"MMM")</f>
        <v>May</v>
      </c>
      <c r="Q667" t="str">
        <f>TEXT(Inventory_Data[[#This Row],[Date]],"YYYY")</f>
        <v>2025</v>
      </c>
    </row>
    <row r="668" spans="1:17" x14ac:dyDescent="0.3">
      <c r="A668" s="1">
        <v>45803</v>
      </c>
      <c r="B668" t="s">
        <v>32</v>
      </c>
      <c r="C668" t="s">
        <v>28</v>
      </c>
      <c r="D668" t="s">
        <v>37</v>
      </c>
      <c r="E668" t="s">
        <v>29</v>
      </c>
      <c r="F668">
        <v>147</v>
      </c>
      <c r="G668">
        <v>94</v>
      </c>
      <c r="H668">
        <v>46</v>
      </c>
      <c r="I668">
        <v>195</v>
      </c>
      <c r="J668">
        <v>57</v>
      </c>
      <c r="K668">
        <v>39043</v>
      </c>
      <c r="L668">
        <v>7613385</v>
      </c>
      <c r="M668">
        <f>Inventory_Data[[#This Row],[Opening Stock]]+Inventory_Data[[#This Row],[Purchase Qty]]-Inventory_Data[[#This Row],[Sales Qty]]-Inventory_Data[[#This Row],[Closing Stock]]</f>
        <v>0</v>
      </c>
      <c r="N668">
        <f>Inventory_Data[[#This Row],[Purchase Qty]]*Inventory_Data[[#This Row],[Unit Cost]]</f>
        <v>3670042</v>
      </c>
      <c r="O668" t="str">
        <f>IF(Inventory_Data[[#This Row],[Closing Stock]]&lt;=Inventory_Data[[#This Row],[Reorder Level]],"Low Stock","In Stock")</f>
        <v>In Stock</v>
      </c>
      <c r="P668" t="str">
        <f>TEXT(Inventory_Data[[#This Row],[Date]],"MMM")</f>
        <v>May</v>
      </c>
      <c r="Q668" t="str">
        <f>TEXT(Inventory_Data[[#This Row],[Date]],"YYYY")</f>
        <v>2025</v>
      </c>
    </row>
    <row r="669" spans="1:17" x14ac:dyDescent="0.3">
      <c r="A669" s="1">
        <v>45803</v>
      </c>
      <c r="B669" t="s">
        <v>45</v>
      </c>
      <c r="C669" t="s">
        <v>13</v>
      </c>
      <c r="D669" t="s">
        <v>23</v>
      </c>
      <c r="E669" t="s">
        <v>29</v>
      </c>
      <c r="F669">
        <v>56</v>
      </c>
      <c r="G669">
        <v>61</v>
      </c>
      <c r="H669">
        <v>21</v>
      </c>
      <c r="I669">
        <v>96</v>
      </c>
      <c r="J669">
        <v>31</v>
      </c>
      <c r="K669">
        <v>14221</v>
      </c>
      <c r="L669">
        <v>1365216</v>
      </c>
      <c r="M669">
        <f>Inventory_Data[[#This Row],[Opening Stock]]+Inventory_Data[[#This Row],[Purchase Qty]]-Inventory_Data[[#This Row],[Sales Qty]]-Inventory_Data[[#This Row],[Closing Stock]]</f>
        <v>0</v>
      </c>
      <c r="N669">
        <f>Inventory_Data[[#This Row],[Purchase Qty]]*Inventory_Data[[#This Row],[Unit Cost]]</f>
        <v>867481</v>
      </c>
      <c r="O669" t="str">
        <f>IF(Inventory_Data[[#This Row],[Closing Stock]]&lt;=Inventory_Data[[#This Row],[Reorder Level]],"Low Stock","In Stock")</f>
        <v>In Stock</v>
      </c>
      <c r="P669" t="str">
        <f>TEXT(Inventory_Data[[#This Row],[Date]],"MMM")</f>
        <v>May</v>
      </c>
      <c r="Q669" t="str">
        <f>TEXT(Inventory_Data[[#This Row],[Date]],"YYYY")</f>
        <v>2025</v>
      </c>
    </row>
    <row r="670" spans="1:17" x14ac:dyDescent="0.3">
      <c r="A670" s="1">
        <v>45803</v>
      </c>
      <c r="B670" t="s">
        <v>39</v>
      </c>
      <c r="C670" t="s">
        <v>28</v>
      </c>
      <c r="D670" t="s">
        <v>37</v>
      </c>
      <c r="E670" t="s">
        <v>15</v>
      </c>
      <c r="F670">
        <v>134</v>
      </c>
      <c r="G670">
        <v>35</v>
      </c>
      <c r="H670">
        <v>90</v>
      </c>
      <c r="I670">
        <v>79</v>
      </c>
      <c r="J670">
        <v>52</v>
      </c>
      <c r="K670">
        <v>5262</v>
      </c>
      <c r="L670">
        <v>415698</v>
      </c>
      <c r="M670">
        <f>Inventory_Data[[#This Row],[Opening Stock]]+Inventory_Data[[#This Row],[Purchase Qty]]-Inventory_Data[[#This Row],[Sales Qty]]-Inventory_Data[[#This Row],[Closing Stock]]</f>
        <v>0</v>
      </c>
      <c r="N670">
        <f>Inventory_Data[[#This Row],[Purchase Qty]]*Inventory_Data[[#This Row],[Unit Cost]]</f>
        <v>184170</v>
      </c>
      <c r="O670" t="str">
        <f>IF(Inventory_Data[[#This Row],[Closing Stock]]&lt;=Inventory_Data[[#This Row],[Reorder Level]],"Low Stock","In Stock")</f>
        <v>In Stock</v>
      </c>
      <c r="P670" t="str">
        <f>TEXT(Inventory_Data[[#This Row],[Date]],"MMM")</f>
        <v>May</v>
      </c>
      <c r="Q670" t="str">
        <f>TEXT(Inventory_Data[[#This Row],[Date]],"YYYY")</f>
        <v>2025</v>
      </c>
    </row>
    <row r="671" spans="1:17" x14ac:dyDescent="0.3">
      <c r="A671" s="1">
        <v>45803</v>
      </c>
      <c r="B671" t="s">
        <v>35</v>
      </c>
      <c r="C671" t="s">
        <v>22</v>
      </c>
      <c r="D671" t="s">
        <v>14</v>
      </c>
      <c r="E671" t="s">
        <v>15</v>
      </c>
      <c r="F671">
        <v>325</v>
      </c>
      <c r="G671">
        <v>175</v>
      </c>
      <c r="H671">
        <v>177</v>
      </c>
      <c r="I671">
        <v>323</v>
      </c>
      <c r="J671">
        <v>75</v>
      </c>
      <c r="K671">
        <v>106</v>
      </c>
      <c r="L671">
        <v>34238</v>
      </c>
      <c r="M671">
        <f>Inventory_Data[[#This Row],[Opening Stock]]+Inventory_Data[[#This Row],[Purchase Qty]]-Inventory_Data[[#This Row],[Sales Qty]]-Inventory_Data[[#This Row],[Closing Stock]]</f>
        <v>0</v>
      </c>
      <c r="N671">
        <f>Inventory_Data[[#This Row],[Purchase Qty]]*Inventory_Data[[#This Row],[Unit Cost]]</f>
        <v>18550</v>
      </c>
      <c r="O671" t="str">
        <f>IF(Inventory_Data[[#This Row],[Closing Stock]]&lt;=Inventory_Data[[#This Row],[Reorder Level]],"Low Stock","In Stock")</f>
        <v>In Stock</v>
      </c>
      <c r="P671" t="str">
        <f>TEXT(Inventory_Data[[#This Row],[Date]],"MMM")</f>
        <v>May</v>
      </c>
      <c r="Q671" t="str">
        <f>TEXT(Inventory_Data[[#This Row],[Date]],"YYYY")</f>
        <v>2025</v>
      </c>
    </row>
    <row r="672" spans="1:17" x14ac:dyDescent="0.3">
      <c r="A672" s="1">
        <v>45803</v>
      </c>
      <c r="B672" t="s">
        <v>12</v>
      </c>
      <c r="C672" t="s">
        <v>13</v>
      </c>
      <c r="D672" t="s">
        <v>37</v>
      </c>
      <c r="E672" t="s">
        <v>20</v>
      </c>
      <c r="F672">
        <v>77</v>
      </c>
      <c r="G672">
        <v>37</v>
      </c>
      <c r="H672">
        <v>6</v>
      </c>
      <c r="I672">
        <v>108</v>
      </c>
      <c r="J672">
        <v>22</v>
      </c>
      <c r="K672">
        <v>9283</v>
      </c>
      <c r="L672">
        <v>1002564</v>
      </c>
      <c r="M672">
        <f>Inventory_Data[[#This Row],[Opening Stock]]+Inventory_Data[[#This Row],[Purchase Qty]]-Inventory_Data[[#This Row],[Sales Qty]]-Inventory_Data[[#This Row],[Closing Stock]]</f>
        <v>0</v>
      </c>
      <c r="N672">
        <f>Inventory_Data[[#This Row],[Purchase Qty]]*Inventory_Data[[#This Row],[Unit Cost]]</f>
        <v>343471</v>
      </c>
      <c r="O672" t="str">
        <f>IF(Inventory_Data[[#This Row],[Closing Stock]]&lt;=Inventory_Data[[#This Row],[Reorder Level]],"Low Stock","In Stock")</f>
        <v>In Stock</v>
      </c>
      <c r="P672" t="str">
        <f>TEXT(Inventory_Data[[#This Row],[Date]],"MMM")</f>
        <v>May</v>
      </c>
      <c r="Q672" t="str">
        <f>TEXT(Inventory_Data[[#This Row],[Date]],"YYYY")</f>
        <v>2025</v>
      </c>
    </row>
    <row r="673" spans="1:17" x14ac:dyDescent="0.3">
      <c r="A673" s="1">
        <v>45803</v>
      </c>
      <c r="B673" t="s">
        <v>25</v>
      </c>
      <c r="C673" t="s">
        <v>17</v>
      </c>
      <c r="D673" t="s">
        <v>37</v>
      </c>
      <c r="E673" t="s">
        <v>34</v>
      </c>
      <c r="F673">
        <v>76</v>
      </c>
      <c r="G673">
        <v>27</v>
      </c>
      <c r="H673">
        <v>4</v>
      </c>
      <c r="I673">
        <v>99</v>
      </c>
      <c r="J673">
        <v>21</v>
      </c>
      <c r="K673">
        <v>24338</v>
      </c>
      <c r="L673">
        <v>2409462</v>
      </c>
      <c r="M673">
        <f>Inventory_Data[[#This Row],[Opening Stock]]+Inventory_Data[[#This Row],[Purchase Qty]]-Inventory_Data[[#This Row],[Sales Qty]]-Inventory_Data[[#This Row],[Closing Stock]]</f>
        <v>0</v>
      </c>
      <c r="N673">
        <f>Inventory_Data[[#This Row],[Purchase Qty]]*Inventory_Data[[#This Row],[Unit Cost]]</f>
        <v>657126</v>
      </c>
      <c r="O673" t="str">
        <f>IF(Inventory_Data[[#This Row],[Closing Stock]]&lt;=Inventory_Data[[#This Row],[Reorder Level]],"Low Stock","In Stock")</f>
        <v>In Stock</v>
      </c>
      <c r="P673" t="str">
        <f>TEXT(Inventory_Data[[#This Row],[Date]],"MMM")</f>
        <v>May</v>
      </c>
      <c r="Q673" t="str">
        <f>TEXT(Inventory_Data[[#This Row],[Date]],"YYYY")</f>
        <v>2025</v>
      </c>
    </row>
    <row r="674" spans="1:17" x14ac:dyDescent="0.3">
      <c r="A674" s="1">
        <v>45804</v>
      </c>
      <c r="B674" t="s">
        <v>38</v>
      </c>
      <c r="C674" t="s">
        <v>17</v>
      </c>
      <c r="D674" t="s">
        <v>37</v>
      </c>
      <c r="E674" t="s">
        <v>34</v>
      </c>
      <c r="F674">
        <v>75</v>
      </c>
      <c r="G674">
        <v>51</v>
      </c>
      <c r="H674">
        <v>2</v>
      </c>
      <c r="I674">
        <v>124</v>
      </c>
      <c r="J674">
        <v>15</v>
      </c>
      <c r="K674">
        <v>13061</v>
      </c>
      <c r="L674">
        <v>1619564</v>
      </c>
      <c r="M674">
        <f>Inventory_Data[[#This Row],[Opening Stock]]+Inventory_Data[[#This Row],[Purchase Qty]]-Inventory_Data[[#This Row],[Sales Qty]]-Inventory_Data[[#This Row],[Closing Stock]]</f>
        <v>0</v>
      </c>
      <c r="N674">
        <f>Inventory_Data[[#This Row],[Purchase Qty]]*Inventory_Data[[#This Row],[Unit Cost]]</f>
        <v>666111</v>
      </c>
      <c r="O674" t="str">
        <f>IF(Inventory_Data[[#This Row],[Closing Stock]]&lt;=Inventory_Data[[#This Row],[Reorder Level]],"Low Stock","In Stock")</f>
        <v>In Stock</v>
      </c>
      <c r="P674" t="str">
        <f>TEXT(Inventory_Data[[#This Row],[Date]],"MMM")</f>
        <v>May</v>
      </c>
      <c r="Q674" t="str">
        <f>TEXT(Inventory_Data[[#This Row],[Date]],"YYYY")</f>
        <v>2025</v>
      </c>
    </row>
    <row r="675" spans="1:17" x14ac:dyDescent="0.3">
      <c r="A675" s="1">
        <v>45804</v>
      </c>
      <c r="B675" t="s">
        <v>40</v>
      </c>
      <c r="C675" t="s">
        <v>28</v>
      </c>
      <c r="D675" t="s">
        <v>14</v>
      </c>
      <c r="E675" t="s">
        <v>24</v>
      </c>
      <c r="F675">
        <v>173</v>
      </c>
      <c r="G675">
        <v>57</v>
      </c>
      <c r="H675">
        <v>56</v>
      </c>
      <c r="I675">
        <v>174</v>
      </c>
      <c r="J675">
        <v>25</v>
      </c>
      <c r="K675">
        <v>30335</v>
      </c>
      <c r="L675">
        <v>5278290</v>
      </c>
      <c r="M675">
        <f>Inventory_Data[[#This Row],[Opening Stock]]+Inventory_Data[[#This Row],[Purchase Qty]]-Inventory_Data[[#This Row],[Sales Qty]]-Inventory_Data[[#This Row],[Closing Stock]]</f>
        <v>0</v>
      </c>
      <c r="N675">
        <f>Inventory_Data[[#This Row],[Purchase Qty]]*Inventory_Data[[#This Row],[Unit Cost]]</f>
        <v>1729095</v>
      </c>
      <c r="O675" t="str">
        <f>IF(Inventory_Data[[#This Row],[Closing Stock]]&lt;=Inventory_Data[[#This Row],[Reorder Level]],"Low Stock","In Stock")</f>
        <v>In Stock</v>
      </c>
      <c r="P675" t="str">
        <f>TEXT(Inventory_Data[[#This Row],[Date]],"MMM")</f>
        <v>May</v>
      </c>
      <c r="Q675" t="str">
        <f>TEXT(Inventory_Data[[#This Row],[Date]],"YYYY")</f>
        <v>2025</v>
      </c>
    </row>
    <row r="676" spans="1:17" x14ac:dyDescent="0.3">
      <c r="A676" s="1">
        <v>45804</v>
      </c>
      <c r="B676" t="s">
        <v>44</v>
      </c>
      <c r="C676" t="s">
        <v>28</v>
      </c>
      <c r="D676" t="s">
        <v>37</v>
      </c>
      <c r="E676" t="s">
        <v>20</v>
      </c>
      <c r="F676">
        <v>131</v>
      </c>
      <c r="G676">
        <v>28</v>
      </c>
      <c r="H676">
        <v>40</v>
      </c>
      <c r="I676">
        <v>119</v>
      </c>
      <c r="J676">
        <v>37</v>
      </c>
      <c r="K676">
        <v>51260</v>
      </c>
      <c r="L676">
        <v>6099940</v>
      </c>
      <c r="M676">
        <f>Inventory_Data[[#This Row],[Opening Stock]]+Inventory_Data[[#This Row],[Purchase Qty]]-Inventory_Data[[#This Row],[Sales Qty]]-Inventory_Data[[#This Row],[Closing Stock]]</f>
        <v>0</v>
      </c>
      <c r="N676">
        <f>Inventory_Data[[#This Row],[Purchase Qty]]*Inventory_Data[[#This Row],[Unit Cost]]</f>
        <v>1435280</v>
      </c>
      <c r="O676" t="str">
        <f>IF(Inventory_Data[[#This Row],[Closing Stock]]&lt;=Inventory_Data[[#This Row],[Reorder Level]],"Low Stock","In Stock")</f>
        <v>In Stock</v>
      </c>
      <c r="P676" t="str">
        <f>TEXT(Inventory_Data[[#This Row],[Date]],"MMM")</f>
        <v>May</v>
      </c>
      <c r="Q676" t="str">
        <f>TEXT(Inventory_Data[[#This Row],[Date]],"YYYY")</f>
        <v>2025</v>
      </c>
    </row>
    <row r="677" spans="1:17" x14ac:dyDescent="0.3">
      <c r="A677" s="1">
        <v>45804</v>
      </c>
      <c r="B677" t="s">
        <v>32</v>
      </c>
      <c r="C677" t="s">
        <v>28</v>
      </c>
      <c r="D677" t="s">
        <v>23</v>
      </c>
      <c r="E677" t="s">
        <v>34</v>
      </c>
      <c r="F677">
        <v>177</v>
      </c>
      <c r="G677">
        <v>39</v>
      </c>
      <c r="H677">
        <v>29</v>
      </c>
      <c r="I677">
        <v>187</v>
      </c>
      <c r="J677">
        <v>29</v>
      </c>
      <c r="K677">
        <v>9847</v>
      </c>
      <c r="L677">
        <v>1841389</v>
      </c>
      <c r="M677">
        <f>Inventory_Data[[#This Row],[Opening Stock]]+Inventory_Data[[#This Row],[Purchase Qty]]-Inventory_Data[[#This Row],[Sales Qty]]-Inventory_Data[[#This Row],[Closing Stock]]</f>
        <v>0</v>
      </c>
      <c r="N677">
        <f>Inventory_Data[[#This Row],[Purchase Qty]]*Inventory_Data[[#This Row],[Unit Cost]]</f>
        <v>384033</v>
      </c>
      <c r="O677" t="str">
        <f>IF(Inventory_Data[[#This Row],[Closing Stock]]&lt;=Inventory_Data[[#This Row],[Reorder Level]],"Low Stock","In Stock")</f>
        <v>In Stock</v>
      </c>
      <c r="P677" t="str">
        <f>TEXT(Inventory_Data[[#This Row],[Date]],"MMM")</f>
        <v>May</v>
      </c>
      <c r="Q677" t="str">
        <f>TEXT(Inventory_Data[[#This Row],[Date]],"YYYY")</f>
        <v>2025</v>
      </c>
    </row>
    <row r="678" spans="1:17" x14ac:dyDescent="0.3">
      <c r="A678" s="1">
        <v>45804</v>
      </c>
      <c r="B678" t="s">
        <v>12</v>
      </c>
      <c r="C678" t="s">
        <v>13</v>
      </c>
      <c r="D678" t="s">
        <v>14</v>
      </c>
      <c r="E678" t="s">
        <v>18</v>
      </c>
      <c r="F678">
        <v>77</v>
      </c>
      <c r="G678">
        <v>42</v>
      </c>
      <c r="H678">
        <v>5</v>
      </c>
      <c r="I678">
        <v>114</v>
      </c>
      <c r="J678">
        <v>19</v>
      </c>
      <c r="K678">
        <v>3190</v>
      </c>
      <c r="L678">
        <v>363660</v>
      </c>
      <c r="M678">
        <f>Inventory_Data[[#This Row],[Opening Stock]]+Inventory_Data[[#This Row],[Purchase Qty]]-Inventory_Data[[#This Row],[Sales Qty]]-Inventory_Data[[#This Row],[Closing Stock]]</f>
        <v>0</v>
      </c>
      <c r="N678">
        <f>Inventory_Data[[#This Row],[Purchase Qty]]*Inventory_Data[[#This Row],[Unit Cost]]</f>
        <v>133980</v>
      </c>
      <c r="O678" t="str">
        <f>IF(Inventory_Data[[#This Row],[Closing Stock]]&lt;=Inventory_Data[[#This Row],[Reorder Level]],"Low Stock","In Stock")</f>
        <v>In Stock</v>
      </c>
      <c r="P678" t="str">
        <f>TEXT(Inventory_Data[[#This Row],[Date]],"MMM")</f>
        <v>May</v>
      </c>
      <c r="Q678" t="str">
        <f>TEXT(Inventory_Data[[#This Row],[Date]],"YYYY")</f>
        <v>2025</v>
      </c>
    </row>
    <row r="679" spans="1:17" x14ac:dyDescent="0.3">
      <c r="A679" s="1">
        <v>45805</v>
      </c>
      <c r="B679" t="s">
        <v>45</v>
      </c>
      <c r="C679" t="s">
        <v>13</v>
      </c>
      <c r="D679" t="s">
        <v>26</v>
      </c>
      <c r="E679" t="s">
        <v>20</v>
      </c>
      <c r="F679">
        <v>75</v>
      </c>
      <c r="G679">
        <v>25</v>
      </c>
      <c r="H679">
        <v>26</v>
      </c>
      <c r="I679">
        <v>74</v>
      </c>
      <c r="J679">
        <v>34</v>
      </c>
      <c r="K679">
        <v>17873</v>
      </c>
      <c r="L679">
        <v>1322602</v>
      </c>
      <c r="M679">
        <f>Inventory_Data[[#This Row],[Opening Stock]]+Inventory_Data[[#This Row],[Purchase Qty]]-Inventory_Data[[#This Row],[Sales Qty]]-Inventory_Data[[#This Row],[Closing Stock]]</f>
        <v>0</v>
      </c>
      <c r="N679">
        <f>Inventory_Data[[#This Row],[Purchase Qty]]*Inventory_Data[[#This Row],[Unit Cost]]</f>
        <v>446825</v>
      </c>
      <c r="O679" t="str">
        <f>IF(Inventory_Data[[#This Row],[Closing Stock]]&lt;=Inventory_Data[[#This Row],[Reorder Level]],"Low Stock","In Stock")</f>
        <v>In Stock</v>
      </c>
      <c r="P679" t="str">
        <f>TEXT(Inventory_Data[[#This Row],[Date]],"MMM")</f>
        <v>May</v>
      </c>
      <c r="Q679" t="str">
        <f>TEXT(Inventory_Data[[#This Row],[Date]],"YYYY")</f>
        <v>2025</v>
      </c>
    </row>
    <row r="680" spans="1:17" x14ac:dyDescent="0.3">
      <c r="A680" s="1">
        <v>45805</v>
      </c>
      <c r="B680" t="s">
        <v>19</v>
      </c>
      <c r="C680" t="s">
        <v>13</v>
      </c>
      <c r="D680" t="s">
        <v>37</v>
      </c>
      <c r="E680" t="s">
        <v>18</v>
      </c>
      <c r="F680">
        <v>23</v>
      </c>
      <c r="G680">
        <v>36</v>
      </c>
      <c r="H680">
        <v>6</v>
      </c>
      <c r="I680">
        <v>53</v>
      </c>
      <c r="J680">
        <v>32</v>
      </c>
      <c r="K680">
        <v>3821</v>
      </c>
      <c r="L680">
        <v>202513</v>
      </c>
      <c r="M680">
        <f>Inventory_Data[[#This Row],[Opening Stock]]+Inventory_Data[[#This Row],[Purchase Qty]]-Inventory_Data[[#This Row],[Sales Qty]]-Inventory_Data[[#This Row],[Closing Stock]]</f>
        <v>0</v>
      </c>
      <c r="N680">
        <f>Inventory_Data[[#This Row],[Purchase Qty]]*Inventory_Data[[#This Row],[Unit Cost]]</f>
        <v>137556</v>
      </c>
      <c r="O680" t="str">
        <f>IF(Inventory_Data[[#This Row],[Closing Stock]]&lt;=Inventory_Data[[#This Row],[Reorder Level]],"Low Stock","In Stock")</f>
        <v>In Stock</v>
      </c>
      <c r="P680" t="str">
        <f>TEXT(Inventory_Data[[#This Row],[Date]],"MMM")</f>
        <v>May</v>
      </c>
      <c r="Q680" t="str">
        <f>TEXT(Inventory_Data[[#This Row],[Date]],"YYYY")</f>
        <v>2025</v>
      </c>
    </row>
    <row r="681" spans="1:17" x14ac:dyDescent="0.3">
      <c r="A681" s="1">
        <v>45805</v>
      </c>
      <c r="B681" t="s">
        <v>45</v>
      </c>
      <c r="C681" t="s">
        <v>13</v>
      </c>
      <c r="D681" t="s">
        <v>14</v>
      </c>
      <c r="E681" t="s">
        <v>20</v>
      </c>
      <c r="F681">
        <v>43</v>
      </c>
      <c r="G681">
        <v>21</v>
      </c>
      <c r="H681">
        <v>12</v>
      </c>
      <c r="I681">
        <v>52</v>
      </c>
      <c r="J681">
        <v>20</v>
      </c>
      <c r="K681">
        <v>10833</v>
      </c>
      <c r="L681">
        <v>563316</v>
      </c>
      <c r="M681">
        <f>Inventory_Data[[#This Row],[Opening Stock]]+Inventory_Data[[#This Row],[Purchase Qty]]-Inventory_Data[[#This Row],[Sales Qty]]-Inventory_Data[[#This Row],[Closing Stock]]</f>
        <v>0</v>
      </c>
      <c r="N681">
        <f>Inventory_Data[[#This Row],[Purchase Qty]]*Inventory_Data[[#This Row],[Unit Cost]]</f>
        <v>227493</v>
      </c>
      <c r="O681" t="str">
        <f>IF(Inventory_Data[[#This Row],[Closing Stock]]&lt;=Inventory_Data[[#This Row],[Reorder Level]],"Low Stock","In Stock")</f>
        <v>In Stock</v>
      </c>
      <c r="P681" t="str">
        <f>TEXT(Inventory_Data[[#This Row],[Date]],"MMM")</f>
        <v>May</v>
      </c>
      <c r="Q681" t="str">
        <f>TEXT(Inventory_Data[[#This Row],[Date]],"YYYY")</f>
        <v>2025</v>
      </c>
    </row>
    <row r="682" spans="1:17" x14ac:dyDescent="0.3">
      <c r="A682" s="1">
        <v>45805</v>
      </c>
      <c r="B682" t="s">
        <v>38</v>
      </c>
      <c r="C682" t="s">
        <v>17</v>
      </c>
      <c r="D682" t="s">
        <v>14</v>
      </c>
      <c r="E682" t="s">
        <v>24</v>
      </c>
      <c r="F682">
        <v>96</v>
      </c>
      <c r="G682">
        <v>47</v>
      </c>
      <c r="H682">
        <v>28</v>
      </c>
      <c r="I682">
        <v>115</v>
      </c>
      <c r="J682">
        <v>21</v>
      </c>
      <c r="K682">
        <v>18745</v>
      </c>
      <c r="L682">
        <v>2155675</v>
      </c>
      <c r="M682">
        <f>Inventory_Data[[#This Row],[Opening Stock]]+Inventory_Data[[#This Row],[Purchase Qty]]-Inventory_Data[[#This Row],[Sales Qty]]-Inventory_Data[[#This Row],[Closing Stock]]</f>
        <v>0</v>
      </c>
      <c r="N682">
        <f>Inventory_Data[[#This Row],[Purchase Qty]]*Inventory_Data[[#This Row],[Unit Cost]]</f>
        <v>881015</v>
      </c>
      <c r="O682" t="str">
        <f>IF(Inventory_Data[[#This Row],[Closing Stock]]&lt;=Inventory_Data[[#This Row],[Reorder Level]],"Low Stock","In Stock")</f>
        <v>In Stock</v>
      </c>
      <c r="P682" t="str">
        <f>TEXT(Inventory_Data[[#This Row],[Date]],"MMM")</f>
        <v>May</v>
      </c>
      <c r="Q682" t="str">
        <f>TEXT(Inventory_Data[[#This Row],[Date]],"YYYY")</f>
        <v>2025</v>
      </c>
    </row>
    <row r="683" spans="1:17" x14ac:dyDescent="0.3">
      <c r="A683" s="1">
        <v>45805</v>
      </c>
      <c r="B683" t="s">
        <v>44</v>
      </c>
      <c r="C683" t="s">
        <v>28</v>
      </c>
      <c r="D683" t="s">
        <v>14</v>
      </c>
      <c r="E683" t="s">
        <v>15</v>
      </c>
      <c r="F683">
        <v>37</v>
      </c>
      <c r="G683">
        <v>47</v>
      </c>
      <c r="H683">
        <v>71</v>
      </c>
      <c r="I683">
        <v>13</v>
      </c>
      <c r="J683">
        <v>51</v>
      </c>
      <c r="K683">
        <v>17846</v>
      </c>
      <c r="L683">
        <v>231998</v>
      </c>
      <c r="M683">
        <f>Inventory_Data[[#This Row],[Opening Stock]]+Inventory_Data[[#This Row],[Purchase Qty]]-Inventory_Data[[#This Row],[Sales Qty]]-Inventory_Data[[#This Row],[Closing Stock]]</f>
        <v>0</v>
      </c>
      <c r="N683">
        <f>Inventory_Data[[#This Row],[Purchase Qty]]*Inventory_Data[[#This Row],[Unit Cost]]</f>
        <v>838762</v>
      </c>
      <c r="O683" t="str">
        <f>IF(Inventory_Data[[#This Row],[Closing Stock]]&lt;=Inventory_Data[[#This Row],[Reorder Level]],"Low Stock","In Stock")</f>
        <v>Low Stock</v>
      </c>
      <c r="P683" t="str">
        <f>TEXT(Inventory_Data[[#This Row],[Date]],"MMM")</f>
        <v>May</v>
      </c>
      <c r="Q683" t="str">
        <f>TEXT(Inventory_Data[[#This Row],[Date]],"YYYY")</f>
        <v>2025</v>
      </c>
    </row>
    <row r="684" spans="1:17" x14ac:dyDescent="0.3">
      <c r="A684" s="1">
        <v>45806</v>
      </c>
      <c r="B684" t="s">
        <v>35</v>
      </c>
      <c r="C684" t="s">
        <v>22</v>
      </c>
      <c r="D684" t="s">
        <v>37</v>
      </c>
      <c r="E684" t="s">
        <v>18</v>
      </c>
      <c r="F684">
        <v>237</v>
      </c>
      <c r="G684">
        <v>170</v>
      </c>
      <c r="H684">
        <v>140</v>
      </c>
      <c r="I684">
        <v>267</v>
      </c>
      <c r="J684">
        <v>141</v>
      </c>
      <c r="K684">
        <v>535</v>
      </c>
      <c r="L684">
        <v>142845</v>
      </c>
      <c r="M684">
        <f>Inventory_Data[[#This Row],[Opening Stock]]+Inventory_Data[[#This Row],[Purchase Qty]]-Inventory_Data[[#This Row],[Sales Qty]]-Inventory_Data[[#This Row],[Closing Stock]]</f>
        <v>0</v>
      </c>
      <c r="N684">
        <f>Inventory_Data[[#This Row],[Purchase Qty]]*Inventory_Data[[#This Row],[Unit Cost]]</f>
        <v>90950</v>
      </c>
      <c r="O684" t="str">
        <f>IF(Inventory_Data[[#This Row],[Closing Stock]]&lt;=Inventory_Data[[#This Row],[Reorder Level]],"Low Stock","In Stock")</f>
        <v>In Stock</v>
      </c>
      <c r="P684" t="str">
        <f>TEXT(Inventory_Data[[#This Row],[Date]],"MMM")</f>
        <v>May</v>
      </c>
      <c r="Q684" t="str">
        <f>TEXT(Inventory_Data[[#This Row],[Date]],"YYYY")</f>
        <v>2025</v>
      </c>
    </row>
    <row r="685" spans="1:17" x14ac:dyDescent="0.3">
      <c r="A685" s="1">
        <v>45806</v>
      </c>
      <c r="B685" t="s">
        <v>31</v>
      </c>
      <c r="C685" t="s">
        <v>22</v>
      </c>
      <c r="D685" t="s">
        <v>37</v>
      </c>
      <c r="E685" t="s">
        <v>34</v>
      </c>
      <c r="F685">
        <v>247</v>
      </c>
      <c r="G685">
        <v>274</v>
      </c>
      <c r="H685">
        <v>117</v>
      </c>
      <c r="I685">
        <v>404</v>
      </c>
      <c r="J685">
        <v>58</v>
      </c>
      <c r="K685">
        <v>472</v>
      </c>
      <c r="L685">
        <v>190688</v>
      </c>
      <c r="M685">
        <f>Inventory_Data[[#This Row],[Opening Stock]]+Inventory_Data[[#This Row],[Purchase Qty]]-Inventory_Data[[#This Row],[Sales Qty]]-Inventory_Data[[#This Row],[Closing Stock]]</f>
        <v>0</v>
      </c>
      <c r="N685">
        <f>Inventory_Data[[#This Row],[Purchase Qty]]*Inventory_Data[[#This Row],[Unit Cost]]</f>
        <v>129328</v>
      </c>
      <c r="O685" t="str">
        <f>IF(Inventory_Data[[#This Row],[Closing Stock]]&lt;=Inventory_Data[[#This Row],[Reorder Level]],"Low Stock","In Stock")</f>
        <v>In Stock</v>
      </c>
      <c r="P685" t="str">
        <f>TEXT(Inventory_Data[[#This Row],[Date]],"MMM")</f>
        <v>May</v>
      </c>
      <c r="Q685" t="str">
        <f>TEXT(Inventory_Data[[#This Row],[Date]],"YYYY")</f>
        <v>2025</v>
      </c>
    </row>
    <row r="686" spans="1:17" x14ac:dyDescent="0.3">
      <c r="A686" s="1">
        <v>45806</v>
      </c>
      <c r="B686" t="s">
        <v>41</v>
      </c>
      <c r="C686" t="s">
        <v>22</v>
      </c>
      <c r="D686" t="s">
        <v>37</v>
      </c>
      <c r="E686" t="s">
        <v>34</v>
      </c>
      <c r="F686">
        <v>355</v>
      </c>
      <c r="G686">
        <v>238</v>
      </c>
      <c r="H686">
        <v>120</v>
      </c>
      <c r="I686">
        <v>473</v>
      </c>
      <c r="J686">
        <v>58</v>
      </c>
      <c r="K686">
        <v>967</v>
      </c>
      <c r="L686">
        <v>457391</v>
      </c>
      <c r="M686">
        <f>Inventory_Data[[#This Row],[Opening Stock]]+Inventory_Data[[#This Row],[Purchase Qty]]-Inventory_Data[[#This Row],[Sales Qty]]-Inventory_Data[[#This Row],[Closing Stock]]</f>
        <v>0</v>
      </c>
      <c r="N686">
        <f>Inventory_Data[[#This Row],[Purchase Qty]]*Inventory_Data[[#This Row],[Unit Cost]]</f>
        <v>230146</v>
      </c>
      <c r="O686" t="str">
        <f>IF(Inventory_Data[[#This Row],[Closing Stock]]&lt;=Inventory_Data[[#This Row],[Reorder Level]],"Low Stock","In Stock")</f>
        <v>In Stock</v>
      </c>
      <c r="P686" t="str">
        <f>TEXT(Inventory_Data[[#This Row],[Date]],"MMM")</f>
        <v>May</v>
      </c>
      <c r="Q686" t="str">
        <f>TEXT(Inventory_Data[[#This Row],[Date]],"YYYY")</f>
        <v>2025</v>
      </c>
    </row>
    <row r="687" spans="1:17" x14ac:dyDescent="0.3">
      <c r="A687" s="1">
        <v>45806</v>
      </c>
      <c r="B687" t="s">
        <v>45</v>
      </c>
      <c r="C687" t="s">
        <v>13</v>
      </c>
      <c r="D687" t="s">
        <v>26</v>
      </c>
      <c r="E687" t="s">
        <v>18</v>
      </c>
      <c r="F687">
        <v>30</v>
      </c>
      <c r="G687">
        <v>24</v>
      </c>
      <c r="H687">
        <v>45</v>
      </c>
      <c r="I687">
        <v>9</v>
      </c>
      <c r="J687">
        <v>29</v>
      </c>
      <c r="K687">
        <v>17255</v>
      </c>
      <c r="L687">
        <v>155295</v>
      </c>
      <c r="M687">
        <f>Inventory_Data[[#This Row],[Opening Stock]]+Inventory_Data[[#This Row],[Purchase Qty]]-Inventory_Data[[#This Row],[Sales Qty]]-Inventory_Data[[#This Row],[Closing Stock]]</f>
        <v>0</v>
      </c>
      <c r="N687">
        <f>Inventory_Data[[#This Row],[Purchase Qty]]*Inventory_Data[[#This Row],[Unit Cost]]</f>
        <v>414120</v>
      </c>
      <c r="O687" t="str">
        <f>IF(Inventory_Data[[#This Row],[Closing Stock]]&lt;=Inventory_Data[[#This Row],[Reorder Level]],"Low Stock","In Stock")</f>
        <v>Low Stock</v>
      </c>
      <c r="P687" t="str">
        <f>TEXT(Inventory_Data[[#This Row],[Date]],"MMM")</f>
        <v>May</v>
      </c>
      <c r="Q687" t="str">
        <f>TEXT(Inventory_Data[[#This Row],[Date]],"YYYY")</f>
        <v>2025</v>
      </c>
    </row>
    <row r="688" spans="1:17" x14ac:dyDescent="0.3">
      <c r="A688" s="1">
        <v>45807</v>
      </c>
      <c r="B688" t="s">
        <v>40</v>
      </c>
      <c r="C688" t="s">
        <v>28</v>
      </c>
      <c r="D688" t="s">
        <v>14</v>
      </c>
      <c r="E688" t="s">
        <v>15</v>
      </c>
      <c r="F688">
        <v>25</v>
      </c>
      <c r="G688">
        <v>41</v>
      </c>
      <c r="H688">
        <v>21</v>
      </c>
      <c r="I688">
        <v>45</v>
      </c>
      <c r="J688">
        <v>36</v>
      </c>
      <c r="K688">
        <v>3653</v>
      </c>
      <c r="L688">
        <v>164385</v>
      </c>
      <c r="M688">
        <f>Inventory_Data[[#This Row],[Opening Stock]]+Inventory_Data[[#This Row],[Purchase Qty]]-Inventory_Data[[#This Row],[Sales Qty]]-Inventory_Data[[#This Row],[Closing Stock]]</f>
        <v>0</v>
      </c>
      <c r="N688">
        <f>Inventory_Data[[#This Row],[Purchase Qty]]*Inventory_Data[[#This Row],[Unit Cost]]</f>
        <v>149773</v>
      </c>
      <c r="O688" t="str">
        <f>IF(Inventory_Data[[#This Row],[Closing Stock]]&lt;=Inventory_Data[[#This Row],[Reorder Level]],"Low Stock","In Stock")</f>
        <v>In Stock</v>
      </c>
      <c r="P688" t="str">
        <f>TEXT(Inventory_Data[[#This Row],[Date]],"MMM")</f>
        <v>May</v>
      </c>
      <c r="Q688" t="str">
        <f>TEXT(Inventory_Data[[#This Row],[Date]],"YYYY")</f>
        <v>2025</v>
      </c>
    </row>
    <row r="689" spans="1:17" x14ac:dyDescent="0.3">
      <c r="A689" s="1">
        <v>45807</v>
      </c>
      <c r="B689" t="s">
        <v>42</v>
      </c>
      <c r="C689" t="s">
        <v>17</v>
      </c>
      <c r="D689" t="s">
        <v>37</v>
      </c>
      <c r="E689" t="s">
        <v>29</v>
      </c>
      <c r="F689">
        <v>96</v>
      </c>
      <c r="G689">
        <v>53</v>
      </c>
      <c r="H689">
        <v>5</v>
      </c>
      <c r="I689">
        <v>144</v>
      </c>
      <c r="J689">
        <v>24</v>
      </c>
      <c r="K689">
        <v>5304</v>
      </c>
      <c r="L689">
        <v>763776</v>
      </c>
      <c r="M689">
        <f>Inventory_Data[[#This Row],[Opening Stock]]+Inventory_Data[[#This Row],[Purchase Qty]]-Inventory_Data[[#This Row],[Sales Qty]]-Inventory_Data[[#This Row],[Closing Stock]]</f>
        <v>0</v>
      </c>
      <c r="N689">
        <f>Inventory_Data[[#This Row],[Purchase Qty]]*Inventory_Data[[#This Row],[Unit Cost]]</f>
        <v>281112</v>
      </c>
      <c r="O689" t="str">
        <f>IF(Inventory_Data[[#This Row],[Closing Stock]]&lt;=Inventory_Data[[#This Row],[Reorder Level]],"Low Stock","In Stock")</f>
        <v>In Stock</v>
      </c>
      <c r="P689" t="str">
        <f>TEXT(Inventory_Data[[#This Row],[Date]],"MMM")</f>
        <v>May</v>
      </c>
      <c r="Q689" t="str">
        <f>TEXT(Inventory_Data[[#This Row],[Date]],"YYYY")</f>
        <v>2025</v>
      </c>
    </row>
    <row r="690" spans="1:17" x14ac:dyDescent="0.3">
      <c r="A690" s="1">
        <v>45807</v>
      </c>
      <c r="B690" t="s">
        <v>25</v>
      </c>
      <c r="C690" t="s">
        <v>17</v>
      </c>
      <c r="D690" t="s">
        <v>37</v>
      </c>
      <c r="E690" t="s">
        <v>20</v>
      </c>
      <c r="F690">
        <v>32</v>
      </c>
      <c r="G690">
        <v>56</v>
      </c>
      <c r="H690">
        <v>24</v>
      </c>
      <c r="I690">
        <v>64</v>
      </c>
      <c r="J690">
        <v>29</v>
      </c>
      <c r="K690">
        <v>15966</v>
      </c>
      <c r="L690">
        <v>1021824</v>
      </c>
      <c r="M690">
        <f>Inventory_Data[[#This Row],[Opening Stock]]+Inventory_Data[[#This Row],[Purchase Qty]]-Inventory_Data[[#This Row],[Sales Qty]]-Inventory_Data[[#This Row],[Closing Stock]]</f>
        <v>0</v>
      </c>
      <c r="N690">
        <f>Inventory_Data[[#This Row],[Purchase Qty]]*Inventory_Data[[#This Row],[Unit Cost]]</f>
        <v>894096</v>
      </c>
      <c r="O690" t="str">
        <f>IF(Inventory_Data[[#This Row],[Closing Stock]]&lt;=Inventory_Data[[#This Row],[Reorder Level]],"Low Stock","In Stock")</f>
        <v>In Stock</v>
      </c>
      <c r="P690" t="str">
        <f>TEXT(Inventory_Data[[#This Row],[Date]],"MMM")</f>
        <v>May</v>
      </c>
      <c r="Q690" t="str">
        <f>TEXT(Inventory_Data[[#This Row],[Date]],"YYYY")</f>
        <v>2025</v>
      </c>
    </row>
    <row r="691" spans="1:17" x14ac:dyDescent="0.3">
      <c r="A691" s="1">
        <v>45808</v>
      </c>
      <c r="B691" t="s">
        <v>27</v>
      </c>
      <c r="C691" t="s">
        <v>28</v>
      </c>
      <c r="D691" t="s">
        <v>26</v>
      </c>
      <c r="E691" t="s">
        <v>15</v>
      </c>
      <c r="F691">
        <v>23</v>
      </c>
      <c r="G691">
        <v>12</v>
      </c>
      <c r="H691">
        <v>35</v>
      </c>
      <c r="I691">
        <v>0</v>
      </c>
      <c r="J691">
        <v>20</v>
      </c>
      <c r="K691">
        <v>35363</v>
      </c>
      <c r="L691">
        <v>0</v>
      </c>
      <c r="M691">
        <f>Inventory_Data[[#This Row],[Opening Stock]]+Inventory_Data[[#This Row],[Purchase Qty]]-Inventory_Data[[#This Row],[Sales Qty]]-Inventory_Data[[#This Row],[Closing Stock]]</f>
        <v>0</v>
      </c>
      <c r="N691">
        <f>Inventory_Data[[#This Row],[Purchase Qty]]*Inventory_Data[[#This Row],[Unit Cost]]</f>
        <v>424356</v>
      </c>
      <c r="O691" t="str">
        <f>IF(Inventory_Data[[#This Row],[Closing Stock]]&lt;=Inventory_Data[[#This Row],[Reorder Level]],"Low Stock","In Stock")</f>
        <v>Low Stock</v>
      </c>
      <c r="P691" t="str">
        <f>TEXT(Inventory_Data[[#This Row],[Date]],"MMM")</f>
        <v>May</v>
      </c>
      <c r="Q691" t="str">
        <f>TEXT(Inventory_Data[[#This Row],[Date]],"YYYY")</f>
        <v>2025</v>
      </c>
    </row>
    <row r="692" spans="1:17" x14ac:dyDescent="0.3">
      <c r="A692" s="1">
        <v>45808</v>
      </c>
      <c r="B692" t="s">
        <v>19</v>
      </c>
      <c r="C692" t="s">
        <v>13</v>
      </c>
      <c r="D692" t="s">
        <v>26</v>
      </c>
      <c r="E692" t="s">
        <v>15</v>
      </c>
      <c r="F692">
        <v>58</v>
      </c>
      <c r="G692">
        <v>48</v>
      </c>
      <c r="H692">
        <v>54</v>
      </c>
      <c r="I692">
        <v>52</v>
      </c>
      <c r="J692">
        <v>17</v>
      </c>
      <c r="K692">
        <v>14167</v>
      </c>
      <c r="L692">
        <v>736684</v>
      </c>
      <c r="M692">
        <f>Inventory_Data[[#This Row],[Opening Stock]]+Inventory_Data[[#This Row],[Purchase Qty]]-Inventory_Data[[#This Row],[Sales Qty]]-Inventory_Data[[#This Row],[Closing Stock]]</f>
        <v>0</v>
      </c>
      <c r="N692">
        <f>Inventory_Data[[#This Row],[Purchase Qty]]*Inventory_Data[[#This Row],[Unit Cost]]</f>
        <v>680016</v>
      </c>
      <c r="O692" t="str">
        <f>IF(Inventory_Data[[#This Row],[Closing Stock]]&lt;=Inventory_Data[[#This Row],[Reorder Level]],"Low Stock","In Stock")</f>
        <v>In Stock</v>
      </c>
      <c r="P692" t="str">
        <f>TEXT(Inventory_Data[[#This Row],[Date]],"MMM")</f>
        <v>May</v>
      </c>
      <c r="Q692" t="str">
        <f>TEXT(Inventory_Data[[#This Row],[Date]],"YYYY")</f>
        <v>2025</v>
      </c>
    </row>
    <row r="693" spans="1:17" x14ac:dyDescent="0.3">
      <c r="A693" s="1">
        <v>45808</v>
      </c>
      <c r="B693" t="s">
        <v>25</v>
      </c>
      <c r="C693" t="s">
        <v>17</v>
      </c>
      <c r="D693" t="s">
        <v>37</v>
      </c>
      <c r="E693" t="s">
        <v>34</v>
      </c>
      <c r="F693">
        <v>39</v>
      </c>
      <c r="G693">
        <v>18</v>
      </c>
      <c r="H693">
        <v>38</v>
      </c>
      <c r="I693">
        <v>19</v>
      </c>
      <c r="J693">
        <v>21</v>
      </c>
      <c r="K693">
        <v>23108</v>
      </c>
      <c r="L693">
        <v>439052</v>
      </c>
      <c r="M693">
        <f>Inventory_Data[[#This Row],[Opening Stock]]+Inventory_Data[[#This Row],[Purchase Qty]]-Inventory_Data[[#This Row],[Sales Qty]]-Inventory_Data[[#This Row],[Closing Stock]]</f>
        <v>0</v>
      </c>
      <c r="N693">
        <f>Inventory_Data[[#This Row],[Purchase Qty]]*Inventory_Data[[#This Row],[Unit Cost]]</f>
        <v>415944</v>
      </c>
      <c r="O693" t="str">
        <f>IF(Inventory_Data[[#This Row],[Closing Stock]]&lt;=Inventory_Data[[#This Row],[Reorder Level]],"Low Stock","In Stock")</f>
        <v>Low Stock</v>
      </c>
      <c r="P693" t="str">
        <f>TEXT(Inventory_Data[[#This Row],[Date]],"MMM")</f>
        <v>May</v>
      </c>
      <c r="Q693" t="str">
        <f>TEXT(Inventory_Data[[#This Row],[Date]],"YYYY")</f>
        <v>2025</v>
      </c>
    </row>
    <row r="694" spans="1:17" x14ac:dyDescent="0.3">
      <c r="A694" s="1">
        <v>45808</v>
      </c>
      <c r="B694" t="s">
        <v>44</v>
      </c>
      <c r="C694" t="s">
        <v>28</v>
      </c>
      <c r="D694" t="s">
        <v>37</v>
      </c>
      <c r="E694" t="s">
        <v>34</v>
      </c>
      <c r="F694">
        <v>49</v>
      </c>
      <c r="G694">
        <v>98</v>
      </c>
      <c r="H694">
        <v>49</v>
      </c>
      <c r="I694">
        <v>98</v>
      </c>
      <c r="J694">
        <v>58</v>
      </c>
      <c r="K694">
        <v>9071</v>
      </c>
      <c r="L694">
        <v>888958</v>
      </c>
      <c r="M694">
        <f>Inventory_Data[[#This Row],[Opening Stock]]+Inventory_Data[[#This Row],[Purchase Qty]]-Inventory_Data[[#This Row],[Sales Qty]]-Inventory_Data[[#This Row],[Closing Stock]]</f>
        <v>0</v>
      </c>
      <c r="N694">
        <f>Inventory_Data[[#This Row],[Purchase Qty]]*Inventory_Data[[#This Row],[Unit Cost]]</f>
        <v>888958</v>
      </c>
      <c r="O694" t="str">
        <f>IF(Inventory_Data[[#This Row],[Closing Stock]]&lt;=Inventory_Data[[#This Row],[Reorder Level]],"Low Stock","In Stock")</f>
        <v>In Stock</v>
      </c>
      <c r="P694" t="str">
        <f>TEXT(Inventory_Data[[#This Row],[Date]],"MMM")</f>
        <v>May</v>
      </c>
      <c r="Q694" t="str">
        <f>TEXT(Inventory_Data[[#This Row],[Date]],"YYYY")</f>
        <v>2025</v>
      </c>
    </row>
    <row r="695" spans="1:17" x14ac:dyDescent="0.3">
      <c r="A695" s="1">
        <v>45808</v>
      </c>
      <c r="B695" t="s">
        <v>16</v>
      </c>
      <c r="C695" t="s">
        <v>17</v>
      </c>
      <c r="D695" t="s">
        <v>37</v>
      </c>
      <c r="E695" t="s">
        <v>18</v>
      </c>
      <c r="F695">
        <v>61</v>
      </c>
      <c r="G695">
        <v>51</v>
      </c>
      <c r="H695">
        <v>34</v>
      </c>
      <c r="I695">
        <v>78</v>
      </c>
      <c r="J695">
        <v>23</v>
      </c>
      <c r="K695">
        <v>24020</v>
      </c>
      <c r="L695">
        <v>1873560</v>
      </c>
      <c r="M695">
        <f>Inventory_Data[[#This Row],[Opening Stock]]+Inventory_Data[[#This Row],[Purchase Qty]]-Inventory_Data[[#This Row],[Sales Qty]]-Inventory_Data[[#This Row],[Closing Stock]]</f>
        <v>0</v>
      </c>
      <c r="N695">
        <f>Inventory_Data[[#This Row],[Purchase Qty]]*Inventory_Data[[#This Row],[Unit Cost]]</f>
        <v>1225020</v>
      </c>
      <c r="O695" t="str">
        <f>IF(Inventory_Data[[#This Row],[Closing Stock]]&lt;=Inventory_Data[[#This Row],[Reorder Level]],"Low Stock","In Stock")</f>
        <v>In Stock</v>
      </c>
      <c r="P695" t="str">
        <f>TEXT(Inventory_Data[[#This Row],[Date]],"MMM")</f>
        <v>May</v>
      </c>
      <c r="Q695" t="str">
        <f>TEXT(Inventory_Data[[#This Row],[Date]],"YYYY")</f>
        <v>2025</v>
      </c>
    </row>
    <row r="696" spans="1:17" x14ac:dyDescent="0.3">
      <c r="A696" s="1">
        <v>45808</v>
      </c>
      <c r="B696" t="s">
        <v>19</v>
      </c>
      <c r="C696" t="s">
        <v>13</v>
      </c>
      <c r="D696" t="s">
        <v>23</v>
      </c>
      <c r="E696" t="s">
        <v>34</v>
      </c>
      <c r="F696">
        <v>27</v>
      </c>
      <c r="G696">
        <v>73</v>
      </c>
      <c r="H696">
        <v>6</v>
      </c>
      <c r="I696">
        <v>94</v>
      </c>
      <c r="J696">
        <v>35</v>
      </c>
      <c r="K696">
        <v>13088</v>
      </c>
      <c r="L696">
        <v>1230272</v>
      </c>
      <c r="M696">
        <f>Inventory_Data[[#This Row],[Opening Stock]]+Inventory_Data[[#This Row],[Purchase Qty]]-Inventory_Data[[#This Row],[Sales Qty]]-Inventory_Data[[#This Row],[Closing Stock]]</f>
        <v>0</v>
      </c>
      <c r="N696">
        <f>Inventory_Data[[#This Row],[Purchase Qty]]*Inventory_Data[[#This Row],[Unit Cost]]</f>
        <v>955424</v>
      </c>
      <c r="O696" t="str">
        <f>IF(Inventory_Data[[#This Row],[Closing Stock]]&lt;=Inventory_Data[[#This Row],[Reorder Level]],"Low Stock","In Stock")</f>
        <v>In Stock</v>
      </c>
      <c r="P696" t="str">
        <f>TEXT(Inventory_Data[[#This Row],[Date]],"MMM")</f>
        <v>May</v>
      </c>
      <c r="Q696" t="str">
        <f>TEXT(Inventory_Data[[#This Row],[Date]],"YYYY")</f>
        <v>2025</v>
      </c>
    </row>
    <row r="697" spans="1:17" x14ac:dyDescent="0.3">
      <c r="A697" s="1">
        <v>45809</v>
      </c>
      <c r="B697" t="s">
        <v>33</v>
      </c>
      <c r="C697" t="s">
        <v>13</v>
      </c>
      <c r="D697" t="s">
        <v>14</v>
      </c>
      <c r="E697" t="s">
        <v>24</v>
      </c>
      <c r="F697">
        <v>112</v>
      </c>
      <c r="G697">
        <v>50</v>
      </c>
      <c r="H697">
        <v>24</v>
      </c>
      <c r="I697">
        <v>138</v>
      </c>
      <c r="J697">
        <v>30</v>
      </c>
      <c r="K697">
        <v>12614</v>
      </c>
      <c r="L697">
        <v>1740732</v>
      </c>
      <c r="M697">
        <f>Inventory_Data[[#This Row],[Opening Stock]]+Inventory_Data[[#This Row],[Purchase Qty]]-Inventory_Data[[#This Row],[Sales Qty]]-Inventory_Data[[#This Row],[Closing Stock]]</f>
        <v>0</v>
      </c>
      <c r="N697">
        <f>Inventory_Data[[#This Row],[Purchase Qty]]*Inventory_Data[[#This Row],[Unit Cost]]</f>
        <v>630700</v>
      </c>
      <c r="O697" t="str">
        <f>IF(Inventory_Data[[#This Row],[Closing Stock]]&lt;=Inventory_Data[[#This Row],[Reorder Level]],"Low Stock","In Stock")</f>
        <v>In Stock</v>
      </c>
      <c r="P697" t="str">
        <f>TEXT(Inventory_Data[[#This Row],[Date]],"MMM")</f>
        <v>Jun</v>
      </c>
      <c r="Q697" t="str">
        <f>TEXT(Inventory_Data[[#This Row],[Date]],"YYYY")</f>
        <v>2025</v>
      </c>
    </row>
    <row r="698" spans="1:17" x14ac:dyDescent="0.3">
      <c r="A698" s="1">
        <v>45809</v>
      </c>
      <c r="B698" t="s">
        <v>33</v>
      </c>
      <c r="C698" t="s">
        <v>13</v>
      </c>
      <c r="D698" t="s">
        <v>37</v>
      </c>
      <c r="E698" t="s">
        <v>20</v>
      </c>
      <c r="F698">
        <v>88</v>
      </c>
      <c r="G698">
        <v>21</v>
      </c>
      <c r="H698">
        <v>20</v>
      </c>
      <c r="I698">
        <v>89</v>
      </c>
      <c r="J698">
        <v>30</v>
      </c>
      <c r="K698">
        <v>14565</v>
      </c>
      <c r="L698">
        <v>1296285</v>
      </c>
      <c r="M698">
        <f>Inventory_Data[[#This Row],[Opening Stock]]+Inventory_Data[[#This Row],[Purchase Qty]]-Inventory_Data[[#This Row],[Sales Qty]]-Inventory_Data[[#This Row],[Closing Stock]]</f>
        <v>0</v>
      </c>
      <c r="N698">
        <f>Inventory_Data[[#This Row],[Purchase Qty]]*Inventory_Data[[#This Row],[Unit Cost]]</f>
        <v>305865</v>
      </c>
      <c r="O698" t="str">
        <f>IF(Inventory_Data[[#This Row],[Closing Stock]]&lt;=Inventory_Data[[#This Row],[Reorder Level]],"Low Stock","In Stock")</f>
        <v>In Stock</v>
      </c>
      <c r="P698" t="str">
        <f>TEXT(Inventory_Data[[#This Row],[Date]],"MMM")</f>
        <v>Jun</v>
      </c>
      <c r="Q698" t="str">
        <f>TEXT(Inventory_Data[[#This Row],[Date]],"YYYY")</f>
        <v>2025</v>
      </c>
    </row>
    <row r="699" spans="1:17" x14ac:dyDescent="0.3">
      <c r="A699" s="1">
        <v>45809</v>
      </c>
      <c r="B699" t="s">
        <v>35</v>
      </c>
      <c r="C699" t="s">
        <v>22</v>
      </c>
      <c r="D699" t="s">
        <v>23</v>
      </c>
      <c r="E699" t="s">
        <v>18</v>
      </c>
      <c r="F699">
        <v>207</v>
      </c>
      <c r="G699">
        <v>170</v>
      </c>
      <c r="H699">
        <v>260</v>
      </c>
      <c r="I699">
        <v>117</v>
      </c>
      <c r="J699">
        <v>65</v>
      </c>
      <c r="K699">
        <v>643</v>
      </c>
      <c r="L699">
        <v>75231</v>
      </c>
      <c r="M699">
        <f>Inventory_Data[[#This Row],[Opening Stock]]+Inventory_Data[[#This Row],[Purchase Qty]]-Inventory_Data[[#This Row],[Sales Qty]]-Inventory_Data[[#This Row],[Closing Stock]]</f>
        <v>0</v>
      </c>
      <c r="N699">
        <f>Inventory_Data[[#This Row],[Purchase Qty]]*Inventory_Data[[#This Row],[Unit Cost]]</f>
        <v>109310</v>
      </c>
      <c r="O699" t="str">
        <f>IF(Inventory_Data[[#This Row],[Closing Stock]]&lt;=Inventory_Data[[#This Row],[Reorder Level]],"Low Stock","In Stock")</f>
        <v>In Stock</v>
      </c>
      <c r="P699" t="str">
        <f>TEXT(Inventory_Data[[#This Row],[Date]],"MMM")</f>
        <v>Jun</v>
      </c>
      <c r="Q699" t="str">
        <f>TEXT(Inventory_Data[[#This Row],[Date]],"YYYY")</f>
        <v>2025</v>
      </c>
    </row>
    <row r="700" spans="1:17" x14ac:dyDescent="0.3">
      <c r="A700" s="1">
        <v>45809</v>
      </c>
      <c r="B700" t="s">
        <v>16</v>
      </c>
      <c r="C700" t="s">
        <v>17</v>
      </c>
      <c r="D700" t="s">
        <v>26</v>
      </c>
      <c r="E700" t="s">
        <v>24</v>
      </c>
      <c r="F700">
        <v>14</v>
      </c>
      <c r="G700">
        <v>7</v>
      </c>
      <c r="H700">
        <v>21</v>
      </c>
      <c r="I700">
        <v>0</v>
      </c>
      <c r="J700">
        <v>26</v>
      </c>
      <c r="K700">
        <v>12203</v>
      </c>
      <c r="L700">
        <v>0</v>
      </c>
      <c r="M700">
        <f>Inventory_Data[[#This Row],[Opening Stock]]+Inventory_Data[[#This Row],[Purchase Qty]]-Inventory_Data[[#This Row],[Sales Qty]]-Inventory_Data[[#This Row],[Closing Stock]]</f>
        <v>0</v>
      </c>
      <c r="N700">
        <f>Inventory_Data[[#This Row],[Purchase Qty]]*Inventory_Data[[#This Row],[Unit Cost]]</f>
        <v>85421</v>
      </c>
      <c r="O700" t="str">
        <f>IF(Inventory_Data[[#This Row],[Closing Stock]]&lt;=Inventory_Data[[#This Row],[Reorder Level]],"Low Stock","In Stock")</f>
        <v>Low Stock</v>
      </c>
      <c r="P700" t="str">
        <f>TEXT(Inventory_Data[[#This Row],[Date]],"MMM")</f>
        <v>Jun</v>
      </c>
      <c r="Q700" t="str">
        <f>TEXT(Inventory_Data[[#This Row],[Date]],"YYYY")</f>
        <v>2025</v>
      </c>
    </row>
    <row r="701" spans="1:17" x14ac:dyDescent="0.3">
      <c r="A701" s="1">
        <v>45810</v>
      </c>
      <c r="B701" t="s">
        <v>31</v>
      </c>
      <c r="C701" t="s">
        <v>22</v>
      </c>
      <c r="D701" t="s">
        <v>37</v>
      </c>
      <c r="E701" t="s">
        <v>18</v>
      </c>
      <c r="F701">
        <v>326</v>
      </c>
      <c r="G701">
        <v>86</v>
      </c>
      <c r="H701">
        <v>195</v>
      </c>
      <c r="I701">
        <v>217</v>
      </c>
      <c r="J701">
        <v>142</v>
      </c>
      <c r="K701">
        <v>417</v>
      </c>
      <c r="L701">
        <v>90489</v>
      </c>
      <c r="M701">
        <f>Inventory_Data[[#This Row],[Opening Stock]]+Inventory_Data[[#This Row],[Purchase Qty]]-Inventory_Data[[#This Row],[Sales Qty]]-Inventory_Data[[#This Row],[Closing Stock]]</f>
        <v>0</v>
      </c>
      <c r="N701">
        <f>Inventory_Data[[#This Row],[Purchase Qty]]*Inventory_Data[[#This Row],[Unit Cost]]</f>
        <v>35862</v>
      </c>
      <c r="O701" t="str">
        <f>IF(Inventory_Data[[#This Row],[Closing Stock]]&lt;=Inventory_Data[[#This Row],[Reorder Level]],"Low Stock","In Stock")</f>
        <v>In Stock</v>
      </c>
      <c r="P701" t="str">
        <f>TEXT(Inventory_Data[[#This Row],[Date]],"MMM")</f>
        <v>Jun</v>
      </c>
      <c r="Q701" t="str">
        <f>TEXT(Inventory_Data[[#This Row],[Date]],"YYYY")</f>
        <v>2025</v>
      </c>
    </row>
    <row r="702" spans="1:17" x14ac:dyDescent="0.3">
      <c r="A702" s="1">
        <v>45810</v>
      </c>
      <c r="B702" t="s">
        <v>30</v>
      </c>
      <c r="C702" t="s">
        <v>28</v>
      </c>
      <c r="D702" t="s">
        <v>23</v>
      </c>
      <c r="E702" t="s">
        <v>34</v>
      </c>
      <c r="F702">
        <v>36</v>
      </c>
      <c r="G702">
        <v>48</v>
      </c>
      <c r="H702">
        <v>81</v>
      </c>
      <c r="I702">
        <v>3</v>
      </c>
      <c r="J702">
        <v>30</v>
      </c>
      <c r="K702">
        <v>45179</v>
      </c>
      <c r="L702">
        <v>135537</v>
      </c>
      <c r="M702">
        <f>Inventory_Data[[#This Row],[Opening Stock]]+Inventory_Data[[#This Row],[Purchase Qty]]-Inventory_Data[[#This Row],[Sales Qty]]-Inventory_Data[[#This Row],[Closing Stock]]</f>
        <v>0</v>
      </c>
      <c r="N702">
        <f>Inventory_Data[[#This Row],[Purchase Qty]]*Inventory_Data[[#This Row],[Unit Cost]]</f>
        <v>2168592</v>
      </c>
      <c r="O702" t="str">
        <f>IF(Inventory_Data[[#This Row],[Closing Stock]]&lt;=Inventory_Data[[#This Row],[Reorder Level]],"Low Stock","In Stock")</f>
        <v>Low Stock</v>
      </c>
      <c r="P702" t="str">
        <f>TEXT(Inventory_Data[[#This Row],[Date]],"MMM")</f>
        <v>Jun</v>
      </c>
      <c r="Q702" t="str">
        <f>TEXT(Inventory_Data[[#This Row],[Date]],"YYYY")</f>
        <v>2025</v>
      </c>
    </row>
    <row r="703" spans="1:17" x14ac:dyDescent="0.3">
      <c r="A703" s="1">
        <v>45810</v>
      </c>
      <c r="B703" t="s">
        <v>39</v>
      </c>
      <c r="C703" t="s">
        <v>28</v>
      </c>
      <c r="D703" t="s">
        <v>14</v>
      </c>
      <c r="E703" t="s">
        <v>20</v>
      </c>
      <c r="F703">
        <v>141</v>
      </c>
      <c r="G703">
        <v>85</v>
      </c>
      <c r="H703">
        <v>91</v>
      </c>
      <c r="I703">
        <v>135</v>
      </c>
      <c r="J703">
        <v>41</v>
      </c>
      <c r="K703">
        <v>49556</v>
      </c>
      <c r="L703">
        <v>6690060</v>
      </c>
      <c r="M703">
        <f>Inventory_Data[[#This Row],[Opening Stock]]+Inventory_Data[[#This Row],[Purchase Qty]]-Inventory_Data[[#This Row],[Sales Qty]]-Inventory_Data[[#This Row],[Closing Stock]]</f>
        <v>0</v>
      </c>
      <c r="N703">
        <f>Inventory_Data[[#This Row],[Purchase Qty]]*Inventory_Data[[#This Row],[Unit Cost]]</f>
        <v>4212260</v>
      </c>
      <c r="O703" t="str">
        <f>IF(Inventory_Data[[#This Row],[Closing Stock]]&lt;=Inventory_Data[[#This Row],[Reorder Level]],"Low Stock","In Stock")</f>
        <v>In Stock</v>
      </c>
      <c r="P703" t="str">
        <f>TEXT(Inventory_Data[[#This Row],[Date]],"MMM")</f>
        <v>Jun</v>
      </c>
      <c r="Q703" t="str">
        <f>TEXT(Inventory_Data[[#This Row],[Date]],"YYYY")</f>
        <v>2025</v>
      </c>
    </row>
    <row r="704" spans="1:17" x14ac:dyDescent="0.3">
      <c r="A704" s="1">
        <v>45811</v>
      </c>
      <c r="B704" t="s">
        <v>42</v>
      </c>
      <c r="C704" t="s">
        <v>17</v>
      </c>
      <c r="D704" t="s">
        <v>14</v>
      </c>
      <c r="E704" t="s">
        <v>18</v>
      </c>
      <c r="F704">
        <v>13</v>
      </c>
      <c r="G704">
        <v>21</v>
      </c>
      <c r="H704">
        <v>17</v>
      </c>
      <c r="I704">
        <v>17</v>
      </c>
      <c r="J704">
        <v>12</v>
      </c>
      <c r="K704">
        <v>9834</v>
      </c>
      <c r="L704">
        <v>167178</v>
      </c>
      <c r="M704">
        <f>Inventory_Data[[#This Row],[Opening Stock]]+Inventory_Data[[#This Row],[Purchase Qty]]-Inventory_Data[[#This Row],[Sales Qty]]-Inventory_Data[[#This Row],[Closing Stock]]</f>
        <v>0</v>
      </c>
      <c r="N704">
        <f>Inventory_Data[[#This Row],[Purchase Qty]]*Inventory_Data[[#This Row],[Unit Cost]]</f>
        <v>206514</v>
      </c>
      <c r="O704" t="str">
        <f>IF(Inventory_Data[[#This Row],[Closing Stock]]&lt;=Inventory_Data[[#This Row],[Reorder Level]],"Low Stock","In Stock")</f>
        <v>In Stock</v>
      </c>
      <c r="P704" t="str">
        <f>TEXT(Inventory_Data[[#This Row],[Date]],"MMM")</f>
        <v>Jun</v>
      </c>
      <c r="Q704" t="str">
        <f>TEXT(Inventory_Data[[#This Row],[Date]],"YYYY")</f>
        <v>2025</v>
      </c>
    </row>
    <row r="705" spans="1:17" x14ac:dyDescent="0.3">
      <c r="A705" s="1">
        <v>45811</v>
      </c>
      <c r="B705" t="s">
        <v>35</v>
      </c>
      <c r="C705" t="s">
        <v>22</v>
      </c>
      <c r="D705" t="s">
        <v>14</v>
      </c>
      <c r="E705" t="s">
        <v>18</v>
      </c>
      <c r="F705">
        <v>323</v>
      </c>
      <c r="G705">
        <v>125</v>
      </c>
      <c r="H705">
        <v>223</v>
      </c>
      <c r="I705">
        <v>225</v>
      </c>
      <c r="J705">
        <v>130</v>
      </c>
      <c r="K705">
        <v>313</v>
      </c>
      <c r="L705">
        <v>70425</v>
      </c>
      <c r="M705">
        <f>Inventory_Data[[#This Row],[Opening Stock]]+Inventory_Data[[#This Row],[Purchase Qty]]-Inventory_Data[[#This Row],[Sales Qty]]-Inventory_Data[[#This Row],[Closing Stock]]</f>
        <v>0</v>
      </c>
      <c r="N705">
        <f>Inventory_Data[[#This Row],[Purchase Qty]]*Inventory_Data[[#This Row],[Unit Cost]]</f>
        <v>39125</v>
      </c>
      <c r="O705" t="str">
        <f>IF(Inventory_Data[[#This Row],[Closing Stock]]&lt;=Inventory_Data[[#This Row],[Reorder Level]],"Low Stock","In Stock")</f>
        <v>In Stock</v>
      </c>
      <c r="P705" t="str">
        <f>TEXT(Inventory_Data[[#This Row],[Date]],"MMM")</f>
        <v>Jun</v>
      </c>
      <c r="Q705" t="str">
        <f>TEXT(Inventory_Data[[#This Row],[Date]],"YYYY")</f>
        <v>2025</v>
      </c>
    </row>
    <row r="706" spans="1:17" x14ac:dyDescent="0.3">
      <c r="A706" s="1">
        <v>45811</v>
      </c>
      <c r="B706" t="s">
        <v>40</v>
      </c>
      <c r="C706" t="s">
        <v>28</v>
      </c>
      <c r="D706" t="s">
        <v>26</v>
      </c>
      <c r="E706" t="s">
        <v>34</v>
      </c>
      <c r="F706">
        <v>159</v>
      </c>
      <c r="G706">
        <v>93</v>
      </c>
      <c r="H706">
        <v>53</v>
      </c>
      <c r="I706">
        <v>199</v>
      </c>
      <c r="J706">
        <v>54</v>
      </c>
      <c r="K706">
        <v>18861</v>
      </c>
      <c r="L706">
        <v>3753339</v>
      </c>
      <c r="M706">
        <f>Inventory_Data[[#This Row],[Opening Stock]]+Inventory_Data[[#This Row],[Purchase Qty]]-Inventory_Data[[#This Row],[Sales Qty]]-Inventory_Data[[#This Row],[Closing Stock]]</f>
        <v>0</v>
      </c>
      <c r="N706">
        <f>Inventory_Data[[#This Row],[Purchase Qty]]*Inventory_Data[[#This Row],[Unit Cost]]</f>
        <v>1754073</v>
      </c>
      <c r="O706" t="str">
        <f>IF(Inventory_Data[[#This Row],[Closing Stock]]&lt;=Inventory_Data[[#This Row],[Reorder Level]],"Low Stock","In Stock")</f>
        <v>In Stock</v>
      </c>
      <c r="P706" t="str">
        <f>TEXT(Inventory_Data[[#This Row],[Date]],"MMM")</f>
        <v>Jun</v>
      </c>
      <c r="Q706" t="str">
        <f>TEXT(Inventory_Data[[#This Row],[Date]],"YYYY")</f>
        <v>2025</v>
      </c>
    </row>
    <row r="707" spans="1:17" x14ac:dyDescent="0.3">
      <c r="A707" s="1">
        <v>45812</v>
      </c>
      <c r="B707" t="s">
        <v>12</v>
      </c>
      <c r="C707" t="s">
        <v>13</v>
      </c>
      <c r="D707" t="s">
        <v>26</v>
      </c>
      <c r="E707" t="s">
        <v>15</v>
      </c>
      <c r="F707">
        <v>29</v>
      </c>
      <c r="G707">
        <v>73</v>
      </c>
      <c r="H707">
        <v>18</v>
      </c>
      <c r="I707">
        <v>84</v>
      </c>
      <c r="J707">
        <v>24</v>
      </c>
      <c r="K707">
        <v>15690</v>
      </c>
      <c r="L707">
        <v>1317960</v>
      </c>
      <c r="M707">
        <f>Inventory_Data[[#This Row],[Opening Stock]]+Inventory_Data[[#This Row],[Purchase Qty]]-Inventory_Data[[#This Row],[Sales Qty]]-Inventory_Data[[#This Row],[Closing Stock]]</f>
        <v>0</v>
      </c>
      <c r="N707">
        <f>Inventory_Data[[#This Row],[Purchase Qty]]*Inventory_Data[[#This Row],[Unit Cost]]</f>
        <v>1145370</v>
      </c>
      <c r="O707" t="str">
        <f>IF(Inventory_Data[[#This Row],[Closing Stock]]&lt;=Inventory_Data[[#This Row],[Reorder Level]],"Low Stock","In Stock")</f>
        <v>In Stock</v>
      </c>
      <c r="P707" t="str">
        <f>TEXT(Inventory_Data[[#This Row],[Date]],"MMM")</f>
        <v>Jun</v>
      </c>
      <c r="Q707" t="str">
        <f>TEXT(Inventory_Data[[#This Row],[Date]],"YYYY")</f>
        <v>2025</v>
      </c>
    </row>
    <row r="708" spans="1:17" x14ac:dyDescent="0.3">
      <c r="A708" s="1">
        <v>45812</v>
      </c>
      <c r="B708" t="s">
        <v>36</v>
      </c>
      <c r="C708" t="s">
        <v>22</v>
      </c>
      <c r="D708" t="s">
        <v>14</v>
      </c>
      <c r="E708" t="s">
        <v>15</v>
      </c>
      <c r="F708">
        <v>479</v>
      </c>
      <c r="G708">
        <v>263</v>
      </c>
      <c r="H708">
        <v>60</v>
      </c>
      <c r="I708">
        <v>682</v>
      </c>
      <c r="J708">
        <v>108</v>
      </c>
      <c r="K708">
        <v>281</v>
      </c>
      <c r="L708">
        <v>191642</v>
      </c>
      <c r="M708">
        <f>Inventory_Data[[#This Row],[Opening Stock]]+Inventory_Data[[#This Row],[Purchase Qty]]-Inventory_Data[[#This Row],[Sales Qty]]-Inventory_Data[[#This Row],[Closing Stock]]</f>
        <v>0</v>
      </c>
      <c r="N708">
        <f>Inventory_Data[[#This Row],[Purchase Qty]]*Inventory_Data[[#This Row],[Unit Cost]]</f>
        <v>73903</v>
      </c>
      <c r="O708" t="str">
        <f>IF(Inventory_Data[[#This Row],[Closing Stock]]&lt;=Inventory_Data[[#This Row],[Reorder Level]],"Low Stock","In Stock")</f>
        <v>In Stock</v>
      </c>
      <c r="P708" t="str">
        <f>TEXT(Inventory_Data[[#This Row],[Date]],"MMM")</f>
        <v>Jun</v>
      </c>
      <c r="Q708" t="str">
        <f>TEXT(Inventory_Data[[#This Row],[Date]],"YYYY")</f>
        <v>2025</v>
      </c>
    </row>
    <row r="709" spans="1:17" x14ac:dyDescent="0.3">
      <c r="A709" s="1">
        <v>45812</v>
      </c>
      <c r="B709" t="s">
        <v>44</v>
      </c>
      <c r="C709" t="s">
        <v>28</v>
      </c>
      <c r="D709" t="s">
        <v>23</v>
      </c>
      <c r="E709" t="s">
        <v>20</v>
      </c>
      <c r="F709">
        <v>46</v>
      </c>
      <c r="G709">
        <v>117</v>
      </c>
      <c r="H709">
        <v>16</v>
      </c>
      <c r="I709">
        <v>147</v>
      </c>
      <c r="J709">
        <v>49</v>
      </c>
      <c r="K709">
        <v>11106</v>
      </c>
      <c r="L709">
        <v>1632582</v>
      </c>
      <c r="M709">
        <f>Inventory_Data[[#This Row],[Opening Stock]]+Inventory_Data[[#This Row],[Purchase Qty]]-Inventory_Data[[#This Row],[Sales Qty]]-Inventory_Data[[#This Row],[Closing Stock]]</f>
        <v>0</v>
      </c>
      <c r="N709">
        <f>Inventory_Data[[#This Row],[Purchase Qty]]*Inventory_Data[[#This Row],[Unit Cost]]</f>
        <v>1299402</v>
      </c>
      <c r="O709" t="str">
        <f>IF(Inventory_Data[[#This Row],[Closing Stock]]&lt;=Inventory_Data[[#This Row],[Reorder Level]],"Low Stock","In Stock")</f>
        <v>In Stock</v>
      </c>
      <c r="P709" t="str">
        <f>TEXT(Inventory_Data[[#This Row],[Date]],"MMM")</f>
        <v>Jun</v>
      </c>
      <c r="Q709" t="str">
        <f>TEXT(Inventory_Data[[#This Row],[Date]],"YYYY")</f>
        <v>2025</v>
      </c>
    </row>
    <row r="710" spans="1:17" x14ac:dyDescent="0.3">
      <c r="A710" s="1">
        <v>45812</v>
      </c>
      <c r="B710" t="s">
        <v>27</v>
      </c>
      <c r="C710" t="s">
        <v>28</v>
      </c>
      <c r="D710" t="s">
        <v>37</v>
      </c>
      <c r="E710" t="s">
        <v>15</v>
      </c>
      <c r="F710">
        <v>96</v>
      </c>
      <c r="G710">
        <v>87</v>
      </c>
      <c r="H710">
        <v>58</v>
      </c>
      <c r="I710">
        <v>125</v>
      </c>
      <c r="J710">
        <v>49</v>
      </c>
      <c r="K710">
        <v>59599</v>
      </c>
      <c r="L710">
        <v>7449875</v>
      </c>
      <c r="M710">
        <f>Inventory_Data[[#This Row],[Opening Stock]]+Inventory_Data[[#This Row],[Purchase Qty]]-Inventory_Data[[#This Row],[Sales Qty]]-Inventory_Data[[#This Row],[Closing Stock]]</f>
        <v>0</v>
      </c>
      <c r="N710">
        <f>Inventory_Data[[#This Row],[Purchase Qty]]*Inventory_Data[[#This Row],[Unit Cost]]</f>
        <v>5185113</v>
      </c>
      <c r="O710" t="str">
        <f>IF(Inventory_Data[[#This Row],[Closing Stock]]&lt;=Inventory_Data[[#This Row],[Reorder Level]],"Low Stock","In Stock")</f>
        <v>In Stock</v>
      </c>
      <c r="P710" t="str">
        <f>TEXT(Inventory_Data[[#This Row],[Date]],"MMM")</f>
        <v>Jun</v>
      </c>
      <c r="Q710" t="str">
        <f>TEXT(Inventory_Data[[#This Row],[Date]],"YYYY")</f>
        <v>2025</v>
      </c>
    </row>
    <row r="711" spans="1:17" x14ac:dyDescent="0.3">
      <c r="A711" s="1">
        <v>45812</v>
      </c>
      <c r="B711" t="s">
        <v>36</v>
      </c>
      <c r="C711" t="s">
        <v>22</v>
      </c>
      <c r="D711" t="s">
        <v>14</v>
      </c>
      <c r="E711" t="s">
        <v>20</v>
      </c>
      <c r="F711">
        <v>324</v>
      </c>
      <c r="G711">
        <v>183</v>
      </c>
      <c r="H711">
        <v>62</v>
      </c>
      <c r="I711">
        <v>445</v>
      </c>
      <c r="J711">
        <v>86</v>
      </c>
      <c r="K711">
        <v>198</v>
      </c>
      <c r="L711">
        <v>88110</v>
      </c>
      <c r="M711">
        <f>Inventory_Data[[#This Row],[Opening Stock]]+Inventory_Data[[#This Row],[Purchase Qty]]-Inventory_Data[[#This Row],[Sales Qty]]-Inventory_Data[[#This Row],[Closing Stock]]</f>
        <v>0</v>
      </c>
      <c r="N711">
        <f>Inventory_Data[[#This Row],[Purchase Qty]]*Inventory_Data[[#This Row],[Unit Cost]]</f>
        <v>36234</v>
      </c>
      <c r="O711" t="str">
        <f>IF(Inventory_Data[[#This Row],[Closing Stock]]&lt;=Inventory_Data[[#This Row],[Reorder Level]],"Low Stock","In Stock")</f>
        <v>In Stock</v>
      </c>
      <c r="P711" t="str">
        <f>TEXT(Inventory_Data[[#This Row],[Date]],"MMM")</f>
        <v>Jun</v>
      </c>
      <c r="Q711" t="str">
        <f>TEXT(Inventory_Data[[#This Row],[Date]],"YYYY")</f>
        <v>2025</v>
      </c>
    </row>
    <row r="712" spans="1:17" x14ac:dyDescent="0.3">
      <c r="A712" s="1">
        <v>45812</v>
      </c>
      <c r="B712" t="s">
        <v>25</v>
      </c>
      <c r="C712" t="s">
        <v>17</v>
      </c>
      <c r="D712" t="s">
        <v>23</v>
      </c>
      <c r="E712" t="s">
        <v>34</v>
      </c>
      <c r="F712">
        <v>41</v>
      </c>
      <c r="G712">
        <v>14</v>
      </c>
      <c r="H712">
        <v>41</v>
      </c>
      <c r="I712">
        <v>14</v>
      </c>
      <c r="J712">
        <v>10</v>
      </c>
      <c r="K712">
        <v>7788</v>
      </c>
      <c r="L712">
        <v>109032</v>
      </c>
      <c r="M712">
        <f>Inventory_Data[[#This Row],[Opening Stock]]+Inventory_Data[[#This Row],[Purchase Qty]]-Inventory_Data[[#This Row],[Sales Qty]]-Inventory_Data[[#This Row],[Closing Stock]]</f>
        <v>0</v>
      </c>
      <c r="N712">
        <f>Inventory_Data[[#This Row],[Purchase Qty]]*Inventory_Data[[#This Row],[Unit Cost]]</f>
        <v>109032</v>
      </c>
      <c r="O712" t="str">
        <f>IF(Inventory_Data[[#This Row],[Closing Stock]]&lt;=Inventory_Data[[#This Row],[Reorder Level]],"Low Stock","In Stock")</f>
        <v>In Stock</v>
      </c>
      <c r="P712" t="str">
        <f>TEXT(Inventory_Data[[#This Row],[Date]],"MMM")</f>
        <v>Jun</v>
      </c>
      <c r="Q712" t="str">
        <f>TEXT(Inventory_Data[[#This Row],[Date]],"YYYY")</f>
        <v>2025</v>
      </c>
    </row>
    <row r="713" spans="1:17" x14ac:dyDescent="0.3">
      <c r="A713" s="1">
        <v>45812</v>
      </c>
      <c r="B713" t="s">
        <v>42</v>
      </c>
      <c r="C713" t="s">
        <v>17</v>
      </c>
      <c r="D713" t="s">
        <v>23</v>
      </c>
      <c r="E713" t="s">
        <v>34</v>
      </c>
      <c r="F713">
        <v>22</v>
      </c>
      <c r="G713">
        <v>45</v>
      </c>
      <c r="H713">
        <v>3</v>
      </c>
      <c r="I713">
        <v>64</v>
      </c>
      <c r="J713">
        <v>10</v>
      </c>
      <c r="K713">
        <v>19504</v>
      </c>
      <c r="L713">
        <v>1248256</v>
      </c>
      <c r="M713">
        <f>Inventory_Data[[#This Row],[Opening Stock]]+Inventory_Data[[#This Row],[Purchase Qty]]-Inventory_Data[[#This Row],[Sales Qty]]-Inventory_Data[[#This Row],[Closing Stock]]</f>
        <v>0</v>
      </c>
      <c r="N713">
        <f>Inventory_Data[[#This Row],[Purchase Qty]]*Inventory_Data[[#This Row],[Unit Cost]]</f>
        <v>877680</v>
      </c>
      <c r="O713" t="str">
        <f>IF(Inventory_Data[[#This Row],[Closing Stock]]&lt;=Inventory_Data[[#This Row],[Reorder Level]],"Low Stock","In Stock")</f>
        <v>In Stock</v>
      </c>
      <c r="P713" t="str">
        <f>TEXT(Inventory_Data[[#This Row],[Date]],"MMM")</f>
        <v>Jun</v>
      </c>
      <c r="Q713" t="str">
        <f>TEXT(Inventory_Data[[#This Row],[Date]],"YYYY")</f>
        <v>2025</v>
      </c>
    </row>
    <row r="714" spans="1:17" x14ac:dyDescent="0.3">
      <c r="A714" s="1">
        <v>45813</v>
      </c>
      <c r="B714" t="s">
        <v>21</v>
      </c>
      <c r="C714" t="s">
        <v>22</v>
      </c>
      <c r="D714" t="s">
        <v>37</v>
      </c>
      <c r="E714" t="s">
        <v>15</v>
      </c>
      <c r="F714">
        <v>425</v>
      </c>
      <c r="G714">
        <v>231</v>
      </c>
      <c r="H714">
        <v>126</v>
      </c>
      <c r="I714">
        <v>530</v>
      </c>
      <c r="J714">
        <v>124</v>
      </c>
      <c r="K714">
        <v>383</v>
      </c>
      <c r="L714">
        <v>202990</v>
      </c>
      <c r="M714">
        <f>Inventory_Data[[#This Row],[Opening Stock]]+Inventory_Data[[#This Row],[Purchase Qty]]-Inventory_Data[[#This Row],[Sales Qty]]-Inventory_Data[[#This Row],[Closing Stock]]</f>
        <v>0</v>
      </c>
      <c r="N714">
        <f>Inventory_Data[[#This Row],[Purchase Qty]]*Inventory_Data[[#This Row],[Unit Cost]]</f>
        <v>88473</v>
      </c>
      <c r="O714" t="str">
        <f>IF(Inventory_Data[[#This Row],[Closing Stock]]&lt;=Inventory_Data[[#This Row],[Reorder Level]],"Low Stock","In Stock")</f>
        <v>In Stock</v>
      </c>
      <c r="P714" t="str">
        <f>TEXT(Inventory_Data[[#This Row],[Date]],"MMM")</f>
        <v>Jun</v>
      </c>
      <c r="Q714" t="str">
        <f>TEXT(Inventory_Data[[#This Row],[Date]],"YYYY")</f>
        <v>2025</v>
      </c>
    </row>
    <row r="715" spans="1:17" x14ac:dyDescent="0.3">
      <c r="A715" s="1">
        <v>45813</v>
      </c>
      <c r="B715" t="s">
        <v>39</v>
      </c>
      <c r="C715" t="s">
        <v>28</v>
      </c>
      <c r="D715" t="s">
        <v>14</v>
      </c>
      <c r="E715" t="s">
        <v>29</v>
      </c>
      <c r="F715">
        <v>69</v>
      </c>
      <c r="G715">
        <v>104</v>
      </c>
      <c r="H715">
        <v>59</v>
      </c>
      <c r="I715">
        <v>114</v>
      </c>
      <c r="J715">
        <v>29</v>
      </c>
      <c r="K715">
        <v>57576</v>
      </c>
      <c r="L715">
        <v>6563664</v>
      </c>
      <c r="M715">
        <f>Inventory_Data[[#This Row],[Opening Stock]]+Inventory_Data[[#This Row],[Purchase Qty]]-Inventory_Data[[#This Row],[Sales Qty]]-Inventory_Data[[#This Row],[Closing Stock]]</f>
        <v>0</v>
      </c>
      <c r="N715">
        <f>Inventory_Data[[#This Row],[Purchase Qty]]*Inventory_Data[[#This Row],[Unit Cost]]</f>
        <v>5987904</v>
      </c>
      <c r="O715" t="str">
        <f>IF(Inventory_Data[[#This Row],[Closing Stock]]&lt;=Inventory_Data[[#This Row],[Reorder Level]],"Low Stock","In Stock")</f>
        <v>In Stock</v>
      </c>
      <c r="P715" t="str">
        <f>TEXT(Inventory_Data[[#This Row],[Date]],"MMM")</f>
        <v>Jun</v>
      </c>
      <c r="Q715" t="str">
        <f>TEXT(Inventory_Data[[#This Row],[Date]],"YYYY")</f>
        <v>2025</v>
      </c>
    </row>
    <row r="716" spans="1:17" x14ac:dyDescent="0.3">
      <c r="A716" s="1">
        <v>45813</v>
      </c>
      <c r="B716" t="s">
        <v>35</v>
      </c>
      <c r="C716" t="s">
        <v>22</v>
      </c>
      <c r="D716" t="s">
        <v>14</v>
      </c>
      <c r="E716" t="s">
        <v>18</v>
      </c>
      <c r="F716">
        <v>162</v>
      </c>
      <c r="G716">
        <v>76</v>
      </c>
      <c r="H716">
        <v>238</v>
      </c>
      <c r="I716">
        <v>0</v>
      </c>
      <c r="J716">
        <v>147</v>
      </c>
      <c r="K716">
        <v>353</v>
      </c>
      <c r="L716">
        <v>0</v>
      </c>
      <c r="M716">
        <f>Inventory_Data[[#This Row],[Opening Stock]]+Inventory_Data[[#This Row],[Purchase Qty]]-Inventory_Data[[#This Row],[Sales Qty]]-Inventory_Data[[#This Row],[Closing Stock]]</f>
        <v>0</v>
      </c>
      <c r="N716">
        <f>Inventory_Data[[#This Row],[Purchase Qty]]*Inventory_Data[[#This Row],[Unit Cost]]</f>
        <v>26828</v>
      </c>
      <c r="O716" t="str">
        <f>IF(Inventory_Data[[#This Row],[Closing Stock]]&lt;=Inventory_Data[[#This Row],[Reorder Level]],"Low Stock","In Stock")</f>
        <v>Low Stock</v>
      </c>
      <c r="P716" t="str">
        <f>TEXT(Inventory_Data[[#This Row],[Date]],"MMM")</f>
        <v>Jun</v>
      </c>
      <c r="Q716" t="str">
        <f>TEXT(Inventory_Data[[#This Row],[Date]],"YYYY")</f>
        <v>2025</v>
      </c>
    </row>
    <row r="717" spans="1:17" x14ac:dyDescent="0.3">
      <c r="A717" s="1">
        <v>45813</v>
      </c>
      <c r="B717" t="s">
        <v>33</v>
      </c>
      <c r="C717" t="s">
        <v>13</v>
      </c>
      <c r="D717" t="s">
        <v>26</v>
      </c>
      <c r="E717" t="s">
        <v>29</v>
      </c>
      <c r="F717">
        <v>98</v>
      </c>
      <c r="G717">
        <v>43</v>
      </c>
      <c r="H717">
        <v>5</v>
      </c>
      <c r="I717">
        <v>136</v>
      </c>
      <c r="J717">
        <v>29</v>
      </c>
      <c r="K717">
        <v>14716</v>
      </c>
      <c r="L717">
        <v>2001376</v>
      </c>
      <c r="M717">
        <f>Inventory_Data[[#This Row],[Opening Stock]]+Inventory_Data[[#This Row],[Purchase Qty]]-Inventory_Data[[#This Row],[Sales Qty]]-Inventory_Data[[#This Row],[Closing Stock]]</f>
        <v>0</v>
      </c>
      <c r="N717">
        <f>Inventory_Data[[#This Row],[Purchase Qty]]*Inventory_Data[[#This Row],[Unit Cost]]</f>
        <v>632788</v>
      </c>
      <c r="O717" t="str">
        <f>IF(Inventory_Data[[#This Row],[Closing Stock]]&lt;=Inventory_Data[[#This Row],[Reorder Level]],"Low Stock","In Stock")</f>
        <v>In Stock</v>
      </c>
      <c r="P717" t="str">
        <f>TEXT(Inventory_Data[[#This Row],[Date]],"MMM")</f>
        <v>Jun</v>
      </c>
      <c r="Q717" t="str">
        <f>TEXT(Inventory_Data[[#This Row],[Date]],"YYYY")</f>
        <v>2025</v>
      </c>
    </row>
    <row r="718" spans="1:17" x14ac:dyDescent="0.3">
      <c r="A718" s="1">
        <v>45813</v>
      </c>
      <c r="B718" t="s">
        <v>16</v>
      </c>
      <c r="C718" t="s">
        <v>17</v>
      </c>
      <c r="D718" t="s">
        <v>26</v>
      </c>
      <c r="E718" t="s">
        <v>34</v>
      </c>
      <c r="F718">
        <v>33</v>
      </c>
      <c r="G718">
        <v>23</v>
      </c>
      <c r="H718">
        <v>34</v>
      </c>
      <c r="I718">
        <v>22</v>
      </c>
      <c r="J718">
        <v>12</v>
      </c>
      <c r="K718">
        <v>12947</v>
      </c>
      <c r="L718">
        <v>284834</v>
      </c>
      <c r="M718">
        <f>Inventory_Data[[#This Row],[Opening Stock]]+Inventory_Data[[#This Row],[Purchase Qty]]-Inventory_Data[[#This Row],[Sales Qty]]-Inventory_Data[[#This Row],[Closing Stock]]</f>
        <v>0</v>
      </c>
      <c r="N718">
        <f>Inventory_Data[[#This Row],[Purchase Qty]]*Inventory_Data[[#This Row],[Unit Cost]]</f>
        <v>297781</v>
      </c>
      <c r="O718" t="str">
        <f>IF(Inventory_Data[[#This Row],[Closing Stock]]&lt;=Inventory_Data[[#This Row],[Reorder Level]],"Low Stock","In Stock")</f>
        <v>In Stock</v>
      </c>
      <c r="P718" t="str">
        <f>TEXT(Inventory_Data[[#This Row],[Date]],"MMM")</f>
        <v>Jun</v>
      </c>
      <c r="Q718" t="str">
        <f>TEXT(Inventory_Data[[#This Row],[Date]],"YYYY")</f>
        <v>2025</v>
      </c>
    </row>
    <row r="719" spans="1:17" x14ac:dyDescent="0.3">
      <c r="A719" s="1">
        <v>45813</v>
      </c>
      <c r="B719" t="s">
        <v>12</v>
      </c>
      <c r="C719" t="s">
        <v>13</v>
      </c>
      <c r="D719" t="s">
        <v>23</v>
      </c>
      <c r="E719" t="s">
        <v>29</v>
      </c>
      <c r="F719">
        <v>28</v>
      </c>
      <c r="G719">
        <v>48</v>
      </c>
      <c r="H719">
        <v>32</v>
      </c>
      <c r="I719">
        <v>44</v>
      </c>
      <c r="J719">
        <v>28</v>
      </c>
      <c r="K719">
        <v>5772</v>
      </c>
      <c r="L719">
        <v>253968</v>
      </c>
      <c r="M719">
        <f>Inventory_Data[[#This Row],[Opening Stock]]+Inventory_Data[[#This Row],[Purchase Qty]]-Inventory_Data[[#This Row],[Sales Qty]]-Inventory_Data[[#This Row],[Closing Stock]]</f>
        <v>0</v>
      </c>
      <c r="N719">
        <f>Inventory_Data[[#This Row],[Purchase Qty]]*Inventory_Data[[#This Row],[Unit Cost]]</f>
        <v>277056</v>
      </c>
      <c r="O719" t="str">
        <f>IF(Inventory_Data[[#This Row],[Closing Stock]]&lt;=Inventory_Data[[#This Row],[Reorder Level]],"Low Stock","In Stock")</f>
        <v>In Stock</v>
      </c>
      <c r="P719" t="str">
        <f>TEXT(Inventory_Data[[#This Row],[Date]],"MMM")</f>
        <v>Jun</v>
      </c>
      <c r="Q719" t="str">
        <f>TEXT(Inventory_Data[[#This Row],[Date]],"YYYY")</f>
        <v>2025</v>
      </c>
    </row>
    <row r="720" spans="1:17" x14ac:dyDescent="0.3">
      <c r="A720" s="1">
        <v>45813</v>
      </c>
      <c r="B720" t="s">
        <v>45</v>
      </c>
      <c r="C720" t="s">
        <v>13</v>
      </c>
      <c r="D720" t="s">
        <v>23</v>
      </c>
      <c r="E720" t="s">
        <v>34</v>
      </c>
      <c r="F720">
        <v>96</v>
      </c>
      <c r="G720">
        <v>33</v>
      </c>
      <c r="H720">
        <v>19</v>
      </c>
      <c r="I720">
        <v>110</v>
      </c>
      <c r="J720">
        <v>26</v>
      </c>
      <c r="K720">
        <v>10495</v>
      </c>
      <c r="L720">
        <v>1154450</v>
      </c>
      <c r="M720">
        <f>Inventory_Data[[#This Row],[Opening Stock]]+Inventory_Data[[#This Row],[Purchase Qty]]-Inventory_Data[[#This Row],[Sales Qty]]-Inventory_Data[[#This Row],[Closing Stock]]</f>
        <v>0</v>
      </c>
      <c r="N720">
        <f>Inventory_Data[[#This Row],[Purchase Qty]]*Inventory_Data[[#This Row],[Unit Cost]]</f>
        <v>346335</v>
      </c>
      <c r="O720" t="str">
        <f>IF(Inventory_Data[[#This Row],[Closing Stock]]&lt;=Inventory_Data[[#This Row],[Reorder Level]],"Low Stock","In Stock")</f>
        <v>In Stock</v>
      </c>
      <c r="P720" t="str">
        <f>TEXT(Inventory_Data[[#This Row],[Date]],"MMM")</f>
        <v>Jun</v>
      </c>
      <c r="Q720" t="str">
        <f>TEXT(Inventory_Data[[#This Row],[Date]],"YYYY")</f>
        <v>2025</v>
      </c>
    </row>
    <row r="721" spans="1:17" x14ac:dyDescent="0.3">
      <c r="A721" s="1">
        <v>45814</v>
      </c>
      <c r="B721" t="s">
        <v>38</v>
      </c>
      <c r="C721" t="s">
        <v>17</v>
      </c>
      <c r="D721" t="s">
        <v>37</v>
      </c>
      <c r="E721" t="s">
        <v>15</v>
      </c>
      <c r="F721">
        <v>47</v>
      </c>
      <c r="G721">
        <v>37</v>
      </c>
      <c r="H721">
        <v>38</v>
      </c>
      <c r="I721">
        <v>46</v>
      </c>
      <c r="J721">
        <v>10</v>
      </c>
      <c r="K721">
        <v>18834</v>
      </c>
      <c r="L721">
        <v>866364</v>
      </c>
      <c r="M721">
        <f>Inventory_Data[[#This Row],[Opening Stock]]+Inventory_Data[[#This Row],[Purchase Qty]]-Inventory_Data[[#This Row],[Sales Qty]]-Inventory_Data[[#This Row],[Closing Stock]]</f>
        <v>0</v>
      </c>
      <c r="N721">
        <f>Inventory_Data[[#This Row],[Purchase Qty]]*Inventory_Data[[#This Row],[Unit Cost]]</f>
        <v>696858</v>
      </c>
      <c r="O721" t="str">
        <f>IF(Inventory_Data[[#This Row],[Closing Stock]]&lt;=Inventory_Data[[#This Row],[Reorder Level]],"Low Stock","In Stock")</f>
        <v>In Stock</v>
      </c>
      <c r="P721" t="str">
        <f>TEXT(Inventory_Data[[#This Row],[Date]],"MMM")</f>
        <v>Jun</v>
      </c>
      <c r="Q721" t="str">
        <f>TEXT(Inventory_Data[[#This Row],[Date]],"YYYY")</f>
        <v>2025</v>
      </c>
    </row>
    <row r="722" spans="1:17" x14ac:dyDescent="0.3">
      <c r="A722" s="1">
        <v>45814</v>
      </c>
      <c r="B722" t="s">
        <v>30</v>
      </c>
      <c r="C722" t="s">
        <v>28</v>
      </c>
      <c r="D722" t="s">
        <v>23</v>
      </c>
      <c r="E722" t="s">
        <v>20</v>
      </c>
      <c r="F722">
        <v>106</v>
      </c>
      <c r="G722">
        <v>27</v>
      </c>
      <c r="H722">
        <v>39</v>
      </c>
      <c r="I722">
        <v>94</v>
      </c>
      <c r="J722">
        <v>32</v>
      </c>
      <c r="K722">
        <v>1310</v>
      </c>
      <c r="L722">
        <v>123140</v>
      </c>
      <c r="M722">
        <f>Inventory_Data[[#This Row],[Opening Stock]]+Inventory_Data[[#This Row],[Purchase Qty]]-Inventory_Data[[#This Row],[Sales Qty]]-Inventory_Data[[#This Row],[Closing Stock]]</f>
        <v>0</v>
      </c>
      <c r="N722">
        <f>Inventory_Data[[#This Row],[Purchase Qty]]*Inventory_Data[[#This Row],[Unit Cost]]</f>
        <v>35370</v>
      </c>
      <c r="O722" t="str">
        <f>IF(Inventory_Data[[#This Row],[Closing Stock]]&lt;=Inventory_Data[[#This Row],[Reorder Level]],"Low Stock","In Stock")</f>
        <v>In Stock</v>
      </c>
      <c r="P722" t="str">
        <f>TEXT(Inventory_Data[[#This Row],[Date]],"MMM")</f>
        <v>Jun</v>
      </c>
      <c r="Q722" t="str">
        <f>TEXT(Inventory_Data[[#This Row],[Date]],"YYYY")</f>
        <v>2025</v>
      </c>
    </row>
    <row r="723" spans="1:17" x14ac:dyDescent="0.3">
      <c r="A723" s="1">
        <v>45815</v>
      </c>
      <c r="B723" t="s">
        <v>27</v>
      </c>
      <c r="C723" t="s">
        <v>28</v>
      </c>
      <c r="D723" t="s">
        <v>26</v>
      </c>
      <c r="E723" t="s">
        <v>34</v>
      </c>
      <c r="F723">
        <v>91</v>
      </c>
      <c r="G723">
        <v>114</v>
      </c>
      <c r="H723">
        <v>81</v>
      </c>
      <c r="I723">
        <v>124</v>
      </c>
      <c r="J723">
        <v>25</v>
      </c>
      <c r="K723">
        <v>48638</v>
      </c>
      <c r="L723">
        <v>6031112</v>
      </c>
      <c r="M723">
        <f>Inventory_Data[[#This Row],[Opening Stock]]+Inventory_Data[[#This Row],[Purchase Qty]]-Inventory_Data[[#This Row],[Sales Qty]]-Inventory_Data[[#This Row],[Closing Stock]]</f>
        <v>0</v>
      </c>
      <c r="N723">
        <f>Inventory_Data[[#This Row],[Purchase Qty]]*Inventory_Data[[#This Row],[Unit Cost]]</f>
        <v>5544732</v>
      </c>
      <c r="O723" t="str">
        <f>IF(Inventory_Data[[#This Row],[Closing Stock]]&lt;=Inventory_Data[[#This Row],[Reorder Level]],"Low Stock","In Stock")</f>
        <v>In Stock</v>
      </c>
      <c r="P723" t="str">
        <f>TEXT(Inventory_Data[[#This Row],[Date]],"MMM")</f>
        <v>Jun</v>
      </c>
      <c r="Q723" t="str">
        <f>TEXT(Inventory_Data[[#This Row],[Date]],"YYYY")</f>
        <v>2025</v>
      </c>
    </row>
    <row r="724" spans="1:17" x14ac:dyDescent="0.3">
      <c r="A724" s="1">
        <v>45815</v>
      </c>
      <c r="B724" t="s">
        <v>39</v>
      </c>
      <c r="C724" t="s">
        <v>28</v>
      </c>
      <c r="D724" t="s">
        <v>26</v>
      </c>
      <c r="E724" t="s">
        <v>18</v>
      </c>
      <c r="F724">
        <v>129</v>
      </c>
      <c r="G724">
        <v>93</v>
      </c>
      <c r="H724">
        <v>94</v>
      </c>
      <c r="I724">
        <v>128</v>
      </c>
      <c r="J724">
        <v>26</v>
      </c>
      <c r="K724">
        <v>61550</v>
      </c>
      <c r="L724">
        <v>7878400</v>
      </c>
      <c r="M724">
        <f>Inventory_Data[[#This Row],[Opening Stock]]+Inventory_Data[[#This Row],[Purchase Qty]]-Inventory_Data[[#This Row],[Sales Qty]]-Inventory_Data[[#This Row],[Closing Stock]]</f>
        <v>0</v>
      </c>
      <c r="N724">
        <f>Inventory_Data[[#This Row],[Purchase Qty]]*Inventory_Data[[#This Row],[Unit Cost]]</f>
        <v>5724150</v>
      </c>
      <c r="O724" t="str">
        <f>IF(Inventory_Data[[#This Row],[Closing Stock]]&lt;=Inventory_Data[[#This Row],[Reorder Level]],"Low Stock","In Stock")</f>
        <v>In Stock</v>
      </c>
      <c r="P724" t="str">
        <f>TEXT(Inventory_Data[[#This Row],[Date]],"MMM")</f>
        <v>Jun</v>
      </c>
      <c r="Q724" t="str">
        <f>TEXT(Inventory_Data[[#This Row],[Date]],"YYYY")</f>
        <v>2025</v>
      </c>
    </row>
    <row r="725" spans="1:17" x14ac:dyDescent="0.3">
      <c r="A725" s="1">
        <v>45815</v>
      </c>
      <c r="B725" t="s">
        <v>44</v>
      </c>
      <c r="C725" t="s">
        <v>28</v>
      </c>
      <c r="D725" t="s">
        <v>14</v>
      </c>
      <c r="E725" t="s">
        <v>18</v>
      </c>
      <c r="F725">
        <v>76</v>
      </c>
      <c r="G725">
        <v>58</v>
      </c>
      <c r="H725">
        <v>52</v>
      </c>
      <c r="I725">
        <v>82</v>
      </c>
      <c r="J725">
        <v>20</v>
      </c>
      <c r="K725">
        <v>61543</v>
      </c>
      <c r="L725">
        <v>5046526</v>
      </c>
      <c r="M725">
        <f>Inventory_Data[[#This Row],[Opening Stock]]+Inventory_Data[[#This Row],[Purchase Qty]]-Inventory_Data[[#This Row],[Sales Qty]]-Inventory_Data[[#This Row],[Closing Stock]]</f>
        <v>0</v>
      </c>
      <c r="N725">
        <f>Inventory_Data[[#This Row],[Purchase Qty]]*Inventory_Data[[#This Row],[Unit Cost]]</f>
        <v>3569494</v>
      </c>
      <c r="O725" t="str">
        <f>IF(Inventory_Data[[#This Row],[Closing Stock]]&lt;=Inventory_Data[[#This Row],[Reorder Level]],"Low Stock","In Stock")</f>
        <v>In Stock</v>
      </c>
      <c r="P725" t="str">
        <f>TEXT(Inventory_Data[[#This Row],[Date]],"MMM")</f>
        <v>Jun</v>
      </c>
      <c r="Q725" t="str">
        <f>TEXT(Inventory_Data[[#This Row],[Date]],"YYYY")</f>
        <v>2025</v>
      </c>
    </row>
    <row r="726" spans="1:17" x14ac:dyDescent="0.3">
      <c r="A726" s="1">
        <v>45815</v>
      </c>
      <c r="B726" t="s">
        <v>25</v>
      </c>
      <c r="C726" t="s">
        <v>17</v>
      </c>
      <c r="D726" t="s">
        <v>26</v>
      </c>
      <c r="E726" t="s">
        <v>18</v>
      </c>
      <c r="F726">
        <v>83</v>
      </c>
      <c r="G726">
        <v>57</v>
      </c>
      <c r="H726">
        <v>33</v>
      </c>
      <c r="I726">
        <v>107</v>
      </c>
      <c r="J726">
        <v>12</v>
      </c>
      <c r="K726">
        <v>14277</v>
      </c>
      <c r="L726">
        <v>1527639</v>
      </c>
      <c r="M726">
        <f>Inventory_Data[[#This Row],[Opening Stock]]+Inventory_Data[[#This Row],[Purchase Qty]]-Inventory_Data[[#This Row],[Sales Qty]]-Inventory_Data[[#This Row],[Closing Stock]]</f>
        <v>0</v>
      </c>
      <c r="N726">
        <f>Inventory_Data[[#This Row],[Purchase Qty]]*Inventory_Data[[#This Row],[Unit Cost]]</f>
        <v>813789</v>
      </c>
      <c r="O726" t="str">
        <f>IF(Inventory_Data[[#This Row],[Closing Stock]]&lt;=Inventory_Data[[#This Row],[Reorder Level]],"Low Stock","In Stock")</f>
        <v>In Stock</v>
      </c>
      <c r="P726" t="str">
        <f>TEXT(Inventory_Data[[#This Row],[Date]],"MMM")</f>
        <v>Jun</v>
      </c>
      <c r="Q726" t="str">
        <f>TEXT(Inventory_Data[[#This Row],[Date]],"YYYY")</f>
        <v>2025</v>
      </c>
    </row>
    <row r="727" spans="1:17" x14ac:dyDescent="0.3">
      <c r="A727" s="1">
        <v>45815</v>
      </c>
      <c r="B727" t="s">
        <v>36</v>
      </c>
      <c r="C727" t="s">
        <v>22</v>
      </c>
      <c r="D727" t="s">
        <v>14</v>
      </c>
      <c r="E727" t="s">
        <v>34</v>
      </c>
      <c r="F727">
        <v>153</v>
      </c>
      <c r="G727">
        <v>63</v>
      </c>
      <c r="H727">
        <v>111</v>
      </c>
      <c r="I727">
        <v>105</v>
      </c>
      <c r="J727">
        <v>135</v>
      </c>
      <c r="K727">
        <v>658</v>
      </c>
      <c r="L727">
        <v>69090</v>
      </c>
      <c r="M727">
        <f>Inventory_Data[[#This Row],[Opening Stock]]+Inventory_Data[[#This Row],[Purchase Qty]]-Inventory_Data[[#This Row],[Sales Qty]]-Inventory_Data[[#This Row],[Closing Stock]]</f>
        <v>0</v>
      </c>
      <c r="N727">
        <f>Inventory_Data[[#This Row],[Purchase Qty]]*Inventory_Data[[#This Row],[Unit Cost]]</f>
        <v>41454</v>
      </c>
      <c r="O727" t="str">
        <f>IF(Inventory_Data[[#This Row],[Closing Stock]]&lt;=Inventory_Data[[#This Row],[Reorder Level]],"Low Stock","In Stock")</f>
        <v>Low Stock</v>
      </c>
      <c r="P727" t="str">
        <f>TEXT(Inventory_Data[[#This Row],[Date]],"MMM")</f>
        <v>Jun</v>
      </c>
      <c r="Q727" t="str">
        <f>TEXT(Inventory_Data[[#This Row],[Date]],"YYYY")</f>
        <v>2025</v>
      </c>
    </row>
    <row r="728" spans="1:17" x14ac:dyDescent="0.3">
      <c r="A728" s="1">
        <v>45816</v>
      </c>
      <c r="B728" t="s">
        <v>35</v>
      </c>
      <c r="C728" t="s">
        <v>22</v>
      </c>
      <c r="D728" t="s">
        <v>14</v>
      </c>
      <c r="E728" t="s">
        <v>15</v>
      </c>
      <c r="F728">
        <v>491</v>
      </c>
      <c r="G728">
        <v>53</v>
      </c>
      <c r="H728">
        <v>13</v>
      </c>
      <c r="I728">
        <v>531</v>
      </c>
      <c r="J728">
        <v>69</v>
      </c>
      <c r="K728">
        <v>751</v>
      </c>
      <c r="L728">
        <v>398781</v>
      </c>
      <c r="M728">
        <f>Inventory_Data[[#This Row],[Opening Stock]]+Inventory_Data[[#This Row],[Purchase Qty]]-Inventory_Data[[#This Row],[Sales Qty]]-Inventory_Data[[#This Row],[Closing Stock]]</f>
        <v>0</v>
      </c>
      <c r="N728">
        <f>Inventory_Data[[#This Row],[Purchase Qty]]*Inventory_Data[[#This Row],[Unit Cost]]</f>
        <v>39803</v>
      </c>
      <c r="O728" t="str">
        <f>IF(Inventory_Data[[#This Row],[Closing Stock]]&lt;=Inventory_Data[[#This Row],[Reorder Level]],"Low Stock","In Stock")</f>
        <v>In Stock</v>
      </c>
      <c r="P728" t="str">
        <f>TEXT(Inventory_Data[[#This Row],[Date]],"MMM")</f>
        <v>Jun</v>
      </c>
      <c r="Q728" t="str">
        <f>TEXT(Inventory_Data[[#This Row],[Date]],"YYYY")</f>
        <v>2025</v>
      </c>
    </row>
    <row r="729" spans="1:17" x14ac:dyDescent="0.3">
      <c r="A729" s="1">
        <v>45816</v>
      </c>
      <c r="B729" t="s">
        <v>40</v>
      </c>
      <c r="C729" t="s">
        <v>28</v>
      </c>
      <c r="D729" t="s">
        <v>23</v>
      </c>
      <c r="E729" t="s">
        <v>29</v>
      </c>
      <c r="F729">
        <v>33</v>
      </c>
      <c r="G729">
        <v>106</v>
      </c>
      <c r="H729">
        <v>77</v>
      </c>
      <c r="I729">
        <v>62</v>
      </c>
      <c r="J729">
        <v>46</v>
      </c>
      <c r="K729">
        <v>4120</v>
      </c>
      <c r="L729">
        <v>255440</v>
      </c>
      <c r="M729">
        <f>Inventory_Data[[#This Row],[Opening Stock]]+Inventory_Data[[#This Row],[Purchase Qty]]-Inventory_Data[[#This Row],[Sales Qty]]-Inventory_Data[[#This Row],[Closing Stock]]</f>
        <v>0</v>
      </c>
      <c r="N729">
        <f>Inventory_Data[[#This Row],[Purchase Qty]]*Inventory_Data[[#This Row],[Unit Cost]]</f>
        <v>436720</v>
      </c>
      <c r="O729" t="str">
        <f>IF(Inventory_Data[[#This Row],[Closing Stock]]&lt;=Inventory_Data[[#This Row],[Reorder Level]],"Low Stock","In Stock")</f>
        <v>In Stock</v>
      </c>
      <c r="P729" t="str">
        <f>TEXT(Inventory_Data[[#This Row],[Date]],"MMM")</f>
        <v>Jun</v>
      </c>
      <c r="Q729" t="str">
        <f>TEXT(Inventory_Data[[#This Row],[Date]],"YYYY")</f>
        <v>2025</v>
      </c>
    </row>
    <row r="730" spans="1:17" x14ac:dyDescent="0.3">
      <c r="A730" s="1">
        <v>45817</v>
      </c>
      <c r="B730" t="s">
        <v>32</v>
      </c>
      <c r="C730" t="s">
        <v>28</v>
      </c>
      <c r="D730" t="s">
        <v>26</v>
      </c>
      <c r="E730" t="s">
        <v>20</v>
      </c>
      <c r="F730">
        <v>83</v>
      </c>
      <c r="G730">
        <v>81</v>
      </c>
      <c r="H730">
        <v>24</v>
      </c>
      <c r="I730">
        <v>140</v>
      </c>
      <c r="J730">
        <v>27</v>
      </c>
      <c r="K730">
        <v>43073</v>
      </c>
      <c r="L730">
        <v>6030220</v>
      </c>
      <c r="M730">
        <f>Inventory_Data[[#This Row],[Opening Stock]]+Inventory_Data[[#This Row],[Purchase Qty]]-Inventory_Data[[#This Row],[Sales Qty]]-Inventory_Data[[#This Row],[Closing Stock]]</f>
        <v>0</v>
      </c>
      <c r="N730">
        <f>Inventory_Data[[#This Row],[Purchase Qty]]*Inventory_Data[[#This Row],[Unit Cost]]</f>
        <v>3488913</v>
      </c>
      <c r="O730" t="str">
        <f>IF(Inventory_Data[[#This Row],[Closing Stock]]&lt;=Inventory_Data[[#This Row],[Reorder Level]],"Low Stock","In Stock")</f>
        <v>In Stock</v>
      </c>
      <c r="P730" t="str">
        <f>TEXT(Inventory_Data[[#This Row],[Date]],"MMM")</f>
        <v>Jun</v>
      </c>
      <c r="Q730" t="str">
        <f>TEXT(Inventory_Data[[#This Row],[Date]],"YYYY")</f>
        <v>2025</v>
      </c>
    </row>
    <row r="731" spans="1:17" x14ac:dyDescent="0.3">
      <c r="A731" s="1">
        <v>45817</v>
      </c>
      <c r="B731" t="s">
        <v>12</v>
      </c>
      <c r="C731" t="s">
        <v>13</v>
      </c>
      <c r="D731" t="s">
        <v>37</v>
      </c>
      <c r="E731" t="s">
        <v>20</v>
      </c>
      <c r="F731">
        <v>79</v>
      </c>
      <c r="G731">
        <v>42</v>
      </c>
      <c r="H731">
        <v>15</v>
      </c>
      <c r="I731">
        <v>106</v>
      </c>
      <c r="J731">
        <v>24</v>
      </c>
      <c r="K731">
        <v>4038</v>
      </c>
      <c r="L731">
        <v>428028</v>
      </c>
      <c r="M731">
        <f>Inventory_Data[[#This Row],[Opening Stock]]+Inventory_Data[[#This Row],[Purchase Qty]]-Inventory_Data[[#This Row],[Sales Qty]]-Inventory_Data[[#This Row],[Closing Stock]]</f>
        <v>0</v>
      </c>
      <c r="N731">
        <f>Inventory_Data[[#This Row],[Purchase Qty]]*Inventory_Data[[#This Row],[Unit Cost]]</f>
        <v>169596</v>
      </c>
      <c r="O731" t="str">
        <f>IF(Inventory_Data[[#This Row],[Closing Stock]]&lt;=Inventory_Data[[#This Row],[Reorder Level]],"Low Stock","In Stock")</f>
        <v>In Stock</v>
      </c>
      <c r="P731" t="str">
        <f>TEXT(Inventory_Data[[#This Row],[Date]],"MMM")</f>
        <v>Jun</v>
      </c>
      <c r="Q731" t="str">
        <f>TEXT(Inventory_Data[[#This Row],[Date]],"YYYY")</f>
        <v>2025</v>
      </c>
    </row>
    <row r="732" spans="1:17" x14ac:dyDescent="0.3">
      <c r="A732" s="1">
        <v>45817</v>
      </c>
      <c r="B732" t="s">
        <v>39</v>
      </c>
      <c r="C732" t="s">
        <v>28</v>
      </c>
      <c r="D732" t="s">
        <v>14</v>
      </c>
      <c r="E732" t="s">
        <v>15</v>
      </c>
      <c r="F732">
        <v>103</v>
      </c>
      <c r="G732">
        <v>33</v>
      </c>
      <c r="H732">
        <v>16</v>
      </c>
      <c r="I732">
        <v>120</v>
      </c>
      <c r="J732">
        <v>54</v>
      </c>
      <c r="K732">
        <v>7633</v>
      </c>
      <c r="L732">
        <v>915960</v>
      </c>
      <c r="M732">
        <f>Inventory_Data[[#This Row],[Opening Stock]]+Inventory_Data[[#This Row],[Purchase Qty]]-Inventory_Data[[#This Row],[Sales Qty]]-Inventory_Data[[#This Row],[Closing Stock]]</f>
        <v>0</v>
      </c>
      <c r="N732">
        <f>Inventory_Data[[#This Row],[Purchase Qty]]*Inventory_Data[[#This Row],[Unit Cost]]</f>
        <v>251889</v>
      </c>
      <c r="O732" t="str">
        <f>IF(Inventory_Data[[#This Row],[Closing Stock]]&lt;=Inventory_Data[[#This Row],[Reorder Level]],"Low Stock","In Stock")</f>
        <v>In Stock</v>
      </c>
      <c r="P732" t="str">
        <f>TEXT(Inventory_Data[[#This Row],[Date]],"MMM")</f>
        <v>Jun</v>
      </c>
      <c r="Q732" t="str">
        <f>TEXT(Inventory_Data[[#This Row],[Date]],"YYYY")</f>
        <v>2025</v>
      </c>
    </row>
    <row r="733" spans="1:17" x14ac:dyDescent="0.3">
      <c r="A733" s="1">
        <v>45817</v>
      </c>
      <c r="B733" t="s">
        <v>33</v>
      </c>
      <c r="C733" t="s">
        <v>13</v>
      </c>
      <c r="D733" t="s">
        <v>14</v>
      </c>
      <c r="E733" t="s">
        <v>34</v>
      </c>
      <c r="F733">
        <v>71</v>
      </c>
      <c r="G733">
        <v>57</v>
      </c>
      <c r="H733">
        <v>35</v>
      </c>
      <c r="I733">
        <v>93</v>
      </c>
      <c r="J733">
        <v>32</v>
      </c>
      <c r="K733">
        <v>15343</v>
      </c>
      <c r="L733">
        <v>1426899</v>
      </c>
      <c r="M733">
        <f>Inventory_Data[[#This Row],[Opening Stock]]+Inventory_Data[[#This Row],[Purchase Qty]]-Inventory_Data[[#This Row],[Sales Qty]]-Inventory_Data[[#This Row],[Closing Stock]]</f>
        <v>0</v>
      </c>
      <c r="N733">
        <f>Inventory_Data[[#This Row],[Purchase Qty]]*Inventory_Data[[#This Row],[Unit Cost]]</f>
        <v>874551</v>
      </c>
      <c r="O733" t="str">
        <f>IF(Inventory_Data[[#This Row],[Closing Stock]]&lt;=Inventory_Data[[#This Row],[Reorder Level]],"Low Stock","In Stock")</f>
        <v>In Stock</v>
      </c>
      <c r="P733" t="str">
        <f>TEXT(Inventory_Data[[#This Row],[Date]],"MMM")</f>
        <v>Jun</v>
      </c>
      <c r="Q733" t="str">
        <f>TEXT(Inventory_Data[[#This Row],[Date]],"YYYY")</f>
        <v>2025</v>
      </c>
    </row>
    <row r="734" spans="1:17" x14ac:dyDescent="0.3">
      <c r="A734" s="1">
        <v>45817</v>
      </c>
      <c r="B734" t="s">
        <v>16</v>
      </c>
      <c r="C734" t="s">
        <v>17</v>
      </c>
      <c r="D734" t="s">
        <v>14</v>
      </c>
      <c r="E734" t="s">
        <v>18</v>
      </c>
      <c r="F734">
        <v>79</v>
      </c>
      <c r="G734">
        <v>53</v>
      </c>
      <c r="H734">
        <v>41</v>
      </c>
      <c r="I734">
        <v>91</v>
      </c>
      <c r="J734">
        <v>16</v>
      </c>
      <c r="K734">
        <v>16994</v>
      </c>
      <c r="L734">
        <v>1546454</v>
      </c>
      <c r="M734">
        <f>Inventory_Data[[#This Row],[Opening Stock]]+Inventory_Data[[#This Row],[Purchase Qty]]-Inventory_Data[[#This Row],[Sales Qty]]-Inventory_Data[[#This Row],[Closing Stock]]</f>
        <v>0</v>
      </c>
      <c r="N734">
        <f>Inventory_Data[[#This Row],[Purchase Qty]]*Inventory_Data[[#This Row],[Unit Cost]]</f>
        <v>900682</v>
      </c>
      <c r="O734" t="str">
        <f>IF(Inventory_Data[[#This Row],[Closing Stock]]&lt;=Inventory_Data[[#This Row],[Reorder Level]],"Low Stock","In Stock")</f>
        <v>In Stock</v>
      </c>
      <c r="P734" t="str">
        <f>TEXT(Inventory_Data[[#This Row],[Date]],"MMM")</f>
        <v>Jun</v>
      </c>
      <c r="Q734" t="str">
        <f>TEXT(Inventory_Data[[#This Row],[Date]],"YYYY")</f>
        <v>2025</v>
      </c>
    </row>
    <row r="735" spans="1:17" x14ac:dyDescent="0.3">
      <c r="A735" s="1">
        <v>45817</v>
      </c>
      <c r="B735" t="s">
        <v>40</v>
      </c>
      <c r="C735" t="s">
        <v>28</v>
      </c>
      <c r="D735" t="s">
        <v>14</v>
      </c>
      <c r="E735" t="s">
        <v>34</v>
      </c>
      <c r="F735">
        <v>143</v>
      </c>
      <c r="G735">
        <v>51</v>
      </c>
      <c r="H735">
        <v>51</v>
      </c>
      <c r="I735">
        <v>143</v>
      </c>
      <c r="J735">
        <v>30</v>
      </c>
      <c r="K735">
        <v>57278</v>
      </c>
      <c r="L735">
        <v>8190754</v>
      </c>
      <c r="M735">
        <f>Inventory_Data[[#This Row],[Opening Stock]]+Inventory_Data[[#This Row],[Purchase Qty]]-Inventory_Data[[#This Row],[Sales Qty]]-Inventory_Data[[#This Row],[Closing Stock]]</f>
        <v>0</v>
      </c>
      <c r="N735">
        <f>Inventory_Data[[#This Row],[Purchase Qty]]*Inventory_Data[[#This Row],[Unit Cost]]</f>
        <v>2921178</v>
      </c>
      <c r="O735" t="str">
        <f>IF(Inventory_Data[[#This Row],[Closing Stock]]&lt;=Inventory_Data[[#This Row],[Reorder Level]],"Low Stock","In Stock")</f>
        <v>In Stock</v>
      </c>
      <c r="P735" t="str">
        <f>TEXT(Inventory_Data[[#This Row],[Date]],"MMM")</f>
        <v>Jun</v>
      </c>
      <c r="Q735" t="str">
        <f>TEXT(Inventory_Data[[#This Row],[Date]],"YYYY")</f>
        <v>2025</v>
      </c>
    </row>
    <row r="736" spans="1:17" x14ac:dyDescent="0.3">
      <c r="A736" s="1">
        <v>45818</v>
      </c>
      <c r="B736" t="s">
        <v>40</v>
      </c>
      <c r="C736" t="s">
        <v>28</v>
      </c>
      <c r="D736" t="s">
        <v>14</v>
      </c>
      <c r="E736" t="s">
        <v>20</v>
      </c>
      <c r="F736">
        <v>48</v>
      </c>
      <c r="G736">
        <v>88</v>
      </c>
      <c r="H736">
        <v>27</v>
      </c>
      <c r="I736">
        <v>109</v>
      </c>
      <c r="J736">
        <v>22</v>
      </c>
      <c r="K736">
        <v>17289</v>
      </c>
      <c r="L736">
        <v>1884501</v>
      </c>
      <c r="M736">
        <f>Inventory_Data[[#This Row],[Opening Stock]]+Inventory_Data[[#This Row],[Purchase Qty]]-Inventory_Data[[#This Row],[Sales Qty]]-Inventory_Data[[#This Row],[Closing Stock]]</f>
        <v>0</v>
      </c>
      <c r="N736">
        <f>Inventory_Data[[#This Row],[Purchase Qty]]*Inventory_Data[[#This Row],[Unit Cost]]</f>
        <v>1521432</v>
      </c>
      <c r="O736" t="str">
        <f>IF(Inventory_Data[[#This Row],[Closing Stock]]&lt;=Inventory_Data[[#This Row],[Reorder Level]],"Low Stock","In Stock")</f>
        <v>In Stock</v>
      </c>
      <c r="P736" t="str">
        <f>TEXT(Inventory_Data[[#This Row],[Date]],"MMM")</f>
        <v>Jun</v>
      </c>
      <c r="Q736" t="str">
        <f>TEXT(Inventory_Data[[#This Row],[Date]],"YYYY")</f>
        <v>2025</v>
      </c>
    </row>
    <row r="737" spans="1:17" x14ac:dyDescent="0.3">
      <c r="A737" s="1">
        <v>45818</v>
      </c>
      <c r="B737" t="s">
        <v>41</v>
      </c>
      <c r="C737" t="s">
        <v>22</v>
      </c>
      <c r="D737" t="s">
        <v>37</v>
      </c>
      <c r="E737" t="s">
        <v>20</v>
      </c>
      <c r="F737">
        <v>284</v>
      </c>
      <c r="G737">
        <v>219</v>
      </c>
      <c r="H737">
        <v>126</v>
      </c>
      <c r="I737">
        <v>377</v>
      </c>
      <c r="J737">
        <v>51</v>
      </c>
      <c r="K737">
        <v>290</v>
      </c>
      <c r="L737">
        <v>109330</v>
      </c>
      <c r="M737">
        <f>Inventory_Data[[#This Row],[Opening Stock]]+Inventory_Data[[#This Row],[Purchase Qty]]-Inventory_Data[[#This Row],[Sales Qty]]-Inventory_Data[[#This Row],[Closing Stock]]</f>
        <v>0</v>
      </c>
      <c r="N737">
        <f>Inventory_Data[[#This Row],[Purchase Qty]]*Inventory_Data[[#This Row],[Unit Cost]]</f>
        <v>63510</v>
      </c>
      <c r="O737" t="str">
        <f>IF(Inventory_Data[[#This Row],[Closing Stock]]&lt;=Inventory_Data[[#This Row],[Reorder Level]],"Low Stock","In Stock")</f>
        <v>In Stock</v>
      </c>
      <c r="P737" t="str">
        <f>TEXT(Inventory_Data[[#This Row],[Date]],"MMM")</f>
        <v>Jun</v>
      </c>
      <c r="Q737" t="str">
        <f>TEXT(Inventory_Data[[#This Row],[Date]],"YYYY")</f>
        <v>2025</v>
      </c>
    </row>
    <row r="738" spans="1:17" x14ac:dyDescent="0.3">
      <c r="A738" s="1">
        <v>45818</v>
      </c>
      <c r="B738" t="s">
        <v>38</v>
      </c>
      <c r="C738" t="s">
        <v>17</v>
      </c>
      <c r="D738" t="s">
        <v>26</v>
      </c>
      <c r="E738" t="s">
        <v>34</v>
      </c>
      <c r="F738">
        <v>42</v>
      </c>
      <c r="G738">
        <v>12</v>
      </c>
      <c r="H738">
        <v>21</v>
      </c>
      <c r="I738">
        <v>33</v>
      </c>
      <c r="J738">
        <v>22</v>
      </c>
      <c r="K738">
        <v>18411</v>
      </c>
      <c r="L738">
        <v>607563</v>
      </c>
      <c r="M738">
        <f>Inventory_Data[[#This Row],[Opening Stock]]+Inventory_Data[[#This Row],[Purchase Qty]]-Inventory_Data[[#This Row],[Sales Qty]]-Inventory_Data[[#This Row],[Closing Stock]]</f>
        <v>0</v>
      </c>
      <c r="N738">
        <f>Inventory_Data[[#This Row],[Purchase Qty]]*Inventory_Data[[#This Row],[Unit Cost]]</f>
        <v>220932</v>
      </c>
      <c r="O738" t="str">
        <f>IF(Inventory_Data[[#This Row],[Closing Stock]]&lt;=Inventory_Data[[#This Row],[Reorder Level]],"Low Stock","In Stock")</f>
        <v>In Stock</v>
      </c>
      <c r="P738" t="str">
        <f>TEXT(Inventory_Data[[#This Row],[Date]],"MMM")</f>
        <v>Jun</v>
      </c>
      <c r="Q738" t="str">
        <f>TEXT(Inventory_Data[[#This Row],[Date]],"YYYY")</f>
        <v>2025</v>
      </c>
    </row>
    <row r="739" spans="1:17" x14ac:dyDescent="0.3">
      <c r="A739" s="1">
        <v>45819</v>
      </c>
      <c r="B739" t="s">
        <v>21</v>
      </c>
      <c r="C739" t="s">
        <v>22</v>
      </c>
      <c r="D739" t="s">
        <v>14</v>
      </c>
      <c r="E739" t="s">
        <v>34</v>
      </c>
      <c r="F739">
        <v>360</v>
      </c>
      <c r="G739">
        <v>81</v>
      </c>
      <c r="H739">
        <v>45</v>
      </c>
      <c r="I739">
        <v>396</v>
      </c>
      <c r="J739">
        <v>68</v>
      </c>
      <c r="K739">
        <v>71</v>
      </c>
      <c r="L739">
        <v>28116</v>
      </c>
      <c r="M739">
        <f>Inventory_Data[[#This Row],[Opening Stock]]+Inventory_Data[[#This Row],[Purchase Qty]]-Inventory_Data[[#This Row],[Sales Qty]]-Inventory_Data[[#This Row],[Closing Stock]]</f>
        <v>0</v>
      </c>
      <c r="N739">
        <f>Inventory_Data[[#This Row],[Purchase Qty]]*Inventory_Data[[#This Row],[Unit Cost]]</f>
        <v>5751</v>
      </c>
      <c r="O739" t="str">
        <f>IF(Inventory_Data[[#This Row],[Closing Stock]]&lt;=Inventory_Data[[#This Row],[Reorder Level]],"Low Stock","In Stock")</f>
        <v>In Stock</v>
      </c>
      <c r="P739" t="str">
        <f>TEXT(Inventory_Data[[#This Row],[Date]],"MMM")</f>
        <v>Jun</v>
      </c>
      <c r="Q739" t="str">
        <f>TEXT(Inventory_Data[[#This Row],[Date]],"YYYY")</f>
        <v>2025</v>
      </c>
    </row>
    <row r="740" spans="1:17" x14ac:dyDescent="0.3">
      <c r="A740" s="1">
        <v>45819</v>
      </c>
      <c r="B740" t="s">
        <v>41</v>
      </c>
      <c r="C740" t="s">
        <v>22</v>
      </c>
      <c r="D740" t="s">
        <v>26</v>
      </c>
      <c r="E740" t="s">
        <v>34</v>
      </c>
      <c r="F740">
        <v>330</v>
      </c>
      <c r="G740">
        <v>282</v>
      </c>
      <c r="H740">
        <v>141</v>
      </c>
      <c r="I740">
        <v>471</v>
      </c>
      <c r="J740">
        <v>65</v>
      </c>
      <c r="K740">
        <v>493</v>
      </c>
      <c r="L740">
        <v>232203</v>
      </c>
      <c r="M740">
        <f>Inventory_Data[[#This Row],[Opening Stock]]+Inventory_Data[[#This Row],[Purchase Qty]]-Inventory_Data[[#This Row],[Sales Qty]]-Inventory_Data[[#This Row],[Closing Stock]]</f>
        <v>0</v>
      </c>
      <c r="N740">
        <f>Inventory_Data[[#This Row],[Purchase Qty]]*Inventory_Data[[#This Row],[Unit Cost]]</f>
        <v>139026</v>
      </c>
      <c r="O740" t="str">
        <f>IF(Inventory_Data[[#This Row],[Closing Stock]]&lt;=Inventory_Data[[#This Row],[Reorder Level]],"Low Stock","In Stock")</f>
        <v>In Stock</v>
      </c>
      <c r="P740" t="str">
        <f>TEXT(Inventory_Data[[#This Row],[Date]],"MMM")</f>
        <v>Jun</v>
      </c>
      <c r="Q740" t="str">
        <f>TEXT(Inventory_Data[[#This Row],[Date]],"YYYY")</f>
        <v>2025</v>
      </c>
    </row>
    <row r="741" spans="1:17" x14ac:dyDescent="0.3">
      <c r="A741" s="1">
        <v>45819</v>
      </c>
      <c r="B741" t="s">
        <v>25</v>
      </c>
      <c r="C741" t="s">
        <v>17</v>
      </c>
      <c r="D741" t="s">
        <v>26</v>
      </c>
      <c r="E741" t="s">
        <v>15</v>
      </c>
      <c r="F741">
        <v>76</v>
      </c>
      <c r="G741">
        <v>12</v>
      </c>
      <c r="H741">
        <v>32</v>
      </c>
      <c r="I741">
        <v>56</v>
      </c>
      <c r="J741">
        <v>22</v>
      </c>
      <c r="K741">
        <v>9254</v>
      </c>
      <c r="L741">
        <v>518224</v>
      </c>
      <c r="M741">
        <f>Inventory_Data[[#This Row],[Opening Stock]]+Inventory_Data[[#This Row],[Purchase Qty]]-Inventory_Data[[#This Row],[Sales Qty]]-Inventory_Data[[#This Row],[Closing Stock]]</f>
        <v>0</v>
      </c>
      <c r="N741">
        <f>Inventory_Data[[#This Row],[Purchase Qty]]*Inventory_Data[[#This Row],[Unit Cost]]</f>
        <v>111048</v>
      </c>
      <c r="O741" t="str">
        <f>IF(Inventory_Data[[#This Row],[Closing Stock]]&lt;=Inventory_Data[[#This Row],[Reorder Level]],"Low Stock","In Stock")</f>
        <v>In Stock</v>
      </c>
      <c r="P741" t="str">
        <f>TEXT(Inventory_Data[[#This Row],[Date]],"MMM")</f>
        <v>Jun</v>
      </c>
      <c r="Q741" t="str">
        <f>TEXT(Inventory_Data[[#This Row],[Date]],"YYYY")</f>
        <v>2025</v>
      </c>
    </row>
    <row r="742" spans="1:17" x14ac:dyDescent="0.3">
      <c r="A742" s="1">
        <v>45820</v>
      </c>
      <c r="B742" t="s">
        <v>33</v>
      </c>
      <c r="C742" t="s">
        <v>13</v>
      </c>
      <c r="D742" t="s">
        <v>26</v>
      </c>
      <c r="E742" t="s">
        <v>29</v>
      </c>
      <c r="F742">
        <v>94</v>
      </c>
      <c r="G742">
        <v>65</v>
      </c>
      <c r="H742">
        <v>43</v>
      </c>
      <c r="I742">
        <v>116</v>
      </c>
      <c r="J742">
        <v>15</v>
      </c>
      <c r="K742">
        <v>6399</v>
      </c>
      <c r="L742">
        <v>742284</v>
      </c>
      <c r="M742">
        <f>Inventory_Data[[#This Row],[Opening Stock]]+Inventory_Data[[#This Row],[Purchase Qty]]-Inventory_Data[[#This Row],[Sales Qty]]-Inventory_Data[[#This Row],[Closing Stock]]</f>
        <v>0</v>
      </c>
      <c r="N742">
        <f>Inventory_Data[[#This Row],[Purchase Qty]]*Inventory_Data[[#This Row],[Unit Cost]]</f>
        <v>415935</v>
      </c>
      <c r="O742" t="str">
        <f>IF(Inventory_Data[[#This Row],[Closing Stock]]&lt;=Inventory_Data[[#This Row],[Reorder Level]],"Low Stock","In Stock")</f>
        <v>In Stock</v>
      </c>
      <c r="P742" t="str">
        <f>TEXT(Inventory_Data[[#This Row],[Date]],"MMM")</f>
        <v>Jun</v>
      </c>
      <c r="Q742" t="str">
        <f>TEXT(Inventory_Data[[#This Row],[Date]],"YYYY")</f>
        <v>2025</v>
      </c>
    </row>
    <row r="743" spans="1:17" x14ac:dyDescent="0.3">
      <c r="A743" s="1">
        <v>45820</v>
      </c>
      <c r="B743" t="s">
        <v>36</v>
      </c>
      <c r="C743" t="s">
        <v>22</v>
      </c>
      <c r="D743" t="s">
        <v>23</v>
      </c>
      <c r="E743" t="s">
        <v>18</v>
      </c>
      <c r="F743">
        <v>483</v>
      </c>
      <c r="G743">
        <v>69</v>
      </c>
      <c r="H743">
        <v>263</v>
      </c>
      <c r="I743">
        <v>289</v>
      </c>
      <c r="J743">
        <v>134</v>
      </c>
      <c r="K743">
        <v>927</v>
      </c>
      <c r="L743">
        <v>267903</v>
      </c>
      <c r="M743">
        <f>Inventory_Data[[#This Row],[Opening Stock]]+Inventory_Data[[#This Row],[Purchase Qty]]-Inventory_Data[[#This Row],[Sales Qty]]-Inventory_Data[[#This Row],[Closing Stock]]</f>
        <v>0</v>
      </c>
      <c r="N743">
        <f>Inventory_Data[[#This Row],[Purchase Qty]]*Inventory_Data[[#This Row],[Unit Cost]]</f>
        <v>63963</v>
      </c>
      <c r="O743" t="str">
        <f>IF(Inventory_Data[[#This Row],[Closing Stock]]&lt;=Inventory_Data[[#This Row],[Reorder Level]],"Low Stock","In Stock")</f>
        <v>In Stock</v>
      </c>
      <c r="P743" t="str">
        <f>TEXT(Inventory_Data[[#This Row],[Date]],"MMM")</f>
        <v>Jun</v>
      </c>
      <c r="Q743" t="str">
        <f>TEXT(Inventory_Data[[#This Row],[Date]],"YYYY")</f>
        <v>2025</v>
      </c>
    </row>
    <row r="744" spans="1:17" x14ac:dyDescent="0.3">
      <c r="A744" s="1">
        <v>45820</v>
      </c>
      <c r="B744" t="s">
        <v>25</v>
      </c>
      <c r="C744" t="s">
        <v>17</v>
      </c>
      <c r="D744" t="s">
        <v>14</v>
      </c>
      <c r="E744" t="s">
        <v>20</v>
      </c>
      <c r="F744">
        <v>63</v>
      </c>
      <c r="G744">
        <v>27</v>
      </c>
      <c r="H744">
        <v>18</v>
      </c>
      <c r="I744">
        <v>72</v>
      </c>
      <c r="J744">
        <v>16</v>
      </c>
      <c r="K744">
        <v>3273</v>
      </c>
      <c r="L744">
        <v>235656</v>
      </c>
      <c r="M744">
        <f>Inventory_Data[[#This Row],[Opening Stock]]+Inventory_Data[[#This Row],[Purchase Qty]]-Inventory_Data[[#This Row],[Sales Qty]]-Inventory_Data[[#This Row],[Closing Stock]]</f>
        <v>0</v>
      </c>
      <c r="N744">
        <f>Inventory_Data[[#This Row],[Purchase Qty]]*Inventory_Data[[#This Row],[Unit Cost]]</f>
        <v>88371</v>
      </c>
      <c r="O744" t="str">
        <f>IF(Inventory_Data[[#This Row],[Closing Stock]]&lt;=Inventory_Data[[#This Row],[Reorder Level]],"Low Stock","In Stock")</f>
        <v>In Stock</v>
      </c>
      <c r="P744" t="str">
        <f>TEXT(Inventory_Data[[#This Row],[Date]],"MMM")</f>
        <v>Jun</v>
      </c>
      <c r="Q744" t="str">
        <f>TEXT(Inventory_Data[[#This Row],[Date]],"YYYY")</f>
        <v>2025</v>
      </c>
    </row>
    <row r="745" spans="1:17" x14ac:dyDescent="0.3">
      <c r="A745" s="1">
        <v>45820</v>
      </c>
      <c r="B745" t="s">
        <v>39</v>
      </c>
      <c r="C745" t="s">
        <v>28</v>
      </c>
      <c r="D745" t="s">
        <v>23</v>
      </c>
      <c r="E745" t="s">
        <v>18</v>
      </c>
      <c r="F745">
        <v>34</v>
      </c>
      <c r="G745">
        <v>105</v>
      </c>
      <c r="H745">
        <v>10</v>
      </c>
      <c r="I745">
        <v>129</v>
      </c>
      <c r="J745">
        <v>40</v>
      </c>
      <c r="K745">
        <v>46365</v>
      </c>
      <c r="L745">
        <v>5981085</v>
      </c>
      <c r="M745">
        <f>Inventory_Data[[#This Row],[Opening Stock]]+Inventory_Data[[#This Row],[Purchase Qty]]-Inventory_Data[[#This Row],[Sales Qty]]-Inventory_Data[[#This Row],[Closing Stock]]</f>
        <v>0</v>
      </c>
      <c r="N745">
        <f>Inventory_Data[[#This Row],[Purchase Qty]]*Inventory_Data[[#This Row],[Unit Cost]]</f>
        <v>4868325</v>
      </c>
      <c r="O745" t="str">
        <f>IF(Inventory_Data[[#This Row],[Closing Stock]]&lt;=Inventory_Data[[#This Row],[Reorder Level]],"Low Stock","In Stock")</f>
        <v>In Stock</v>
      </c>
      <c r="P745" t="str">
        <f>TEXT(Inventory_Data[[#This Row],[Date]],"MMM")</f>
        <v>Jun</v>
      </c>
      <c r="Q745" t="str">
        <f>TEXT(Inventory_Data[[#This Row],[Date]],"YYYY")</f>
        <v>2025</v>
      </c>
    </row>
    <row r="746" spans="1:17" x14ac:dyDescent="0.3">
      <c r="A746" s="1">
        <v>45820</v>
      </c>
      <c r="B746" t="s">
        <v>41</v>
      </c>
      <c r="C746" t="s">
        <v>22</v>
      </c>
      <c r="D746" t="s">
        <v>37</v>
      </c>
      <c r="E746" t="s">
        <v>20</v>
      </c>
      <c r="F746">
        <v>332</v>
      </c>
      <c r="G746">
        <v>246</v>
      </c>
      <c r="H746">
        <v>250</v>
      </c>
      <c r="I746">
        <v>328</v>
      </c>
      <c r="J746">
        <v>94</v>
      </c>
      <c r="K746">
        <v>876</v>
      </c>
      <c r="L746">
        <v>287328</v>
      </c>
      <c r="M746">
        <f>Inventory_Data[[#This Row],[Opening Stock]]+Inventory_Data[[#This Row],[Purchase Qty]]-Inventory_Data[[#This Row],[Sales Qty]]-Inventory_Data[[#This Row],[Closing Stock]]</f>
        <v>0</v>
      </c>
      <c r="N746">
        <f>Inventory_Data[[#This Row],[Purchase Qty]]*Inventory_Data[[#This Row],[Unit Cost]]</f>
        <v>215496</v>
      </c>
      <c r="O746" t="str">
        <f>IF(Inventory_Data[[#This Row],[Closing Stock]]&lt;=Inventory_Data[[#This Row],[Reorder Level]],"Low Stock","In Stock")</f>
        <v>In Stock</v>
      </c>
      <c r="P746" t="str">
        <f>TEXT(Inventory_Data[[#This Row],[Date]],"MMM")</f>
        <v>Jun</v>
      </c>
      <c r="Q746" t="str">
        <f>TEXT(Inventory_Data[[#This Row],[Date]],"YYYY")</f>
        <v>2025</v>
      </c>
    </row>
    <row r="747" spans="1:17" x14ac:dyDescent="0.3">
      <c r="A747" s="1">
        <v>45820</v>
      </c>
      <c r="B747" t="s">
        <v>35</v>
      </c>
      <c r="C747" t="s">
        <v>22</v>
      </c>
      <c r="D747" t="s">
        <v>26</v>
      </c>
      <c r="E747" t="s">
        <v>20</v>
      </c>
      <c r="F747">
        <v>369</v>
      </c>
      <c r="G747">
        <v>41</v>
      </c>
      <c r="H747">
        <v>217</v>
      </c>
      <c r="I747">
        <v>193</v>
      </c>
      <c r="J747">
        <v>95</v>
      </c>
      <c r="K747">
        <v>1103</v>
      </c>
      <c r="L747">
        <v>212879</v>
      </c>
      <c r="M747">
        <f>Inventory_Data[[#This Row],[Opening Stock]]+Inventory_Data[[#This Row],[Purchase Qty]]-Inventory_Data[[#This Row],[Sales Qty]]-Inventory_Data[[#This Row],[Closing Stock]]</f>
        <v>0</v>
      </c>
      <c r="N747">
        <f>Inventory_Data[[#This Row],[Purchase Qty]]*Inventory_Data[[#This Row],[Unit Cost]]</f>
        <v>45223</v>
      </c>
      <c r="O747" t="str">
        <f>IF(Inventory_Data[[#This Row],[Closing Stock]]&lt;=Inventory_Data[[#This Row],[Reorder Level]],"Low Stock","In Stock")</f>
        <v>In Stock</v>
      </c>
      <c r="P747" t="str">
        <f>TEXT(Inventory_Data[[#This Row],[Date]],"MMM")</f>
        <v>Jun</v>
      </c>
      <c r="Q747" t="str">
        <f>TEXT(Inventory_Data[[#This Row],[Date]],"YYYY")</f>
        <v>2025</v>
      </c>
    </row>
    <row r="748" spans="1:17" x14ac:dyDescent="0.3">
      <c r="A748" s="1">
        <v>45820</v>
      </c>
      <c r="B748" t="s">
        <v>12</v>
      </c>
      <c r="C748" t="s">
        <v>13</v>
      </c>
      <c r="D748" t="s">
        <v>26</v>
      </c>
      <c r="E748" t="s">
        <v>20</v>
      </c>
      <c r="F748">
        <v>95</v>
      </c>
      <c r="G748">
        <v>28</v>
      </c>
      <c r="H748">
        <v>32</v>
      </c>
      <c r="I748">
        <v>91</v>
      </c>
      <c r="J748">
        <v>34</v>
      </c>
      <c r="K748">
        <v>11609</v>
      </c>
      <c r="L748">
        <v>1056419</v>
      </c>
      <c r="M748">
        <f>Inventory_Data[[#This Row],[Opening Stock]]+Inventory_Data[[#This Row],[Purchase Qty]]-Inventory_Data[[#This Row],[Sales Qty]]-Inventory_Data[[#This Row],[Closing Stock]]</f>
        <v>0</v>
      </c>
      <c r="N748">
        <f>Inventory_Data[[#This Row],[Purchase Qty]]*Inventory_Data[[#This Row],[Unit Cost]]</f>
        <v>325052</v>
      </c>
      <c r="O748" t="str">
        <f>IF(Inventory_Data[[#This Row],[Closing Stock]]&lt;=Inventory_Data[[#This Row],[Reorder Level]],"Low Stock","In Stock")</f>
        <v>In Stock</v>
      </c>
      <c r="P748" t="str">
        <f>TEXT(Inventory_Data[[#This Row],[Date]],"MMM")</f>
        <v>Jun</v>
      </c>
      <c r="Q748" t="str">
        <f>TEXT(Inventory_Data[[#This Row],[Date]],"YYYY")</f>
        <v>2025</v>
      </c>
    </row>
    <row r="749" spans="1:17" x14ac:dyDescent="0.3">
      <c r="A749" s="1">
        <v>45820</v>
      </c>
      <c r="B749" t="s">
        <v>40</v>
      </c>
      <c r="C749" t="s">
        <v>28</v>
      </c>
      <c r="D749" t="s">
        <v>37</v>
      </c>
      <c r="E749" t="s">
        <v>20</v>
      </c>
      <c r="F749">
        <v>100</v>
      </c>
      <c r="G749">
        <v>69</v>
      </c>
      <c r="H749">
        <v>80</v>
      </c>
      <c r="I749">
        <v>89</v>
      </c>
      <c r="J749">
        <v>55</v>
      </c>
      <c r="K749">
        <v>40798</v>
      </c>
      <c r="L749">
        <v>3631022</v>
      </c>
      <c r="M749">
        <f>Inventory_Data[[#This Row],[Opening Stock]]+Inventory_Data[[#This Row],[Purchase Qty]]-Inventory_Data[[#This Row],[Sales Qty]]-Inventory_Data[[#This Row],[Closing Stock]]</f>
        <v>0</v>
      </c>
      <c r="N749">
        <f>Inventory_Data[[#This Row],[Purchase Qty]]*Inventory_Data[[#This Row],[Unit Cost]]</f>
        <v>2815062</v>
      </c>
      <c r="O749" t="str">
        <f>IF(Inventory_Data[[#This Row],[Closing Stock]]&lt;=Inventory_Data[[#This Row],[Reorder Level]],"Low Stock","In Stock")</f>
        <v>In Stock</v>
      </c>
      <c r="P749" t="str">
        <f>TEXT(Inventory_Data[[#This Row],[Date]],"MMM")</f>
        <v>Jun</v>
      </c>
      <c r="Q749" t="str">
        <f>TEXT(Inventory_Data[[#This Row],[Date]],"YYYY")</f>
        <v>2025</v>
      </c>
    </row>
    <row r="750" spans="1:17" x14ac:dyDescent="0.3">
      <c r="A750" s="1">
        <v>45820</v>
      </c>
      <c r="B750" t="s">
        <v>31</v>
      </c>
      <c r="C750" t="s">
        <v>22</v>
      </c>
      <c r="D750" t="s">
        <v>37</v>
      </c>
      <c r="E750" t="s">
        <v>29</v>
      </c>
      <c r="F750">
        <v>130</v>
      </c>
      <c r="G750">
        <v>199</v>
      </c>
      <c r="H750">
        <v>205</v>
      </c>
      <c r="I750">
        <v>124</v>
      </c>
      <c r="J750">
        <v>96</v>
      </c>
      <c r="K750">
        <v>222</v>
      </c>
      <c r="L750">
        <v>27528</v>
      </c>
      <c r="M750">
        <f>Inventory_Data[[#This Row],[Opening Stock]]+Inventory_Data[[#This Row],[Purchase Qty]]-Inventory_Data[[#This Row],[Sales Qty]]-Inventory_Data[[#This Row],[Closing Stock]]</f>
        <v>0</v>
      </c>
      <c r="N750">
        <f>Inventory_Data[[#This Row],[Purchase Qty]]*Inventory_Data[[#This Row],[Unit Cost]]</f>
        <v>44178</v>
      </c>
      <c r="O750" t="str">
        <f>IF(Inventory_Data[[#This Row],[Closing Stock]]&lt;=Inventory_Data[[#This Row],[Reorder Level]],"Low Stock","In Stock")</f>
        <v>In Stock</v>
      </c>
      <c r="P750" t="str">
        <f>TEXT(Inventory_Data[[#This Row],[Date]],"MMM")</f>
        <v>Jun</v>
      </c>
      <c r="Q750" t="str">
        <f>TEXT(Inventory_Data[[#This Row],[Date]],"YYYY")</f>
        <v>2025</v>
      </c>
    </row>
    <row r="751" spans="1:17" x14ac:dyDescent="0.3">
      <c r="A751" s="1">
        <v>45820</v>
      </c>
      <c r="B751" t="s">
        <v>41</v>
      </c>
      <c r="C751" t="s">
        <v>22</v>
      </c>
      <c r="D751" t="s">
        <v>37</v>
      </c>
      <c r="E751" t="s">
        <v>20</v>
      </c>
      <c r="F751">
        <v>146</v>
      </c>
      <c r="G751">
        <v>84</v>
      </c>
      <c r="H751">
        <v>136</v>
      </c>
      <c r="I751">
        <v>94</v>
      </c>
      <c r="J751">
        <v>142</v>
      </c>
      <c r="K751">
        <v>724</v>
      </c>
      <c r="L751">
        <v>68056</v>
      </c>
      <c r="M751">
        <f>Inventory_Data[[#This Row],[Opening Stock]]+Inventory_Data[[#This Row],[Purchase Qty]]-Inventory_Data[[#This Row],[Sales Qty]]-Inventory_Data[[#This Row],[Closing Stock]]</f>
        <v>0</v>
      </c>
      <c r="N751">
        <f>Inventory_Data[[#This Row],[Purchase Qty]]*Inventory_Data[[#This Row],[Unit Cost]]</f>
        <v>60816</v>
      </c>
      <c r="O751" t="str">
        <f>IF(Inventory_Data[[#This Row],[Closing Stock]]&lt;=Inventory_Data[[#This Row],[Reorder Level]],"Low Stock","In Stock")</f>
        <v>Low Stock</v>
      </c>
      <c r="P751" t="str">
        <f>TEXT(Inventory_Data[[#This Row],[Date]],"MMM")</f>
        <v>Jun</v>
      </c>
      <c r="Q751" t="str">
        <f>TEXT(Inventory_Data[[#This Row],[Date]],"YYYY")</f>
        <v>2025</v>
      </c>
    </row>
    <row r="752" spans="1:17" x14ac:dyDescent="0.3">
      <c r="A752" s="1">
        <v>45820</v>
      </c>
      <c r="B752" t="s">
        <v>41</v>
      </c>
      <c r="C752" t="s">
        <v>22</v>
      </c>
      <c r="D752" t="s">
        <v>14</v>
      </c>
      <c r="E752" t="s">
        <v>29</v>
      </c>
      <c r="F752">
        <v>109</v>
      </c>
      <c r="G752">
        <v>60</v>
      </c>
      <c r="H752">
        <v>85</v>
      </c>
      <c r="I752">
        <v>84</v>
      </c>
      <c r="J752">
        <v>51</v>
      </c>
      <c r="K752">
        <v>336</v>
      </c>
      <c r="L752">
        <v>28224</v>
      </c>
      <c r="M752">
        <f>Inventory_Data[[#This Row],[Opening Stock]]+Inventory_Data[[#This Row],[Purchase Qty]]-Inventory_Data[[#This Row],[Sales Qty]]-Inventory_Data[[#This Row],[Closing Stock]]</f>
        <v>0</v>
      </c>
      <c r="N752">
        <f>Inventory_Data[[#This Row],[Purchase Qty]]*Inventory_Data[[#This Row],[Unit Cost]]</f>
        <v>20160</v>
      </c>
      <c r="O752" t="str">
        <f>IF(Inventory_Data[[#This Row],[Closing Stock]]&lt;=Inventory_Data[[#This Row],[Reorder Level]],"Low Stock","In Stock")</f>
        <v>In Stock</v>
      </c>
      <c r="P752" t="str">
        <f>TEXT(Inventory_Data[[#This Row],[Date]],"MMM")</f>
        <v>Jun</v>
      </c>
      <c r="Q752" t="str">
        <f>TEXT(Inventory_Data[[#This Row],[Date]],"YYYY")</f>
        <v>2025</v>
      </c>
    </row>
    <row r="753" spans="1:17" x14ac:dyDescent="0.3">
      <c r="A753" s="1">
        <v>45820</v>
      </c>
      <c r="B753" t="s">
        <v>38</v>
      </c>
      <c r="C753" t="s">
        <v>17</v>
      </c>
      <c r="D753" t="s">
        <v>37</v>
      </c>
      <c r="E753" t="s">
        <v>20</v>
      </c>
      <c r="F753">
        <v>61</v>
      </c>
      <c r="G753">
        <v>18</v>
      </c>
      <c r="H753">
        <v>37</v>
      </c>
      <c r="I753">
        <v>42</v>
      </c>
      <c r="J753">
        <v>17</v>
      </c>
      <c r="K753">
        <v>11379</v>
      </c>
      <c r="L753">
        <v>477918</v>
      </c>
      <c r="M753">
        <f>Inventory_Data[[#This Row],[Opening Stock]]+Inventory_Data[[#This Row],[Purchase Qty]]-Inventory_Data[[#This Row],[Sales Qty]]-Inventory_Data[[#This Row],[Closing Stock]]</f>
        <v>0</v>
      </c>
      <c r="N753">
        <f>Inventory_Data[[#This Row],[Purchase Qty]]*Inventory_Data[[#This Row],[Unit Cost]]</f>
        <v>204822</v>
      </c>
      <c r="O753" t="str">
        <f>IF(Inventory_Data[[#This Row],[Closing Stock]]&lt;=Inventory_Data[[#This Row],[Reorder Level]],"Low Stock","In Stock")</f>
        <v>In Stock</v>
      </c>
      <c r="P753" t="str">
        <f>TEXT(Inventory_Data[[#This Row],[Date]],"MMM")</f>
        <v>Jun</v>
      </c>
      <c r="Q753" t="str">
        <f>TEXT(Inventory_Data[[#This Row],[Date]],"YYYY")</f>
        <v>2025</v>
      </c>
    </row>
    <row r="754" spans="1:17" x14ac:dyDescent="0.3">
      <c r="A754" s="1">
        <v>45820</v>
      </c>
      <c r="B754" t="s">
        <v>27</v>
      </c>
      <c r="C754" t="s">
        <v>28</v>
      </c>
      <c r="D754" t="s">
        <v>37</v>
      </c>
      <c r="E754" t="s">
        <v>20</v>
      </c>
      <c r="F754">
        <v>67</v>
      </c>
      <c r="G754">
        <v>82</v>
      </c>
      <c r="H754">
        <v>76</v>
      </c>
      <c r="I754">
        <v>73</v>
      </c>
      <c r="J754">
        <v>36</v>
      </c>
      <c r="K754">
        <v>17299</v>
      </c>
      <c r="L754">
        <v>1262827</v>
      </c>
      <c r="M754">
        <f>Inventory_Data[[#This Row],[Opening Stock]]+Inventory_Data[[#This Row],[Purchase Qty]]-Inventory_Data[[#This Row],[Sales Qty]]-Inventory_Data[[#This Row],[Closing Stock]]</f>
        <v>0</v>
      </c>
      <c r="N754">
        <f>Inventory_Data[[#This Row],[Purchase Qty]]*Inventory_Data[[#This Row],[Unit Cost]]</f>
        <v>1418518</v>
      </c>
      <c r="O754" t="str">
        <f>IF(Inventory_Data[[#This Row],[Closing Stock]]&lt;=Inventory_Data[[#This Row],[Reorder Level]],"Low Stock","In Stock")</f>
        <v>In Stock</v>
      </c>
      <c r="P754" t="str">
        <f>TEXT(Inventory_Data[[#This Row],[Date]],"MMM")</f>
        <v>Jun</v>
      </c>
      <c r="Q754" t="str">
        <f>TEXT(Inventory_Data[[#This Row],[Date]],"YYYY")</f>
        <v>2025</v>
      </c>
    </row>
    <row r="755" spans="1:17" x14ac:dyDescent="0.3">
      <c r="A755" s="1">
        <v>45820</v>
      </c>
      <c r="B755" t="s">
        <v>35</v>
      </c>
      <c r="C755" t="s">
        <v>22</v>
      </c>
      <c r="D755" t="s">
        <v>26</v>
      </c>
      <c r="E755" t="s">
        <v>15</v>
      </c>
      <c r="F755">
        <v>185</v>
      </c>
      <c r="G755">
        <v>86</v>
      </c>
      <c r="H755">
        <v>186</v>
      </c>
      <c r="I755">
        <v>85</v>
      </c>
      <c r="J755">
        <v>137</v>
      </c>
      <c r="K755">
        <v>134</v>
      </c>
      <c r="L755">
        <v>11390</v>
      </c>
      <c r="M755">
        <f>Inventory_Data[[#This Row],[Opening Stock]]+Inventory_Data[[#This Row],[Purchase Qty]]-Inventory_Data[[#This Row],[Sales Qty]]-Inventory_Data[[#This Row],[Closing Stock]]</f>
        <v>0</v>
      </c>
      <c r="N755">
        <f>Inventory_Data[[#This Row],[Purchase Qty]]*Inventory_Data[[#This Row],[Unit Cost]]</f>
        <v>11524</v>
      </c>
      <c r="O755" t="str">
        <f>IF(Inventory_Data[[#This Row],[Closing Stock]]&lt;=Inventory_Data[[#This Row],[Reorder Level]],"Low Stock","In Stock")</f>
        <v>Low Stock</v>
      </c>
      <c r="P755" t="str">
        <f>TEXT(Inventory_Data[[#This Row],[Date]],"MMM")</f>
        <v>Jun</v>
      </c>
      <c r="Q755" t="str">
        <f>TEXT(Inventory_Data[[#This Row],[Date]],"YYYY")</f>
        <v>2025</v>
      </c>
    </row>
    <row r="756" spans="1:17" x14ac:dyDescent="0.3">
      <c r="A756" s="1">
        <v>45820</v>
      </c>
      <c r="B756" t="s">
        <v>43</v>
      </c>
      <c r="C756" t="s">
        <v>22</v>
      </c>
      <c r="D756" t="s">
        <v>26</v>
      </c>
      <c r="E756" t="s">
        <v>20</v>
      </c>
      <c r="F756">
        <v>415</v>
      </c>
      <c r="G756">
        <v>43</v>
      </c>
      <c r="H756">
        <v>248</v>
      </c>
      <c r="I756">
        <v>210</v>
      </c>
      <c r="J756">
        <v>110</v>
      </c>
      <c r="K756">
        <v>91</v>
      </c>
      <c r="L756">
        <v>19110</v>
      </c>
      <c r="M756">
        <f>Inventory_Data[[#This Row],[Opening Stock]]+Inventory_Data[[#This Row],[Purchase Qty]]-Inventory_Data[[#This Row],[Sales Qty]]-Inventory_Data[[#This Row],[Closing Stock]]</f>
        <v>0</v>
      </c>
      <c r="N756">
        <f>Inventory_Data[[#This Row],[Purchase Qty]]*Inventory_Data[[#This Row],[Unit Cost]]</f>
        <v>3913</v>
      </c>
      <c r="O756" t="str">
        <f>IF(Inventory_Data[[#This Row],[Closing Stock]]&lt;=Inventory_Data[[#This Row],[Reorder Level]],"Low Stock","In Stock")</f>
        <v>In Stock</v>
      </c>
      <c r="P756" t="str">
        <f>TEXT(Inventory_Data[[#This Row],[Date]],"MMM")</f>
        <v>Jun</v>
      </c>
      <c r="Q756" t="str">
        <f>TEXT(Inventory_Data[[#This Row],[Date]],"YYYY")</f>
        <v>2025</v>
      </c>
    </row>
    <row r="757" spans="1:17" x14ac:dyDescent="0.3">
      <c r="A757" s="1">
        <v>45820</v>
      </c>
      <c r="B757" t="s">
        <v>43</v>
      </c>
      <c r="C757" t="s">
        <v>22</v>
      </c>
      <c r="D757" t="s">
        <v>14</v>
      </c>
      <c r="E757" t="s">
        <v>18</v>
      </c>
      <c r="F757">
        <v>421</v>
      </c>
      <c r="G757">
        <v>202</v>
      </c>
      <c r="H757">
        <v>44</v>
      </c>
      <c r="I757">
        <v>579</v>
      </c>
      <c r="J757">
        <v>58</v>
      </c>
      <c r="K757">
        <v>400</v>
      </c>
      <c r="L757">
        <v>231600</v>
      </c>
      <c r="M757">
        <f>Inventory_Data[[#This Row],[Opening Stock]]+Inventory_Data[[#This Row],[Purchase Qty]]-Inventory_Data[[#This Row],[Sales Qty]]-Inventory_Data[[#This Row],[Closing Stock]]</f>
        <v>0</v>
      </c>
      <c r="N757">
        <f>Inventory_Data[[#This Row],[Purchase Qty]]*Inventory_Data[[#This Row],[Unit Cost]]</f>
        <v>80800</v>
      </c>
      <c r="O757" t="str">
        <f>IF(Inventory_Data[[#This Row],[Closing Stock]]&lt;=Inventory_Data[[#This Row],[Reorder Level]],"Low Stock","In Stock")</f>
        <v>In Stock</v>
      </c>
      <c r="P757" t="str">
        <f>TEXT(Inventory_Data[[#This Row],[Date]],"MMM")</f>
        <v>Jun</v>
      </c>
      <c r="Q757" t="str">
        <f>TEXT(Inventory_Data[[#This Row],[Date]],"YYYY")</f>
        <v>2025</v>
      </c>
    </row>
    <row r="758" spans="1:17" x14ac:dyDescent="0.3">
      <c r="A758" s="1">
        <v>45821</v>
      </c>
      <c r="B758" t="s">
        <v>38</v>
      </c>
      <c r="C758" t="s">
        <v>17</v>
      </c>
      <c r="D758" t="s">
        <v>14</v>
      </c>
      <c r="E758" t="s">
        <v>15</v>
      </c>
      <c r="F758">
        <v>77</v>
      </c>
      <c r="G758">
        <v>27</v>
      </c>
      <c r="H758">
        <v>22</v>
      </c>
      <c r="I758">
        <v>82</v>
      </c>
      <c r="J758">
        <v>15</v>
      </c>
      <c r="K758">
        <v>20762</v>
      </c>
      <c r="L758">
        <v>1702484</v>
      </c>
      <c r="M758">
        <f>Inventory_Data[[#This Row],[Opening Stock]]+Inventory_Data[[#This Row],[Purchase Qty]]-Inventory_Data[[#This Row],[Sales Qty]]-Inventory_Data[[#This Row],[Closing Stock]]</f>
        <v>0</v>
      </c>
      <c r="N758">
        <f>Inventory_Data[[#This Row],[Purchase Qty]]*Inventory_Data[[#This Row],[Unit Cost]]</f>
        <v>560574</v>
      </c>
      <c r="O758" t="str">
        <f>IF(Inventory_Data[[#This Row],[Closing Stock]]&lt;=Inventory_Data[[#This Row],[Reorder Level]],"Low Stock","In Stock")</f>
        <v>In Stock</v>
      </c>
      <c r="P758" t="str">
        <f>TEXT(Inventory_Data[[#This Row],[Date]],"MMM")</f>
        <v>Jun</v>
      </c>
      <c r="Q758" t="str">
        <f>TEXT(Inventory_Data[[#This Row],[Date]],"YYYY")</f>
        <v>2025</v>
      </c>
    </row>
    <row r="759" spans="1:17" x14ac:dyDescent="0.3">
      <c r="A759" s="1">
        <v>45822</v>
      </c>
      <c r="B759" t="s">
        <v>42</v>
      </c>
      <c r="C759" t="s">
        <v>17</v>
      </c>
      <c r="D759" t="s">
        <v>37</v>
      </c>
      <c r="E759" t="s">
        <v>15</v>
      </c>
      <c r="F759">
        <v>13</v>
      </c>
      <c r="G759">
        <v>6</v>
      </c>
      <c r="H759">
        <v>19</v>
      </c>
      <c r="I759">
        <v>0</v>
      </c>
      <c r="J759">
        <v>21</v>
      </c>
      <c r="K759">
        <v>22613</v>
      </c>
      <c r="L759">
        <v>0</v>
      </c>
      <c r="M759">
        <f>Inventory_Data[[#This Row],[Opening Stock]]+Inventory_Data[[#This Row],[Purchase Qty]]-Inventory_Data[[#This Row],[Sales Qty]]-Inventory_Data[[#This Row],[Closing Stock]]</f>
        <v>0</v>
      </c>
      <c r="N759">
        <f>Inventory_Data[[#This Row],[Purchase Qty]]*Inventory_Data[[#This Row],[Unit Cost]]</f>
        <v>135678</v>
      </c>
      <c r="O759" t="str">
        <f>IF(Inventory_Data[[#This Row],[Closing Stock]]&lt;=Inventory_Data[[#This Row],[Reorder Level]],"Low Stock","In Stock")</f>
        <v>Low Stock</v>
      </c>
      <c r="P759" t="str">
        <f>TEXT(Inventory_Data[[#This Row],[Date]],"MMM")</f>
        <v>Jun</v>
      </c>
      <c r="Q759" t="str">
        <f>TEXT(Inventory_Data[[#This Row],[Date]],"YYYY")</f>
        <v>2025</v>
      </c>
    </row>
    <row r="760" spans="1:17" x14ac:dyDescent="0.3">
      <c r="A760" s="1">
        <v>45822</v>
      </c>
      <c r="B760" t="s">
        <v>44</v>
      </c>
      <c r="C760" t="s">
        <v>28</v>
      </c>
      <c r="D760" t="s">
        <v>14</v>
      </c>
      <c r="E760" t="s">
        <v>15</v>
      </c>
      <c r="F760">
        <v>88</v>
      </c>
      <c r="G760">
        <v>62</v>
      </c>
      <c r="H760">
        <v>56</v>
      </c>
      <c r="I760">
        <v>94</v>
      </c>
      <c r="J760">
        <v>38</v>
      </c>
      <c r="K760">
        <v>13431</v>
      </c>
      <c r="L760">
        <v>1262514</v>
      </c>
      <c r="M760">
        <f>Inventory_Data[[#This Row],[Opening Stock]]+Inventory_Data[[#This Row],[Purchase Qty]]-Inventory_Data[[#This Row],[Sales Qty]]-Inventory_Data[[#This Row],[Closing Stock]]</f>
        <v>0</v>
      </c>
      <c r="N760">
        <f>Inventory_Data[[#This Row],[Purchase Qty]]*Inventory_Data[[#This Row],[Unit Cost]]</f>
        <v>832722</v>
      </c>
      <c r="O760" t="str">
        <f>IF(Inventory_Data[[#This Row],[Closing Stock]]&lt;=Inventory_Data[[#This Row],[Reorder Level]],"Low Stock","In Stock")</f>
        <v>In Stock</v>
      </c>
      <c r="P760" t="str">
        <f>TEXT(Inventory_Data[[#This Row],[Date]],"MMM")</f>
        <v>Jun</v>
      </c>
      <c r="Q760" t="str">
        <f>TEXT(Inventory_Data[[#This Row],[Date]],"YYYY")</f>
        <v>2025</v>
      </c>
    </row>
    <row r="761" spans="1:17" x14ac:dyDescent="0.3">
      <c r="A761" s="1">
        <v>45822</v>
      </c>
      <c r="B761" t="s">
        <v>27</v>
      </c>
      <c r="C761" t="s">
        <v>28</v>
      </c>
      <c r="D761" t="s">
        <v>23</v>
      </c>
      <c r="E761" t="s">
        <v>20</v>
      </c>
      <c r="F761">
        <v>66</v>
      </c>
      <c r="G761">
        <v>99</v>
      </c>
      <c r="H761">
        <v>75</v>
      </c>
      <c r="I761">
        <v>90</v>
      </c>
      <c r="J761">
        <v>58</v>
      </c>
      <c r="K761">
        <v>52237</v>
      </c>
      <c r="L761">
        <v>4701330</v>
      </c>
      <c r="M761">
        <f>Inventory_Data[[#This Row],[Opening Stock]]+Inventory_Data[[#This Row],[Purchase Qty]]-Inventory_Data[[#This Row],[Sales Qty]]-Inventory_Data[[#This Row],[Closing Stock]]</f>
        <v>0</v>
      </c>
      <c r="N761">
        <f>Inventory_Data[[#This Row],[Purchase Qty]]*Inventory_Data[[#This Row],[Unit Cost]]</f>
        <v>5171463</v>
      </c>
      <c r="O761" t="str">
        <f>IF(Inventory_Data[[#This Row],[Closing Stock]]&lt;=Inventory_Data[[#This Row],[Reorder Level]],"Low Stock","In Stock")</f>
        <v>In Stock</v>
      </c>
      <c r="P761" t="str">
        <f>TEXT(Inventory_Data[[#This Row],[Date]],"MMM")</f>
        <v>Jun</v>
      </c>
      <c r="Q761" t="str">
        <f>TEXT(Inventory_Data[[#This Row],[Date]],"YYYY")</f>
        <v>2025</v>
      </c>
    </row>
    <row r="762" spans="1:17" x14ac:dyDescent="0.3">
      <c r="A762" s="1">
        <v>45822</v>
      </c>
      <c r="B762" t="s">
        <v>38</v>
      </c>
      <c r="C762" t="s">
        <v>17</v>
      </c>
      <c r="D762" t="s">
        <v>14</v>
      </c>
      <c r="E762" t="s">
        <v>29</v>
      </c>
      <c r="F762">
        <v>30</v>
      </c>
      <c r="G762">
        <v>5</v>
      </c>
      <c r="H762">
        <v>5</v>
      </c>
      <c r="I762">
        <v>30</v>
      </c>
      <c r="J762">
        <v>10</v>
      </c>
      <c r="K762">
        <v>12731</v>
      </c>
      <c r="L762">
        <v>381930</v>
      </c>
      <c r="M762">
        <f>Inventory_Data[[#This Row],[Opening Stock]]+Inventory_Data[[#This Row],[Purchase Qty]]-Inventory_Data[[#This Row],[Sales Qty]]-Inventory_Data[[#This Row],[Closing Stock]]</f>
        <v>0</v>
      </c>
      <c r="N762">
        <f>Inventory_Data[[#This Row],[Purchase Qty]]*Inventory_Data[[#This Row],[Unit Cost]]</f>
        <v>63655</v>
      </c>
      <c r="O762" t="str">
        <f>IF(Inventory_Data[[#This Row],[Closing Stock]]&lt;=Inventory_Data[[#This Row],[Reorder Level]],"Low Stock","In Stock")</f>
        <v>In Stock</v>
      </c>
      <c r="P762" t="str">
        <f>TEXT(Inventory_Data[[#This Row],[Date]],"MMM")</f>
        <v>Jun</v>
      </c>
      <c r="Q762" t="str">
        <f>TEXT(Inventory_Data[[#This Row],[Date]],"YYYY")</f>
        <v>2025</v>
      </c>
    </row>
    <row r="763" spans="1:17" x14ac:dyDescent="0.3">
      <c r="A763" s="1">
        <v>45822</v>
      </c>
      <c r="B763" t="s">
        <v>36</v>
      </c>
      <c r="C763" t="s">
        <v>22</v>
      </c>
      <c r="D763" t="s">
        <v>26</v>
      </c>
      <c r="E763" t="s">
        <v>29</v>
      </c>
      <c r="F763">
        <v>292</v>
      </c>
      <c r="G763">
        <v>119</v>
      </c>
      <c r="H763">
        <v>188</v>
      </c>
      <c r="I763">
        <v>223</v>
      </c>
      <c r="J763">
        <v>107</v>
      </c>
      <c r="K763">
        <v>1006</v>
      </c>
      <c r="L763">
        <v>224338</v>
      </c>
      <c r="M763">
        <f>Inventory_Data[[#This Row],[Opening Stock]]+Inventory_Data[[#This Row],[Purchase Qty]]-Inventory_Data[[#This Row],[Sales Qty]]-Inventory_Data[[#This Row],[Closing Stock]]</f>
        <v>0</v>
      </c>
      <c r="N763">
        <f>Inventory_Data[[#This Row],[Purchase Qty]]*Inventory_Data[[#This Row],[Unit Cost]]</f>
        <v>119714</v>
      </c>
      <c r="O763" t="str">
        <f>IF(Inventory_Data[[#This Row],[Closing Stock]]&lt;=Inventory_Data[[#This Row],[Reorder Level]],"Low Stock","In Stock")</f>
        <v>In Stock</v>
      </c>
      <c r="P763" t="str">
        <f>TEXT(Inventory_Data[[#This Row],[Date]],"MMM")</f>
        <v>Jun</v>
      </c>
      <c r="Q763" t="str">
        <f>TEXT(Inventory_Data[[#This Row],[Date]],"YYYY")</f>
        <v>2025</v>
      </c>
    </row>
    <row r="764" spans="1:17" x14ac:dyDescent="0.3">
      <c r="A764" s="1">
        <v>45822</v>
      </c>
      <c r="B764" t="s">
        <v>44</v>
      </c>
      <c r="C764" t="s">
        <v>28</v>
      </c>
      <c r="D764" t="s">
        <v>23</v>
      </c>
      <c r="E764" t="s">
        <v>20</v>
      </c>
      <c r="F764">
        <v>131</v>
      </c>
      <c r="G764">
        <v>98</v>
      </c>
      <c r="H764">
        <v>40</v>
      </c>
      <c r="I764">
        <v>189</v>
      </c>
      <c r="J764">
        <v>43</v>
      </c>
      <c r="K764">
        <v>13936</v>
      </c>
      <c r="L764">
        <v>2633904</v>
      </c>
      <c r="M764">
        <f>Inventory_Data[[#This Row],[Opening Stock]]+Inventory_Data[[#This Row],[Purchase Qty]]-Inventory_Data[[#This Row],[Sales Qty]]-Inventory_Data[[#This Row],[Closing Stock]]</f>
        <v>0</v>
      </c>
      <c r="N764">
        <f>Inventory_Data[[#This Row],[Purchase Qty]]*Inventory_Data[[#This Row],[Unit Cost]]</f>
        <v>1365728</v>
      </c>
      <c r="O764" t="str">
        <f>IF(Inventory_Data[[#This Row],[Closing Stock]]&lt;=Inventory_Data[[#This Row],[Reorder Level]],"Low Stock","In Stock")</f>
        <v>In Stock</v>
      </c>
      <c r="P764" t="str">
        <f>TEXT(Inventory_Data[[#This Row],[Date]],"MMM")</f>
        <v>Jun</v>
      </c>
      <c r="Q764" t="str">
        <f>TEXT(Inventory_Data[[#This Row],[Date]],"YYYY")</f>
        <v>2025</v>
      </c>
    </row>
    <row r="765" spans="1:17" x14ac:dyDescent="0.3">
      <c r="A765" s="1">
        <v>45822</v>
      </c>
      <c r="B765" t="s">
        <v>43</v>
      </c>
      <c r="C765" t="s">
        <v>22</v>
      </c>
      <c r="D765" t="s">
        <v>23</v>
      </c>
      <c r="E765" t="s">
        <v>15</v>
      </c>
      <c r="F765">
        <v>231</v>
      </c>
      <c r="G765">
        <v>252</v>
      </c>
      <c r="H765">
        <v>16</v>
      </c>
      <c r="I765">
        <v>467</v>
      </c>
      <c r="J765">
        <v>56</v>
      </c>
      <c r="K765">
        <v>349</v>
      </c>
      <c r="L765">
        <v>162983</v>
      </c>
      <c r="M765">
        <f>Inventory_Data[[#This Row],[Opening Stock]]+Inventory_Data[[#This Row],[Purchase Qty]]-Inventory_Data[[#This Row],[Sales Qty]]-Inventory_Data[[#This Row],[Closing Stock]]</f>
        <v>0</v>
      </c>
      <c r="N765">
        <f>Inventory_Data[[#This Row],[Purchase Qty]]*Inventory_Data[[#This Row],[Unit Cost]]</f>
        <v>87948</v>
      </c>
      <c r="O765" t="str">
        <f>IF(Inventory_Data[[#This Row],[Closing Stock]]&lt;=Inventory_Data[[#This Row],[Reorder Level]],"Low Stock","In Stock")</f>
        <v>In Stock</v>
      </c>
      <c r="P765" t="str">
        <f>TEXT(Inventory_Data[[#This Row],[Date]],"MMM")</f>
        <v>Jun</v>
      </c>
      <c r="Q765" t="str">
        <f>TEXT(Inventory_Data[[#This Row],[Date]],"YYYY")</f>
        <v>2025</v>
      </c>
    </row>
    <row r="766" spans="1:17" x14ac:dyDescent="0.3">
      <c r="A766" s="1">
        <v>45823</v>
      </c>
      <c r="B766" t="s">
        <v>19</v>
      </c>
      <c r="C766" t="s">
        <v>13</v>
      </c>
      <c r="D766" t="s">
        <v>23</v>
      </c>
      <c r="E766" t="s">
        <v>24</v>
      </c>
      <c r="F766">
        <v>73</v>
      </c>
      <c r="G766">
        <v>46</v>
      </c>
      <c r="H766">
        <v>54</v>
      </c>
      <c r="I766">
        <v>65</v>
      </c>
      <c r="J766">
        <v>38</v>
      </c>
      <c r="K766">
        <v>7355</v>
      </c>
      <c r="L766">
        <v>478075</v>
      </c>
      <c r="M766">
        <f>Inventory_Data[[#This Row],[Opening Stock]]+Inventory_Data[[#This Row],[Purchase Qty]]-Inventory_Data[[#This Row],[Sales Qty]]-Inventory_Data[[#This Row],[Closing Stock]]</f>
        <v>0</v>
      </c>
      <c r="N766">
        <f>Inventory_Data[[#This Row],[Purchase Qty]]*Inventory_Data[[#This Row],[Unit Cost]]</f>
        <v>338330</v>
      </c>
      <c r="O766" t="str">
        <f>IF(Inventory_Data[[#This Row],[Closing Stock]]&lt;=Inventory_Data[[#This Row],[Reorder Level]],"Low Stock","In Stock")</f>
        <v>In Stock</v>
      </c>
      <c r="P766" t="str">
        <f>TEXT(Inventory_Data[[#This Row],[Date]],"MMM")</f>
        <v>Jun</v>
      </c>
      <c r="Q766" t="str">
        <f>TEXT(Inventory_Data[[#This Row],[Date]],"YYYY")</f>
        <v>2025</v>
      </c>
    </row>
    <row r="767" spans="1:17" x14ac:dyDescent="0.3">
      <c r="A767" s="1">
        <v>45824</v>
      </c>
      <c r="B767" t="s">
        <v>33</v>
      </c>
      <c r="C767" t="s">
        <v>13</v>
      </c>
      <c r="D767" t="s">
        <v>26</v>
      </c>
      <c r="E767" t="s">
        <v>18</v>
      </c>
      <c r="F767">
        <v>88</v>
      </c>
      <c r="G767">
        <v>11</v>
      </c>
      <c r="H767">
        <v>62</v>
      </c>
      <c r="I767">
        <v>37</v>
      </c>
      <c r="J767">
        <v>29</v>
      </c>
      <c r="K767">
        <v>10272</v>
      </c>
      <c r="L767">
        <v>380064</v>
      </c>
      <c r="M767">
        <f>Inventory_Data[[#This Row],[Opening Stock]]+Inventory_Data[[#This Row],[Purchase Qty]]-Inventory_Data[[#This Row],[Sales Qty]]-Inventory_Data[[#This Row],[Closing Stock]]</f>
        <v>0</v>
      </c>
      <c r="N767">
        <f>Inventory_Data[[#This Row],[Purchase Qty]]*Inventory_Data[[#This Row],[Unit Cost]]</f>
        <v>112992</v>
      </c>
      <c r="O767" t="str">
        <f>IF(Inventory_Data[[#This Row],[Closing Stock]]&lt;=Inventory_Data[[#This Row],[Reorder Level]],"Low Stock","In Stock")</f>
        <v>In Stock</v>
      </c>
      <c r="P767" t="str">
        <f>TEXT(Inventory_Data[[#This Row],[Date]],"MMM")</f>
        <v>Jun</v>
      </c>
      <c r="Q767" t="str">
        <f>TEXT(Inventory_Data[[#This Row],[Date]],"YYYY")</f>
        <v>2025</v>
      </c>
    </row>
    <row r="768" spans="1:17" x14ac:dyDescent="0.3">
      <c r="A768" s="1">
        <v>45824</v>
      </c>
      <c r="B768" t="s">
        <v>39</v>
      </c>
      <c r="C768" t="s">
        <v>28</v>
      </c>
      <c r="D768" t="s">
        <v>26</v>
      </c>
      <c r="E768" t="s">
        <v>18</v>
      </c>
      <c r="F768">
        <v>115</v>
      </c>
      <c r="G768">
        <v>99</v>
      </c>
      <c r="H768">
        <v>21</v>
      </c>
      <c r="I768">
        <v>193</v>
      </c>
      <c r="J768">
        <v>46</v>
      </c>
      <c r="K768">
        <v>19599</v>
      </c>
      <c r="L768">
        <v>3782607</v>
      </c>
      <c r="M768">
        <f>Inventory_Data[[#This Row],[Opening Stock]]+Inventory_Data[[#This Row],[Purchase Qty]]-Inventory_Data[[#This Row],[Sales Qty]]-Inventory_Data[[#This Row],[Closing Stock]]</f>
        <v>0</v>
      </c>
      <c r="N768">
        <f>Inventory_Data[[#This Row],[Purchase Qty]]*Inventory_Data[[#This Row],[Unit Cost]]</f>
        <v>1940301</v>
      </c>
      <c r="O768" t="str">
        <f>IF(Inventory_Data[[#This Row],[Closing Stock]]&lt;=Inventory_Data[[#This Row],[Reorder Level]],"Low Stock","In Stock")</f>
        <v>In Stock</v>
      </c>
      <c r="P768" t="str">
        <f>TEXT(Inventory_Data[[#This Row],[Date]],"MMM")</f>
        <v>Jun</v>
      </c>
      <c r="Q768" t="str">
        <f>TEXT(Inventory_Data[[#This Row],[Date]],"YYYY")</f>
        <v>2025</v>
      </c>
    </row>
    <row r="769" spans="1:17" x14ac:dyDescent="0.3">
      <c r="A769" s="1">
        <v>45824</v>
      </c>
      <c r="B769" t="s">
        <v>27</v>
      </c>
      <c r="C769" t="s">
        <v>28</v>
      </c>
      <c r="D769" t="s">
        <v>37</v>
      </c>
      <c r="E769" t="s">
        <v>34</v>
      </c>
      <c r="F769">
        <v>92</v>
      </c>
      <c r="G769">
        <v>28</v>
      </c>
      <c r="H769">
        <v>20</v>
      </c>
      <c r="I769">
        <v>100</v>
      </c>
      <c r="J769">
        <v>44</v>
      </c>
      <c r="K769">
        <v>57941</v>
      </c>
      <c r="L769">
        <v>5794100</v>
      </c>
      <c r="M769">
        <f>Inventory_Data[[#This Row],[Opening Stock]]+Inventory_Data[[#This Row],[Purchase Qty]]-Inventory_Data[[#This Row],[Sales Qty]]-Inventory_Data[[#This Row],[Closing Stock]]</f>
        <v>0</v>
      </c>
      <c r="N769">
        <f>Inventory_Data[[#This Row],[Purchase Qty]]*Inventory_Data[[#This Row],[Unit Cost]]</f>
        <v>1622348</v>
      </c>
      <c r="O769" t="str">
        <f>IF(Inventory_Data[[#This Row],[Closing Stock]]&lt;=Inventory_Data[[#This Row],[Reorder Level]],"Low Stock","In Stock")</f>
        <v>In Stock</v>
      </c>
      <c r="P769" t="str">
        <f>TEXT(Inventory_Data[[#This Row],[Date]],"MMM")</f>
        <v>Jun</v>
      </c>
      <c r="Q769" t="str">
        <f>TEXT(Inventory_Data[[#This Row],[Date]],"YYYY")</f>
        <v>2025</v>
      </c>
    </row>
    <row r="770" spans="1:17" x14ac:dyDescent="0.3">
      <c r="A770" s="1">
        <v>45824</v>
      </c>
      <c r="B770" t="s">
        <v>33</v>
      </c>
      <c r="C770" t="s">
        <v>13</v>
      </c>
      <c r="D770" t="s">
        <v>26</v>
      </c>
      <c r="E770" t="s">
        <v>20</v>
      </c>
      <c r="F770">
        <v>74</v>
      </c>
      <c r="G770">
        <v>45</v>
      </c>
      <c r="H770">
        <v>35</v>
      </c>
      <c r="I770">
        <v>84</v>
      </c>
      <c r="J770">
        <v>33</v>
      </c>
      <c r="K770">
        <v>13216</v>
      </c>
      <c r="L770">
        <v>1110144</v>
      </c>
      <c r="M770">
        <f>Inventory_Data[[#This Row],[Opening Stock]]+Inventory_Data[[#This Row],[Purchase Qty]]-Inventory_Data[[#This Row],[Sales Qty]]-Inventory_Data[[#This Row],[Closing Stock]]</f>
        <v>0</v>
      </c>
      <c r="N770">
        <f>Inventory_Data[[#This Row],[Purchase Qty]]*Inventory_Data[[#This Row],[Unit Cost]]</f>
        <v>594720</v>
      </c>
      <c r="O770" t="str">
        <f>IF(Inventory_Data[[#This Row],[Closing Stock]]&lt;=Inventory_Data[[#This Row],[Reorder Level]],"Low Stock","In Stock")</f>
        <v>In Stock</v>
      </c>
      <c r="P770" t="str">
        <f>TEXT(Inventory_Data[[#This Row],[Date]],"MMM")</f>
        <v>Jun</v>
      </c>
      <c r="Q770" t="str">
        <f>TEXT(Inventory_Data[[#This Row],[Date]],"YYYY")</f>
        <v>2025</v>
      </c>
    </row>
    <row r="771" spans="1:17" x14ac:dyDescent="0.3">
      <c r="A771" s="1">
        <v>45825</v>
      </c>
      <c r="B771" t="s">
        <v>42</v>
      </c>
      <c r="C771" t="s">
        <v>17</v>
      </c>
      <c r="D771" t="s">
        <v>14</v>
      </c>
      <c r="E771" t="s">
        <v>15</v>
      </c>
      <c r="F771">
        <v>43</v>
      </c>
      <c r="G771">
        <v>40</v>
      </c>
      <c r="H771">
        <v>28</v>
      </c>
      <c r="I771">
        <v>55</v>
      </c>
      <c r="J771">
        <v>20</v>
      </c>
      <c r="K771">
        <v>8430</v>
      </c>
      <c r="L771">
        <v>463650</v>
      </c>
      <c r="M771">
        <f>Inventory_Data[[#This Row],[Opening Stock]]+Inventory_Data[[#This Row],[Purchase Qty]]-Inventory_Data[[#This Row],[Sales Qty]]-Inventory_Data[[#This Row],[Closing Stock]]</f>
        <v>0</v>
      </c>
      <c r="N771">
        <f>Inventory_Data[[#This Row],[Purchase Qty]]*Inventory_Data[[#This Row],[Unit Cost]]</f>
        <v>337200</v>
      </c>
      <c r="O771" t="str">
        <f>IF(Inventory_Data[[#This Row],[Closing Stock]]&lt;=Inventory_Data[[#This Row],[Reorder Level]],"Low Stock","In Stock")</f>
        <v>In Stock</v>
      </c>
      <c r="P771" t="str">
        <f>TEXT(Inventory_Data[[#This Row],[Date]],"MMM")</f>
        <v>Jun</v>
      </c>
      <c r="Q771" t="str">
        <f>TEXT(Inventory_Data[[#This Row],[Date]],"YYYY")</f>
        <v>2025</v>
      </c>
    </row>
    <row r="772" spans="1:17" x14ac:dyDescent="0.3">
      <c r="A772" s="1">
        <v>45825</v>
      </c>
      <c r="B772" t="s">
        <v>40</v>
      </c>
      <c r="C772" t="s">
        <v>28</v>
      </c>
      <c r="D772" t="s">
        <v>14</v>
      </c>
      <c r="E772" t="s">
        <v>24</v>
      </c>
      <c r="F772">
        <v>22</v>
      </c>
      <c r="G772">
        <v>108</v>
      </c>
      <c r="H772">
        <v>28</v>
      </c>
      <c r="I772">
        <v>102</v>
      </c>
      <c r="J772">
        <v>37</v>
      </c>
      <c r="K772">
        <v>6450</v>
      </c>
      <c r="L772">
        <v>657900</v>
      </c>
      <c r="M772">
        <f>Inventory_Data[[#This Row],[Opening Stock]]+Inventory_Data[[#This Row],[Purchase Qty]]-Inventory_Data[[#This Row],[Sales Qty]]-Inventory_Data[[#This Row],[Closing Stock]]</f>
        <v>0</v>
      </c>
      <c r="N772">
        <f>Inventory_Data[[#This Row],[Purchase Qty]]*Inventory_Data[[#This Row],[Unit Cost]]</f>
        <v>696600</v>
      </c>
      <c r="O772" t="str">
        <f>IF(Inventory_Data[[#This Row],[Closing Stock]]&lt;=Inventory_Data[[#This Row],[Reorder Level]],"Low Stock","In Stock")</f>
        <v>In Stock</v>
      </c>
      <c r="P772" t="str">
        <f>TEXT(Inventory_Data[[#This Row],[Date]],"MMM")</f>
        <v>Jun</v>
      </c>
      <c r="Q772" t="str">
        <f>TEXT(Inventory_Data[[#This Row],[Date]],"YYYY")</f>
        <v>2025</v>
      </c>
    </row>
    <row r="773" spans="1:17" x14ac:dyDescent="0.3">
      <c r="A773" s="1">
        <v>45825</v>
      </c>
      <c r="B773" t="s">
        <v>39</v>
      </c>
      <c r="C773" t="s">
        <v>28</v>
      </c>
      <c r="D773" t="s">
        <v>37</v>
      </c>
      <c r="E773" t="s">
        <v>24</v>
      </c>
      <c r="F773">
        <v>99</v>
      </c>
      <c r="G773">
        <v>47</v>
      </c>
      <c r="H773">
        <v>81</v>
      </c>
      <c r="I773">
        <v>65</v>
      </c>
      <c r="J773">
        <v>42</v>
      </c>
      <c r="K773">
        <v>16797</v>
      </c>
      <c r="L773">
        <v>1091805</v>
      </c>
      <c r="M773">
        <f>Inventory_Data[[#This Row],[Opening Stock]]+Inventory_Data[[#This Row],[Purchase Qty]]-Inventory_Data[[#This Row],[Sales Qty]]-Inventory_Data[[#This Row],[Closing Stock]]</f>
        <v>0</v>
      </c>
      <c r="N773">
        <f>Inventory_Data[[#This Row],[Purchase Qty]]*Inventory_Data[[#This Row],[Unit Cost]]</f>
        <v>789459</v>
      </c>
      <c r="O773" t="str">
        <f>IF(Inventory_Data[[#This Row],[Closing Stock]]&lt;=Inventory_Data[[#This Row],[Reorder Level]],"Low Stock","In Stock")</f>
        <v>In Stock</v>
      </c>
      <c r="P773" t="str">
        <f>TEXT(Inventory_Data[[#This Row],[Date]],"MMM")</f>
        <v>Jun</v>
      </c>
      <c r="Q773" t="str">
        <f>TEXT(Inventory_Data[[#This Row],[Date]],"YYYY")</f>
        <v>2025</v>
      </c>
    </row>
    <row r="774" spans="1:17" x14ac:dyDescent="0.3">
      <c r="A774" s="1">
        <v>45825</v>
      </c>
      <c r="B774" t="s">
        <v>27</v>
      </c>
      <c r="C774" t="s">
        <v>28</v>
      </c>
      <c r="D774" t="s">
        <v>23</v>
      </c>
      <c r="E774" t="s">
        <v>24</v>
      </c>
      <c r="F774">
        <v>102</v>
      </c>
      <c r="G774">
        <v>74</v>
      </c>
      <c r="H774">
        <v>73</v>
      </c>
      <c r="I774">
        <v>103</v>
      </c>
      <c r="J774">
        <v>35</v>
      </c>
      <c r="K774">
        <v>39994</v>
      </c>
      <c r="L774">
        <v>4119382</v>
      </c>
      <c r="M774">
        <f>Inventory_Data[[#This Row],[Opening Stock]]+Inventory_Data[[#This Row],[Purchase Qty]]-Inventory_Data[[#This Row],[Sales Qty]]-Inventory_Data[[#This Row],[Closing Stock]]</f>
        <v>0</v>
      </c>
      <c r="N774">
        <f>Inventory_Data[[#This Row],[Purchase Qty]]*Inventory_Data[[#This Row],[Unit Cost]]</f>
        <v>2959556</v>
      </c>
      <c r="O774" t="str">
        <f>IF(Inventory_Data[[#This Row],[Closing Stock]]&lt;=Inventory_Data[[#This Row],[Reorder Level]],"Low Stock","In Stock")</f>
        <v>In Stock</v>
      </c>
      <c r="P774" t="str">
        <f>TEXT(Inventory_Data[[#This Row],[Date]],"MMM")</f>
        <v>Jun</v>
      </c>
      <c r="Q774" t="str">
        <f>TEXT(Inventory_Data[[#This Row],[Date]],"YYYY")</f>
        <v>2025</v>
      </c>
    </row>
    <row r="775" spans="1:17" x14ac:dyDescent="0.3">
      <c r="A775" s="1">
        <v>45825</v>
      </c>
      <c r="B775" t="s">
        <v>21</v>
      </c>
      <c r="C775" t="s">
        <v>22</v>
      </c>
      <c r="D775" t="s">
        <v>14</v>
      </c>
      <c r="E775" t="s">
        <v>34</v>
      </c>
      <c r="F775">
        <v>417</v>
      </c>
      <c r="G775">
        <v>53</v>
      </c>
      <c r="H775">
        <v>77</v>
      </c>
      <c r="I775">
        <v>393</v>
      </c>
      <c r="J775">
        <v>102</v>
      </c>
      <c r="K775">
        <v>969</v>
      </c>
      <c r="L775">
        <v>380817</v>
      </c>
      <c r="M775">
        <f>Inventory_Data[[#This Row],[Opening Stock]]+Inventory_Data[[#This Row],[Purchase Qty]]-Inventory_Data[[#This Row],[Sales Qty]]-Inventory_Data[[#This Row],[Closing Stock]]</f>
        <v>0</v>
      </c>
      <c r="N775">
        <f>Inventory_Data[[#This Row],[Purchase Qty]]*Inventory_Data[[#This Row],[Unit Cost]]</f>
        <v>51357</v>
      </c>
      <c r="O775" t="str">
        <f>IF(Inventory_Data[[#This Row],[Closing Stock]]&lt;=Inventory_Data[[#This Row],[Reorder Level]],"Low Stock","In Stock")</f>
        <v>In Stock</v>
      </c>
      <c r="P775" t="str">
        <f>TEXT(Inventory_Data[[#This Row],[Date]],"MMM")</f>
        <v>Jun</v>
      </c>
      <c r="Q775" t="str">
        <f>TEXT(Inventory_Data[[#This Row],[Date]],"YYYY")</f>
        <v>2025</v>
      </c>
    </row>
    <row r="776" spans="1:17" x14ac:dyDescent="0.3">
      <c r="A776" s="1">
        <v>45825</v>
      </c>
      <c r="B776" t="s">
        <v>30</v>
      </c>
      <c r="C776" t="s">
        <v>28</v>
      </c>
      <c r="D776" t="s">
        <v>23</v>
      </c>
      <c r="E776" t="s">
        <v>18</v>
      </c>
      <c r="F776">
        <v>73</v>
      </c>
      <c r="G776">
        <v>44</v>
      </c>
      <c r="H776">
        <v>99</v>
      </c>
      <c r="I776">
        <v>18</v>
      </c>
      <c r="J776">
        <v>44</v>
      </c>
      <c r="K776">
        <v>3927</v>
      </c>
      <c r="L776">
        <v>70686</v>
      </c>
      <c r="M776">
        <f>Inventory_Data[[#This Row],[Opening Stock]]+Inventory_Data[[#This Row],[Purchase Qty]]-Inventory_Data[[#This Row],[Sales Qty]]-Inventory_Data[[#This Row],[Closing Stock]]</f>
        <v>0</v>
      </c>
      <c r="N776">
        <f>Inventory_Data[[#This Row],[Purchase Qty]]*Inventory_Data[[#This Row],[Unit Cost]]</f>
        <v>172788</v>
      </c>
      <c r="O776" t="str">
        <f>IF(Inventory_Data[[#This Row],[Closing Stock]]&lt;=Inventory_Data[[#This Row],[Reorder Level]],"Low Stock","In Stock")</f>
        <v>Low Stock</v>
      </c>
      <c r="P776" t="str">
        <f>TEXT(Inventory_Data[[#This Row],[Date]],"MMM")</f>
        <v>Jun</v>
      </c>
      <c r="Q776" t="str">
        <f>TEXT(Inventory_Data[[#This Row],[Date]],"YYYY")</f>
        <v>2025</v>
      </c>
    </row>
    <row r="777" spans="1:17" x14ac:dyDescent="0.3">
      <c r="A777" s="1">
        <v>45825</v>
      </c>
      <c r="B777" t="s">
        <v>45</v>
      </c>
      <c r="C777" t="s">
        <v>13</v>
      </c>
      <c r="D777" t="s">
        <v>23</v>
      </c>
      <c r="E777" t="s">
        <v>15</v>
      </c>
      <c r="F777">
        <v>59</v>
      </c>
      <c r="G777">
        <v>72</v>
      </c>
      <c r="H777">
        <v>11</v>
      </c>
      <c r="I777">
        <v>120</v>
      </c>
      <c r="J777">
        <v>36</v>
      </c>
      <c r="K777">
        <v>804</v>
      </c>
      <c r="L777">
        <v>96480</v>
      </c>
      <c r="M777">
        <f>Inventory_Data[[#This Row],[Opening Stock]]+Inventory_Data[[#This Row],[Purchase Qty]]-Inventory_Data[[#This Row],[Sales Qty]]-Inventory_Data[[#This Row],[Closing Stock]]</f>
        <v>0</v>
      </c>
      <c r="N777">
        <f>Inventory_Data[[#This Row],[Purchase Qty]]*Inventory_Data[[#This Row],[Unit Cost]]</f>
        <v>57888</v>
      </c>
      <c r="O777" t="str">
        <f>IF(Inventory_Data[[#This Row],[Closing Stock]]&lt;=Inventory_Data[[#This Row],[Reorder Level]],"Low Stock","In Stock")</f>
        <v>In Stock</v>
      </c>
      <c r="P777" t="str">
        <f>TEXT(Inventory_Data[[#This Row],[Date]],"MMM")</f>
        <v>Jun</v>
      </c>
      <c r="Q777" t="str">
        <f>TEXT(Inventory_Data[[#This Row],[Date]],"YYYY")</f>
        <v>2025</v>
      </c>
    </row>
    <row r="778" spans="1:17" x14ac:dyDescent="0.3">
      <c r="A778" s="1">
        <v>45826</v>
      </c>
      <c r="B778" t="s">
        <v>30</v>
      </c>
      <c r="C778" t="s">
        <v>28</v>
      </c>
      <c r="D778" t="s">
        <v>23</v>
      </c>
      <c r="E778" t="s">
        <v>20</v>
      </c>
      <c r="F778">
        <v>98</v>
      </c>
      <c r="G778">
        <v>69</v>
      </c>
      <c r="H778">
        <v>81</v>
      </c>
      <c r="I778">
        <v>86</v>
      </c>
      <c r="J778">
        <v>36</v>
      </c>
      <c r="K778">
        <v>56905</v>
      </c>
      <c r="L778">
        <v>4893830</v>
      </c>
      <c r="M778">
        <f>Inventory_Data[[#This Row],[Opening Stock]]+Inventory_Data[[#This Row],[Purchase Qty]]-Inventory_Data[[#This Row],[Sales Qty]]-Inventory_Data[[#This Row],[Closing Stock]]</f>
        <v>0</v>
      </c>
      <c r="N778">
        <f>Inventory_Data[[#This Row],[Purchase Qty]]*Inventory_Data[[#This Row],[Unit Cost]]</f>
        <v>3926445</v>
      </c>
      <c r="O778" t="str">
        <f>IF(Inventory_Data[[#This Row],[Closing Stock]]&lt;=Inventory_Data[[#This Row],[Reorder Level]],"Low Stock","In Stock")</f>
        <v>In Stock</v>
      </c>
      <c r="P778" t="str">
        <f>TEXT(Inventory_Data[[#This Row],[Date]],"MMM")</f>
        <v>Jun</v>
      </c>
      <c r="Q778" t="str">
        <f>TEXT(Inventory_Data[[#This Row],[Date]],"YYYY")</f>
        <v>2025</v>
      </c>
    </row>
    <row r="779" spans="1:17" x14ac:dyDescent="0.3">
      <c r="A779" s="1">
        <v>45826</v>
      </c>
      <c r="B779" t="s">
        <v>25</v>
      </c>
      <c r="C779" t="s">
        <v>17</v>
      </c>
      <c r="D779" t="s">
        <v>37</v>
      </c>
      <c r="E779" t="s">
        <v>29</v>
      </c>
      <c r="F779">
        <v>83</v>
      </c>
      <c r="G779">
        <v>14</v>
      </c>
      <c r="H779">
        <v>8</v>
      </c>
      <c r="I779">
        <v>89</v>
      </c>
      <c r="J779">
        <v>27</v>
      </c>
      <c r="K779">
        <v>23499</v>
      </c>
      <c r="L779">
        <v>2091411</v>
      </c>
      <c r="M779">
        <f>Inventory_Data[[#This Row],[Opening Stock]]+Inventory_Data[[#This Row],[Purchase Qty]]-Inventory_Data[[#This Row],[Sales Qty]]-Inventory_Data[[#This Row],[Closing Stock]]</f>
        <v>0</v>
      </c>
      <c r="N779">
        <f>Inventory_Data[[#This Row],[Purchase Qty]]*Inventory_Data[[#This Row],[Unit Cost]]</f>
        <v>328986</v>
      </c>
      <c r="O779" t="str">
        <f>IF(Inventory_Data[[#This Row],[Closing Stock]]&lt;=Inventory_Data[[#This Row],[Reorder Level]],"Low Stock","In Stock")</f>
        <v>In Stock</v>
      </c>
      <c r="P779" t="str">
        <f>TEXT(Inventory_Data[[#This Row],[Date]],"MMM")</f>
        <v>Jun</v>
      </c>
      <c r="Q779" t="str">
        <f>TEXT(Inventory_Data[[#This Row],[Date]],"YYYY")</f>
        <v>2025</v>
      </c>
    </row>
    <row r="780" spans="1:17" x14ac:dyDescent="0.3">
      <c r="A780" s="1">
        <v>45826</v>
      </c>
      <c r="B780" t="s">
        <v>45</v>
      </c>
      <c r="C780" t="s">
        <v>13</v>
      </c>
      <c r="D780" t="s">
        <v>37</v>
      </c>
      <c r="E780" t="s">
        <v>15</v>
      </c>
      <c r="F780">
        <v>83</v>
      </c>
      <c r="G780">
        <v>17</v>
      </c>
      <c r="H780">
        <v>25</v>
      </c>
      <c r="I780">
        <v>75</v>
      </c>
      <c r="J780">
        <v>19</v>
      </c>
      <c r="K780">
        <v>3449</v>
      </c>
      <c r="L780">
        <v>258675</v>
      </c>
      <c r="M780">
        <f>Inventory_Data[[#This Row],[Opening Stock]]+Inventory_Data[[#This Row],[Purchase Qty]]-Inventory_Data[[#This Row],[Sales Qty]]-Inventory_Data[[#This Row],[Closing Stock]]</f>
        <v>0</v>
      </c>
      <c r="N780">
        <f>Inventory_Data[[#This Row],[Purchase Qty]]*Inventory_Data[[#This Row],[Unit Cost]]</f>
        <v>58633</v>
      </c>
      <c r="O780" t="str">
        <f>IF(Inventory_Data[[#This Row],[Closing Stock]]&lt;=Inventory_Data[[#This Row],[Reorder Level]],"Low Stock","In Stock")</f>
        <v>In Stock</v>
      </c>
      <c r="P780" t="str">
        <f>TEXT(Inventory_Data[[#This Row],[Date]],"MMM")</f>
        <v>Jun</v>
      </c>
      <c r="Q780" t="str">
        <f>TEXT(Inventory_Data[[#This Row],[Date]],"YYYY")</f>
        <v>2025</v>
      </c>
    </row>
    <row r="781" spans="1:17" x14ac:dyDescent="0.3">
      <c r="A781" s="1">
        <v>45826</v>
      </c>
      <c r="B781" t="s">
        <v>36</v>
      </c>
      <c r="C781" t="s">
        <v>22</v>
      </c>
      <c r="D781" t="s">
        <v>26</v>
      </c>
      <c r="E781" t="s">
        <v>15</v>
      </c>
      <c r="F781">
        <v>230</v>
      </c>
      <c r="G781">
        <v>207</v>
      </c>
      <c r="H781">
        <v>152</v>
      </c>
      <c r="I781">
        <v>285</v>
      </c>
      <c r="J781">
        <v>56</v>
      </c>
      <c r="K781">
        <v>779</v>
      </c>
      <c r="L781">
        <v>222015</v>
      </c>
      <c r="M781">
        <f>Inventory_Data[[#This Row],[Opening Stock]]+Inventory_Data[[#This Row],[Purchase Qty]]-Inventory_Data[[#This Row],[Sales Qty]]-Inventory_Data[[#This Row],[Closing Stock]]</f>
        <v>0</v>
      </c>
      <c r="N781">
        <f>Inventory_Data[[#This Row],[Purchase Qty]]*Inventory_Data[[#This Row],[Unit Cost]]</f>
        <v>161253</v>
      </c>
      <c r="O781" t="str">
        <f>IF(Inventory_Data[[#This Row],[Closing Stock]]&lt;=Inventory_Data[[#This Row],[Reorder Level]],"Low Stock","In Stock")</f>
        <v>In Stock</v>
      </c>
      <c r="P781" t="str">
        <f>TEXT(Inventory_Data[[#This Row],[Date]],"MMM")</f>
        <v>Jun</v>
      </c>
      <c r="Q781" t="str">
        <f>TEXT(Inventory_Data[[#This Row],[Date]],"YYYY")</f>
        <v>2025</v>
      </c>
    </row>
    <row r="782" spans="1:17" x14ac:dyDescent="0.3">
      <c r="A782" s="1">
        <v>45827</v>
      </c>
      <c r="B782" t="s">
        <v>32</v>
      </c>
      <c r="C782" t="s">
        <v>28</v>
      </c>
      <c r="D782" t="s">
        <v>14</v>
      </c>
      <c r="E782" t="s">
        <v>24</v>
      </c>
      <c r="F782">
        <v>81</v>
      </c>
      <c r="G782">
        <v>67</v>
      </c>
      <c r="H782">
        <v>61</v>
      </c>
      <c r="I782">
        <v>87</v>
      </c>
      <c r="J782">
        <v>20</v>
      </c>
      <c r="K782">
        <v>59407</v>
      </c>
      <c r="L782">
        <v>5168409</v>
      </c>
      <c r="M782">
        <f>Inventory_Data[[#This Row],[Opening Stock]]+Inventory_Data[[#This Row],[Purchase Qty]]-Inventory_Data[[#This Row],[Sales Qty]]-Inventory_Data[[#This Row],[Closing Stock]]</f>
        <v>0</v>
      </c>
      <c r="N782">
        <f>Inventory_Data[[#This Row],[Purchase Qty]]*Inventory_Data[[#This Row],[Unit Cost]]</f>
        <v>3980269</v>
      </c>
      <c r="O782" t="str">
        <f>IF(Inventory_Data[[#This Row],[Closing Stock]]&lt;=Inventory_Data[[#This Row],[Reorder Level]],"Low Stock","In Stock")</f>
        <v>In Stock</v>
      </c>
      <c r="P782" t="str">
        <f>TEXT(Inventory_Data[[#This Row],[Date]],"MMM")</f>
        <v>Jun</v>
      </c>
      <c r="Q782" t="str">
        <f>TEXT(Inventory_Data[[#This Row],[Date]],"YYYY")</f>
        <v>2025</v>
      </c>
    </row>
    <row r="783" spans="1:17" x14ac:dyDescent="0.3">
      <c r="A783" s="1">
        <v>45827</v>
      </c>
      <c r="B783" t="s">
        <v>45</v>
      </c>
      <c r="C783" t="s">
        <v>13</v>
      </c>
      <c r="D783" t="s">
        <v>26</v>
      </c>
      <c r="E783" t="s">
        <v>24</v>
      </c>
      <c r="F783">
        <v>53</v>
      </c>
      <c r="G783">
        <v>73</v>
      </c>
      <c r="H783">
        <v>46</v>
      </c>
      <c r="I783">
        <v>80</v>
      </c>
      <c r="J783">
        <v>35</v>
      </c>
      <c r="K783">
        <v>6900</v>
      </c>
      <c r="L783">
        <v>552000</v>
      </c>
      <c r="M783">
        <f>Inventory_Data[[#This Row],[Opening Stock]]+Inventory_Data[[#This Row],[Purchase Qty]]-Inventory_Data[[#This Row],[Sales Qty]]-Inventory_Data[[#This Row],[Closing Stock]]</f>
        <v>0</v>
      </c>
      <c r="N783">
        <f>Inventory_Data[[#This Row],[Purchase Qty]]*Inventory_Data[[#This Row],[Unit Cost]]</f>
        <v>503700</v>
      </c>
      <c r="O783" t="str">
        <f>IF(Inventory_Data[[#This Row],[Closing Stock]]&lt;=Inventory_Data[[#This Row],[Reorder Level]],"Low Stock","In Stock")</f>
        <v>In Stock</v>
      </c>
      <c r="P783" t="str">
        <f>TEXT(Inventory_Data[[#This Row],[Date]],"MMM")</f>
        <v>Jun</v>
      </c>
      <c r="Q783" t="str">
        <f>TEXT(Inventory_Data[[#This Row],[Date]],"YYYY")</f>
        <v>2025</v>
      </c>
    </row>
    <row r="784" spans="1:17" x14ac:dyDescent="0.3">
      <c r="A784" s="1">
        <v>45827</v>
      </c>
      <c r="B784" t="s">
        <v>32</v>
      </c>
      <c r="C784" t="s">
        <v>28</v>
      </c>
      <c r="D784" t="s">
        <v>26</v>
      </c>
      <c r="E784" t="s">
        <v>18</v>
      </c>
      <c r="F784">
        <v>109</v>
      </c>
      <c r="G784">
        <v>85</v>
      </c>
      <c r="H784">
        <v>45</v>
      </c>
      <c r="I784">
        <v>149</v>
      </c>
      <c r="J784">
        <v>33</v>
      </c>
      <c r="K784">
        <v>56014</v>
      </c>
      <c r="L784">
        <v>8346086</v>
      </c>
      <c r="M784">
        <f>Inventory_Data[[#This Row],[Opening Stock]]+Inventory_Data[[#This Row],[Purchase Qty]]-Inventory_Data[[#This Row],[Sales Qty]]-Inventory_Data[[#This Row],[Closing Stock]]</f>
        <v>0</v>
      </c>
      <c r="N784">
        <f>Inventory_Data[[#This Row],[Purchase Qty]]*Inventory_Data[[#This Row],[Unit Cost]]</f>
        <v>4761190</v>
      </c>
      <c r="O784" t="str">
        <f>IF(Inventory_Data[[#This Row],[Closing Stock]]&lt;=Inventory_Data[[#This Row],[Reorder Level]],"Low Stock","In Stock")</f>
        <v>In Stock</v>
      </c>
      <c r="P784" t="str">
        <f>TEXT(Inventory_Data[[#This Row],[Date]],"MMM")</f>
        <v>Jun</v>
      </c>
      <c r="Q784" t="str">
        <f>TEXT(Inventory_Data[[#This Row],[Date]],"YYYY")</f>
        <v>2025</v>
      </c>
    </row>
    <row r="785" spans="1:17" x14ac:dyDescent="0.3">
      <c r="A785" s="1">
        <v>45827</v>
      </c>
      <c r="B785" t="s">
        <v>31</v>
      </c>
      <c r="C785" t="s">
        <v>22</v>
      </c>
      <c r="D785" t="s">
        <v>14</v>
      </c>
      <c r="E785" t="s">
        <v>20</v>
      </c>
      <c r="F785">
        <v>227</v>
      </c>
      <c r="G785">
        <v>218</v>
      </c>
      <c r="H785">
        <v>269</v>
      </c>
      <c r="I785">
        <v>176</v>
      </c>
      <c r="J785">
        <v>137</v>
      </c>
      <c r="K785">
        <v>603</v>
      </c>
      <c r="L785">
        <v>106128</v>
      </c>
      <c r="M785">
        <f>Inventory_Data[[#This Row],[Opening Stock]]+Inventory_Data[[#This Row],[Purchase Qty]]-Inventory_Data[[#This Row],[Sales Qty]]-Inventory_Data[[#This Row],[Closing Stock]]</f>
        <v>0</v>
      </c>
      <c r="N785">
        <f>Inventory_Data[[#This Row],[Purchase Qty]]*Inventory_Data[[#This Row],[Unit Cost]]</f>
        <v>131454</v>
      </c>
      <c r="O785" t="str">
        <f>IF(Inventory_Data[[#This Row],[Closing Stock]]&lt;=Inventory_Data[[#This Row],[Reorder Level]],"Low Stock","In Stock")</f>
        <v>In Stock</v>
      </c>
      <c r="P785" t="str">
        <f>TEXT(Inventory_Data[[#This Row],[Date]],"MMM")</f>
        <v>Jun</v>
      </c>
      <c r="Q785" t="str">
        <f>TEXT(Inventory_Data[[#This Row],[Date]],"YYYY")</f>
        <v>2025</v>
      </c>
    </row>
    <row r="786" spans="1:17" x14ac:dyDescent="0.3">
      <c r="A786" s="1">
        <v>45828</v>
      </c>
      <c r="B786" t="s">
        <v>12</v>
      </c>
      <c r="C786" t="s">
        <v>13</v>
      </c>
      <c r="D786" t="s">
        <v>26</v>
      </c>
      <c r="E786" t="s">
        <v>18</v>
      </c>
      <c r="F786">
        <v>39</v>
      </c>
      <c r="G786">
        <v>7</v>
      </c>
      <c r="H786">
        <v>17</v>
      </c>
      <c r="I786">
        <v>29</v>
      </c>
      <c r="J786">
        <v>25</v>
      </c>
      <c r="K786">
        <v>4400</v>
      </c>
      <c r="L786">
        <v>127600</v>
      </c>
      <c r="M786">
        <f>Inventory_Data[[#This Row],[Opening Stock]]+Inventory_Data[[#This Row],[Purchase Qty]]-Inventory_Data[[#This Row],[Sales Qty]]-Inventory_Data[[#This Row],[Closing Stock]]</f>
        <v>0</v>
      </c>
      <c r="N786">
        <f>Inventory_Data[[#This Row],[Purchase Qty]]*Inventory_Data[[#This Row],[Unit Cost]]</f>
        <v>30800</v>
      </c>
      <c r="O786" t="str">
        <f>IF(Inventory_Data[[#This Row],[Closing Stock]]&lt;=Inventory_Data[[#This Row],[Reorder Level]],"Low Stock","In Stock")</f>
        <v>In Stock</v>
      </c>
      <c r="P786" t="str">
        <f>TEXT(Inventory_Data[[#This Row],[Date]],"MMM")</f>
        <v>Jun</v>
      </c>
      <c r="Q786" t="str">
        <f>TEXT(Inventory_Data[[#This Row],[Date]],"YYYY")</f>
        <v>2025</v>
      </c>
    </row>
    <row r="787" spans="1:17" x14ac:dyDescent="0.3">
      <c r="A787" s="1">
        <v>45828</v>
      </c>
      <c r="B787" t="s">
        <v>33</v>
      </c>
      <c r="C787" t="s">
        <v>13</v>
      </c>
      <c r="D787" t="s">
        <v>37</v>
      </c>
      <c r="E787" t="s">
        <v>29</v>
      </c>
      <c r="F787">
        <v>45</v>
      </c>
      <c r="G787">
        <v>32</v>
      </c>
      <c r="H787">
        <v>10</v>
      </c>
      <c r="I787">
        <v>67</v>
      </c>
      <c r="J787">
        <v>35</v>
      </c>
      <c r="K787">
        <v>11864</v>
      </c>
      <c r="L787">
        <v>794888</v>
      </c>
      <c r="M787">
        <f>Inventory_Data[[#This Row],[Opening Stock]]+Inventory_Data[[#This Row],[Purchase Qty]]-Inventory_Data[[#This Row],[Sales Qty]]-Inventory_Data[[#This Row],[Closing Stock]]</f>
        <v>0</v>
      </c>
      <c r="N787">
        <f>Inventory_Data[[#This Row],[Purchase Qty]]*Inventory_Data[[#This Row],[Unit Cost]]</f>
        <v>379648</v>
      </c>
      <c r="O787" t="str">
        <f>IF(Inventory_Data[[#This Row],[Closing Stock]]&lt;=Inventory_Data[[#This Row],[Reorder Level]],"Low Stock","In Stock")</f>
        <v>In Stock</v>
      </c>
      <c r="P787" t="str">
        <f>TEXT(Inventory_Data[[#This Row],[Date]],"MMM")</f>
        <v>Jun</v>
      </c>
      <c r="Q787" t="str">
        <f>TEXT(Inventory_Data[[#This Row],[Date]],"YYYY")</f>
        <v>2025</v>
      </c>
    </row>
    <row r="788" spans="1:17" x14ac:dyDescent="0.3">
      <c r="A788" s="1">
        <v>45828</v>
      </c>
      <c r="B788" t="s">
        <v>42</v>
      </c>
      <c r="C788" t="s">
        <v>17</v>
      </c>
      <c r="D788" t="s">
        <v>37</v>
      </c>
      <c r="E788" t="s">
        <v>24</v>
      </c>
      <c r="F788">
        <v>48</v>
      </c>
      <c r="G788">
        <v>14</v>
      </c>
      <c r="H788">
        <v>11</v>
      </c>
      <c r="I788">
        <v>51</v>
      </c>
      <c r="J788">
        <v>10</v>
      </c>
      <c r="K788">
        <v>21871</v>
      </c>
      <c r="L788">
        <v>1115421</v>
      </c>
      <c r="M788">
        <f>Inventory_Data[[#This Row],[Opening Stock]]+Inventory_Data[[#This Row],[Purchase Qty]]-Inventory_Data[[#This Row],[Sales Qty]]-Inventory_Data[[#This Row],[Closing Stock]]</f>
        <v>0</v>
      </c>
      <c r="N788">
        <f>Inventory_Data[[#This Row],[Purchase Qty]]*Inventory_Data[[#This Row],[Unit Cost]]</f>
        <v>306194</v>
      </c>
      <c r="O788" t="str">
        <f>IF(Inventory_Data[[#This Row],[Closing Stock]]&lt;=Inventory_Data[[#This Row],[Reorder Level]],"Low Stock","In Stock")</f>
        <v>In Stock</v>
      </c>
      <c r="P788" t="str">
        <f>TEXT(Inventory_Data[[#This Row],[Date]],"MMM")</f>
        <v>Jun</v>
      </c>
      <c r="Q788" t="str">
        <f>TEXT(Inventory_Data[[#This Row],[Date]],"YYYY")</f>
        <v>2025</v>
      </c>
    </row>
    <row r="789" spans="1:17" x14ac:dyDescent="0.3">
      <c r="A789" s="1">
        <v>45829</v>
      </c>
      <c r="B789" t="s">
        <v>19</v>
      </c>
      <c r="C789" t="s">
        <v>13</v>
      </c>
      <c r="D789" t="s">
        <v>37</v>
      </c>
      <c r="E789" t="s">
        <v>20</v>
      </c>
      <c r="F789">
        <v>68</v>
      </c>
      <c r="G789">
        <v>22</v>
      </c>
      <c r="H789">
        <v>5</v>
      </c>
      <c r="I789">
        <v>85</v>
      </c>
      <c r="J789">
        <v>26</v>
      </c>
      <c r="K789">
        <v>16781</v>
      </c>
      <c r="L789">
        <v>1426385</v>
      </c>
      <c r="M789">
        <f>Inventory_Data[[#This Row],[Opening Stock]]+Inventory_Data[[#This Row],[Purchase Qty]]-Inventory_Data[[#This Row],[Sales Qty]]-Inventory_Data[[#This Row],[Closing Stock]]</f>
        <v>0</v>
      </c>
      <c r="N789">
        <f>Inventory_Data[[#This Row],[Purchase Qty]]*Inventory_Data[[#This Row],[Unit Cost]]</f>
        <v>369182</v>
      </c>
      <c r="O789" t="str">
        <f>IF(Inventory_Data[[#This Row],[Closing Stock]]&lt;=Inventory_Data[[#This Row],[Reorder Level]],"Low Stock","In Stock")</f>
        <v>In Stock</v>
      </c>
      <c r="P789" t="str">
        <f>TEXT(Inventory_Data[[#This Row],[Date]],"MMM")</f>
        <v>Jun</v>
      </c>
      <c r="Q789" t="str">
        <f>TEXT(Inventory_Data[[#This Row],[Date]],"YYYY")</f>
        <v>2025</v>
      </c>
    </row>
    <row r="790" spans="1:17" x14ac:dyDescent="0.3">
      <c r="A790" s="1">
        <v>45829</v>
      </c>
      <c r="B790" t="s">
        <v>33</v>
      </c>
      <c r="C790" t="s">
        <v>13</v>
      </c>
      <c r="D790" t="s">
        <v>26</v>
      </c>
      <c r="E790" t="s">
        <v>18</v>
      </c>
      <c r="F790">
        <v>117</v>
      </c>
      <c r="G790">
        <v>79</v>
      </c>
      <c r="H790">
        <v>16</v>
      </c>
      <c r="I790">
        <v>180</v>
      </c>
      <c r="J790">
        <v>20</v>
      </c>
      <c r="K790">
        <v>13861</v>
      </c>
      <c r="L790">
        <v>2494980</v>
      </c>
      <c r="M790">
        <f>Inventory_Data[[#This Row],[Opening Stock]]+Inventory_Data[[#This Row],[Purchase Qty]]-Inventory_Data[[#This Row],[Sales Qty]]-Inventory_Data[[#This Row],[Closing Stock]]</f>
        <v>0</v>
      </c>
      <c r="N790">
        <f>Inventory_Data[[#This Row],[Purchase Qty]]*Inventory_Data[[#This Row],[Unit Cost]]</f>
        <v>1095019</v>
      </c>
      <c r="O790" t="str">
        <f>IF(Inventory_Data[[#This Row],[Closing Stock]]&lt;=Inventory_Data[[#This Row],[Reorder Level]],"Low Stock","In Stock")</f>
        <v>In Stock</v>
      </c>
      <c r="P790" t="str">
        <f>TEXT(Inventory_Data[[#This Row],[Date]],"MMM")</f>
        <v>Jun</v>
      </c>
      <c r="Q790" t="str">
        <f>TEXT(Inventory_Data[[#This Row],[Date]],"YYYY")</f>
        <v>2025</v>
      </c>
    </row>
    <row r="791" spans="1:17" x14ac:dyDescent="0.3">
      <c r="A791" s="1">
        <v>45830</v>
      </c>
      <c r="B791" t="s">
        <v>27</v>
      </c>
      <c r="C791" t="s">
        <v>28</v>
      </c>
      <c r="D791" t="s">
        <v>26</v>
      </c>
      <c r="E791" t="s">
        <v>18</v>
      </c>
      <c r="F791">
        <v>64</v>
      </c>
      <c r="G791">
        <v>97</v>
      </c>
      <c r="H791">
        <v>19</v>
      </c>
      <c r="I791">
        <v>142</v>
      </c>
      <c r="J791">
        <v>36</v>
      </c>
      <c r="K791">
        <v>49790</v>
      </c>
      <c r="L791">
        <v>7070180</v>
      </c>
      <c r="M791">
        <f>Inventory_Data[[#This Row],[Opening Stock]]+Inventory_Data[[#This Row],[Purchase Qty]]-Inventory_Data[[#This Row],[Sales Qty]]-Inventory_Data[[#This Row],[Closing Stock]]</f>
        <v>0</v>
      </c>
      <c r="N791">
        <f>Inventory_Data[[#This Row],[Purchase Qty]]*Inventory_Data[[#This Row],[Unit Cost]]</f>
        <v>4829630</v>
      </c>
      <c r="O791" t="str">
        <f>IF(Inventory_Data[[#This Row],[Closing Stock]]&lt;=Inventory_Data[[#This Row],[Reorder Level]],"Low Stock","In Stock")</f>
        <v>In Stock</v>
      </c>
      <c r="P791" t="str">
        <f>TEXT(Inventory_Data[[#This Row],[Date]],"MMM")</f>
        <v>Jun</v>
      </c>
      <c r="Q791" t="str">
        <f>TEXT(Inventory_Data[[#This Row],[Date]],"YYYY")</f>
        <v>2025</v>
      </c>
    </row>
    <row r="792" spans="1:17" x14ac:dyDescent="0.3">
      <c r="A792" s="1">
        <v>45830</v>
      </c>
      <c r="B792" t="s">
        <v>30</v>
      </c>
      <c r="C792" t="s">
        <v>28</v>
      </c>
      <c r="D792" t="s">
        <v>23</v>
      </c>
      <c r="E792" t="s">
        <v>20</v>
      </c>
      <c r="F792">
        <v>29</v>
      </c>
      <c r="G792">
        <v>109</v>
      </c>
      <c r="H792">
        <v>13</v>
      </c>
      <c r="I792">
        <v>125</v>
      </c>
      <c r="J792">
        <v>46</v>
      </c>
      <c r="K792">
        <v>59605</v>
      </c>
      <c r="L792">
        <v>7450625</v>
      </c>
      <c r="M792">
        <f>Inventory_Data[[#This Row],[Opening Stock]]+Inventory_Data[[#This Row],[Purchase Qty]]-Inventory_Data[[#This Row],[Sales Qty]]-Inventory_Data[[#This Row],[Closing Stock]]</f>
        <v>0</v>
      </c>
      <c r="N792">
        <f>Inventory_Data[[#This Row],[Purchase Qty]]*Inventory_Data[[#This Row],[Unit Cost]]</f>
        <v>6496945</v>
      </c>
      <c r="O792" t="str">
        <f>IF(Inventory_Data[[#This Row],[Closing Stock]]&lt;=Inventory_Data[[#This Row],[Reorder Level]],"Low Stock","In Stock")</f>
        <v>In Stock</v>
      </c>
      <c r="P792" t="str">
        <f>TEXT(Inventory_Data[[#This Row],[Date]],"MMM")</f>
        <v>Jun</v>
      </c>
      <c r="Q792" t="str">
        <f>TEXT(Inventory_Data[[#This Row],[Date]],"YYYY")</f>
        <v>2025</v>
      </c>
    </row>
    <row r="793" spans="1:17" x14ac:dyDescent="0.3">
      <c r="A793" s="1">
        <v>45830</v>
      </c>
      <c r="B793" t="s">
        <v>16</v>
      </c>
      <c r="C793" t="s">
        <v>17</v>
      </c>
      <c r="D793" t="s">
        <v>26</v>
      </c>
      <c r="E793" t="s">
        <v>24</v>
      </c>
      <c r="F793">
        <v>54</v>
      </c>
      <c r="G793">
        <v>30</v>
      </c>
      <c r="H793">
        <v>7</v>
      </c>
      <c r="I793">
        <v>77</v>
      </c>
      <c r="J793">
        <v>15</v>
      </c>
      <c r="K793">
        <v>20766</v>
      </c>
      <c r="L793">
        <v>1598982</v>
      </c>
      <c r="M793">
        <f>Inventory_Data[[#This Row],[Opening Stock]]+Inventory_Data[[#This Row],[Purchase Qty]]-Inventory_Data[[#This Row],[Sales Qty]]-Inventory_Data[[#This Row],[Closing Stock]]</f>
        <v>0</v>
      </c>
      <c r="N793">
        <f>Inventory_Data[[#This Row],[Purchase Qty]]*Inventory_Data[[#This Row],[Unit Cost]]</f>
        <v>622980</v>
      </c>
      <c r="O793" t="str">
        <f>IF(Inventory_Data[[#This Row],[Closing Stock]]&lt;=Inventory_Data[[#This Row],[Reorder Level]],"Low Stock","In Stock")</f>
        <v>In Stock</v>
      </c>
      <c r="P793" t="str">
        <f>TEXT(Inventory_Data[[#This Row],[Date]],"MMM")</f>
        <v>Jun</v>
      </c>
      <c r="Q793" t="str">
        <f>TEXT(Inventory_Data[[#This Row],[Date]],"YYYY")</f>
        <v>2025</v>
      </c>
    </row>
    <row r="794" spans="1:17" x14ac:dyDescent="0.3">
      <c r="A794" s="1">
        <v>45830</v>
      </c>
      <c r="B794" t="s">
        <v>25</v>
      </c>
      <c r="C794" t="s">
        <v>17</v>
      </c>
      <c r="D794" t="s">
        <v>23</v>
      </c>
      <c r="E794" t="s">
        <v>18</v>
      </c>
      <c r="F794">
        <v>12</v>
      </c>
      <c r="G794">
        <v>26</v>
      </c>
      <c r="H794">
        <v>28</v>
      </c>
      <c r="I794">
        <v>10</v>
      </c>
      <c r="J794">
        <v>12</v>
      </c>
      <c r="K794">
        <v>17042</v>
      </c>
      <c r="L794">
        <v>170420</v>
      </c>
      <c r="M794">
        <f>Inventory_Data[[#This Row],[Opening Stock]]+Inventory_Data[[#This Row],[Purchase Qty]]-Inventory_Data[[#This Row],[Sales Qty]]-Inventory_Data[[#This Row],[Closing Stock]]</f>
        <v>0</v>
      </c>
      <c r="N794">
        <f>Inventory_Data[[#This Row],[Purchase Qty]]*Inventory_Data[[#This Row],[Unit Cost]]</f>
        <v>443092</v>
      </c>
      <c r="O794" t="str">
        <f>IF(Inventory_Data[[#This Row],[Closing Stock]]&lt;=Inventory_Data[[#This Row],[Reorder Level]],"Low Stock","In Stock")</f>
        <v>Low Stock</v>
      </c>
      <c r="P794" t="str">
        <f>TEXT(Inventory_Data[[#This Row],[Date]],"MMM")</f>
        <v>Jun</v>
      </c>
      <c r="Q794" t="str">
        <f>TEXT(Inventory_Data[[#This Row],[Date]],"YYYY")</f>
        <v>2025</v>
      </c>
    </row>
    <row r="795" spans="1:17" x14ac:dyDescent="0.3">
      <c r="A795" s="1">
        <v>45831</v>
      </c>
      <c r="B795" t="s">
        <v>27</v>
      </c>
      <c r="C795" t="s">
        <v>28</v>
      </c>
      <c r="D795" t="s">
        <v>37</v>
      </c>
      <c r="E795" t="s">
        <v>34</v>
      </c>
      <c r="F795">
        <v>48</v>
      </c>
      <c r="G795">
        <v>44</v>
      </c>
      <c r="H795">
        <v>19</v>
      </c>
      <c r="I795">
        <v>73</v>
      </c>
      <c r="J795">
        <v>50</v>
      </c>
      <c r="K795">
        <v>42587</v>
      </c>
      <c r="L795">
        <v>3108851</v>
      </c>
      <c r="M795">
        <f>Inventory_Data[[#This Row],[Opening Stock]]+Inventory_Data[[#This Row],[Purchase Qty]]-Inventory_Data[[#This Row],[Sales Qty]]-Inventory_Data[[#This Row],[Closing Stock]]</f>
        <v>0</v>
      </c>
      <c r="N795">
        <f>Inventory_Data[[#This Row],[Purchase Qty]]*Inventory_Data[[#This Row],[Unit Cost]]</f>
        <v>1873828</v>
      </c>
      <c r="O795" t="str">
        <f>IF(Inventory_Data[[#This Row],[Closing Stock]]&lt;=Inventory_Data[[#This Row],[Reorder Level]],"Low Stock","In Stock")</f>
        <v>In Stock</v>
      </c>
      <c r="P795" t="str">
        <f>TEXT(Inventory_Data[[#This Row],[Date]],"MMM")</f>
        <v>Jun</v>
      </c>
      <c r="Q795" t="str">
        <f>TEXT(Inventory_Data[[#This Row],[Date]],"YYYY")</f>
        <v>2025</v>
      </c>
    </row>
    <row r="796" spans="1:17" x14ac:dyDescent="0.3">
      <c r="A796" s="1">
        <v>45831</v>
      </c>
      <c r="B796" t="s">
        <v>44</v>
      </c>
      <c r="C796" t="s">
        <v>28</v>
      </c>
      <c r="D796" t="s">
        <v>26</v>
      </c>
      <c r="E796" t="s">
        <v>24</v>
      </c>
      <c r="F796">
        <v>93</v>
      </c>
      <c r="G796">
        <v>112</v>
      </c>
      <c r="H796">
        <v>37</v>
      </c>
      <c r="I796">
        <v>168</v>
      </c>
      <c r="J796">
        <v>26</v>
      </c>
      <c r="K796">
        <v>985</v>
      </c>
      <c r="L796">
        <v>165480</v>
      </c>
      <c r="M796">
        <f>Inventory_Data[[#This Row],[Opening Stock]]+Inventory_Data[[#This Row],[Purchase Qty]]-Inventory_Data[[#This Row],[Sales Qty]]-Inventory_Data[[#This Row],[Closing Stock]]</f>
        <v>0</v>
      </c>
      <c r="N796">
        <f>Inventory_Data[[#This Row],[Purchase Qty]]*Inventory_Data[[#This Row],[Unit Cost]]</f>
        <v>110320</v>
      </c>
      <c r="O796" t="str">
        <f>IF(Inventory_Data[[#This Row],[Closing Stock]]&lt;=Inventory_Data[[#This Row],[Reorder Level]],"Low Stock","In Stock")</f>
        <v>In Stock</v>
      </c>
      <c r="P796" t="str">
        <f>TEXT(Inventory_Data[[#This Row],[Date]],"MMM")</f>
        <v>Jun</v>
      </c>
      <c r="Q796" t="str">
        <f>TEXT(Inventory_Data[[#This Row],[Date]],"YYYY")</f>
        <v>2025</v>
      </c>
    </row>
    <row r="797" spans="1:17" x14ac:dyDescent="0.3">
      <c r="A797" s="1">
        <v>45831</v>
      </c>
      <c r="B797" t="s">
        <v>31</v>
      </c>
      <c r="C797" t="s">
        <v>22</v>
      </c>
      <c r="D797" t="s">
        <v>23</v>
      </c>
      <c r="E797" t="s">
        <v>34</v>
      </c>
      <c r="F797">
        <v>461</v>
      </c>
      <c r="G797">
        <v>126</v>
      </c>
      <c r="H797">
        <v>180</v>
      </c>
      <c r="I797">
        <v>407</v>
      </c>
      <c r="J797">
        <v>104</v>
      </c>
      <c r="K797">
        <v>1197</v>
      </c>
      <c r="L797">
        <v>487179</v>
      </c>
      <c r="M797">
        <f>Inventory_Data[[#This Row],[Opening Stock]]+Inventory_Data[[#This Row],[Purchase Qty]]-Inventory_Data[[#This Row],[Sales Qty]]-Inventory_Data[[#This Row],[Closing Stock]]</f>
        <v>0</v>
      </c>
      <c r="N797">
        <f>Inventory_Data[[#This Row],[Purchase Qty]]*Inventory_Data[[#This Row],[Unit Cost]]</f>
        <v>150822</v>
      </c>
      <c r="O797" t="str">
        <f>IF(Inventory_Data[[#This Row],[Closing Stock]]&lt;=Inventory_Data[[#This Row],[Reorder Level]],"Low Stock","In Stock")</f>
        <v>In Stock</v>
      </c>
      <c r="P797" t="str">
        <f>TEXT(Inventory_Data[[#This Row],[Date]],"MMM")</f>
        <v>Jun</v>
      </c>
      <c r="Q797" t="str">
        <f>TEXT(Inventory_Data[[#This Row],[Date]],"YYYY")</f>
        <v>2025</v>
      </c>
    </row>
    <row r="798" spans="1:17" x14ac:dyDescent="0.3">
      <c r="A798" s="1">
        <v>45832</v>
      </c>
      <c r="B798" t="s">
        <v>32</v>
      </c>
      <c r="C798" t="s">
        <v>28</v>
      </c>
      <c r="D798" t="s">
        <v>37</v>
      </c>
      <c r="E798" t="s">
        <v>29</v>
      </c>
      <c r="F798">
        <v>53</v>
      </c>
      <c r="G798">
        <v>74</v>
      </c>
      <c r="H798">
        <v>59</v>
      </c>
      <c r="I798">
        <v>68</v>
      </c>
      <c r="J798">
        <v>45</v>
      </c>
      <c r="K798">
        <v>38806</v>
      </c>
      <c r="L798">
        <v>2638808</v>
      </c>
      <c r="M798">
        <f>Inventory_Data[[#This Row],[Opening Stock]]+Inventory_Data[[#This Row],[Purchase Qty]]-Inventory_Data[[#This Row],[Sales Qty]]-Inventory_Data[[#This Row],[Closing Stock]]</f>
        <v>0</v>
      </c>
      <c r="N798">
        <f>Inventory_Data[[#This Row],[Purchase Qty]]*Inventory_Data[[#This Row],[Unit Cost]]</f>
        <v>2871644</v>
      </c>
      <c r="O798" t="str">
        <f>IF(Inventory_Data[[#This Row],[Closing Stock]]&lt;=Inventory_Data[[#This Row],[Reorder Level]],"Low Stock","In Stock")</f>
        <v>In Stock</v>
      </c>
      <c r="P798" t="str">
        <f>TEXT(Inventory_Data[[#This Row],[Date]],"MMM")</f>
        <v>Jun</v>
      </c>
      <c r="Q798" t="str">
        <f>TEXT(Inventory_Data[[#This Row],[Date]],"YYYY")</f>
        <v>2025</v>
      </c>
    </row>
    <row r="799" spans="1:17" x14ac:dyDescent="0.3">
      <c r="A799" s="1">
        <v>45832</v>
      </c>
      <c r="B799" t="s">
        <v>36</v>
      </c>
      <c r="C799" t="s">
        <v>22</v>
      </c>
      <c r="D799" t="s">
        <v>26</v>
      </c>
      <c r="E799" t="s">
        <v>18</v>
      </c>
      <c r="F799">
        <v>69</v>
      </c>
      <c r="G799">
        <v>138</v>
      </c>
      <c r="H799">
        <v>202</v>
      </c>
      <c r="I799">
        <v>5</v>
      </c>
      <c r="J799">
        <v>117</v>
      </c>
      <c r="K799">
        <v>263</v>
      </c>
      <c r="L799">
        <v>1315</v>
      </c>
      <c r="M799">
        <f>Inventory_Data[[#This Row],[Opening Stock]]+Inventory_Data[[#This Row],[Purchase Qty]]-Inventory_Data[[#This Row],[Sales Qty]]-Inventory_Data[[#This Row],[Closing Stock]]</f>
        <v>0</v>
      </c>
      <c r="N799">
        <f>Inventory_Data[[#This Row],[Purchase Qty]]*Inventory_Data[[#This Row],[Unit Cost]]</f>
        <v>36294</v>
      </c>
      <c r="O799" t="str">
        <f>IF(Inventory_Data[[#This Row],[Closing Stock]]&lt;=Inventory_Data[[#This Row],[Reorder Level]],"Low Stock","In Stock")</f>
        <v>Low Stock</v>
      </c>
      <c r="P799" t="str">
        <f>TEXT(Inventory_Data[[#This Row],[Date]],"MMM")</f>
        <v>Jun</v>
      </c>
      <c r="Q799" t="str">
        <f>TEXT(Inventory_Data[[#This Row],[Date]],"YYYY")</f>
        <v>2025</v>
      </c>
    </row>
    <row r="800" spans="1:17" x14ac:dyDescent="0.3">
      <c r="A800" s="1">
        <v>45832</v>
      </c>
      <c r="B800" t="s">
        <v>38</v>
      </c>
      <c r="C800" t="s">
        <v>17</v>
      </c>
      <c r="D800" t="s">
        <v>37</v>
      </c>
      <c r="E800" t="s">
        <v>24</v>
      </c>
      <c r="F800">
        <v>89</v>
      </c>
      <c r="G800">
        <v>55</v>
      </c>
      <c r="H800">
        <v>7</v>
      </c>
      <c r="I800">
        <v>137</v>
      </c>
      <c r="J800">
        <v>10</v>
      </c>
      <c r="K800">
        <v>5906</v>
      </c>
      <c r="L800">
        <v>809122</v>
      </c>
      <c r="M800">
        <f>Inventory_Data[[#This Row],[Opening Stock]]+Inventory_Data[[#This Row],[Purchase Qty]]-Inventory_Data[[#This Row],[Sales Qty]]-Inventory_Data[[#This Row],[Closing Stock]]</f>
        <v>0</v>
      </c>
      <c r="N800">
        <f>Inventory_Data[[#This Row],[Purchase Qty]]*Inventory_Data[[#This Row],[Unit Cost]]</f>
        <v>324830</v>
      </c>
      <c r="O800" t="str">
        <f>IF(Inventory_Data[[#This Row],[Closing Stock]]&lt;=Inventory_Data[[#This Row],[Reorder Level]],"Low Stock","In Stock")</f>
        <v>In Stock</v>
      </c>
      <c r="P800" t="str">
        <f>TEXT(Inventory_Data[[#This Row],[Date]],"MMM")</f>
        <v>Jun</v>
      </c>
      <c r="Q800" t="str">
        <f>TEXT(Inventory_Data[[#This Row],[Date]],"YYYY")</f>
        <v>2025</v>
      </c>
    </row>
    <row r="801" spans="1:17" x14ac:dyDescent="0.3">
      <c r="A801" s="1">
        <v>45832</v>
      </c>
      <c r="B801" t="s">
        <v>12</v>
      </c>
      <c r="C801" t="s">
        <v>13</v>
      </c>
      <c r="D801" t="s">
        <v>14</v>
      </c>
      <c r="E801" t="s">
        <v>18</v>
      </c>
      <c r="F801">
        <v>108</v>
      </c>
      <c r="G801">
        <v>58</v>
      </c>
      <c r="H801">
        <v>57</v>
      </c>
      <c r="I801">
        <v>109</v>
      </c>
      <c r="J801">
        <v>33</v>
      </c>
      <c r="K801">
        <v>11802</v>
      </c>
      <c r="L801">
        <v>1286418</v>
      </c>
      <c r="M801">
        <f>Inventory_Data[[#This Row],[Opening Stock]]+Inventory_Data[[#This Row],[Purchase Qty]]-Inventory_Data[[#This Row],[Sales Qty]]-Inventory_Data[[#This Row],[Closing Stock]]</f>
        <v>0</v>
      </c>
      <c r="N801">
        <f>Inventory_Data[[#This Row],[Purchase Qty]]*Inventory_Data[[#This Row],[Unit Cost]]</f>
        <v>684516</v>
      </c>
      <c r="O801" t="str">
        <f>IF(Inventory_Data[[#This Row],[Closing Stock]]&lt;=Inventory_Data[[#This Row],[Reorder Level]],"Low Stock","In Stock")</f>
        <v>In Stock</v>
      </c>
      <c r="P801" t="str">
        <f>TEXT(Inventory_Data[[#This Row],[Date]],"MMM")</f>
        <v>Jun</v>
      </c>
      <c r="Q801" t="str">
        <f>TEXT(Inventory_Data[[#This Row],[Date]],"YYYY")</f>
        <v>2025</v>
      </c>
    </row>
    <row r="802" spans="1:17" x14ac:dyDescent="0.3">
      <c r="A802" s="1">
        <v>45833</v>
      </c>
      <c r="B802" t="s">
        <v>35</v>
      </c>
      <c r="C802" t="s">
        <v>22</v>
      </c>
      <c r="D802" t="s">
        <v>26</v>
      </c>
      <c r="E802" t="s">
        <v>24</v>
      </c>
      <c r="F802">
        <v>139</v>
      </c>
      <c r="G802">
        <v>66</v>
      </c>
      <c r="H802">
        <v>185</v>
      </c>
      <c r="I802">
        <v>20</v>
      </c>
      <c r="J802">
        <v>77</v>
      </c>
      <c r="K802">
        <v>992</v>
      </c>
      <c r="L802">
        <v>19840</v>
      </c>
      <c r="M802">
        <f>Inventory_Data[[#This Row],[Opening Stock]]+Inventory_Data[[#This Row],[Purchase Qty]]-Inventory_Data[[#This Row],[Sales Qty]]-Inventory_Data[[#This Row],[Closing Stock]]</f>
        <v>0</v>
      </c>
      <c r="N802">
        <f>Inventory_Data[[#This Row],[Purchase Qty]]*Inventory_Data[[#This Row],[Unit Cost]]</f>
        <v>65472</v>
      </c>
      <c r="O802" t="str">
        <f>IF(Inventory_Data[[#This Row],[Closing Stock]]&lt;=Inventory_Data[[#This Row],[Reorder Level]],"Low Stock","In Stock")</f>
        <v>Low Stock</v>
      </c>
      <c r="P802" t="str">
        <f>TEXT(Inventory_Data[[#This Row],[Date]],"MMM")</f>
        <v>Jun</v>
      </c>
      <c r="Q802" t="str">
        <f>TEXT(Inventory_Data[[#This Row],[Date]],"YYYY")</f>
        <v>2025</v>
      </c>
    </row>
    <row r="803" spans="1:17" x14ac:dyDescent="0.3">
      <c r="A803" s="1">
        <v>45833</v>
      </c>
      <c r="B803" t="s">
        <v>31</v>
      </c>
      <c r="C803" t="s">
        <v>22</v>
      </c>
      <c r="D803" t="s">
        <v>26</v>
      </c>
      <c r="E803" t="s">
        <v>29</v>
      </c>
      <c r="F803">
        <v>215</v>
      </c>
      <c r="G803">
        <v>174</v>
      </c>
      <c r="H803">
        <v>63</v>
      </c>
      <c r="I803">
        <v>326</v>
      </c>
      <c r="J803">
        <v>84</v>
      </c>
      <c r="K803">
        <v>709</v>
      </c>
      <c r="L803">
        <v>231134</v>
      </c>
      <c r="M803">
        <f>Inventory_Data[[#This Row],[Opening Stock]]+Inventory_Data[[#This Row],[Purchase Qty]]-Inventory_Data[[#This Row],[Sales Qty]]-Inventory_Data[[#This Row],[Closing Stock]]</f>
        <v>0</v>
      </c>
      <c r="N803">
        <f>Inventory_Data[[#This Row],[Purchase Qty]]*Inventory_Data[[#This Row],[Unit Cost]]</f>
        <v>123366</v>
      </c>
      <c r="O803" t="str">
        <f>IF(Inventory_Data[[#This Row],[Closing Stock]]&lt;=Inventory_Data[[#This Row],[Reorder Level]],"Low Stock","In Stock")</f>
        <v>In Stock</v>
      </c>
      <c r="P803" t="str">
        <f>TEXT(Inventory_Data[[#This Row],[Date]],"MMM")</f>
        <v>Jun</v>
      </c>
      <c r="Q803" t="str">
        <f>TEXT(Inventory_Data[[#This Row],[Date]],"YYYY")</f>
        <v>2025</v>
      </c>
    </row>
    <row r="804" spans="1:17" x14ac:dyDescent="0.3">
      <c r="A804" s="1">
        <v>45833</v>
      </c>
      <c r="B804" t="s">
        <v>30</v>
      </c>
      <c r="C804" t="s">
        <v>28</v>
      </c>
      <c r="D804" t="s">
        <v>23</v>
      </c>
      <c r="E804" t="s">
        <v>15</v>
      </c>
      <c r="F804">
        <v>126</v>
      </c>
      <c r="G804">
        <v>49</v>
      </c>
      <c r="H804">
        <v>10</v>
      </c>
      <c r="I804">
        <v>165</v>
      </c>
      <c r="J804">
        <v>30</v>
      </c>
      <c r="K804">
        <v>38451</v>
      </c>
      <c r="L804">
        <v>6344415</v>
      </c>
      <c r="M804">
        <f>Inventory_Data[[#This Row],[Opening Stock]]+Inventory_Data[[#This Row],[Purchase Qty]]-Inventory_Data[[#This Row],[Sales Qty]]-Inventory_Data[[#This Row],[Closing Stock]]</f>
        <v>0</v>
      </c>
      <c r="N804">
        <f>Inventory_Data[[#This Row],[Purchase Qty]]*Inventory_Data[[#This Row],[Unit Cost]]</f>
        <v>1884099</v>
      </c>
      <c r="O804" t="str">
        <f>IF(Inventory_Data[[#This Row],[Closing Stock]]&lt;=Inventory_Data[[#This Row],[Reorder Level]],"Low Stock","In Stock")</f>
        <v>In Stock</v>
      </c>
      <c r="P804" t="str">
        <f>TEXT(Inventory_Data[[#This Row],[Date]],"MMM")</f>
        <v>Jun</v>
      </c>
      <c r="Q804" t="str">
        <f>TEXT(Inventory_Data[[#This Row],[Date]],"YYYY")</f>
        <v>2025</v>
      </c>
    </row>
    <row r="805" spans="1:17" x14ac:dyDescent="0.3">
      <c r="A805" s="1">
        <v>45833</v>
      </c>
      <c r="B805" t="s">
        <v>41</v>
      </c>
      <c r="C805" t="s">
        <v>22</v>
      </c>
      <c r="D805" t="s">
        <v>26</v>
      </c>
      <c r="E805" t="s">
        <v>15</v>
      </c>
      <c r="F805">
        <v>101</v>
      </c>
      <c r="G805">
        <v>67</v>
      </c>
      <c r="H805">
        <v>14</v>
      </c>
      <c r="I805">
        <v>154</v>
      </c>
      <c r="J805">
        <v>119</v>
      </c>
      <c r="K805">
        <v>651</v>
      </c>
      <c r="L805">
        <v>100254</v>
      </c>
      <c r="M805">
        <f>Inventory_Data[[#This Row],[Opening Stock]]+Inventory_Data[[#This Row],[Purchase Qty]]-Inventory_Data[[#This Row],[Sales Qty]]-Inventory_Data[[#This Row],[Closing Stock]]</f>
        <v>0</v>
      </c>
      <c r="N805">
        <f>Inventory_Data[[#This Row],[Purchase Qty]]*Inventory_Data[[#This Row],[Unit Cost]]</f>
        <v>43617</v>
      </c>
      <c r="O805" t="str">
        <f>IF(Inventory_Data[[#This Row],[Closing Stock]]&lt;=Inventory_Data[[#This Row],[Reorder Level]],"Low Stock","In Stock")</f>
        <v>In Stock</v>
      </c>
      <c r="P805" t="str">
        <f>TEXT(Inventory_Data[[#This Row],[Date]],"MMM")</f>
        <v>Jun</v>
      </c>
      <c r="Q805" t="str">
        <f>TEXT(Inventory_Data[[#This Row],[Date]],"YYYY")</f>
        <v>2025</v>
      </c>
    </row>
    <row r="806" spans="1:17" x14ac:dyDescent="0.3">
      <c r="A806" s="1">
        <v>45833</v>
      </c>
      <c r="B806" t="s">
        <v>43</v>
      </c>
      <c r="C806" t="s">
        <v>22</v>
      </c>
      <c r="D806" t="s">
        <v>26</v>
      </c>
      <c r="E806" t="s">
        <v>34</v>
      </c>
      <c r="F806">
        <v>478</v>
      </c>
      <c r="G806">
        <v>250</v>
      </c>
      <c r="H806">
        <v>45</v>
      </c>
      <c r="I806">
        <v>683</v>
      </c>
      <c r="J806">
        <v>67</v>
      </c>
      <c r="K806">
        <v>533</v>
      </c>
      <c r="L806">
        <v>364039</v>
      </c>
      <c r="M806">
        <f>Inventory_Data[[#This Row],[Opening Stock]]+Inventory_Data[[#This Row],[Purchase Qty]]-Inventory_Data[[#This Row],[Sales Qty]]-Inventory_Data[[#This Row],[Closing Stock]]</f>
        <v>0</v>
      </c>
      <c r="N806">
        <f>Inventory_Data[[#This Row],[Purchase Qty]]*Inventory_Data[[#This Row],[Unit Cost]]</f>
        <v>133250</v>
      </c>
      <c r="O806" t="str">
        <f>IF(Inventory_Data[[#This Row],[Closing Stock]]&lt;=Inventory_Data[[#This Row],[Reorder Level]],"Low Stock","In Stock")</f>
        <v>In Stock</v>
      </c>
      <c r="P806" t="str">
        <f>TEXT(Inventory_Data[[#This Row],[Date]],"MMM")</f>
        <v>Jun</v>
      </c>
      <c r="Q806" t="str">
        <f>TEXT(Inventory_Data[[#This Row],[Date]],"YYYY")</f>
        <v>2025</v>
      </c>
    </row>
    <row r="807" spans="1:17" x14ac:dyDescent="0.3">
      <c r="A807" s="1">
        <v>45833</v>
      </c>
      <c r="B807" t="s">
        <v>16</v>
      </c>
      <c r="C807" t="s">
        <v>17</v>
      </c>
      <c r="D807" t="s">
        <v>37</v>
      </c>
      <c r="E807" t="s">
        <v>18</v>
      </c>
      <c r="F807">
        <v>34</v>
      </c>
      <c r="G807">
        <v>28</v>
      </c>
      <c r="H807">
        <v>21</v>
      </c>
      <c r="I807">
        <v>41</v>
      </c>
      <c r="J807">
        <v>14</v>
      </c>
      <c r="K807">
        <v>21331</v>
      </c>
      <c r="L807">
        <v>874571</v>
      </c>
      <c r="M807">
        <f>Inventory_Data[[#This Row],[Opening Stock]]+Inventory_Data[[#This Row],[Purchase Qty]]-Inventory_Data[[#This Row],[Sales Qty]]-Inventory_Data[[#This Row],[Closing Stock]]</f>
        <v>0</v>
      </c>
      <c r="N807">
        <f>Inventory_Data[[#This Row],[Purchase Qty]]*Inventory_Data[[#This Row],[Unit Cost]]</f>
        <v>597268</v>
      </c>
      <c r="O807" t="str">
        <f>IF(Inventory_Data[[#This Row],[Closing Stock]]&lt;=Inventory_Data[[#This Row],[Reorder Level]],"Low Stock","In Stock")</f>
        <v>In Stock</v>
      </c>
      <c r="P807" t="str">
        <f>TEXT(Inventory_Data[[#This Row],[Date]],"MMM")</f>
        <v>Jun</v>
      </c>
      <c r="Q807" t="str">
        <f>TEXT(Inventory_Data[[#This Row],[Date]],"YYYY")</f>
        <v>2025</v>
      </c>
    </row>
    <row r="808" spans="1:17" x14ac:dyDescent="0.3">
      <c r="A808" s="1">
        <v>45833</v>
      </c>
      <c r="B808" t="s">
        <v>32</v>
      </c>
      <c r="C808" t="s">
        <v>28</v>
      </c>
      <c r="D808" t="s">
        <v>23</v>
      </c>
      <c r="E808" t="s">
        <v>15</v>
      </c>
      <c r="F808">
        <v>83</v>
      </c>
      <c r="G808">
        <v>39</v>
      </c>
      <c r="H808">
        <v>77</v>
      </c>
      <c r="I808">
        <v>45</v>
      </c>
      <c r="J808">
        <v>36</v>
      </c>
      <c r="K808">
        <v>23180</v>
      </c>
      <c r="L808">
        <v>1043100</v>
      </c>
      <c r="M808">
        <f>Inventory_Data[[#This Row],[Opening Stock]]+Inventory_Data[[#This Row],[Purchase Qty]]-Inventory_Data[[#This Row],[Sales Qty]]-Inventory_Data[[#This Row],[Closing Stock]]</f>
        <v>0</v>
      </c>
      <c r="N808">
        <f>Inventory_Data[[#This Row],[Purchase Qty]]*Inventory_Data[[#This Row],[Unit Cost]]</f>
        <v>904020</v>
      </c>
      <c r="O808" t="str">
        <f>IF(Inventory_Data[[#This Row],[Closing Stock]]&lt;=Inventory_Data[[#This Row],[Reorder Level]],"Low Stock","In Stock")</f>
        <v>In Stock</v>
      </c>
      <c r="P808" t="str">
        <f>TEXT(Inventory_Data[[#This Row],[Date]],"MMM")</f>
        <v>Jun</v>
      </c>
      <c r="Q808" t="str">
        <f>TEXT(Inventory_Data[[#This Row],[Date]],"YYYY")</f>
        <v>2025</v>
      </c>
    </row>
    <row r="809" spans="1:17" x14ac:dyDescent="0.3">
      <c r="A809" s="1">
        <v>45834</v>
      </c>
      <c r="B809" t="s">
        <v>42</v>
      </c>
      <c r="C809" t="s">
        <v>17</v>
      </c>
      <c r="D809" t="s">
        <v>14</v>
      </c>
      <c r="E809" t="s">
        <v>18</v>
      </c>
      <c r="F809">
        <v>11</v>
      </c>
      <c r="G809">
        <v>57</v>
      </c>
      <c r="H809">
        <v>8</v>
      </c>
      <c r="I809">
        <v>60</v>
      </c>
      <c r="J809">
        <v>13</v>
      </c>
      <c r="K809">
        <v>22746</v>
      </c>
      <c r="L809">
        <v>1364760</v>
      </c>
      <c r="M809">
        <f>Inventory_Data[[#This Row],[Opening Stock]]+Inventory_Data[[#This Row],[Purchase Qty]]-Inventory_Data[[#This Row],[Sales Qty]]-Inventory_Data[[#This Row],[Closing Stock]]</f>
        <v>0</v>
      </c>
      <c r="N809">
        <f>Inventory_Data[[#This Row],[Purchase Qty]]*Inventory_Data[[#This Row],[Unit Cost]]</f>
        <v>1296522</v>
      </c>
      <c r="O809" t="str">
        <f>IF(Inventory_Data[[#This Row],[Closing Stock]]&lt;=Inventory_Data[[#This Row],[Reorder Level]],"Low Stock","In Stock")</f>
        <v>In Stock</v>
      </c>
      <c r="P809" t="str">
        <f>TEXT(Inventory_Data[[#This Row],[Date]],"MMM")</f>
        <v>Jun</v>
      </c>
      <c r="Q809" t="str">
        <f>TEXT(Inventory_Data[[#This Row],[Date]],"YYYY")</f>
        <v>2025</v>
      </c>
    </row>
    <row r="810" spans="1:17" x14ac:dyDescent="0.3">
      <c r="A810" s="1">
        <v>45834</v>
      </c>
      <c r="B810" t="s">
        <v>43</v>
      </c>
      <c r="C810" t="s">
        <v>22</v>
      </c>
      <c r="D810" t="s">
        <v>26</v>
      </c>
      <c r="E810" t="s">
        <v>24</v>
      </c>
      <c r="F810">
        <v>101</v>
      </c>
      <c r="G810">
        <v>108</v>
      </c>
      <c r="H810">
        <v>73</v>
      </c>
      <c r="I810">
        <v>136</v>
      </c>
      <c r="J810">
        <v>135</v>
      </c>
      <c r="K810">
        <v>1051</v>
      </c>
      <c r="L810">
        <v>142936</v>
      </c>
      <c r="M810">
        <f>Inventory_Data[[#This Row],[Opening Stock]]+Inventory_Data[[#This Row],[Purchase Qty]]-Inventory_Data[[#This Row],[Sales Qty]]-Inventory_Data[[#This Row],[Closing Stock]]</f>
        <v>0</v>
      </c>
      <c r="N810">
        <f>Inventory_Data[[#This Row],[Purchase Qty]]*Inventory_Data[[#This Row],[Unit Cost]]</f>
        <v>113508</v>
      </c>
      <c r="O810" t="str">
        <f>IF(Inventory_Data[[#This Row],[Closing Stock]]&lt;=Inventory_Data[[#This Row],[Reorder Level]],"Low Stock","In Stock")</f>
        <v>In Stock</v>
      </c>
      <c r="P810" t="str">
        <f>TEXT(Inventory_Data[[#This Row],[Date]],"MMM")</f>
        <v>Jun</v>
      </c>
      <c r="Q810" t="str">
        <f>TEXT(Inventory_Data[[#This Row],[Date]],"YYYY")</f>
        <v>2025</v>
      </c>
    </row>
    <row r="811" spans="1:17" x14ac:dyDescent="0.3">
      <c r="A811" s="1">
        <v>45834</v>
      </c>
      <c r="B811" t="s">
        <v>27</v>
      </c>
      <c r="C811" t="s">
        <v>28</v>
      </c>
      <c r="D811" t="s">
        <v>26</v>
      </c>
      <c r="E811" t="s">
        <v>34</v>
      </c>
      <c r="F811">
        <v>125</v>
      </c>
      <c r="G811">
        <v>67</v>
      </c>
      <c r="H811">
        <v>43</v>
      </c>
      <c r="I811">
        <v>149</v>
      </c>
      <c r="J811">
        <v>52</v>
      </c>
      <c r="K811">
        <v>11887</v>
      </c>
      <c r="L811">
        <v>1771163</v>
      </c>
      <c r="M811">
        <f>Inventory_Data[[#This Row],[Opening Stock]]+Inventory_Data[[#This Row],[Purchase Qty]]-Inventory_Data[[#This Row],[Sales Qty]]-Inventory_Data[[#This Row],[Closing Stock]]</f>
        <v>0</v>
      </c>
      <c r="N811">
        <f>Inventory_Data[[#This Row],[Purchase Qty]]*Inventory_Data[[#This Row],[Unit Cost]]</f>
        <v>796429</v>
      </c>
      <c r="O811" t="str">
        <f>IF(Inventory_Data[[#This Row],[Closing Stock]]&lt;=Inventory_Data[[#This Row],[Reorder Level]],"Low Stock","In Stock")</f>
        <v>In Stock</v>
      </c>
      <c r="P811" t="str">
        <f>TEXT(Inventory_Data[[#This Row],[Date]],"MMM")</f>
        <v>Jun</v>
      </c>
      <c r="Q811" t="str">
        <f>TEXT(Inventory_Data[[#This Row],[Date]],"YYYY")</f>
        <v>2025</v>
      </c>
    </row>
    <row r="812" spans="1:17" x14ac:dyDescent="0.3">
      <c r="A812" s="1">
        <v>45834</v>
      </c>
      <c r="B812" t="s">
        <v>21</v>
      </c>
      <c r="C812" t="s">
        <v>22</v>
      </c>
      <c r="D812" t="s">
        <v>37</v>
      </c>
      <c r="E812" t="s">
        <v>24</v>
      </c>
      <c r="F812">
        <v>149</v>
      </c>
      <c r="G812">
        <v>262</v>
      </c>
      <c r="H812">
        <v>85</v>
      </c>
      <c r="I812">
        <v>326</v>
      </c>
      <c r="J812">
        <v>120</v>
      </c>
      <c r="K812">
        <v>284</v>
      </c>
      <c r="L812">
        <v>92584</v>
      </c>
      <c r="M812">
        <f>Inventory_Data[[#This Row],[Opening Stock]]+Inventory_Data[[#This Row],[Purchase Qty]]-Inventory_Data[[#This Row],[Sales Qty]]-Inventory_Data[[#This Row],[Closing Stock]]</f>
        <v>0</v>
      </c>
      <c r="N812">
        <f>Inventory_Data[[#This Row],[Purchase Qty]]*Inventory_Data[[#This Row],[Unit Cost]]</f>
        <v>74408</v>
      </c>
      <c r="O812" t="str">
        <f>IF(Inventory_Data[[#This Row],[Closing Stock]]&lt;=Inventory_Data[[#This Row],[Reorder Level]],"Low Stock","In Stock")</f>
        <v>In Stock</v>
      </c>
      <c r="P812" t="str">
        <f>TEXT(Inventory_Data[[#This Row],[Date]],"MMM")</f>
        <v>Jun</v>
      </c>
      <c r="Q812" t="str">
        <f>TEXT(Inventory_Data[[#This Row],[Date]],"YYYY")</f>
        <v>2025</v>
      </c>
    </row>
    <row r="813" spans="1:17" x14ac:dyDescent="0.3">
      <c r="A813" s="1">
        <v>45834</v>
      </c>
      <c r="B813" t="s">
        <v>32</v>
      </c>
      <c r="C813" t="s">
        <v>28</v>
      </c>
      <c r="D813" t="s">
        <v>37</v>
      </c>
      <c r="E813" t="s">
        <v>18</v>
      </c>
      <c r="F813">
        <v>80</v>
      </c>
      <c r="G813">
        <v>86</v>
      </c>
      <c r="H813">
        <v>36</v>
      </c>
      <c r="I813">
        <v>130</v>
      </c>
      <c r="J813">
        <v>41</v>
      </c>
      <c r="K813">
        <v>12446</v>
      </c>
      <c r="L813">
        <v>1617980</v>
      </c>
      <c r="M813">
        <f>Inventory_Data[[#This Row],[Opening Stock]]+Inventory_Data[[#This Row],[Purchase Qty]]-Inventory_Data[[#This Row],[Sales Qty]]-Inventory_Data[[#This Row],[Closing Stock]]</f>
        <v>0</v>
      </c>
      <c r="N813">
        <f>Inventory_Data[[#This Row],[Purchase Qty]]*Inventory_Data[[#This Row],[Unit Cost]]</f>
        <v>1070356</v>
      </c>
      <c r="O813" t="str">
        <f>IF(Inventory_Data[[#This Row],[Closing Stock]]&lt;=Inventory_Data[[#This Row],[Reorder Level]],"Low Stock","In Stock")</f>
        <v>In Stock</v>
      </c>
      <c r="P813" t="str">
        <f>TEXT(Inventory_Data[[#This Row],[Date]],"MMM")</f>
        <v>Jun</v>
      </c>
      <c r="Q813" t="str">
        <f>TEXT(Inventory_Data[[#This Row],[Date]],"YYYY")</f>
        <v>2025</v>
      </c>
    </row>
    <row r="814" spans="1:17" x14ac:dyDescent="0.3">
      <c r="A814" s="1">
        <v>45834</v>
      </c>
      <c r="B814" t="s">
        <v>43</v>
      </c>
      <c r="C814" t="s">
        <v>22</v>
      </c>
      <c r="D814" t="s">
        <v>37</v>
      </c>
      <c r="E814" t="s">
        <v>20</v>
      </c>
      <c r="F814">
        <v>112</v>
      </c>
      <c r="G814">
        <v>78</v>
      </c>
      <c r="H814">
        <v>190</v>
      </c>
      <c r="I814">
        <v>0</v>
      </c>
      <c r="J814">
        <v>125</v>
      </c>
      <c r="K814">
        <v>974</v>
      </c>
      <c r="L814">
        <v>0</v>
      </c>
      <c r="M814">
        <f>Inventory_Data[[#This Row],[Opening Stock]]+Inventory_Data[[#This Row],[Purchase Qty]]-Inventory_Data[[#This Row],[Sales Qty]]-Inventory_Data[[#This Row],[Closing Stock]]</f>
        <v>0</v>
      </c>
      <c r="N814">
        <f>Inventory_Data[[#This Row],[Purchase Qty]]*Inventory_Data[[#This Row],[Unit Cost]]</f>
        <v>75972</v>
      </c>
      <c r="O814" t="str">
        <f>IF(Inventory_Data[[#This Row],[Closing Stock]]&lt;=Inventory_Data[[#This Row],[Reorder Level]],"Low Stock","In Stock")</f>
        <v>Low Stock</v>
      </c>
      <c r="P814" t="str">
        <f>TEXT(Inventory_Data[[#This Row],[Date]],"MMM")</f>
        <v>Jun</v>
      </c>
      <c r="Q814" t="str">
        <f>TEXT(Inventory_Data[[#This Row],[Date]],"YYYY")</f>
        <v>2025</v>
      </c>
    </row>
    <row r="815" spans="1:17" x14ac:dyDescent="0.3">
      <c r="A815" s="1">
        <v>45834</v>
      </c>
      <c r="B815" t="s">
        <v>12</v>
      </c>
      <c r="C815" t="s">
        <v>13</v>
      </c>
      <c r="D815" t="s">
        <v>23</v>
      </c>
      <c r="E815" t="s">
        <v>18</v>
      </c>
      <c r="F815">
        <v>81</v>
      </c>
      <c r="G815">
        <v>30</v>
      </c>
      <c r="H815">
        <v>15</v>
      </c>
      <c r="I815">
        <v>96</v>
      </c>
      <c r="J815">
        <v>20</v>
      </c>
      <c r="K815">
        <v>17959</v>
      </c>
      <c r="L815">
        <v>1724064</v>
      </c>
      <c r="M815">
        <f>Inventory_Data[[#This Row],[Opening Stock]]+Inventory_Data[[#This Row],[Purchase Qty]]-Inventory_Data[[#This Row],[Sales Qty]]-Inventory_Data[[#This Row],[Closing Stock]]</f>
        <v>0</v>
      </c>
      <c r="N815">
        <f>Inventory_Data[[#This Row],[Purchase Qty]]*Inventory_Data[[#This Row],[Unit Cost]]</f>
        <v>538770</v>
      </c>
      <c r="O815" t="str">
        <f>IF(Inventory_Data[[#This Row],[Closing Stock]]&lt;=Inventory_Data[[#This Row],[Reorder Level]],"Low Stock","In Stock")</f>
        <v>In Stock</v>
      </c>
      <c r="P815" t="str">
        <f>TEXT(Inventory_Data[[#This Row],[Date]],"MMM")</f>
        <v>Jun</v>
      </c>
      <c r="Q815" t="str">
        <f>TEXT(Inventory_Data[[#This Row],[Date]],"YYYY")</f>
        <v>2025</v>
      </c>
    </row>
    <row r="816" spans="1:17" x14ac:dyDescent="0.3">
      <c r="A816" s="1">
        <v>45834</v>
      </c>
      <c r="B816" t="s">
        <v>36</v>
      </c>
      <c r="C816" t="s">
        <v>22</v>
      </c>
      <c r="D816" t="s">
        <v>14</v>
      </c>
      <c r="E816" t="s">
        <v>29</v>
      </c>
      <c r="F816">
        <v>66</v>
      </c>
      <c r="G816">
        <v>127</v>
      </c>
      <c r="H816">
        <v>193</v>
      </c>
      <c r="I816">
        <v>0</v>
      </c>
      <c r="J816">
        <v>114</v>
      </c>
      <c r="K816">
        <v>629</v>
      </c>
      <c r="L816">
        <v>0</v>
      </c>
      <c r="M816">
        <f>Inventory_Data[[#This Row],[Opening Stock]]+Inventory_Data[[#This Row],[Purchase Qty]]-Inventory_Data[[#This Row],[Sales Qty]]-Inventory_Data[[#This Row],[Closing Stock]]</f>
        <v>0</v>
      </c>
      <c r="N816">
        <f>Inventory_Data[[#This Row],[Purchase Qty]]*Inventory_Data[[#This Row],[Unit Cost]]</f>
        <v>79883</v>
      </c>
      <c r="O816" t="str">
        <f>IF(Inventory_Data[[#This Row],[Closing Stock]]&lt;=Inventory_Data[[#This Row],[Reorder Level]],"Low Stock","In Stock")</f>
        <v>Low Stock</v>
      </c>
      <c r="P816" t="str">
        <f>TEXT(Inventory_Data[[#This Row],[Date]],"MMM")</f>
        <v>Jun</v>
      </c>
      <c r="Q816" t="str">
        <f>TEXT(Inventory_Data[[#This Row],[Date]],"YYYY")</f>
        <v>2025</v>
      </c>
    </row>
    <row r="817" spans="1:17" x14ac:dyDescent="0.3">
      <c r="A817" s="1">
        <v>45835</v>
      </c>
      <c r="B817" t="s">
        <v>38</v>
      </c>
      <c r="C817" t="s">
        <v>17</v>
      </c>
      <c r="D817" t="s">
        <v>37</v>
      </c>
      <c r="E817" t="s">
        <v>24</v>
      </c>
      <c r="F817">
        <v>32</v>
      </c>
      <c r="G817">
        <v>48</v>
      </c>
      <c r="H817">
        <v>39</v>
      </c>
      <c r="I817">
        <v>41</v>
      </c>
      <c r="J817">
        <v>22</v>
      </c>
      <c r="K817">
        <v>13615</v>
      </c>
      <c r="L817">
        <v>558215</v>
      </c>
      <c r="M817">
        <f>Inventory_Data[[#This Row],[Opening Stock]]+Inventory_Data[[#This Row],[Purchase Qty]]-Inventory_Data[[#This Row],[Sales Qty]]-Inventory_Data[[#This Row],[Closing Stock]]</f>
        <v>0</v>
      </c>
      <c r="N817">
        <f>Inventory_Data[[#This Row],[Purchase Qty]]*Inventory_Data[[#This Row],[Unit Cost]]</f>
        <v>653520</v>
      </c>
      <c r="O817" t="str">
        <f>IF(Inventory_Data[[#This Row],[Closing Stock]]&lt;=Inventory_Data[[#This Row],[Reorder Level]],"Low Stock","In Stock")</f>
        <v>In Stock</v>
      </c>
      <c r="P817" t="str">
        <f>TEXT(Inventory_Data[[#This Row],[Date]],"MMM")</f>
        <v>Jun</v>
      </c>
      <c r="Q817" t="str">
        <f>TEXT(Inventory_Data[[#This Row],[Date]],"YYYY")</f>
        <v>2025</v>
      </c>
    </row>
    <row r="818" spans="1:17" x14ac:dyDescent="0.3">
      <c r="A818" s="1">
        <v>45835</v>
      </c>
      <c r="B818" t="s">
        <v>27</v>
      </c>
      <c r="C818" t="s">
        <v>28</v>
      </c>
      <c r="D818" t="s">
        <v>14</v>
      </c>
      <c r="E818" t="s">
        <v>29</v>
      </c>
      <c r="F818">
        <v>54</v>
      </c>
      <c r="G818">
        <v>17</v>
      </c>
      <c r="H818">
        <v>28</v>
      </c>
      <c r="I818">
        <v>43</v>
      </c>
      <c r="J818">
        <v>55</v>
      </c>
      <c r="K818">
        <v>13042</v>
      </c>
      <c r="L818">
        <v>560806</v>
      </c>
      <c r="M818">
        <f>Inventory_Data[[#This Row],[Opening Stock]]+Inventory_Data[[#This Row],[Purchase Qty]]-Inventory_Data[[#This Row],[Sales Qty]]-Inventory_Data[[#This Row],[Closing Stock]]</f>
        <v>0</v>
      </c>
      <c r="N818">
        <f>Inventory_Data[[#This Row],[Purchase Qty]]*Inventory_Data[[#This Row],[Unit Cost]]</f>
        <v>221714</v>
      </c>
      <c r="O818" t="str">
        <f>IF(Inventory_Data[[#This Row],[Closing Stock]]&lt;=Inventory_Data[[#This Row],[Reorder Level]],"Low Stock","In Stock")</f>
        <v>Low Stock</v>
      </c>
      <c r="P818" t="str">
        <f>TEXT(Inventory_Data[[#This Row],[Date]],"MMM")</f>
        <v>Jun</v>
      </c>
      <c r="Q818" t="str">
        <f>TEXT(Inventory_Data[[#This Row],[Date]],"YYYY")</f>
        <v>2025</v>
      </c>
    </row>
    <row r="819" spans="1:17" x14ac:dyDescent="0.3">
      <c r="A819" s="1">
        <v>45835</v>
      </c>
      <c r="B819" t="s">
        <v>40</v>
      </c>
      <c r="C819" t="s">
        <v>28</v>
      </c>
      <c r="D819" t="s">
        <v>14</v>
      </c>
      <c r="E819" t="s">
        <v>34</v>
      </c>
      <c r="F819">
        <v>43</v>
      </c>
      <c r="G819">
        <v>97</v>
      </c>
      <c r="H819">
        <v>21</v>
      </c>
      <c r="I819">
        <v>119</v>
      </c>
      <c r="J819">
        <v>29</v>
      </c>
      <c r="K819">
        <v>7239</v>
      </c>
      <c r="L819">
        <v>861441</v>
      </c>
      <c r="M819">
        <f>Inventory_Data[[#This Row],[Opening Stock]]+Inventory_Data[[#This Row],[Purchase Qty]]-Inventory_Data[[#This Row],[Sales Qty]]-Inventory_Data[[#This Row],[Closing Stock]]</f>
        <v>0</v>
      </c>
      <c r="N819">
        <f>Inventory_Data[[#This Row],[Purchase Qty]]*Inventory_Data[[#This Row],[Unit Cost]]</f>
        <v>702183</v>
      </c>
      <c r="O819" t="str">
        <f>IF(Inventory_Data[[#This Row],[Closing Stock]]&lt;=Inventory_Data[[#This Row],[Reorder Level]],"Low Stock","In Stock")</f>
        <v>In Stock</v>
      </c>
      <c r="P819" t="str">
        <f>TEXT(Inventory_Data[[#This Row],[Date]],"MMM")</f>
        <v>Jun</v>
      </c>
      <c r="Q819" t="str">
        <f>TEXT(Inventory_Data[[#This Row],[Date]],"YYYY")</f>
        <v>2025</v>
      </c>
    </row>
    <row r="820" spans="1:17" x14ac:dyDescent="0.3">
      <c r="A820" s="1">
        <v>45835</v>
      </c>
      <c r="B820" t="s">
        <v>36</v>
      </c>
      <c r="C820" t="s">
        <v>22</v>
      </c>
      <c r="D820" t="s">
        <v>23</v>
      </c>
      <c r="E820" t="s">
        <v>15</v>
      </c>
      <c r="F820">
        <v>379</v>
      </c>
      <c r="G820">
        <v>183</v>
      </c>
      <c r="H820">
        <v>210</v>
      </c>
      <c r="I820">
        <v>352</v>
      </c>
      <c r="J820">
        <v>80</v>
      </c>
      <c r="K820">
        <v>897</v>
      </c>
      <c r="L820">
        <v>315744</v>
      </c>
      <c r="M820">
        <f>Inventory_Data[[#This Row],[Opening Stock]]+Inventory_Data[[#This Row],[Purchase Qty]]-Inventory_Data[[#This Row],[Sales Qty]]-Inventory_Data[[#This Row],[Closing Stock]]</f>
        <v>0</v>
      </c>
      <c r="N820">
        <f>Inventory_Data[[#This Row],[Purchase Qty]]*Inventory_Data[[#This Row],[Unit Cost]]</f>
        <v>164151</v>
      </c>
      <c r="O820" t="str">
        <f>IF(Inventory_Data[[#This Row],[Closing Stock]]&lt;=Inventory_Data[[#This Row],[Reorder Level]],"Low Stock","In Stock")</f>
        <v>In Stock</v>
      </c>
      <c r="P820" t="str">
        <f>TEXT(Inventory_Data[[#This Row],[Date]],"MMM")</f>
        <v>Jun</v>
      </c>
      <c r="Q820" t="str">
        <f>TEXT(Inventory_Data[[#This Row],[Date]],"YYYY")</f>
        <v>2025</v>
      </c>
    </row>
    <row r="821" spans="1:17" x14ac:dyDescent="0.3">
      <c r="A821" s="1">
        <v>45835</v>
      </c>
      <c r="B821" t="s">
        <v>43</v>
      </c>
      <c r="C821" t="s">
        <v>22</v>
      </c>
      <c r="D821" t="s">
        <v>14</v>
      </c>
      <c r="E821" t="s">
        <v>29</v>
      </c>
      <c r="F821">
        <v>65</v>
      </c>
      <c r="G821">
        <v>115</v>
      </c>
      <c r="H821">
        <v>180</v>
      </c>
      <c r="I821">
        <v>0</v>
      </c>
      <c r="J821">
        <v>91</v>
      </c>
      <c r="K821">
        <v>236</v>
      </c>
      <c r="L821">
        <v>0</v>
      </c>
      <c r="M821">
        <f>Inventory_Data[[#This Row],[Opening Stock]]+Inventory_Data[[#This Row],[Purchase Qty]]-Inventory_Data[[#This Row],[Sales Qty]]-Inventory_Data[[#This Row],[Closing Stock]]</f>
        <v>0</v>
      </c>
      <c r="N821">
        <f>Inventory_Data[[#This Row],[Purchase Qty]]*Inventory_Data[[#This Row],[Unit Cost]]</f>
        <v>27140</v>
      </c>
      <c r="O821" t="str">
        <f>IF(Inventory_Data[[#This Row],[Closing Stock]]&lt;=Inventory_Data[[#This Row],[Reorder Level]],"Low Stock","In Stock")</f>
        <v>Low Stock</v>
      </c>
      <c r="P821" t="str">
        <f>TEXT(Inventory_Data[[#This Row],[Date]],"MMM")</f>
        <v>Jun</v>
      </c>
      <c r="Q821" t="str">
        <f>TEXT(Inventory_Data[[#This Row],[Date]],"YYYY")</f>
        <v>2025</v>
      </c>
    </row>
    <row r="822" spans="1:17" x14ac:dyDescent="0.3">
      <c r="A822" s="1">
        <v>45835</v>
      </c>
      <c r="B822" t="s">
        <v>40</v>
      </c>
      <c r="C822" t="s">
        <v>28</v>
      </c>
      <c r="D822" t="s">
        <v>23</v>
      </c>
      <c r="E822" t="s">
        <v>34</v>
      </c>
      <c r="F822">
        <v>120</v>
      </c>
      <c r="G822">
        <v>15</v>
      </c>
      <c r="H822">
        <v>89</v>
      </c>
      <c r="I822">
        <v>46</v>
      </c>
      <c r="J822">
        <v>55</v>
      </c>
      <c r="K822">
        <v>37970</v>
      </c>
      <c r="L822">
        <v>1746620</v>
      </c>
      <c r="M822">
        <f>Inventory_Data[[#This Row],[Opening Stock]]+Inventory_Data[[#This Row],[Purchase Qty]]-Inventory_Data[[#This Row],[Sales Qty]]-Inventory_Data[[#This Row],[Closing Stock]]</f>
        <v>0</v>
      </c>
      <c r="N822">
        <f>Inventory_Data[[#This Row],[Purchase Qty]]*Inventory_Data[[#This Row],[Unit Cost]]</f>
        <v>569550</v>
      </c>
      <c r="O822" t="str">
        <f>IF(Inventory_Data[[#This Row],[Closing Stock]]&lt;=Inventory_Data[[#This Row],[Reorder Level]],"Low Stock","In Stock")</f>
        <v>Low Stock</v>
      </c>
      <c r="P822" t="str">
        <f>TEXT(Inventory_Data[[#This Row],[Date]],"MMM")</f>
        <v>Jun</v>
      </c>
      <c r="Q822" t="str">
        <f>TEXT(Inventory_Data[[#This Row],[Date]],"YYYY")</f>
        <v>2025</v>
      </c>
    </row>
    <row r="823" spans="1:17" x14ac:dyDescent="0.3">
      <c r="A823" s="1">
        <v>45835</v>
      </c>
      <c r="B823" t="s">
        <v>30</v>
      </c>
      <c r="C823" t="s">
        <v>28</v>
      </c>
      <c r="D823" t="s">
        <v>14</v>
      </c>
      <c r="E823" t="s">
        <v>29</v>
      </c>
      <c r="F823">
        <v>60</v>
      </c>
      <c r="G823">
        <v>54</v>
      </c>
      <c r="H823">
        <v>13</v>
      </c>
      <c r="I823">
        <v>101</v>
      </c>
      <c r="J823">
        <v>41</v>
      </c>
      <c r="K823">
        <v>7133</v>
      </c>
      <c r="L823">
        <v>720433</v>
      </c>
      <c r="M823">
        <f>Inventory_Data[[#This Row],[Opening Stock]]+Inventory_Data[[#This Row],[Purchase Qty]]-Inventory_Data[[#This Row],[Sales Qty]]-Inventory_Data[[#This Row],[Closing Stock]]</f>
        <v>0</v>
      </c>
      <c r="N823">
        <f>Inventory_Data[[#This Row],[Purchase Qty]]*Inventory_Data[[#This Row],[Unit Cost]]</f>
        <v>385182</v>
      </c>
      <c r="O823" t="str">
        <f>IF(Inventory_Data[[#This Row],[Closing Stock]]&lt;=Inventory_Data[[#This Row],[Reorder Level]],"Low Stock","In Stock")</f>
        <v>In Stock</v>
      </c>
      <c r="P823" t="str">
        <f>TEXT(Inventory_Data[[#This Row],[Date]],"MMM")</f>
        <v>Jun</v>
      </c>
      <c r="Q823" t="str">
        <f>TEXT(Inventory_Data[[#This Row],[Date]],"YYYY")</f>
        <v>2025</v>
      </c>
    </row>
    <row r="824" spans="1:17" x14ac:dyDescent="0.3">
      <c r="A824" s="1">
        <v>45835</v>
      </c>
      <c r="B824" t="s">
        <v>12</v>
      </c>
      <c r="C824" t="s">
        <v>13</v>
      </c>
      <c r="D824" t="s">
        <v>23</v>
      </c>
      <c r="E824" t="s">
        <v>20</v>
      </c>
      <c r="F824">
        <v>54</v>
      </c>
      <c r="G824">
        <v>7</v>
      </c>
      <c r="H824">
        <v>19</v>
      </c>
      <c r="I824">
        <v>42</v>
      </c>
      <c r="J824">
        <v>32</v>
      </c>
      <c r="K824">
        <v>14200</v>
      </c>
      <c r="L824">
        <v>596400</v>
      </c>
      <c r="M824">
        <f>Inventory_Data[[#This Row],[Opening Stock]]+Inventory_Data[[#This Row],[Purchase Qty]]-Inventory_Data[[#This Row],[Sales Qty]]-Inventory_Data[[#This Row],[Closing Stock]]</f>
        <v>0</v>
      </c>
      <c r="N824">
        <f>Inventory_Data[[#This Row],[Purchase Qty]]*Inventory_Data[[#This Row],[Unit Cost]]</f>
        <v>99400</v>
      </c>
      <c r="O824" t="str">
        <f>IF(Inventory_Data[[#This Row],[Closing Stock]]&lt;=Inventory_Data[[#This Row],[Reorder Level]],"Low Stock","In Stock")</f>
        <v>In Stock</v>
      </c>
      <c r="P824" t="str">
        <f>TEXT(Inventory_Data[[#This Row],[Date]],"MMM")</f>
        <v>Jun</v>
      </c>
      <c r="Q824" t="str">
        <f>TEXT(Inventory_Data[[#This Row],[Date]],"YYYY")</f>
        <v>2025</v>
      </c>
    </row>
    <row r="825" spans="1:17" x14ac:dyDescent="0.3">
      <c r="A825" s="1">
        <v>45836</v>
      </c>
      <c r="B825" t="s">
        <v>39</v>
      </c>
      <c r="C825" t="s">
        <v>28</v>
      </c>
      <c r="D825" t="s">
        <v>23</v>
      </c>
      <c r="E825" t="s">
        <v>29</v>
      </c>
      <c r="F825">
        <v>167</v>
      </c>
      <c r="G825">
        <v>90</v>
      </c>
      <c r="H825">
        <v>84</v>
      </c>
      <c r="I825">
        <v>173</v>
      </c>
      <c r="J825">
        <v>24</v>
      </c>
      <c r="K825">
        <v>48472</v>
      </c>
      <c r="L825">
        <v>8385656</v>
      </c>
      <c r="M825">
        <f>Inventory_Data[[#This Row],[Opening Stock]]+Inventory_Data[[#This Row],[Purchase Qty]]-Inventory_Data[[#This Row],[Sales Qty]]-Inventory_Data[[#This Row],[Closing Stock]]</f>
        <v>0</v>
      </c>
      <c r="N825">
        <f>Inventory_Data[[#This Row],[Purchase Qty]]*Inventory_Data[[#This Row],[Unit Cost]]</f>
        <v>4362480</v>
      </c>
      <c r="O825" t="str">
        <f>IF(Inventory_Data[[#This Row],[Closing Stock]]&lt;=Inventory_Data[[#This Row],[Reorder Level]],"Low Stock","In Stock")</f>
        <v>In Stock</v>
      </c>
      <c r="P825" t="str">
        <f>TEXT(Inventory_Data[[#This Row],[Date]],"MMM")</f>
        <v>Jun</v>
      </c>
      <c r="Q825" t="str">
        <f>TEXT(Inventory_Data[[#This Row],[Date]],"YYYY")</f>
        <v>2025</v>
      </c>
    </row>
    <row r="826" spans="1:17" x14ac:dyDescent="0.3">
      <c r="A826" s="1">
        <v>45836</v>
      </c>
      <c r="B826" t="s">
        <v>16</v>
      </c>
      <c r="C826" t="s">
        <v>17</v>
      </c>
      <c r="D826" t="s">
        <v>23</v>
      </c>
      <c r="E826" t="s">
        <v>24</v>
      </c>
      <c r="F826">
        <v>82</v>
      </c>
      <c r="G826">
        <v>27</v>
      </c>
      <c r="H826">
        <v>32</v>
      </c>
      <c r="I826">
        <v>77</v>
      </c>
      <c r="J826">
        <v>29</v>
      </c>
      <c r="K826">
        <v>10363</v>
      </c>
      <c r="L826">
        <v>797951</v>
      </c>
      <c r="M826">
        <f>Inventory_Data[[#This Row],[Opening Stock]]+Inventory_Data[[#This Row],[Purchase Qty]]-Inventory_Data[[#This Row],[Sales Qty]]-Inventory_Data[[#This Row],[Closing Stock]]</f>
        <v>0</v>
      </c>
      <c r="N826">
        <f>Inventory_Data[[#This Row],[Purchase Qty]]*Inventory_Data[[#This Row],[Unit Cost]]</f>
        <v>279801</v>
      </c>
      <c r="O826" t="str">
        <f>IF(Inventory_Data[[#This Row],[Closing Stock]]&lt;=Inventory_Data[[#This Row],[Reorder Level]],"Low Stock","In Stock")</f>
        <v>In Stock</v>
      </c>
      <c r="P826" t="str">
        <f>TEXT(Inventory_Data[[#This Row],[Date]],"MMM")</f>
        <v>Jun</v>
      </c>
      <c r="Q826" t="str">
        <f>TEXT(Inventory_Data[[#This Row],[Date]],"YYYY")</f>
        <v>2025</v>
      </c>
    </row>
    <row r="827" spans="1:17" x14ac:dyDescent="0.3">
      <c r="A827" s="1">
        <v>45836</v>
      </c>
      <c r="B827" t="s">
        <v>40</v>
      </c>
      <c r="C827" t="s">
        <v>28</v>
      </c>
      <c r="D827" t="s">
        <v>23</v>
      </c>
      <c r="E827" t="s">
        <v>18</v>
      </c>
      <c r="F827">
        <v>151</v>
      </c>
      <c r="G827">
        <v>64</v>
      </c>
      <c r="H827">
        <v>75</v>
      </c>
      <c r="I827">
        <v>140</v>
      </c>
      <c r="J827">
        <v>47</v>
      </c>
      <c r="K827">
        <v>44155</v>
      </c>
      <c r="L827">
        <v>6181700</v>
      </c>
      <c r="M827">
        <f>Inventory_Data[[#This Row],[Opening Stock]]+Inventory_Data[[#This Row],[Purchase Qty]]-Inventory_Data[[#This Row],[Sales Qty]]-Inventory_Data[[#This Row],[Closing Stock]]</f>
        <v>0</v>
      </c>
      <c r="N827">
        <f>Inventory_Data[[#This Row],[Purchase Qty]]*Inventory_Data[[#This Row],[Unit Cost]]</f>
        <v>2825920</v>
      </c>
      <c r="O827" t="str">
        <f>IF(Inventory_Data[[#This Row],[Closing Stock]]&lt;=Inventory_Data[[#This Row],[Reorder Level]],"Low Stock","In Stock")</f>
        <v>In Stock</v>
      </c>
      <c r="P827" t="str">
        <f>TEXT(Inventory_Data[[#This Row],[Date]],"MMM")</f>
        <v>Jun</v>
      </c>
      <c r="Q827" t="str">
        <f>TEXT(Inventory_Data[[#This Row],[Date]],"YYYY")</f>
        <v>2025</v>
      </c>
    </row>
    <row r="828" spans="1:17" x14ac:dyDescent="0.3">
      <c r="A828" s="1">
        <v>45836</v>
      </c>
      <c r="B828" t="s">
        <v>40</v>
      </c>
      <c r="C828" t="s">
        <v>28</v>
      </c>
      <c r="D828" t="s">
        <v>14</v>
      </c>
      <c r="E828" t="s">
        <v>18</v>
      </c>
      <c r="F828">
        <v>148</v>
      </c>
      <c r="G828">
        <v>100</v>
      </c>
      <c r="H828">
        <v>25</v>
      </c>
      <c r="I828">
        <v>223</v>
      </c>
      <c r="J828">
        <v>35</v>
      </c>
      <c r="K828">
        <v>47828</v>
      </c>
      <c r="L828">
        <v>10665644</v>
      </c>
      <c r="M828">
        <f>Inventory_Data[[#This Row],[Opening Stock]]+Inventory_Data[[#This Row],[Purchase Qty]]-Inventory_Data[[#This Row],[Sales Qty]]-Inventory_Data[[#This Row],[Closing Stock]]</f>
        <v>0</v>
      </c>
      <c r="N828">
        <f>Inventory_Data[[#This Row],[Purchase Qty]]*Inventory_Data[[#This Row],[Unit Cost]]</f>
        <v>4782800</v>
      </c>
      <c r="O828" t="str">
        <f>IF(Inventory_Data[[#This Row],[Closing Stock]]&lt;=Inventory_Data[[#This Row],[Reorder Level]],"Low Stock","In Stock")</f>
        <v>In Stock</v>
      </c>
      <c r="P828" t="str">
        <f>TEXT(Inventory_Data[[#This Row],[Date]],"MMM")</f>
        <v>Jun</v>
      </c>
      <c r="Q828" t="str">
        <f>TEXT(Inventory_Data[[#This Row],[Date]],"YYYY")</f>
        <v>2025</v>
      </c>
    </row>
    <row r="829" spans="1:17" x14ac:dyDescent="0.3">
      <c r="A829" s="1">
        <v>45837</v>
      </c>
      <c r="B829" t="s">
        <v>45</v>
      </c>
      <c r="C829" t="s">
        <v>13</v>
      </c>
      <c r="D829" t="s">
        <v>37</v>
      </c>
      <c r="E829" t="s">
        <v>20</v>
      </c>
      <c r="F829">
        <v>26</v>
      </c>
      <c r="G829">
        <v>51</v>
      </c>
      <c r="H829">
        <v>14</v>
      </c>
      <c r="I829">
        <v>63</v>
      </c>
      <c r="J829">
        <v>26</v>
      </c>
      <c r="K829">
        <v>13535</v>
      </c>
      <c r="L829">
        <v>852705</v>
      </c>
      <c r="M829">
        <f>Inventory_Data[[#This Row],[Opening Stock]]+Inventory_Data[[#This Row],[Purchase Qty]]-Inventory_Data[[#This Row],[Sales Qty]]-Inventory_Data[[#This Row],[Closing Stock]]</f>
        <v>0</v>
      </c>
      <c r="N829">
        <f>Inventory_Data[[#This Row],[Purchase Qty]]*Inventory_Data[[#This Row],[Unit Cost]]</f>
        <v>690285</v>
      </c>
      <c r="O829" t="str">
        <f>IF(Inventory_Data[[#This Row],[Closing Stock]]&lt;=Inventory_Data[[#This Row],[Reorder Level]],"Low Stock","In Stock")</f>
        <v>In Stock</v>
      </c>
      <c r="P829" t="str">
        <f>TEXT(Inventory_Data[[#This Row],[Date]],"MMM")</f>
        <v>Jun</v>
      </c>
      <c r="Q829" t="str">
        <f>TEXT(Inventory_Data[[#This Row],[Date]],"YYYY")</f>
        <v>2025</v>
      </c>
    </row>
    <row r="830" spans="1:17" x14ac:dyDescent="0.3">
      <c r="A830" s="1">
        <v>45837</v>
      </c>
      <c r="B830" t="s">
        <v>25</v>
      </c>
      <c r="C830" t="s">
        <v>17</v>
      </c>
      <c r="D830" t="s">
        <v>37</v>
      </c>
      <c r="E830" t="s">
        <v>15</v>
      </c>
      <c r="F830">
        <v>55</v>
      </c>
      <c r="G830">
        <v>9</v>
      </c>
      <c r="H830">
        <v>30</v>
      </c>
      <c r="I830">
        <v>34</v>
      </c>
      <c r="J830">
        <v>25</v>
      </c>
      <c r="K830">
        <v>11190</v>
      </c>
      <c r="L830">
        <v>380460</v>
      </c>
      <c r="M830">
        <f>Inventory_Data[[#This Row],[Opening Stock]]+Inventory_Data[[#This Row],[Purchase Qty]]-Inventory_Data[[#This Row],[Sales Qty]]-Inventory_Data[[#This Row],[Closing Stock]]</f>
        <v>0</v>
      </c>
      <c r="N830">
        <f>Inventory_Data[[#This Row],[Purchase Qty]]*Inventory_Data[[#This Row],[Unit Cost]]</f>
        <v>100710</v>
      </c>
      <c r="O830" t="str">
        <f>IF(Inventory_Data[[#This Row],[Closing Stock]]&lt;=Inventory_Data[[#This Row],[Reorder Level]],"Low Stock","In Stock")</f>
        <v>In Stock</v>
      </c>
      <c r="P830" t="str">
        <f>TEXT(Inventory_Data[[#This Row],[Date]],"MMM")</f>
        <v>Jun</v>
      </c>
      <c r="Q830" t="str">
        <f>TEXT(Inventory_Data[[#This Row],[Date]],"YYYY")</f>
        <v>2025</v>
      </c>
    </row>
    <row r="831" spans="1:17" x14ac:dyDescent="0.3">
      <c r="A831" s="1">
        <v>45837</v>
      </c>
      <c r="B831" t="s">
        <v>38</v>
      </c>
      <c r="C831" t="s">
        <v>17</v>
      </c>
      <c r="D831" t="s">
        <v>37</v>
      </c>
      <c r="E831" t="s">
        <v>15</v>
      </c>
      <c r="F831">
        <v>13</v>
      </c>
      <c r="G831">
        <v>51</v>
      </c>
      <c r="H831">
        <v>22</v>
      </c>
      <c r="I831">
        <v>42</v>
      </c>
      <c r="J831">
        <v>18</v>
      </c>
      <c r="K831">
        <v>4544</v>
      </c>
      <c r="L831">
        <v>190848</v>
      </c>
      <c r="M831">
        <f>Inventory_Data[[#This Row],[Opening Stock]]+Inventory_Data[[#This Row],[Purchase Qty]]-Inventory_Data[[#This Row],[Sales Qty]]-Inventory_Data[[#This Row],[Closing Stock]]</f>
        <v>0</v>
      </c>
      <c r="N831">
        <f>Inventory_Data[[#This Row],[Purchase Qty]]*Inventory_Data[[#This Row],[Unit Cost]]</f>
        <v>231744</v>
      </c>
      <c r="O831" t="str">
        <f>IF(Inventory_Data[[#This Row],[Closing Stock]]&lt;=Inventory_Data[[#This Row],[Reorder Level]],"Low Stock","In Stock")</f>
        <v>In Stock</v>
      </c>
      <c r="P831" t="str">
        <f>TEXT(Inventory_Data[[#This Row],[Date]],"MMM")</f>
        <v>Jun</v>
      </c>
      <c r="Q831" t="str">
        <f>TEXT(Inventory_Data[[#This Row],[Date]],"YYYY")</f>
        <v>2025</v>
      </c>
    </row>
    <row r="832" spans="1:17" x14ac:dyDescent="0.3">
      <c r="A832" s="1">
        <v>45837</v>
      </c>
      <c r="B832" t="s">
        <v>33</v>
      </c>
      <c r="C832" t="s">
        <v>13</v>
      </c>
      <c r="D832" t="s">
        <v>14</v>
      </c>
      <c r="E832" t="s">
        <v>29</v>
      </c>
      <c r="F832">
        <v>50</v>
      </c>
      <c r="G832">
        <v>12</v>
      </c>
      <c r="H832">
        <v>42</v>
      </c>
      <c r="I832">
        <v>20</v>
      </c>
      <c r="J832">
        <v>30</v>
      </c>
      <c r="K832">
        <v>14161</v>
      </c>
      <c r="L832">
        <v>283220</v>
      </c>
      <c r="M832">
        <f>Inventory_Data[[#This Row],[Opening Stock]]+Inventory_Data[[#This Row],[Purchase Qty]]-Inventory_Data[[#This Row],[Sales Qty]]-Inventory_Data[[#This Row],[Closing Stock]]</f>
        <v>0</v>
      </c>
      <c r="N832">
        <f>Inventory_Data[[#This Row],[Purchase Qty]]*Inventory_Data[[#This Row],[Unit Cost]]</f>
        <v>169932</v>
      </c>
      <c r="O832" t="str">
        <f>IF(Inventory_Data[[#This Row],[Closing Stock]]&lt;=Inventory_Data[[#This Row],[Reorder Level]],"Low Stock","In Stock")</f>
        <v>Low Stock</v>
      </c>
      <c r="P832" t="str">
        <f>TEXT(Inventory_Data[[#This Row],[Date]],"MMM")</f>
        <v>Jun</v>
      </c>
      <c r="Q832" t="str">
        <f>TEXT(Inventory_Data[[#This Row],[Date]],"YYYY")</f>
        <v>2025</v>
      </c>
    </row>
    <row r="833" spans="1:17" x14ac:dyDescent="0.3">
      <c r="A833" s="1">
        <v>45837</v>
      </c>
      <c r="B833" t="s">
        <v>43</v>
      </c>
      <c r="C833" t="s">
        <v>22</v>
      </c>
      <c r="D833" t="s">
        <v>14</v>
      </c>
      <c r="E833" t="s">
        <v>24</v>
      </c>
      <c r="F833">
        <v>65</v>
      </c>
      <c r="G833">
        <v>244</v>
      </c>
      <c r="H833">
        <v>86</v>
      </c>
      <c r="I833">
        <v>223</v>
      </c>
      <c r="J833">
        <v>102</v>
      </c>
      <c r="K833">
        <v>624</v>
      </c>
      <c r="L833">
        <v>139152</v>
      </c>
      <c r="M833">
        <f>Inventory_Data[[#This Row],[Opening Stock]]+Inventory_Data[[#This Row],[Purchase Qty]]-Inventory_Data[[#This Row],[Sales Qty]]-Inventory_Data[[#This Row],[Closing Stock]]</f>
        <v>0</v>
      </c>
      <c r="N833">
        <f>Inventory_Data[[#This Row],[Purchase Qty]]*Inventory_Data[[#This Row],[Unit Cost]]</f>
        <v>152256</v>
      </c>
      <c r="O833" t="str">
        <f>IF(Inventory_Data[[#This Row],[Closing Stock]]&lt;=Inventory_Data[[#This Row],[Reorder Level]],"Low Stock","In Stock")</f>
        <v>In Stock</v>
      </c>
      <c r="P833" t="str">
        <f>TEXT(Inventory_Data[[#This Row],[Date]],"MMM")</f>
        <v>Jun</v>
      </c>
      <c r="Q833" t="str">
        <f>TEXT(Inventory_Data[[#This Row],[Date]],"YYYY")</f>
        <v>2025</v>
      </c>
    </row>
    <row r="834" spans="1:17" x14ac:dyDescent="0.3">
      <c r="A834" s="1">
        <v>45837</v>
      </c>
      <c r="B834" t="s">
        <v>42</v>
      </c>
      <c r="C834" t="s">
        <v>17</v>
      </c>
      <c r="D834" t="s">
        <v>37</v>
      </c>
      <c r="E834" t="s">
        <v>29</v>
      </c>
      <c r="F834">
        <v>72</v>
      </c>
      <c r="G834">
        <v>14</v>
      </c>
      <c r="H834">
        <v>18</v>
      </c>
      <c r="I834">
        <v>68</v>
      </c>
      <c r="J834">
        <v>26</v>
      </c>
      <c r="K834">
        <v>13260</v>
      </c>
      <c r="L834">
        <v>901680</v>
      </c>
      <c r="M834">
        <f>Inventory_Data[[#This Row],[Opening Stock]]+Inventory_Data[[#This Row],[Purchase Qty]]-Inventory_Data[[#This Row],[Sales Qty]]-Inventory_Data[[#This Row],[Closing Stock]]</f>
        <v>0</v>
      </c>
      <c r="N834">
        <f>Inventory_Data[[#This Row],[Purchase Qty]]*Inventory_Data[[#This Row],[Unit Cost]]</f>
        <v>185640</v>
      </c>
      <c r="O834" t="str">
        <f>IF(Inventory_Data[[#This Row],[Closing Stock]]&lt;=Inventory_Data[[#This Row],[Reorder Level]],"Low Stock","In Stock")</f>
        <v>In Stock</v>
      </c>
      <c r="P834" t="str">
        <f>TEXT(Inventory_Data[[#This Row],[Date]],"MMM")</f>
        <v>Jun</v>
      </c>
      <c r="Q834" t="str">
        <f>TEXT(Inventory_Data[[#This Row],[Date]],"YYYY")</f>
        <v>2025</v>
      </c>
    </row>
    <row r="835" spans="1:17" x14ac:dyDescent="0.3">
      <c r="A835" s="1">
        <v>45837</v>
      </c>
      <c r="B835" t="s">
        <v>43</v>
      </c>
      <c r="C835" t="s">
        <v>22</v>
      </c>
      <c r="D835" t="s">
        <v>14</v>
      </c>
      <c r="E835" t="s">
        <v>15</v>
      </c>
      <c r="F835">
        <v>231</v>
      </c>
      <c r="G835">
        <v>288</v>
      </c>
      <c r="H835">
        <v>252</v>
      </c>
      <c r="I835">
        <v>267</v>
      </c>
      <c r="J835">
        <v>118</v>
      </c>
      <c r="K835">
        <v>1139</v>
      </c>
      <c r="L835">
        <v>304113</v>
      </c>
      <c r="M835">
        <f>Inventory_Data[[#This Row],[Opening Stock]]+Inventory_Data[[#This Row],[Purchase Qty]]-Inventory_Data[[#This Row],[Sales Qty]]-Inventory_Data[[#This Row],[Closing Stock]]</f>
        <v>0</v>
      </c>
      <c r="N835">
        <f>Inventory_Data[[#This Row],[Purchase Qty]]*Inventory_Data[[#This Row],[Unit Cost]]</f>
        <v>328032</v>
      </c>
      <c r="O835" t="str">
        <f>IF(Inventory_Data[[#This Row],[Closing Stock]]&lt;=Inventory_Data[[#This Row],[Reorder Level]],"Low Stock","In Stock")</f>
        <v>In Stock</v>
      </c>
      <c r="P835" t="str">
        <f>TEXT(Inventory_Data[[#This Row],[Date]],"MMM")</f>
        <v>Jun</v>
      </c>
      <c r="Q835" t="str">
        <f>TEXT(Inventory_Data[[#This Row],[Date]],"YYYY")</f>
        <v>2025</v>
      </c>
    </row>
    <row r="836" spans="1:17" x14ac:dyDescent="0.3">
      <c r="A836" s="1">
        <v>45838</v>
      </c>
      <c r="B836" t="s">
        <v>21</v>
      </c>
      <c r="C836" t="s">
        <v>22</v>
      </c>
      <c r="D836" t="s">
        <v>37</v>
      </c>
      <c r="E836" t="s">
        <v>24</v>
      </c>
      <c r="F836">
        <v>264</v>
      </c>
      <c r="G836">
        <v>117</v>
      </c>
      <c r="H836">
        <v>265</v>
      </c>
      <c r="I836">
        <v>116</v>
      </c>
      <c r="J836">
        <v>84</v>
      </c>
      <c r="K836">
        <v>1116</v>
      </c>
      <c r="L836">
        <v>129456</v>
      </c>
      <c r="M836">
        <f>Inventory_Data[[#This Row],[Opening Stock]]+Inventory_Data[[#This Row],[Purchase Qty]]-Inventory_Data[[#This Row],[Sales Qty]]-Inventory_Data[[#This Row],[Closing Stock]]</f>
        <v>0</v>
      </c>
      <c r="N836">
        <f>Inventory_Data[[#This Row],[Purchase Qty]]*Inventory_Data[[#This Row],[Unit Cost]]</f>
        <v>130572</v>
      </c>
      <c r="O836" t="str">
        <f>IF(Inventory_Data[[#This Row],[Closing Stock]]&lt;=Inventory_Data[[#This Row],[Reorder Level]],"Low Stock","In Stock")</f>
        <v>In Stock</v>
      </c>
      <c r="P836" t="str">
        <f>TEXT(Inventory_Data[[#This Row],[Date]],"MMM")</f>
        <v>Jun</v>
      </c>
      <c r="Q836" t="str">
        <f>TEXT(Inventory_Data[[#This Row],[Date]],"YYYY")</f>
        <v>2025</v>
      </c>
    </row>
    <row r="837" spans="1:17" x14ac:dyDescent="0.3">
      <c r="A837" s="1">
        <v>45838</v>
      </c>
      <c r="B837" t="s">
        <v>42</v>
      </c>
      <c r="C837" t="s">
        <v>17</v>
      </c>
      <c r="D837" t="s">
        <v>37</v>
      </c>
      <c r="E837" t="s">
        <v>20</v>
      </c>
      <c r="F837">
        <v>70</v>
      </c>
      <c r="G837">
        <v>50</v>
      </c>
      <c r="H837">
        <v>22</v>
      </c>
      <c r="I837">
        <v>98</v>
      </c>
      <c r="J837">
        <v>25</v>
      </c>
      <c r="K837">
        <v>15269</v>
      </c>
      <c r="L837">
        <v>1496362</v>
      </c>
      <c r="M837">
        <f>Inventory_Data[[#This Row],[Opening Stock]]+Inventory_Data[[#This Row],[Purchase Qty]]-Inventory_Data[[#This Row],[Sales Qty]]-Inventory_Data[[#This Row],[Closing Stock]]</f>
        <v>0</v>
      </c>
      <c r="N837">
        <f>Inventory_Data[[#This Row],[Purchase Qty]]*Inventory_Data[[#This Row],[Unit Cost]]</f>
        <v>763450</v>
      </c>
      <c r="O837" t="str">
        <f>IF(Inventory_Data[[#This Row],[Closing Stock]]&lt;=Inventory_Data[[#This Row],[Reorder Level]],"Low Stock","In Stock")</f>
        <v>In Stock</v>
      </c>
      <c r="P837" t="str">
        <f>TEXT(Inventory_Data[[#This Row],[Date]],"MMM")</f>
        <v>Jun</v>
      </c>
      <c r="Q837" t="str">
        <f>TEXT(Inventory_Data[[#This Row],[Date]],"YYYY")</f>
        <v>2025</v>
      </c>
    </row>
    <row r="838" spans="1:17" x14ac:dyDescent="0.3">
      <c r="A838" s="1">
        <v>45838</v>
      </c>
      <c r="B838" t="s">
        <v>44</v>
      </c>
      <c r="C838" t="s">
        <v>28</v>
      </c>
      <c r="D838" t="s">
        <v>37</v>
      </c>
      <c r="E838" t="s">
        <v>15</v>
      </c>
      <c r="F838">
        <v>125</v>
      </c>
      <c r="G838">
        <v>80</v>
      </c>
      <c r="H838">
        <v>6</v>
      </c>
      <c r="I838">
        <v>199</v>
      </c>
      <c r="J838">
        <v>43</v>
      </c>
      <c r="K838">
        <v>31113</v>
      </c>
      <c r="L838">
        <v>6191487</v>
      </c>
      <c r="M838">
        <f>Inventory_Data[[#This Row],[Opening Stock]]+Inventory_Data[[#This Row],[Purchase Qty]]-Inventory_Data[[#This Row],[Sales Qty]]-Inventory_Data[[#This Row],[Closing Stock]]</f>
        <v>0</v>
      </c>
      <c r="N838">
        <f>Inventory_Data[[#This Row],[Purchase Qty]]*Inventory_Data[[#This Row],[Unit Cost]]</f>
        <v>2489040</v>
      </c>
      <c r="O838" t="str">
        <f>IF(Inventory_Data[[#This Row],[Closing Stock]]&lt;=Inventory_Data[[#This Row],[Reorder Level]],"Low Stock","In Stock")</f>
        <v>In Stock</v>
      </c>
      <c r="P838" t="str">
        <f>TEXT(Inventory_Data[[#This Row],[Date]],"MMM")</f>
        <v>Jun</v>
      </c>
      <c r="Q838" t="str">
        <f>TEXT(Inventory_Data[[#This Row],[Date]],"YYYY")</f>
        <v>2025</v>
      </c>
    </row>
    <row r="839" spans="1:17" x14ac:dyDescent="0.3">
      <c r="A839" s="1">
        <v>45838</v>
      </c>
      <c r="B839" t="s">
        <v>16</v>
      </c>
      <c r="C839" t="s">
        <v>17</v>
      </c>
      <c r="D839" t="s">
        <v>26</v>
      </c>
      <c r="E839" t="s">
        <v>29</v>
      </c>
      <c r="F839">
        <v>99</v>
      </c>
      <c r="G839">
        <v>35</v>
      </c>
      <c r="H839">
        <v>13</v>
      </c>
      <c r="I839">
        <v>121</v>
      </c>
      <c r="J839">
        <v>26</v>
      </c>
      <c r="K839">
        <v>22482</v>
      </c>
      <c r="L839">
        <v>2720322</v>
      </c>
      <c r="M839">
        <f>Inventory_Data[[#This Row],[Opening Stock]]+Inventory_Data[[#This Row],[Purchase Qty]]-Inventory_Data[[#This Row],[Sales Qty]]-Inventory_Data[[#This Row],[Closing Stock]]</f>
        <v>0</v>
      </c>
      <c r="N839">
        <f>Inventory_Data[[#This Row],[Purchase Qty]]*Inventory_Data[[#This Row],[Unit Cost]]</f>
        <v>786870</v>
      </c>
      <c r="O839" t="str">
        <f>IF(Inventory_Data[[#This Row],[Closing Stock]]&lt;=Inventory_Data[[#This Row],[Reorder Level]],"Low Stock","In Stock")</f>
        <v>In Stock</v>
      </c>
      <c r="P839" t="str">
        <f>TEXT(Inventory_Data[[#This Row],[Date]],"MMM")</f>
        <v>Jun</v>
      </c>
      <c r="Q839" t="str">
        <f>TEXT(Inventory_Data[[#This Row],[Date]],"YYYY")</f>
        <v>2025</v>
      </c>
    </row>
    <row r="840" spans="1:17" x14ac:dyDescent="0.3">
      <c r="A840" s="1">
        <v>45839</v>
      </c>
      <c r="B840" t="s">
        <v>41</v>
      </c>
      <c r="C840" t="s">
        <v>22</v>
      </c>
      <c r="D840" t="s">
        <v>37</v>
      </c>
      <c r="E840" t="s">
        <v>34</v>
      </c>
      <c r="F840">
        <v>499</v>
      </c>
      <c r="G840">
        <v>173</v>
      </c>
      <c r="H840">
        <v>191</v>
      </c>
      <c r="I840">
        <v>481</v>
      </c>
      <c r="J840">
        <v>133</v>
      </c>
      <c r="K840">
        <v>49</v>
      </c>
      <c r="L840">
        <v>23569</v>
      </c>
      <c r="M840">
        <f>Inventory_Data[[#This Row],[Opening Stock]]+Inventory_Data[[#This Row],[Purchase Qty]]-Inventory_Data[[#This Row],[Sales Qty]]-Inventory_Data[[#This Row],[Closing Stock]]</f>
        <v>0</v>
      </c>
      <c r="N840">
        <f>Inventory_Data[[#This Row],[Purchase Qty]]*Inventory_Data[[#This Row],[Unit Cost]]</f>
        <v>8477</v>
      </c>
      <c r="O840" t="str">
        <f>IF(Inventory_Data[[#This Row],[Closing Stock]]&lt;=Inventory_Data[[#This Row],[Reorder Level]],"Low Stock","In Stock")</f>
        <v>In Stock</v>
      </c>
      <c r="P840" t="str">
        <f>TEXT(Inventory_Data[[#This Row],[Date]],"MMM")</f>
        <v>Jul</v>
      </c>
      <c r="Q840" t="str">
        <f>TEXT(Inventory_Data[[#This Row],[Date]],"YYYY")</f>
        <v>2025</v>
      </c>
    </row>
    <row r="841" spans="1:17" x14ac:dyDescent="0.3">
      <c r="A841" s="1">
        <v>45839</v>
      </c>
      <c r="B841" t="s">
        <v>42</v>
      </c>
      <c r="C841" t="s">
        <v>17</v>
      </c>
      <c r="D841" t="s">
        <v>26</v>
      </c>
      <c r="E841" t="s">
        <v>24</v>
      </c>
      <c r="F841">
        <v>91</v>
      </c>
      <c r="G841">
        <v>41</v>
      </c>
      <c r="H841">
        <v>19</v>
      </c>
      <c r="I841">
        <v>113</v>
      </c>
      <c r="J841">
        <v>24</v>
      </c>
      <c r="K841">
        <v>13791</v>
      </c>
      <c r="L841">
        <v>1558383</v>
      </c>
      <c r="M841">
        <f>Inventory_Data[[#This Row],[Opening Stock]]+Inventory_Data[[#This Row],[Purchase Qty]]-Inventory_Data[[#This Row],[Sales Qty]]-Inventory_Data[[#This Row],[Closing Stock]]</f>
        <v>0</v>
      </c>
      <c r="N841">
        <f>Inventory_Data[[#This Row],[Purchase Qty]]*Inventory_Data[[#This Row],[Unit Cost]]</f>
        <v>565431</v>
      </c>
      <c r="O841" t="str">
        <f>IF(Inventory_Data[[#This Row],[Closing Stock]]&lt;=Inventory_Data[[#This Row],[Reorder Level]],"Low Stock","In Stock")</f>
        <v>In Stock</v>
      </c>
      <c r="P841" t="str">
        <f>TEXT(Inventory_Data[[#This Row],[Date]],"MMM")</f>
        <v>Jul</v>
      </c>
      <c r="Q841" t="str">
        <f>TEXT(Inventory_Data[[#This Row],[Date]],"YYYY")</f>
        <v>2025</v>
      </c>
    </row>
    <row r="842" spans="1:17" x14ac:dyDescent="0.3">
      <c r="A842" s="1">
        <v>45839</v>
      </c>
      <c r="B842" t="s">
        <v>16</v>
      </c>
      <c r="C842" t="s">
        <v>17</v>
      </c>
      <c r="D842" t="s">
        <v>23</v>
      </c>
      <c r="E842" t="s">
        <v>15</v>
      </c>
      <c r="F842">
        <v>18</v>
      </c>
      <c r="G842">
        <v>7</v>
      </c>
      <c r="H842">
        <v>22</v>
      </c>
      <c r="I842">
        <v>3</v>
      </c>
      <c r="J842">
        <v>25</v>
      </c>
      <c r="K842">
        <v>2362</v>
      </c>
      <c r="L842">
        <v>7086</v>
      </c>
      <c r="M842">
        <f>Inventory_Data[[#This Row],[Opening Stock]]+Inventory_Data[[#This Row],[Purchase Qty]]-Inventory_Data[[#This Row],[Sales Qty]]-Inventory_Data[[#This Row],[Closing Stock]]</f>
        <v>0</v>
      </c>
      <c r="N842">
        <f>Inventory_Data[[#This Row],[Purchase Qty]]*Inventory_Data[[#This Row],[Unit Cost]]</f>
        <v>16534</v>
      </c>
      <c r="O842" t="str">
        <f>IF(Inventory_Data[[#This Row],[Closing Stock]]&lt;=Inventory_Data[[#This Row],[Reorder Level]],"Low Stock","In Stock")</f>
        <v>Low Stock</v>
      </c>
      <c r="P842" t="str">
        <f>TEXT(Inventory_Data[[#This Row],[Date]],"MMM")</f>
        <v>Jul</v>
      </c>
      <c r="Q842" t="str">
        <f>TEXT(Inventory_Data[[#This Row],[Date]],"YYYY")</f>
        <v>2025</v>
      </c>
    </row>
    <row r="843" spans="1:17" x14ac:dyDescent="0.3">
      <c r="A843" s="1">
        <v>45839</v>
      </c>
      <c r="B843" t="s">
        <v>44</v>
      </c>
      <c r="C843" t="s">
        <v>28</v>
      </c>
      <c r="D843" t="s">
        <v>26</v>
      </c>
      <c r="E843" t="s">
        <v>29</v>
      </c>
      <c r="F843">
        <v>122</v>
      </c>
      <c r="G843">
        <v>69</v>
      </c>
      <c r="H843">
        <v>50</v>
      </c>
      <c r="I843">
        <v>141</v>
      </c>
      <c r="J843">
        <v>41</v>
      </c>
      <c r="K843">
        <v>23076</v>
      </c>
      <c r="L843">
        <v>3253716</v>
      </c>
      <c r="M843">
        <f>Inventory_Data[[#This Row],[Opening Stock]]+Inventory_Data[[#This Row],[Purchase Qty]]-Inventory_Data[[#This Row],[Sales Qty]]-Inventory_Data[[#This Row],[Closing Stock]]</f>
        <v>0</v>
      </c>
      <c r="N843">
        <f>Inventory_Data[[#This Row],[Purchase Qty]]*Inventory_Data[[#This Row],[Unit Cost]]</f>
        <v>1592244</v>
      </c>
      <c r="O843" t="str">
        <f>IF(Inventory_Data[[#This Row],[Closing Stock]]&lt;=Inventory_Data[[#This Row],[Reorder Level]],"Low Stock","In Stock")</f>
        <v>In Stock</v>
      </c>
      <c r="P843" t="str">
        <f>TEXT(Inventory_Data[[#This Row],[Date]],"MMM")</f>
        <v>Jul</v>
      </c>
      <c r="Q843" t="str">
        <f>TEXT(Inventory_Data[[#This Row],[Date]],"YYYY")</f>
        <v>2025</v>
      </c>
    </row>
    <row r="844" spans="1:17" x14ac:dyDescent="0.3">
      <c r="A844" s="1">
        <v>45839</v>
      </c>
      <c r="B844" t="s">
        <v>41</v>
      </c>
      <c r="C844" t="s">
        <v>22</v>
      </c>
      <c r="D844" t="s">
        <v>37</v>
      </c>
      <c r="E844" t="s">
        <v>29</v>
      </c>
      <c r="F844">
        <v>346</v>
      </c>
      <c r="G844">
        <v>110</v>
      </c>
      <c r="H844">
        <v>47</v>
      </c>
      <c r="I844">
        <v>409</v>
      </c>
      <c r="J844">
        <v>132</v>
      </c>
      <c r="K844">
        <v>439</v>
      </c>
      <c r="L844">
        <v>179551</v>
      </c>
      <c r="M844">
        <f>Inventory_Data[[#This Row],[Opening Stock]]+Inventory_Data[[#This Row],[Purchase Qty]]-Inventory_Data[[#This Row],[Sales Qty]]-Inventory_Data[[#This Row],[Closing Stock]]</f>
        <v>0</v>
      </c>
      <c r="N844">
        <f>Inventory_Data[[#This Row],[Purchase Qty]]*Inventory_Data[[#This Row],[Unit Cost]]</f>
        <v>48290</v>
      </c>
      <c r="O844" t="str">
        <f>IF(Inventory_Data[[#This Row],[Closing Stock]]&lt;=Inventory_Data[[#This Row],[Reorder Level]],"Low Stock","In Stock")</f>
        <v>In Stock</v>
      </c>
      <c r="P844" t="str">
        <f>TEXT(Inventory_Data[[#This Row],[Date]],"MMM")</f>
        <v>Jul</v>
      </c>
      <c r="Q844" t="str">
        <f>TEXT(Inventory_Data[[#This Row],[Date]],"YYYY")</f>
        <v>2025</v>
      </c>
    </row>
    <row r="845" spans="1:17" x14ac:dyDescent="0.3">
      <c r="A845" s="1">
        <v>45840</v>
      </c>
      <c r="B845" t="s">
        <v>38</v>
      </c>
      <c r="C845" t="s">
        <v>17</v>
      </c>
      <c r="D845" t="s">
        <v>26</v>
      </c>
      <c r="E845" t="s">
        <v>29</v>
      </c>
      <c r="F845">
        <v>68</v>
      </c>
      <c r="G845">
        <v>9</v>
      </c>
      <c r="H845">
        <v>31</v>
      </c>
      <c r="I845">
        <v>46</v>
      </c>
      <c r="J845">
        <v>24</v>
      </c>
      <c r="K845">
        <v>10458</v>
      </c>
      <c r="L845">
        <v>481068</v>
      </c>
      <c r="M845">
        <f>Inventory_Data[[#This Row],[Opening Stock]]+Inventory_Data[[#This Row],[Purchase Qty]]-Inventory_Data[[#This Row],[Sales Qty]]-Inventory_Data[[#This Row],[Closing Stock]]</f>
        <v>0</v>
      </c>
      <c r="N845">
        <f>Inventory_Data[[#This Row],[Purchase Qty]]*Inventory_Data[[#This Row],[Unit Cost]]</f>
        <v>94122</v>
      </c>
      <c r="O845" t="str">
        <f>IF(Inventory_Data[[#This Row],[Closing Stock]]&lt;=Inventory_Data[[#This Row],[Reorder Level]],"Low Stock","In Stock")</f>
        <v>In Stock</v>
      </c>
      <c r="P845" t="str">
        <f>TEXT(Inventory_Data[[#This Row],[Date]],"MMM")</f>
        <v>Jul</v>
      </c>
      <c r="Q845" t="str">
        <f>TEXT(Inventory_Data[[#This Row],[Date]],"YYYY")</f>
        <v>2025</v>
      </c>
    </row>
    <row r="846" spans="1:17" x14ac:dyDescent="0.3">
      <c r="A846" s="1">
        <v>45840</v>
      </c>
      <c r="B846" t="s">
        <v>45</v>
      </c>
      <c r="C846" t="s">
        <v>13</v>
      </c>
      <c r="D846" t="s">
        <v>37</v>
      </c>
      <c r="E846" t="s">
        <v>18</v>
      </c>
      <c r="F846">
        <v>94</v>
      </c>
      <c r="G846">
        <v>79</v>
      </c>
      <c r="H846">
        <v>56</v>
      </c>
      <c r="I846">
        <v>117</v>
      </c>
      <c r="J846">
        <v>18</v>
      </c>
      <c r="K846">
        <v>13347</v>
      </c>
      <c r="L846">
        <v>1561599</v>
      </c>
      <c r="M846">
        <f>Inventory_Data[[#This Row],[Opening Stock]]+Inventory_Data[[#This Row],[Purchase Qty]]-Inventory_Data[[#This Row],[Sales Qty]]-Inventory_Data[[#This Row],[Closing Stock]]</f>
        <v>0</v>
      </c>
      <c r="N846">
        <f>Inventory_Data[[#This Row],[Purchase Qty]]*Inventory_Data[[#This Row],[Unit Cost]]</f>
        <v>1054413</v>
      </c>
      <c r="O846" t="str">
        <f>IF(Inventory_Data[[#This Row],[Closing Stock]]&lt;=Inventory_Data[[#This Row],[Reorder Level]],"Low Stock","In Stock")</f>
        <v>In Stock</v>
      </c>
      <c r="P846" t="str">
        <f>TEXT(Inventory_Data[[#This Row],[Date]],"MMM")</f>
        <v>Jul</v>
      </c>
      <c r="Q846" t="str">
        <f>TEXT(Inventory_Data[[#This Row],[Date]],"YYYY")</f>
        <v>2025</v>
      </c>
    </row>
    <row r="847" spans="1:17" x14ac:dyDescent="0.3">
      <c r="A847" s="1">
        <v>45841</v>
      </c>
      <c r="B847" t="s">
        <v>38</v>
      </c>
      <c r="C847" t="s">
        <v>17</v>
      </c>
      <c r="D847" t="s">
        <v>14</v>
      </c>
      <c r="E847" t="s">
        <v>34</v>
      </c>
      <c r="F847">
        <v>73</v>
      </c>
      <c r="G847">
        <v>24</v>
      </c>
      <c r="H847">
        <v>39</v>
      </c>
      <c r="I847">
        <v>58</v>
      </c>
      <c r="J847">
        <v>21</v>
      </c>
      <c r="K847">
        <v>20006</v>
      </c>
      <c r="L847">
        <v>1160348</v>
      </c>
      <c r="M847">
        <f>Inventory_Data[[#This Row],[Opening Stock]]+Inventory_Data[[#This Row],[Purchase Qty]]-Inventory_Data[[#This Row],[Sales Qty]]-Inventory_Data[[#This Row],[Closing Stock]]</f>
        <v>0</v>
      </c>
      <c r="N847">
        <f>Inventory_Data[[#This Row],[Purchase Qty]]*Inventory_Data[[#This Row],[Unit Cost]]</f>
        <v>480144</v>
      </c>
      <c r="O847" t="str">
        <f>IF(Inventory_Data[[#This Row],[Closing Stock]]&lt;=Inventory_Data[[#This Row],[Reorder Level]],"Low Stock","In Stock")</f>
        <v>In Stock</v>
      </c>
      <c r="P847" t="str">
        <f>TEXT(Inventory_Data[[#This Row],[Date]],"MMM")</f>
        <v>Jul</v>
      </c>
      <c r="Q847" t="str">
        <f>TEXT(Inventory_Data[[#This Row],[Date]],"YYYY")</f>
        <v>2025</v>
      </c>
    </row>
    <row r="848" spans="1:17" x14ac:dyDescent="0.3">
      <c r="A848" s="1">
        <v>45841</v>
      </c>
      <c r="B848" t="s">
        <v>43</v>
      </c>
      <c r="C848" t="s">
        <v>22</v>
      </c>
      <c r="D848" t="s">
        <v>37</v>
      </c>
      <c r="E848" t="s">
        <v>15</v>
      </c>
      <c r="F848">
        <v>148</v>
      </c>
      <c r="G848">
        <v>266</v>
      </c>
      <c r="H848">
        <v>131</v>
      </c>
      <c r="I848">
        <v>283</v>
      </c>
      <c r="J848">
        <v>116</v>
      </c>
      <c r="K848">
        <v>169</v>
      </c>
      <c r="L848">
        <v>47827</v>
      </c>
      <c r="M848">
        <f>Inventory_Data[[#This Row],[Opening Stock]]+Inventory_Data[[#This Row],[Purchase Qty]]-Inventory_Data[[#This Row],[Sales Qty]]-Inventory_Data[[#This Row],[Closing Stock]]</f>
        <v>0</v>
      </c>
      <c r="N848">
        <f>Inventory_Data[[#This Row],[Purchase Qty]]*Inventory_Data[[#This Row],[Unit Cost]]</f>
        <v>44954</v>
      </c>
      <c r="O848" t="str">
        <f>IF(Inventory_Data[[#This Row],[Closing Stock]]&lt;=Inventory_Data[[#This Row],[Reorder Level]],"Low Stock","In Stock")</f>
        <v>In Stock</v>
      </c>
      <c r="P848" t="str">
        <f>TEXT(Inventory_Data[[#This Row],[Date]],"MMM")</f>
        <v>Jul</v>
      </c>
      <c r="Q848" t="str">
        <f>TEXT(Inventory_Data[[#This Row],[Date]],"YYYY")</f>
        <v>2025</v>
      </c>
    </row>
    <row r="849" spans="1:17" x14ac:dyDescent="0.3">
      <c r="A849" s="1">
        <v>45841</v>
      </c>
      <c r="B849" t="s">
        <v>40</v>
      </c>
      <c r="C849" t="s">
        <v>28</v>
      </c>
      <c r="D849" t="s">
        <v>37</v>
      </c>
      <c r="E849" t="s">
        <v>15</v>
      </c>
      <c r="F849">
        <v>39</v>
      </c>
      <c r="G849">
        <v>114</v>
      </c>
      <c r="H849">
        <v>58</v>
      </c>
      <c r="I849">
        <v>95</v>
      </c>
      <c r="J849">
        <v>45</v>
      </c>
      <c r="K849">
        <v>46112</v>
      </c>
      <c r="L849">
        <v>4380640</v>
      </c>
      <c r="M849">
        <f>Inventory_Data[[#This Row],[Opening Stock]]+Inventory_Data[[#This Row],[Purchase Qty]]-Inventory_Data[[#This Row],[Sales Qty]]-Inventory_Data[[#This Row],[Closing Stock]]</f>
        <v>0</v>
      </c>
      <c r="N849">
        <f>Inventory_Data[[#This Row],[Purchase Qty]]*Inventory_Data[[#This Row],[Unit Cost]]</f>
        <v>5256768</v>
      </c>
      <c r="O849" t="str">
        <f>IF(Inventory_Data[[#This Row],[Closing Stock]]&lt;=Inventory_Data[[#This Row],[Reorder Level]],"Low Stock","In Stock")</f>
        <v>In Stock</v>
      </c>
      <c r="P849" t="str">
        <f>TEXT(Inventory_Data[[#This Row],[Date]],"MMM")</f>
        <v>Jul</v>
      </c>
      <c r="Q849" t="str">
        <f>TEXT(Inventory_Data[[#This Row],[Date]],"YYYY")</f>
        <v>2025</v>
      </c>
    </row>
    <row r="850" spans="1:17" x14ac:dyDescent="0.3">
      <c r="A850" s="1">
        <v>45841</v>
      </c>
      <c r="B850" t="s">
        <v>43</v>
      </c>
      <c r="C850" t="s">
        <v>22</v>
      </c>
      <c r="D850" t="s">
        <v>14</v>
      </c>
      <c r="E850" t="s">
        <v>29</v>
      </c>
      <c r="F850">
        <v>408</v>
      </c>
      <c r="G850">
        <v>251</v>
      </c>
      <c r="H850">
        <v>188</v>
      </c>
      <c r="I850">
        <v>471</v>
      </c>
      <c r="J850">
        <v>145</v>
      </c>
      <c r="K850">
        <v>1155</v>
      </c>
      <c r="L850">
        <v>544005</v>
      </c>
      <c r="M850">
        <f>Inventory_Data[[#This Row],[Opening Stock]]+Inventory_Data[[#This Row],[Purchase Qty]]-Inventory_Data[[#This Row],[Sales Qty]]-Inventory_Data[[#This Row],[Closing Stock]]</f>
        <v>0</v>
      </c>
      <c r="N850">
        <f>Inventory_Data[[#This Row],[Purchase Qty]]*Inventory_Data[[#This Row],[Unit Cost]]</f>
        <v>289905</v>
      </c>
      <c r="O850" t="str">
        <f>IF(Inventory_Data[[#This Row],[Closing Stock]]&lt;=Inventory_Data[[#This Row],[Reorder Level]],"Low Stock","In Stock")</f>
        <v>In Stock</v>
      </c>
      <c r="P850" t="str">
        <f>TEXT(Inventory_Data[[#This Row],[Date]],"MMM")</f>
        <v>Jul</v>
      </c>
      <c r="Q850" t="str">
        <f>TEXT(Inventory_Data[[#This Row],[Date]],"YYYY")</f>
        <v>2025</v>
      </c>
    </row>
    <row r="851" spans="1:17" x14ac:dyDescent="0.3">
      <c r="A851" s="1">
        <v>45841</v>
      </c>
      <c r="B851" t="s">
        <v>19</v>
      </c>
      <c r="C851" t="s">
        <v>13</v>
      </c>
      <c r="D851" t="s">
        <v>23</v>
      </c>
      <c r="E851" t="s">
        <v>20</v>
      </c>
      <c r="F851">
        <v>69</v>
      </c>
      <c r="G851">
        <v>74</v>
      </c>
      <c r="H851">
        <v>53</v>
      </c>
      <c r="I851">
        <v>90</v>
      </c>
      <c r="J851">
        <v>37</v>
      </c>
      <c r="K851">
        <v>6316</v>
      </c>
      <c r="L851">
        <v>568440</v>
      </c>
      <c r="M851">
        <f>Inventory_Data[[#This Row],[Opening Stock]]+Inventory_Data[[#This Row],[Purchase Qty]]-Inventory_Data[[#This Row],[Sales Qty]]-Inventory_Data[[#This Row],[Closing Stock]]</f>
        <v>0</v>
      </c>
      <c r="N851">
        <f>Inventory_Data[[#This Row],[Purchase Qty]]*Inventory_Data[[#This Row],[Unit Cost]]</f>
        <v>467384</v>
      </c>
      <c r="O851" t="str">
        <f>IF(Inventory_Data[[#This Row],[Closing Stock]]&lt;=Inventory_Data[[#This Row],[Reorder Level]],"Low Stock","In Stock")</f>
        <v>In Stock</v>
      </c>
      <c r="P851" t="str">
        <f>TEXT(Inventory_Data[[#This Row],[Date]],"MMM")</f>
        <v>Jul</v>
      </c>
      <c r="Q851" t="str">
        <f>TEXT(Inventory_Data[[#This Row],[Date]],"YYYY")</f>
        <v>2025</v>
      </c>
    </row>
    <row r="852" spans="1:17" x14ac:dyDescent="0.3">
      <c r="A852" s="1">
        <v>45841</v>
      </c>
      <c r="B852" t="s">
        <v>31</v>
      </c>
      <c r="C852" t="s">
        <v>22</v>
      </c>
      <c r="D852" t="s">
        <v>26</v>
      </c>
      <c r="E852" t="s">
        <v>29</v>
      </c>
      <c r="F852">
        <v>413</v>
      </c>
      <c r="G852">
        <v>217</v>
      </c>
      <c r="H852">
        <v>122</v>
      </c>
      <c r="I852">
        <v>508</v>
      </c>
      <c r="J852">
        <v>135</v>
      </c>
      <c r="K852">
        <v>1113</v>
      </c>
      <c r="L852">
        <v>565404</v>
      </c>
      <c r="M852">
        <f>Inventory_Data[[#This Row],[Opening Stock]]+Inventory_Data[[#This Row],[Purchase Qty]]-Inventory_Data[[#This Row],[Sales Qty]]-Inventory_Data[[#This Row],[Closing Stock]]</f>
        <v>0</v>
      </c>
      <c r="N852">
        <f>Inventory_Data[[#This Row],[Purchase Qty]]*Inventory_Data[[#This Row],[Unit Cost]]</f>
        <v>241521</v>
      </c>
      <c r="O852" t="str">
        <f>IF(Inventory_Data[[#This Row],[Closing Stock]]&lt;=Inventory_Data[[#This Row],[Reorder Level]],"Low Stock","In Stock")</f>
        <v>In Stock</v>
      </c>
      <c r="P852" t="str">
        <f>TEXT(Inventory_Data[[#This Row],[Date]],"MMM")</f>
        <v>Jul</v>
      </c>
      <c r="Q852" t="str">
        <f>TEXT(Inventory_Data[[#This Row],[Date]],"YYYY")</f>
        <v>2025</v>
      </c>
    </row>
    <row r="853" spans="1:17" x14ac:dyDescent="0.3">
      <c r="A853" s="1">
        <v>45841</v>
      </c>
      <c r="B853" t="s">
        <v>41</v>
      </c>
      <c r="C853" t="s">
        <v>22</v>
      </c>
      <c r="D853" t="s">
        <v>37</v>
      </c>
      <c r="E853" t="s">
        <v>34</v>
      </c>
      <c r="F853">
        <v>72</v>
      </c>
      <c r="G853">
        <v>158</v>
      </c>
      <c r="H853">
        <v>195</v>
      </c>
      <c r="I853">
        <v>35</v>
      </c>
      <c r="J853">
        <v>108</v>
      </c>
      <c r="K853">
        <v>498</v>
      </c>
      <c r="L853">
        <v>17430</v>
      </c>
      <c r="M853">
        <f>Inventory_Data[[#This Row],[Opening Stock]]+Inventory_Data[[#This Row],[Purchase Qty]]-Inventory_Data[[#This Row],[Sales Qty]]-Inventory_Data[[#This Row],[Closing Stock]]</f>
        <v>0</v>
      </c>
      <c r="N853">
        <f>Inventory_Data[[#This Row],[Purchase Qty]]*Inventory_Data[[#This Row],[Unit Cost]]</f>
        <v>78684</v>
      </c>
      <c r="O853" t="str">
        <f>IF(Inventory_Data[[#This Row],[Closing Stock]]&lt;=Inventory_Data[[#This Row],[Reorder Level]],"Low Stock","In Stock")</f>
        <v>Low Stock</v>
      </c>
      <c r="P853" t="str">
        <f>TEXT(Inventory_Data[[#This Row],[Date]],"MMM")</f>
        <v>Jul</v>
      </c>
      <c r="Q853" t="str">
        <f>TEXT(Inventory_Data[[#This Row],[Date]],"YYYY")</f>
        <v>2025</v>
      </c>
    </row>
    <row r="854" spans="1:17" x14ac:dyDescent="0.3">
      <c r="A854" s="1">
        <v>45841</v>
      </c>
      <c r="B854" t="s">
        <v>12</v>
      </c>
      <c r="C854" t="s">
        <v>13</v>
      </c>
      <c r="D854" t="s">
        <v>14</v>
      </c>
      <c r="E854" t="s">
        <v>29</v>
      </c>
      <c r="F854">
        <v>77</v>
      </c>
      <c r="G854">
        <v>78</v>
      </c>
      <c r="H854">
        <v>49</v>
      </c>
      <c r="I854">
        <v>106</v>
      </c>
      <c r="J854">
        <v>18</v>
      </c>
      <c r="K854">
        <v>5381</v>
      </c>
      <c r="L854">
        <v>570386</v>
      </c>
      <c r="M854">
        <f>Inventory_Data[[#This Row],[Opening Stock]]+Inventory_Data[[#This Row],[Purchase Qty]]-Inventory_Data[[#This Row],[Sales Qty]]-Inventory_Data[[#This Row],[Closing Stock]]</f>
        <v>0</v>
      </c>
      <c r="N854">
        <f>Inventory_Data[[#This Row],[Purchase Qty]]*Inventory_Data[[#This Row],[Unit Cost]]</f>
        <v>419718</v>
      </c>
      <c r="O854" t="str">
        <f>IF(Inventory_Data[[#This Row],[Closing Stock]]&lt;=Inventory_Data[[#This Row],[Reorder Level]],"Low Stock","In Stock")</f>
        <v>In Stock</v>
      </c>
      <c r="P854" t="str">
        <f>TEXT(Inventory_Data[[#This Row],[Date]],"MMM")</f>
        <v>Jul</v>
      </c>
      <c r="Q854" t="str">
        <f>TEXT(Inventory_Data[[#This Row],[Date]],"YYYY")</f>
        <v>2025</v>
      </c>
    </row>
    <row r="855" spans="1:17" x14ac:dyDescent="0.3">
      <c r="A855" s="1">
        <v>45842</v>
      </c>
      <c r="B855" t="s">
        <v>16</v>
      </c>
      <c r="C855" t="s">
        <v>17</v>
      </c>
      <c r="D855" t="s">
        <v>14</v>
      </c>
      <c r="E855" t="s">
        <v>24</v>
      </c>
      <c r="F855">
        <v>80</v>
      </c>
      <c r="G855">
        <v>41</v>
      </c>
      <c r="H855">
        <v>24</v>
      </c>
      <c r="I855">
        <v>97</v>
      </c>
      <c r="J855">
        <v>19</v>
      </c>
      <c r="K855">
        <v>2854</v>
      </c>
      <c r="L855">
        <v>276838</v>
      </c>
      <c r="M855">
        <f>Inventory_Data[[#This Row],[Opening Stock]]+Inventory_Data[[#This Row],[Purchase Qty]]-Inventory_Data[[#This Row],[Sales Qty]]-Inventory_Data[[#This Row],[Closing Stock]]</f>
        <v>0</v>
      </c>
      <c r="N855">
        <f>Inventory_Data[[#This Row],[Purchase Qty]]*Inventory_Data[[#This Row],[Unit Cost]]</f>
        <v>117014</v>
      </c>
      <c r="O855" t="str">
        <f>IF(Inventory_Data[[#This Row],[Closing Stock]]&lt;=Inventory_Data[[#This Row],[Reorder Level]],"Low Stock","In Stock")</f>
        <v>In Stock</v>
      </c>
      <c r="P855" t="str">
        <f>TEXT(Inventory_Data[[#This Row],[Date]],"MMM")</f>
        <v>Jul</v>
      </c>
      <c r="Q855" t="str">
        <f>TEXT(Inventory_Data[[#This Row],[Date]],"YYYY")</f>
        <v>2025</v>
      </c>
    </row>
    <row r="856" spans="1:17" x14ac:dyDescent="0.3">
      <c r="A856" s="1">
        <v>45842</v>
      </c>
      <c r="B856" t="s">
        <v>41</v>
      </c>
      <c r="C856" t="s">
        <v>22</v>
      </c>
      <c r="D856" t="s">
        <v>14</v>
      </c>
      <c r="E856" t="s">
        <v>34</v>
      </c>
      <c r="F856">
        <v>81</v>
      </c>
      <c r="G856">
        <v>279</v>
      </c>
      <c r="H856">
        <v>66</v>
      </c>
      <c r="I856">
        <v>294</v>
      </c>
      <c r="J856">
        <v>65</v>
      </c>
      <c r="K856">
        <v>329</v>
      </c>
      <c r="L856">
        <v>96726</v>
      </c>
      <c r="M856">
        <f>Inventory_Data[[#This Row],[Opening Stock]]+Inventory_Data[[#This Row],[Purchase Qty]]-Inventory_Data[[#This Row],[Sales Qty]]-Inventory_Data[[#This Row],[Closing Stock]]</f>
        <v>0</v>
      </c>
      <c r="N856">
        <f>Inventory_Data[[#This Row],[Purchase Qty]]*Inventory_Data[[#This Row],[Unit Cost]]</f>
        <v>91791</v>
      </c>
      <c r="O856" t="str">
        <f>IF(Inventory_Data[[#This Row],[Closing Stock]]&lt;=Inventory_Data[[#This Row],[Reorder Level]],"Low Stock","In Stock")</f>
        <v>In Stock</v>
      </c>
      <c r="P856" t="str">
        <f>TEXT(Inventory_Data[[#This Row],[Date]],"MMM")</f>
        <v>Jul</v>
      </c>
      <c r="Q856" t="str">
        <f>TEXT(Inventory_Data[[#This Row],[Date]],"YYYY")</f>
        <v>2025</v>
      </c>
    </row>
    <row r="857" spans="1:17" x14ac:dyDescent="0.3">
      <c r="A857" s="1">
        <v>45842</v>
      </c>
      <c r="B857" t="s">
        <v>33</v>
      </c>
      <c r="C857" t="s">
        <v>13</v>
      </c>
      <c r="D857" t="s">
        <v>26</v>
      </c>
      <c r="E857" t="s">
        <v>34</v>
      </c>
      <c r="F857">
        <v>21</v>
      </c>
      <c r="G857">
        <v>43</v>
      </c>
      <c r="H857">
        <v>16</v>
      </c>
      <c r="I857">
        <v>48</v>
      </c>
      <c r="J857">
        <v>38</v>
      </c>
      <c r="K857">
        <v>10357</v>
      </c>
      <c r="L857">
        <v>497136</v>
      </c>
      <c r="M857">
        <f>Inventory_Data[[#This Row],[Opening Stock]]+Inventory_Data[[#This Row],[Purchase Qty]]-Inventory_Data[[#This Row],[Sales Qty]]-Inventory_Data[[#This Row],[Closing Stock]]</f>
        <v>0</v>
      </c>
      <c r="N857">
        <f>Inventory_Data[[#This Row],[Purchase Qty]]*Inventory_Data[[#This Row],[Unit Cost]]</f>
        <v>445351</v>
      </c>
      <c r="O857" t="str">
        <f>IF(Inventory_Data[[#This Row],[Closing Stock]]&lt;=Inventory_Data[[#This Row],[Reorder Level]],"Low Stock","In Stock")</f>
        <v>In Stock</v>
      </c>
      <c r="P857" t="str">
        <f>TEXT(Inventory_Data[[#This Row],[Date]],"MMM")</f>
        <v>Jul</v>
      </c>
      <c r="Q857" t="str">
        <f>TEXT(Inventory_Data[[#This Row],[Date]],"YYYY")</f>
        <v>2025</v>
      </c>
    </row>
    <row r="858" spans="1:17" x14ac:dyDescent="0.3">
      <c r="A858" s="1">
        <v>45842</v>
      </c>
      <c r="B858" t="s">
        <v>40</v>
      </c>
      <c r="C858" t="s">
        <v>28</v>
      </c>
      <c r="D858" t="s">
        <v>23</v>
      </c>
      <c r="E858" t="s">
        <v>29</v>
      </c>
      <c r="F858">
        <v>25</v>
      </c>
      <c r="G858">
        <v>87</v>
      </c>
      <c r="H858">
        <v>36</v>
      </c>
      <c r="I858">
        <v>76</v>
      </c>
      <c r="J858">
        <v>29</v>
      </c>
      <c r="K858">
        <v>12674</v>
      </c>
      <c r="L858">
        <v>963224</v>
      </c>
      <c r="M858">
        <f>Inventory_Data[[#This Row],[Opening Stock]]+Inventory_Data[[#This Row],[Purchase Qty]]-Inventory_Data[[#This Row],[Sales Qty]]-Inventory_Data[[#This Row],[Closing Stock]]</f>
        <v>0</v>
      </c>
      <c r="N858">
        <f>Inventory_Data[[#This Row],[Purchase Qty]]*Inventory_Data[[#This Row],[Unit Cost]]</f>
        <v>1102638</v>
      </c>
      <c r="O858" t="str">
        <f>IF(Inventory_Data[[#This Row],[Closing Stock]]&lt;=Inventory_Data[[#This Row],[Reorder Level]],"Low Stock","In Stock")</f>
        <v>In Stock</v>
      </c>
      <c r="P858" t="str">
        <f>TEXT(Inventory_Data[[#This Row],[Date]],"MMM")</f>
        <v>Jul</v>
      </c>
      <c r="Q858" t="str">
        <f>TEXT(Inventory_Data[[#This Row],[Date]],"YYYY")</f>
        <v>2025</v>
      </c>
    </row>
    <row r="859" spans="1:17" x14ac:dyDescent="0.3">
      <c r="A859" s="1">
        <v>45843</v>
      </c>
      <c r="B859" t="s">
        <v>41</v>
      </c>
      <c r="C859" t="s">
        <v>22</v>
      </c>
      <c r="D859" t="s">
        <v>26</v>
      </c>
      <c r="E859" t="s">
        <v>29</v>
      </c>
      <c r="F859">
        <v>414</v>
      </c>
      <c r="G859">
        <v>69</v>
      </c>
      <c r="H859">
        <v>233</v>
      </c>
      <c r="I859">
        <v>250</v>
      </c>
      <c r="J859">
        <v>61</v>
      </c>
      <c r="K859">
        <v>1195</v>
      </c>
      <c r="L859">
        <v>298750</v>
      </c>
      <c r="M859">
        <f>Inventory_Data[[#This Row],[Opening Stock]]+Inventory_Data[[#This Row],[Purchase Qty]]-Inventory_Data[[#This Row],[Sales Qty]]-Inventory_Data[[#This Row],[Closing Stock]]</f>
        <v>0</v>
      </c>
      <c r="N859">
        <f>Inventory_Data[[#This Row],[Purchase Qty]]*Inventory_Data[[#This Row],[Unit Cost]]</f>
        <v>82455</v>
      </c>
      <c r="O859" t="str">
        <f>IF(Inventory_Data[[#This Row],[Closing Stock]]&lt;=Inventory_Data[[#This Row],[Reorder Level]],"Low Stock","In Stock")</f>
        <v>In Stock</v>
      </c>
      <c r="P859" t="str">
        <f>TEXT(Inventory_Data[[#This Row],[Date]],"MMM")</f>
        <v>Jul</v>
      </c>
      <c r="Q859" t="str">
        <f>TEXT(Inventory_Data[[#This Row],[Date]],"YYYY")</f>
        <v>2025</v>
      </c>
    </row>
    <row r="860" spans="1:17" x14ac:dyDescent="0.3">
      <c r="A860" s="1">
        <v>45843</v>
      </c>
      <c r="B860" t="s">
        <v>42</v>
      </c>
      <c r="C860" t="s">
        <v>17</v>
      </c>
      <c r="D860" t="s">
        <v>23</v>
      </c>
      <c r="E860" t="s">
        <v>24</v>
      </c>
      <c r="F860">
        <v>88</v>
      </c>
      <c r="G860">
        <v>28</v>
      </c>
      <c r="H860">
        <v>17</v>
      </c>
      <c r="I860">
        <v>99</v>
      </c>
      <c r="J860">
        <v>20</v>
      </c>
      <c r="K860">
        <v>10047</v>
      </c>
      <c r="L860">
        <v>994653</v>
      </c>
      <c r="M860">
        <f>Inventory_Data[[#This Row],[Opening Stock]]+Inventory_Data[[#This Row],[Purchase Qty]]-Inventory_Data[[#This Row],[Sales Qty]]-Inventory_Data[[#This Row],[Closing Stock]]</f>
        <v>0</v>
      </c>
      <c r="N860">
        <f>Inventory_Data[[#This Row],[Purchase Qty]]*Inventory_Data[[#This Row],[Unit Cost]]</f>
        <v>281316</v>
      </c>
      <c r="O860" t="str">
        <f>IF(Inventory_Data[[#This Row],[Closing Stock]]&lt;=Inventory_Data[[#This Row],[Reorder Level]],"Low Stock","In Stock")</f>
        <v>In Stock</v>
      </c>
      <c r="P860" t="str">
        <f>TEXT(Inventory_Data[[#This Row],[Date]],"MMM")</f>
        <v>Jul</v>
      </c>
      <c r="Q860" t="str">
        <f>TEXT(Inventory_Data[[#This Row],[Date]],"YYYY")</f>
        <v>2025</v>
      </c>
    </row>
    <row r="861" spans="1:17" x14ac:dyDescent="0.3">
      <c r="A861" s="1">
        <v>45843</v>
      </c>
      <c r="B861" t="s">
        <v>27</v>
      </c>
      <c r="C861" t="s">
        <v>28</v>
      </c>
      <c r="D861" t="s">
        <v>37</v>
      </c>
      <c r="E861" t="s">
        <v>34</v>
      </c>
      <c r="F861">
        <v>31</v>
      </c>
      <c r="G861">
        <v>10</v>
      </c>
      <c r="H861">
        <v>41</v>
      </c>
      <c r="I861">
        <v>0</v>
      </c>
      <c r="J861">
        <v>35</v>
      </c>
      <c r="K861">
        <v>33464</v>
      </c>
      <c r="L861">
        <v>0</v>
      </c>
      <c r="M861">
        <f>Inventory_Data[[#This Row],[Opening Stock]]+Inventory_Data[[#This Row],[Purchase Qty]]-Inventory_Data[[#This Row],[Sales Qty]]-Inventory_Data[[#This Row],[Closing Stock]]</f>
        <v>0</v>
      </c>
      <c r="N861">
        <f>Inventory_Data[[#This Row],[Purchase Qty]]*Inventory_Data[[#This Row],[Unit Cost]]</f>
        <v>334640</v>
      </c>
      <c r="O861" t="str">
        <f>IF(Inventory_Data[[#This Row],[Closing Stock]]&lt;=Inventory_Data[[#This Row],[Reorder Level]],"Low Stock","In Stock")</f>
        <v>Low Stock</v>
      </c>
      <c r="P861" t="str">
        <f>TEXT(Inventory_Data[[#This Row],[Date]],"MMM")</f>
        <v>Jul</v>
      </c>
      <c r="Q861" t="str">
        <f>TEXT(Inventory_Data[[#This Row],[Date]],"YYYY")</f>
        <v>2025</v>
      </c>
    </row>
    <row r="862" spans="1:17" x14ac:dyDescent="0.3">
      <c r="A862" s="1">
        <v>45843</v>
      </c>
      <c r="B862" t="s">
        <v>32</v>
      </c>
      <c r="C862" t="s">
        <v>28</v>
      </c>
      <c r="D862" t="s">
        <v>26</v>
      </c>
      <c r="E862" t="s">
        <v>18</v>
      </c>
      <c r="F862">
        <v>155</v>
      </c>
      <c r="G862">
        <v>51</v>
      </c>
      <c r="H862">
        <v>80</v>
      </c>
      <c r="I862">
        <v>126</v>
      </c>
      <c r="J862">
        <v>32</v>
      </c>
      <c r="K862">
        <v>46409</v>
      </c>
      <c r="L862">
        <v>5847534</v>
      </c>
      <c r="M862">
        <f>Inventory_Data[[#This Row],[Opening Stock]]+Inventory_Data[[#This Row],[Purchase Qty]]-Inventory_Data[[#This Row],[Sales Qty]]-Inventory_Data[[#This Row],[Closing Stock]]</f>
        <v>0</v>
      </c>
      <c r="N862">
        <f>Inventory_Data[[#This Row],[Purchase Qty]]*Inventory_Data[[#This Row],[Unit Cost]]</f>
        <v>2366859</v>
      </c>
      <c r="O862" t="str">
        <f>IF(Inventory_Data[[#This Row],[Closing Stock]]&lt;=Inventory_Data[[#This Row],[Reorder Level]],"Low Stock","In Stock")</f>
        <v>In Stock</v>
      </c>
      <c r="P862" t="str">
        <f>TEXT(Inventory_Data[[#This Row],[Date]],"MMM")</f>
        <v>Jul</v>
      </c>
      <c r="Q862" t="str">
        <f>TEXT(Inventory_Data[[#This Row],[Date]],"YYYY")</f>
        <v>2025</v>
      </c>
    </row>
    <row r="863" spans="1:17" x14ac:dyDescent="0.3">
      <c r="A863" s="1">
        <v>45843</v>
      </c>
      <c r="B863" t="s">
        <v>44</v>
      </c>
      <c r="C863" t="s">
        <v>28</v>
      </c>
      <c r="D863" t="s">
        <v>14</v>
      </c>
      <c r="E863" t="s">
        <v>15</v>
      </c>
      <c r="F863">
        <v>97</v>
      </c>
      <c r="G863">
        <v>106</v>
      </c>
      <c r="H863">
        <v>6</v>
      </c>
      <c r="I863">
        <v>197</v>
      </c>
      <c r="J863">
        <v>58</v>
      </c>
      <c r="K863">
        <v>62433</v>
      </c>
      <c r="L863">
        <v>12299301</v>
      </c>
      <c r="M863">
        <f>Inventory_Data[[#This Row],[Opening Stock]]+Inventory_Data[[#This Row],[Purchase Qty]]-Inventory_Data[[#This Row],[Sales Qty]]-Inventory_Data[[#This Row],[Closing Stock]]</f>
        <v>0</v>
      </c>
      <c r="N863">
        <f>Inventory_Data[[#This Row],[Purchase Qty]]*Inventory_Data[[#This Row],[Unit Cost]]</f>
        <v>6617898</v>
      </c>
      <c r="O863" t="str">
        <f>IF(Inventory_Data[[#This Row],[Closing Stock]]&lt;=Inventory_Data[[#This Row],[Reorder Level]],"Low Stock","In Stock")</f>
        <v>In Stock</v>
      </c>
      <c r="P863" t="str">
        <f>TEXT(Inventory_Data[[#This Row],[Date]],"MMM")</f>
        <v>Jul</v>
      </c>
      <c r="Q863" t="str">
        <f>TEXT(Inventory_Data[[#This Row],[Date]],"YYYY")</f>
        <v>2025</v>
      </c>
    </row>
    <row r="864" spans="1:17" x14ac:dyDescent="0.3">
      <c r="A864" s="1">
        <v>45844</v>
      </c>
      <c r="B864" t="s">
        <v>45</v>
      </c>
      <c r="C864" t="s">
        <v>13</v>
      </c>
      <c r="D864" t="s">
        <v>23</v>
      </c>
      <c r="E864" t="s">
        <v>20</v>
      </c>
      <c r="F864">
        <v>102</v>
      </c>
      <c r="G864">
        <v>79</v>
      </c>
      <c r="H864">
        <v>43</v>
      </c>
      <c r="I864">
        <v>138</v>
      </c>
      <c r="J864">
        <v>35</v>
      </c>
      <c r="K864">
        <v>17763</v>
      </c>
      <c r="L864">
        <v>2451294</v>
      </c>
      <c r="M864">
        <f>Inventory_Data[[#This Row],[Opening Stock]]+Inventory_Data[[#This Row],[Purchase Qty]]-Inventory_Data[[#This Row],[Sales Qty]]-Inventory_Data[[#This Row],[Closing Stock]]</f>
        <v>0</v>
      </c>
      <c r="N864">
        <f>Inventory_Data[[#This Row],[Purchase Qty]]*Inventory_Data[[#This Row],[Unit Cost]]</f>
        <v>1403277</v>
      </c>
      <c r="O864" t="str">
        <f>IF(Inventory_Data[[#This Row],[Closing Stock]]&lt;=Inventory_Data[[#This Row],[Reorder Level]],"Low Stock","In Stock")</f>
        <v>In Stock</v>
      </c>
      <c r="P864" t="str">
        <f>TEXT(Inventory_Data[[#This Row],[Date]],"MMM")</f>
        <v>Jul</v>
      </c>
      <c r="Q864" t="str">
        <f>TEXT(Inventory_Data[[#This Row],[Date]],"YYYY")</f>
        <v>2025</v>
      </c>
    </row>
    <row r="865" spans="1:17" x14ac:dyDescent="0.3">
      <c r="A865" s="1">
        <v>45844</v>
      </c>
      <c r="B865" t="s">
        <v>30</v>
      </c>
      <c r="C865" t="s">
        <v>28</v>
      </c>
      <c r="D865" t="s">
        <v>37</v>
      </c>
      <c r="E865" t="s">
        <v>24</v>
      </c>
      <c r="F865">
        <v>50</v>
      </c>
      <c r="G865">
        <v>13</v>
      </c>
      <c r="H865">
        <v>41</v>
      </c>
      <c r="I865">
        <v>22</v>
      </c>
      <c r="J865">
        <v>58</v>
      </c>
      <c r="K865">
        <v>14640</v>
      </c>
      <c r="L865">
        <v>322080</v>
      </c>
      <c r="M865">
        <f>Inventory_Data[[#This Row],[Opening Stock]]+Inventory_Data[[#This Row],[Purchase Qty]]-Inventory_Data[[#This Row],[Sales Qty]]-Inventory_Data[[#This Row],[Closing Stock]]</f>
        <v>0</v>
      </c>
      <c r="N865">
        <f>Inventory_Data[[#This Row],[Purchase Qty]]*Inventory_Data[[#This Row],[Unit Cost]]</f>
        <v>190320</v>
      </c>
      <c r="O865" t="str">
        <f>IF(Inventory_Data[[#This Row],[Closing Stock]]&lt;=Inventory_Data[[#This Row],[Reorder Level]],"Low Stock","In Stock")</f>
        <v>Low Stock</v>
      </c>
      <c r="P865" t="str">
        <f>TEXT(Inventory_Data[[#This Row],[Date]],"MMM")</f>
        <v>Jul</v>
      </c>
      <c r="Q865" t="str">
        <f>TEXT(Inventory_Data[[#This Row],[Date]],"YYYY")</f>
        <v>2025</v>
      </c>
    </row>
    <row r="866" spans="1:17" x14ac:dyDescent="0.3">
      <c r="A866" s="1">
        <v>45844</v>
      </c>
      <c r="B866" t="s">
        <v>30</v>
      </c>
      <c r="C866" t="s">
        <v>28</v>
      </c>
      <c r="D866" t="s">
        <v>23</v>
      </c>
      <c r="E866" t="s">
        <v>34</v>
      </c>
      <c r="F866">
        <v>161</v>
      </c>
      <c r="G866">
        <v>85</v>
      </c>
      <c r="H866">
        <v>51</v>
      </c>
      <c r="I866">
        <v>195</v>
      </c>
      <c r="J866">
        <v>49</v>
      </c>
      <c r="K866">
        <v>40265</v>
      </c>
      <c r="L866">
        <v>7851675</v>
      </c>
      <c r="M866">
        <f>Inventory_Data[[#This Row],[Opening Stock]]+Inventory_Data[[#This Row],[Purchase Qty]]-Inventory_Data[[#This Row],[Sales Qty]]-Inventory_Data[[#This Row],[Closing Stock]]</f>
        <v>0</v>
      </c>
      <c r="N866">
        <f>Inventory_Data[[#This Row],[Purchase Qty]]*Inventory_Data[[#This Row],[Unit Cost]]</f>
        <v>3422525</v>
      </c>
      <c r="O866" t="str">
        <f>IF(Inventory_Data[[#This Row],[Closing Stock]]&lt;=Inventory_Data[[#This Row],[Reorder Level]],"Low Stock","In Stock")</f>
        <v>In Stock</v>
      </c>
      <c r="P866" t="str">
        <f>TEXT(Inventory_Data[[#This Row],[Date]],"MMM")</f>
        <v>Jul</v>
      </c>
      <c r="Q866" t="str">
        <f>TEXT(Inventory_Data[[#This Row],[Date]],"YYYY")</f>
        <v>2025</v>
      </c>
    </row>
    <row r="867" spans="1:17" x14ac:dyDescent="0.3">
      <c r="A867" s="1">
        <v>45844</v>
      </c>
      <c r="B867" t="s">
        <v>35</v>
      </c>
      <c r="C867" t="s">
        <v>22</v>
      </c>
      <c r="D867" t="s">
        <v>26</v>
      </c>
      <c r="E867" t="s">
        <v>15</v>
      </c>
      <c r="F867">
        <v>257</v>
      </c>
      <c r="G867">
        <v>249</v>
      </c>
      <c r="H867">
        <v>199</v>
      </c>
      <c r="I867">
        <v>307</v>
      </c>
      <c r="J867">
        <v>139</v>
      </c>
      <c r="K867">
        <v>448</v>
      </c>
      <c r="L867">
        <v>137536</v>
      </c>
      <c r="M867">
        <f>Inventory_Data[[#This Row],[Opening Stock]]+Inventory_Data[[#This Row],[Purchase Qty]]-Inventory_Data[[#This Row],[Sales Qty]]-Inventory_Data[[#This Row],[Closing Stock]]</f>
        <v>0</v>
      </c>
      <c r="N867">
        <f>Inventory_Data[[#This Row],[Purchase Qty]]*Inventory_Data[[#This Row],[Unit Cost]]</f>
        <v>111552</v>
      </c>
      <c r="O867" t="str">
        <f>IF(Inventory_Data[[#This Row],[Closing Stock]]&lt;=Inventory_Data[[#This Row],[Reorder Level]],"Low Stock","In Stock")</f>
        <v>In Stock</v>
      </c>
      <c r="P867" t="str">
        <f>TEXT(Inventory_Data[[#This Row],[Date]],"MMM")</f>
        <v>Jul</v>
      </c>
      <c r="Q867" t="str">
        <f>TEXT(Inventory_Data[[#This Row],[Date]],"YYYY")</f>
        <v>2025</v>
      </c>
    </row>
    <row r="868" spans="1:17" x14ac:dyDescent="0.3">
      <c r="A868" s="1">
        <v>45844</v>
      </c>
      <c r="B868" t="s">
        <v>43</v>
      </c>
      <c r="C868" t="s">
        <v>22</v>
      </c>
      <c r="D868" t="s">
        <v>37</v>
      </c>
      <c r="E868" t="s">
        <v>15</v>
      </c>
      <c r="F868">
        <v>394</v>
      </c>
      <c r="G868">
        <v>253</v>
      </c>
      <c r="H868">
        <v>238</v>
      </c>
      <c r="I868">
        <v>409</v>
      </c>
      <c r="J868">
        <v>126</v>
      </c>
      <c r="K868">
        <v>998</v>
      </c>
      <c r="L868">
        <v>408182</v>
      </c>
      <c r="M868">
        <f>Inventory_Data[[#This Row],[Opening Stock]]+Inventory_Data[[#This Row],[Purchase Qty]]-Inventory_Data[[#This Row],[Sales Qty]]-Inventory_Data[[#This Row],[Closing Stock]]</f>
        <v>0</v>
      </c>
      <c r="N868">
        <f>Inventory_Data[[#This Row],[Purchase Qty]]*Inventory_Data[[#This Row],[Unit Cost]]</f>
        <v>252494</v>
      </c>
      <c r="O868" t="str">
        <f>IF(Inventory_Data[[#This Row],[Closing Stock]]&lt;=Inventory_Data[[#This Row],[Reorder Level]],"Low Stock","In Stock")</f>
        <v>In Stock</v>
      </c>
      <c r="P868" t="str">
        <f>TEXT(Inventory_Data[[#This Row],[Date]],"MMM")</f>
        <v>Jul</v>
      </c>
      <c r="Q868" t="str">
        <f>TEXT(Inventory_Data[[#This Row],[Date]],"YYYY")</f>
        <v>2025</v>
      </c>
    </row>
    <row r="869" spans="1:17" x14ac:dyDescent="0.3">
      <c r="A869" s="1">
        <v>45844</v>
      </c>
      <c r="B869" t="s">
        <v>33</v>
      </c>
      <c r="C869" t="s">
        <v>13</v>
      </c>
      <c r="D869" t="s">
        <v>26</v>
      </c>
      <c r="E869" t="s">
        <v>15</v>
      </c>
      <c r="F869">
        <v>26</v>
      </c>
      <c r="G869">
        <v>27</v>
      </c>
      <c r="H869">
        <v>23</v>
      </c>
      <c r="I869">
        <v>30</v>
      </c>
      <c r="J869">
        <v>23</v>
      </c>
      <c r="K869">
        <v>10549</v>
      </c>
      <c r="L869">
        <v>316470</v>
      </c>
      <c r="M869">
        <f>Inventory_Data[[#This Row],[Opening Stock]]+Inventory_Data[[#This Row],[Purchase Qty]]-Inventory_Data[[#This Row],[Sales Qty]]-Inventory_Data[[#This Row],[Closing Stock]]</f>
        <v>0</v>
      </c>
      <c r="N869">
        <f>Inventory_Data[[#This Row],[Purchase Qty]]*Inventory_Data[[#This Row],[Unit Cost]]</f>
        <v>284823</v>
      </c>
      <c r="O869" t="str">
        <f>IF(Inventory_Data[[#This Row],[Closing Stock]]&lt;=Inventory_Data[[#This Row],[Reorder Level]],"Low Stock","In Stock")</f>
        <v>In Stock</v>
      </c>
      <c r="P869" t="str">
        <f>TEXT(Inventory_Data[[#This Row],[Date]],"MMM")</f>
        <v>Jul</v>
      </c>
      <c r="Q869" t="str">
        <f>TEXT(Inventory_Data[[#This Row],[Date]],"YYYY")</f>
        <v>2025</v>
      </c>
    </row>
    <row r="870" spans="1:17" x14ac:dyDescent="0.3">
      <c r="A870" s="1">
        <v>45844</v>
      </c>
      <c r="B870" t="s">
        <v>38</v>
      </c>
      <c r="C870" t="s">
        <v>17</v>
      </c>
      <c r="D870" t="s">
        <v>26</v>
      </c>
      <c r="E870" t="s">
        <v>20</v>
      </c>
      <c r="F870">
        <v>47</v>
      </c>
      <c r="G870">
        <v>9</v>
      </c>
      <c r="H870">
        <v>24</v>
      </c>
      <c r="I870">
        <v>32</v>
      </c>
      <c r="J870">
        <v>24</v>
      </c>
      <c r="K870">
        <v>8381</v>
      </c>
      <c r="L870">
        <v>268192</v>
      </c>
      <c r="M870">
        <f>Inventory_Data[[#This Row],[Opening Stock]]+Inventory_Data[[#This Row],[Purchase Qty]]-Inventory_Data[[#This Row],[Sales Qty]]-Inventory_Data[[#This Row],[Closing Stock]]</f>
        <v>0</v>
      </c>
      <c r="N870">
        <f>Inventory_Data[[#This Row],[Purchase Qty]]*Inventory_Data[[#This Row],[Unit Cost]]</f>
        <v>75429</v>
      </c>
      <c r="O870" t="str">
        <f>IF(Inventory_Data[[#This Row],[Closing Stock]]&lt;=Inventory_Data[[#This Row],[Reorder Level]],"Low Stock","In Stock")</f>
        <v>In Stock</v>
      </c>
      <c r="P870" t="str">
        <f>TEXT(Inventory_Data[[#This Row],[Date]],"MMM")</f>
        <v>Jul</v>
      </c>
      <c r="Q870" t="str">
        <f>TEXT(Inventory_Data[[#This Row],[Date]],"YYYY")</f>
        <v>2025</v>
      </c>
    </row>
    <row r="871" spans="1:17" x14ac:dyDescent="0.3">
      <c r="A871" s="1">
        <v>45845</v>
      </c>
      <c r="B871" t="s">
        <v>40</v>
      </c>
      <c r="C871" t="s">
        <v>28</v>
      </c>
      <c r="D871" t="s">
        <v>26</v>
      </c>
      <c r="E871" t="s">
        <v>29</v>
      </c>
      <c r="F871">
        <v>127</v>
      </c>
      <c r="G871">
        <v>107</v>
      </c>
      <c r="H871">
        <v>36</v>
      </c>
      <c r="I871">
        <v>198</v>
      </c>
      <c r="J871">
        <v>22</v>
      </c>
      <c r="K871">
        <v>18658</v>
      </c>
      <c r="L871">
        <v>3694284</v>
      </c>
      <c r="M871">
        <f>Inventory_Data[[#This Row],[Opening Stock]]+Inventory_Data[[#This Row],[Purchase Qty]]-Inventory_Data[[#This Row],[Sales Qty]]-Inventory_Data[[#This Row],[Closing Stock]]</f>
        <v>0</v>
      </c>
      <c r="N871">
        <f>Inventory_Data[[#This Row],[Purchase Qty]]*Inventory_Data[[#This Row],[Unit Cost]]</f>
        <v>1996406</v>
      </c>
      <c r="O871" t="str">
        <f>IF(Inventory_Data[[#This Row],[Closing Stock]]&lt;=Inventory_Data[[#This Row],[Reorder Level]],"Low Stock","In Stock")</f>
        <v>In Stock</v>
      </c>
      <c r="P871" t="str">
        <f>TEXT(Inventory_Data[[#This Row],[Date]],"MMM")</f>
        <v>Jul</v>
      </c>
      <c r="Q871" t="str">
        <f>TEXT(Inventory_Data[[#This Row],[Date]],"YYYY")</f>
        <v>2025</v>
      </c>
    </row>
    <row r="872" spans="1:17" x14ac:dyDescent="0.3">
      <c r="A872" s="1">
        <v>45845</v>
      </c>
      <c r="B872" t="s">
        <v>31</v>
      </c>
      <c r="C872" t="s">
        <v>22</v>
      </c>
      <c r="D872" t="s">
        <v>14</v>
      </c>
      <c r="E872" t="s">
        <v>20</v>
      </c>
      <c r="F872">
        <v>289</v>
      </c>
      <c r="G872">
        <v>48</v>
      </c>
      <c r="H872">
        <v>270</v>
      </c>
      <c r="I872">
        <v>67</v>
      </c>
      <c r="J872">
        <v>75</v>
      </c>
      <c r="K872">
        <v>1004</v>
      </c>
      <c r="L872">
        <v>67268</v>
      </c>
      <c r="M872">
        <f>Inventory_Data[[#This Row],[Opening Stock]]+Inventory_Data[[#This Row],[Purchase Qty]]-Inventory_Data[[#This Row],[Sales Qty]]-Inventory_Data[[#This Row],[Closing Stock]]</f>
        <v>0</v>
      </c>
      <c r="N872">
        <f>Inventory_Data[[#This Row],[Purchase Qty]]*Inventory_Data[[#This Row],[Unit Cost]]</f>
        <v>48192</v>
      </c>
      <c r="O872" t="str">
        <f>IF(Inventory_Data[[#This Row],[Closing Stock]]&lt;=Inventory_Data[[#This Row],[Reorder Level]],"Low Stock","In Stock")</f>
        <v>Low Stock</v>
      </c>
      <c r="P872" t="str">
        <f>TEXT(Inventory_Data[[#This Row],[Date]],"MMM")</f>
        <v>Jul</v>
      </c>
      <c r="Q872" t="str">
        <f>TEXT(Inventory_Data[[#This Row],[Date]],"YYYY")</f>
        <v>2025</v>
      </c>
    </row>
    <row r="873" spans="1:17" x14ac:dyDescent="0.3">
      <c r="A873" s="1">
        <v>45845</v>
      </c>
      <c r="B873" t="s">
        <v>30</v>
      </c>
      <c r="C873" t="s">
        <v>28</v>
      </c>
      <c r="D873" t="s">
        <v>23</v>
      </c>
      <c r="E873" t="s">
        <v>24</v>
      </c>
      <c r="F873">
        <v>53</v>
      </c>
      <c r="G873">
        <v>54</v>
      </c>
      <c r="H873">
        <v>65</v>
      </c>
      <c r="I873">
        <v>42</v>
      </c>
      <c r="J873">
        <v>57</v>
      </c>
      <c r="K873">
        <v>19314</v>
      </c>
      <c r="L873">
        <v>811188</v>
      </c>
      <c r="M873">
        <f>Inventory_Data[[#This Row],[Opening Stock]]+Inventory_Data[[#This Row],[Purchase Qty]]-Inventory_Data[[#This Row],[Sales Qty]]-Inventory_Data[[#This Row],[Closing Stock]]</f>
        <v>0</v>
      </c>
      <c r="N873">
        <f>Inventory_Data[[#This Row],[Purchase Qty]]*Inventory_Data[[#This Row],[Unit Cost]]</f>
        <v>1042956</v>
      </c>
      <c r="O873" t="str">
        <f>IF(Inventory_Data[[#This Row],[Closing Stock]]&lt;=Inventory_Data[[#This Row],[Reorder Level]],"Low Stock","In Stock")</f>
        <v>Low Stock</v>
      </c>
      <c r="P873" t="str">
        <f>TEXT(Inventory_Data[[#This Row],[Date]],"MMM")</f>
        <v>Jul</v>
      </c>
      <c r="Q873" t="str">
        <f>TEXT(Inventory_Data[[#This Row],[Date]],"YYYY")</f>
        <v>2025</v>
      </c>
    </row>
    <row r="874" spans="1:17" x14ac:dyDescent="0.3">
      <c r="A874" s="1">
        <v>45846</v>
      </c>
      <c r="B874" t="s">
        <v>39</v>
      </c>
      <c r="C874" t="s">
        <v>28</v>
      </c>
      <c r="D874" t="s">
        <v>23</v>
      </c>
      <c r="E874" t="s">
        <v>29</v>
      </c>
      <c r="F874">
        <v>178</v>
      </c>
      <c r="G874">
        <v>19</v>
      </c>
      <c r="H874">
        <v>80</v>
      </c>
      <c r="I874">
        <v>117</v>
      </c>
      <c r="J874">
        <v>40</v>
      </c>
      <c r="K874">
        <v>48579</v>
      </c>
      <c r="L874">
        <v>5683743</v>
      </c>
      <c r="M874">
        <f>Inventory_Data[[#This Row],[Opening Stock]]+Inventory_Data[[#This Row],[Purchase Qty]]-Inventory_Data[[#This Row],[Sales Qty]]-Inventory_Data[[#This Row],[Closing Stock]]</f>
        <v>0</v>
      </c>
      <c r="N874">
        <f>Inventory_Data[[#This Row],[Purchase Qty]]*Inventory_Data[[#This Row],[Unit Cost]]</f>
        <v>923001</v>
      </c>
      <c r="O874" t="str">
        <f>IF(Inventory_Data[[#This Row],[Closing Stock]]&lt;=Inventory_Data[[#This Row],[Reorder Level]],"Low Stock","In Stock")</f>
        <v>In Stock</v>
      </c>
      <c r="P874" t="str">
        <f>TEXT(Inventory_Data[[#This Row],[Date]],"MMM")</f>
        <v>Jul</v>
      </c>
      <c r="Q874" t="str">
        <f>TEXT(Inventory_Data[[#This Row],[Date]],"YYYY")</f>
        <v>2025</v>
      </c>
    </row>
    <row r="875" spans="1:17" x14ac:dyDescent="0.3">
      <c r="A875" s="1">
        <v>45846</v>
      </c>
      <c r="B875" t="s">
        <v>36</v>
      </c>
      <c r="C875" t="s">
        <v>22</v>
      </c>
      <c r="D875" t="s">
        <v>23</v>
      </c>
      <c r="E875" t="s">
        <v>24</v>
      </c>
      <c r="F875">
        <v>451</v>
      </c>
      <c r="G875">
        <v>184</v>
      </c>
      <c r="H875">
        <v>64</v>
      </c>
      <c r="I875">
        <v>571</v>
      </c>
      <c r="J875">
        <v>131</v>
      </c>
      <c r="K875">
        <v>713</v>
      </c>
      <c r="L875">
        <v>407123</v>
      </c>
      <c r="M875">
        <f>Inventory_Data[[#This Row],[Opening Stock]]+Inventory_Data[[#This Row],[Purchase Qty]]-Inventory_Data[[#This Row],[Sales Qty]]-Inventory_Data[[#This Row],[Closing Stock]]</f>
        <v>0</v>
      </c>
      <c r="N875">
        <f>Inventory_Data[[#This Row],[Purchase Qty]]*Inventory_Data[[#This Row],[Unit Cost]]</f>
        <v>131192</v>
      </c>
      <c r="O875" t="str">
        <f>IF(Inventory_Data[[#This Row],[Closing Stock]]&lt;=Inventory_Data[[#This Row],[Reorder Level]],"Low Stock","In Stock")</f>
        <v>In Stock</v>
      </c>
      <c r="P875" t="str">
        <f>TEXT(Inventory_Data[[#This Row],[Date]],"MMM")</f>
        <v>Jul</v>
      </c>
      <c r="Q875" t="str">
        <f>TEXT(Inventory_Data[[#This Row],[Date]],"YYYY")</f>
        <v>2025</v>
      </c>
    </row>
    <row r="876" spans="1:17" x14ac:dyDescent="0.3">
      <c r="A876" s="1">
        <v>45846</v>
      </c>
      <c r="B876" t="s">
        <v>42</v>
      </c>
      <c r="C876" t="s">
        <v>17</v>
      </c>
      <c r="D876" t="s">
        <v>14</v>
      </c>
      <c r="E876" t="s">
        <v>24</v>
      </c>
      <c r="F876">
        <v>89</v>
      </c>
      <c r="G876">
        <v>20</v>
      </c>
      <c r="H876">
        <v>3</v>
      </c>
      <c r="I876">
        <v>106</v>
      </c>
      <c r="J876">
        <v>20</v>
      </c>
      <c r="K876">
        <v>1571</v>
      </c>
      <c r="L876">
        <v>166526</v>
      </c>
      <c r="M876">
        <f>Inventory_Data[[#This Row],[Opening Stock]]+Inventory_Data[[#This Row],[Purchase Qty]]-Inventory_Data[[#This Row],[Sales Qty]]-Inventory_Data[[#This Row],[Closing Stock]]</f>
        <v>0</v>
      </c>
      <c r="N876">
        <f>Inventory_Data[[#This Row],[Purchase Qty]]*Inventory_Data[[#This Row],[Unit Cost]]</f>
        <v>31420</v>
      </c>
      <c r="O876" t="str">
        <f>IF(Inventory_Data[[#This Row],[Closing Stock]]&lt;=Inventory_Data[[#This Row],[Reorder Level]],"Low Stock","In Stock")</f>
        <v>In Stock</v>
      </c>
      <c r="P876" t="str">
        <f>TEXT(Inventory_Data[[#This Row],[Date]],"MMM")</f>
        <v>Jul</v>
      </c>
      <c r="Q876" t="str">
        <f>TEXT(Inventory_Data[[#This Row],[Date]],"YYYY")</f>
        <v>2025</v>
      </c>
    </row>
    <row r="877" spans="1:17" x14ac:dyDescent="0.3">
      <c r="A877" s="1">
        <v>45846</v>
      </c>
      <c r="B877" t="s">
        <v>21</v>
      </c>
      <c r="C877" t="s">
        <v>22</v>
      </c>
      <c r="D877" t="s">
        <v>23</v>
      </c>
      <c r="E877" t="s">
        <v>15</v>
      </c>
      <c r="F877">
        <v>381</v>
      </c>
      <c r="G877">
        <v>238</v>
      </c>
      <c r="H877">
        <v>74</v>
      </c>
      <c r="I877">
        <v>545</v>
      </c>
      <c r="J877">
        <v>130</v>
      </c>
      <c r="K877">
        <v>593</v>
      </c>
      <c r="L877">
        <v>323185</v>
      </c>
      <c r="M877">
        <f>Inventory_Data[[#This Row],[Opening Stock]]+Inventory_Data[[#This Row],[Purchase Qty]]-Inventory_Data[[#This Row],[Sales Qty]]-Inventory_Data[[#This Row],[Closing Stock]]</f>
        <v>0</v>
      </c>
      <c r="N877">
        <f>Inventory_Data[[#This Row],[Purchase Qty]]*Inventory_Data[[#This Row],[Unit Cost]]</f>
        <v>141134</v>
      </c>
      <c r="O877" t="str">
        <f>IF(Inventory_Data[[#This Row],[Closing Stock]]&lt;=Inventory_Data[[#This Row],[Reorder Level]],"Low Stock","In Stock")</f>
        <v>In Stock</v>
      </c>
      <c r="P877" t="str">
        <f>TEXT(Inventory_Data[[#This Row],[Date]],"MMM")</f>
        <v>Jul</v>
      </c>
      <c r="Q877" t="str">
        <f>TEXT(Inventory_Data[[#This Row],[Date]],"YYYY")</f>
        <v>2025</v>
      </c>
    </row>
    <row r="878" spans="1:17" x14ac:dyDescent="0.3">
      <c r="A878" s="1">
        <v>45846</v>
      </c>
      <c r="B878" t="s">
        <v>30</v>
      </c>
      <c r="C878" t="s">
        <v>28</v>
      </c>
      <c r="D878" t="s">
        <v>14</v>
      </c>
      <c r="E878" t="s">
        <v>20</v>
      </c>
      <c r="F878">
        <v>178</v>
      </c>
      <c r="G878">
        <v>92</v>
      </c>
      <c r="H878">
        <v>99</v>
      </c>
      <c r="I878">
        <v>171</v>
      </c>
      <c r="J878">
        <v>51</v>
      </c>
      <c r="K878">
        <v>63444</v>
      </c>
      <c r="L878">
        <v>10848924</v>
      </c>
      <c r="M878">
        <f>Inventory_Data[[#This Row],[Opening Stock]]+Inventory_Data[[#This Row],[Purchase Qty]]-Inventory_Data[[#This Row],[Sales Qty]]-Inventory_Data[[#This Row],[Closing Stock]]</f>
        <v>0</v>
      </c>
      <c r="N878">
        <f>Inventory_Data[[#This Row],[Purchase Qty]]*Inventory_Data[[#This Row],[Unit Cost]]</f>
        <v>5836848</v>
      </c>
      <c r="O878" t="str">
        <f>IF(Inventory_Data[[#This Row],[Closing Stock]]&lt;=Inventory_Data[[#This Row],[Reorder Level]],"Low Stock","In Stock")</f>
        <v>In Stock</v>
      </c>
      <c r="P878" t="str">
        <f>TEXT(Inventory_Data[[#This Row],[Date]],"MMM")</f>
        <v>Jul</v>
      </c>
      <c r="Q878" t="str">
        <f>TEXT(Inventory_Data[[#This Row],[Date]],"YYYY")</f>
        <v>2025</v>
      </c>
    </row>
    <row r="879" spans="1:17" x14ac:dyDescent="0.3">
      <c r="A879" s="1">
        <v>45846</v>
      </c>
      <c r="B879" t="s">
        <v>25</v>
      </c>
      <c r="C879" t="s">
        <v>17</v>
      </c>
      <c r="D879" t="s">
        <v>14</v>
      </c>
      <c r="E879" t="s">
        <v>34</v>
      </c>
      <c r="F879">
        <v>17</v>
      </c>
      <c r="G879">
        <v>7</v>
      </c>
      <c r="H879">
        <v>10</v>
      </c>
      <c r="I879">
        <v>14</v>
      </c>
      <c r="J879">
        <v>20</v>
      </c>
      <c r="K879">
        <v>14777</v>
      </c>
      <c r="L879">
        <v>206878</v>
      </c>
      <c r="M879">
        <f>Inventory_Data[[#This Row],[Opening Stock]]+Inventory_Data[[#This Row],[Purchase Qty]]-Inventory_Data[[#This Row],[Sales Qty]]-Inventory_Data[[#This Row],[Closing Stock]]</f>
        <v>0</v>
      </c>
      <c r="N879">
        <f>Inventory_Data[[#This Row],[Purchase Qty]]*Inventory_Data[[#This Row],[Unit Cost]]</f>
        <v>103439</v>
      </c>
      <c r="O879" t="str">
        <f>IF(Inventory_Data[[#This Row],[Closing Stock]]&lt;=Inventory_Data[[#This Row],[Reorder Level]],"Low Stock","In Stock")</f>
        <v>Low Stock</v>
      </c>
      <c r="P879" t="str">
        <f>TEXT(Inventory_Data[[#This Row],[Date]],"MMM")</f>
        <v>Jul</v>
      </c>
      <c r="Q879" t="str">
        <f>TEXT(Inventory_Data[[#This Row],[Date]],"YYYY")</f>
        <v>2025</v>
      </c>
    </row>
    <row r="880" spans="1:17" x14ac:dyDescent="0.3">
      <c r="A880" s="1">
        <v>45846</v>
      </c>
      <c r="B880" t="s">
        <v>21</v>
      </c>
      <c r="C880" t="s">
        <v>22</v>
      </c>
      <c r="D880" t="s">
        <v>23</v>
      </c>
      <c r="E880" t="s">
        <v>29</v>
      </c>
      <c r="F880">
        <v>130</v>
      </c>
      <c r="G880">
        <v>137</v>
      </c>
      <c r="H880">
        <v>76</v>
      </c>
      <c r="I880">
        <v>191</v>
      </c>
      <c r="J880">
        <v>139</v>
      </c>
      <c r="K880">
        <v>705</v>
      </c>
      <c r="L880">
        <v>134655</v>
      </c>
      <c r="M880">
        <f>Inventory_Data[[#This Row],[Opening Stock]]+Inventory_Data[[#This Row],[Purchase Qty]]-Inventory_Data[[#This Row],[Sales Qty]]-Inventory_Data[[#This Row],[Closing Stock]]</f>
        <v>0</v>
      </c>
      <c r="N880">
        <f>Inventory_Data[[#This Row],[Purchase Qty]]*Inventory_Data[[#This Row],[Unit Cost]]</f>
        <v>96585</v>
      </c>
      <c r="O880" t="str">
        <f>IF(Inventory_Data[[#This Row],[Closing Stock]]&lt;=Inventory_Data[[#This Row],[Reorder Level]],"Low Stock","In Stock")</f>
        <v>In Stock</v>
      </c>
      <c r="P880" t="str">
        <f>TEXT(Inventory_Data[[#This Row],[Date]],"MMM")</f>
        <v>Jul</v>
      </c>
      <c r="Q880" t="str">
        <f>TEXT(Inventory_Data[[#This Row],[Date]],"YYYY")</f>
        <v>2025</v>
      </c>
    </row>
    <row r="881" spans="1:17" x14ac:dyDescent="0.3">
      <c r="A881" s="1">
        <v>45847</v>
      </c>
      <c r="B881" t="s">
        <v>33</v>
      </c>
      <c r="C881" t="s">
        <v>13</v>
      </c>
      <c r="D881" t="s">
        <v>37</v>
      </c>
      <c r="E881" t="s">
        <v>24</v>
      </c>
      <c r="F881">
        <v>26</v>
      </c>
      <c r="G881">
        <v>34</v>
      </c>
      <c r="H881">
        <v>23</v>
      </c>
      <c r="I881">
        <v>37</v>
      </c>
      <c r="J881">
        <v>29</v>
      </c>
      <c r="K881">
        <v>14371</v>
      </c>
      <c r="L881">
        <v>531727</v>
      </c>
      <c r="M881">
        <f>Inventory_Data[[#This Row],[Opening Stock]]+Inventory_Data[[#This Row],[Purchase Qty]]-Inventory_Data[[#This Row],[Sales Qty]]-Inventory_Data[[#This Row],[Closing Stock]]</f>
        <v>0</v>
      </c>
      <c r="N881">
        <f>Inventory_Data[[#This Row],[Purchase Qty]]*Inventory_Data[[#This Row],[Unit Cost]]</f>
        <v>488614</v>
      </c>
      <c r="O881" t="str">
        <f>IF(Inventory_Data[[#This Row],[Closing Stock]]&lt;=Inventory_Data[[#This Row],[Reorder Level]],"Low Stock","In Stock")</f>
        <v>In Stock</v>
      </c>
      <c r="P881" t="str">
        <f>TEXT(Inventory_Data[[#This Row],[Date]],"MMM")</f>
        <v>Jul</v>
      </c>
      <c r="Q881" t="str">
        <f>TEXT(Inventory_Data[[#This Row],[Date]],"YYYY")</f>
        <v>2025</v>
      </c>
    </row>
    <row r="882" spans="1:17" x14ac:dyDescent="0.3">
      <c r="A882" s="1">
        <v>45847</v>
      </c>
      <c r="B882" t="s">
        <v>40</v>
      </c>
      <c r="C882" t="s">
        <v>28</v>
      </c>
      <c r="D882" t="s">
        <v>14</v>
      </c>
      <c r="E882" t="s">
        <v>29</v>
      </c>
      <c r="F882">
        <v>155</v>
      </c>
      <c r="G882">
        <v>52</v>
      </c>
      <c r="H882">
        <v>24</v>
      </c>
      <c r="I882">
        <v>183</v>
      </c>
      <c r="J882">
        <v>52</v>
      </c>
      <c r="K882">
        <v>38555</v>
      </c>
      <c r="L882">
        <v>7055565</v>
      </c>
      <c r="M882">
        <f>Inventory_Data[[#This Row],[Opening Stock]]+Inventory_Data[[#This Row],[Purchase Qty]]-Inventory_Data[[#This Row],[Sales Qty]]-Inventory_Data[[#This Row],[Closing Stock]]</f>
        <v>0</v>
      </c>
      <c r="N882">
        <f>Inventory_Data[[#This Row],[Purchase Qty]]*Inventory_Data[[#This Row],[Unit Cost]]</f>
        <v>2004860</v>
      </c>
      <c r="O882" t="str">
        <f>IF(Inventory_Data[[#This Row],[Closing Stock]]&lt;=Inventory_Data[[#This Row],[Reorder Level]],"Low Stock","In Stock")</f>
        <v>In Stock</v>
      </c>
      <c r="P882" t="str">
        <f>TEXT(Inventory_Data[[#This Row],[Date]],"MMM")</f>
        <v>Jul</v>
      </c>
      <c r="Q882" t="str">
        <f>TEXT(Inventory_Data[[#This Row],[Date]],"YYYY")</f>
        <v>2025</v>
      </c>
    </row>
    <row r="883" spans="1:17" x14ac:dyDescent="0.3">
      <c r="A883" s="1">
        <v>45847</v>
      </c>
      <c r="B883" t="s">
        <v>32</v>
      </c>
      <c r="C883" t="s">
        <v>28</v>
      </c>
      <c r="D883" t="s">
        <v>26</v>
      </c>
      <c r="E883" t="s">
        <v>15</v>
      </c>
      <c r="F883">
        <v>122</v>
      </c>
      <c r="G883">
        <v>101</v>
      </c>
      <c r="H883">
        <v>82</v>
      </c>
      <c r="I883">
        <v>141</v>
      </c>
      <c r="J883">
        <v>57</v>
      </c>
      <c r="K883">
        <v>11092</v>
      </c>
      <c r="L883">
        <v>1563972</v>
      </c>
      <c r="M883">
        <f>Inventory_Data[[#This Row],[Opening Stock]]+Inventory_Data[[#This Row],[Purchase Qty]]-Inventory_Data[[#This Row],[Sales Qty]]-Inventory_Data[[#This Row],[Closing Stock]]</f>
        <v>0</v>
      </c>
      <c r="N883">
        <f>Inventory_Data[[#This Row],[Purchase Qty]]*Inventory_Data[[#This Row],[Unit Cost]]</f>
        <v>1120292</v>
      </c>
      <c r="O883" t="str">
        <f>IF(Inventory_Data[[#This Row],[Closing Stock]]&lt;=Inventory_Data[[#This Row],[Reorder Level]],"Low Stock","In Stock")</f>
        <v>In Stock</v>
      </c>
      <c r="P883" t="str">
        <f>TEXT(Inventory_Data[[#This Row],[Date]],"MMM")</f>
        <v>Jul</v>
      </c>
      <c r="Q883" t="str">
        <f>TEXT(Inventory_Data[[#This Row],[Date]],"YYYY")</f>
        <v>2025</v>
      </c>
    </row>
    <row r="884" spans="1:17" x14ac:dyDescent="0.3">
      <c r="A884" s="1">
        <v>45848</v>
      </c>
      <c r="B884" t="s">
        <v>40</v>
      </c>
      <c r="C884" t="s">
        <v>28</v>
      </c>
      <c r="D884" t="s">
        <v>14</v>
      </c>
      <c r="E884" t="s">
        <v>18</v>
      </c>
      <c r="F884">
        <v>70</v>
      </c>
      <c r="G884">
        <v>45</v>
      </c>
      <c r="H884">
        <v>85</v>
      </c>
      <c r="I884">
        <v>30</v>
      </c>
      <c r="J884">
        <v>43</v>
      </c>
      <c r="K884">
        <v>11528</v>
      </c>
      <c r="L884">
        <v>345840</v>
      </c>
      <c r="M884">
        <f>Inventory_Data[[#This Row],[Opening Stock]]+Inventory_Data[[#This Row],[Purchase Qty]]-Inventory_Data[[#This Row],[Sales Qty]]-Inventory_Data[[#This Row],[Closing Stock]]</f>
        <v>0</v>
      </c>
      <c r="N884">
        <f>Inventory_Data[[#This Row],[Purchase Qty]]*Inventory_Data[[#This Row],[Unit Cost]]</f>
        <v>518760</v>
      </c>
      <c r="O884" t="str">
        <f>IF(Inventory_Data[[#This Row],[Closing Stock]]&lt;=Inventory_Data[[#This Row],[Reorder Level]],"Low Stock","In Stock")</f>
        <v>Low Stock</v>
      </c>
      <c r="P884" t="str">
        <f>TEXT(Inventory_Data[[#This Row],[Date]],"MMM")</f>
        <v>Jul</v>
      </c>
      <c r="Q884" t="str">
        <f>TEXT(Inventory_Data[[#This Row],[Date]],"YYYY")</f>
        <v>2025</v>
      </c>
    </row>
    <row r="885" spans="1:17" x14ac:dyDescent="0.3">
      <c r="A885" s="1">
        <v>45848</v>
      </c>
      <c r="B885" t="s">
        <v>39</v>
      </c>
      <c r="C885" t="s">
        <v>28</v>
      </c>
      <c r="D885" t="s">
        <v>23</v>
      </c>
      <c r="E885" t="s">
        <v>34</v>
      </c>
      <c r="F885">
        <v>156</v>
      </c>
      <c r="G885">
        <v>69</v>
      </c>
      <c r="H885">
        <v>67</v>
      </c>
      <c r="I885">
        <v>158</v>
      </c>
      <c r="J885">
        <v>22</v>
      </c>
      <c r="K885">
        <v>50023</v>
      </c>
      <c r="L885">
        <v>7903634</v>
      </c>
      <c r="M885">
        <f>Inventory_Data[[#This Row],[Opening Stock]]+Inventory_Data[[#This Row],[Purchase Qty]]-Inventory_Data[[#This Row],[Sales Qty]]-Inventory_Data[[#This Row],[Closing Stock]]</f>
        <v>0</v>
      </c>
      <c r="N885">
        <f>Inventory_Data[[#This Row],[Purchase Qty]]*Inventory_Data[[#This Row],[Unit Cost]]</f>
        <v>3451587</v>
      </c>
      <c r="O885" t="str">
        <f>IF(Inventory_Data[[#This Row],[Closing Stock]]&lt;=Inventory_Data[[#This Row],[Reorder Level]],"Low Stock","In Stock")</f>
        <v>In Stock</v>
      </c>
      <c r="P885" t="str">
        <f>TEXT(Inventory_Data[[#This Row],[Date]],"MMM")</f>
        <v>Jul</v>
      </c>
      <c r="Q885" t="str">
        <f>TEXT(Inventory_Data[[#This Row],[Date]],"YYYY")</f>
        <v>2025</v>
      </c>
    </row>
    <row r="886" spans="1:17" x14ac:dyDescent="0.3">
      <c r="A886" s="1">
        <v>45848</v>
      </c>
      <c r="B886" t="s">
        <v>42</v>
      </c>
      <c r="C886" t="s">
        <v>17</v>
      </c>
      <c r="D886" t="s">
        <v>26</v>
      </c>
      <c r="E886" t="s">
        <v>34</v>
      </c>
      <c r="F886">
        <v>86</v>
      </c>
      <c r="G886">
        <v>40</v>
      </c>
      <c r="H886">
        <v>25</v>
      </c>
      <c r="I886">
        <v>101</v>
      </c>
      <c r="J886">
        <v>18</v>
      </c>
      <c r="K886">
        <v>23899</v>
      </c>
      <c r="L886">
        <v>2413799</v>
      </c>
      <c r="M886">
        <f>Inventory_Data[[#This Row],[Opening Stock]]+Inventory_Data[[#This Row],[Purchase Qty]]-Inventory_Data[[#This Row],[Sales Qty]]-Inventory_Data[[#This Row],[Closing Stock]]</f>
        <v>0</v>
      </c>
      <c r="N886">
        <f>Inventory_Data[[#This Row],[Purchase Qty]]*Inventory_Data[[#This Row],[Unit Cost]]</f>
        <v>955960</v>
      </c>
      <c r="O886" t="str">
        <f>IF(Inventory_Data[[#This Row],[Closing Stock]]&lt;=Inventory_Data[[#This Row],[Reorder Level]],"Low Stock","In Stock")</f>
        <v>In Stock</v>
      </c>
      <c r="P886" t="str">
        <f>TEXT(Inventory_Data[[#This Row],[Date]],"MMM")</f>
        <v>Jul</v>
      </c>
      <c r="Q886" t="str">
        <f>TEXT(Inventory_Data[[#This Row],[Date]],"YYYY")</f>
        <v>2025</v>
      </c>
    </row>
    <row r="887" spans="1:17" x14ac:dyDescent="0.3">
      <c r="A887" s="1">
        <v>45848</v>
      </c>
      <c r="B887" t="s">
        <v>38</v>
      </c>
      <c r="C887" t="s">
        <v>17</v>
      </c>
      <c r="D887" t="s">
        <v>14</v>
      </c>
      <c r="E887" t="s">
        <v>24</v>
      </c>
      <c r="F887">
        <v>31</v>
      </c>
      <c r="G887">
        <v>50</v>
      </c>
      <c r="H887">
        <v>8</v>
      </c>
      <c r="I887">
        <v>73</v>
      </c>
      <c r="J887">
        <v>22</v>
      </c>
      <c r="K887">
        <v>17404</v>
      </c>
      <c r="L887">
        <v>1270492</v>
      </c>
      <c r="M887">
        <f>Inventory_Data[[#This Row],[Opening Stock]]+Inventory_Data[[#This Row],[Purchase Qty]]-Inventory_Data[[#This Row],[Sales Qty]]-Inventory_Data[[#This Row],[Closing Stock]]</f>
        <v>0</v>
      </c>
      <c r="N887">
        <f>Inventory_Data[[#This Row],[Purchase Qty]]*Inventory_Data[[#This Row],[Unit Cost]]</f>
        <v>870200</v>
      </c>
      <c r="O887" t="str">
        <f>IF(Inventory_Data[[#This Row],[Closing Stock]]&lt;=Inventory_Data[[#This Row],[Reorder Level]],"Low Stock","In Stock")</f>
        <v>In Stock</v>
      </c>
      <c r="P887" t="str">
        <f>TEXT(Inventory_Data[[#This Row],[Date]],"MMM")</f>
        <v>Jul</v>
      </c>
      <c r="Q887" t="str">
        <f>TEXT(Inventory_Data[[#This Row],[Date]],"YYYY")</f>
        <v>2025</v>
      </c>
    </row>
    <row r="888" spans="1:17" x14ac:dyDescent="0.3">
      <c r="A888" s="1">
        <v>45848</v>
      </c>
      <c r="B888" t="s">
        <v>38</v>
      </c>
      <c r="C888" t="s">
        <v>17</v>
      </c>
      <c r="D888" t="s">
        <v>14</v>
      </c>
      <c r="E888" t="s">
        <v>20</v>
      </c>
      <c r="F888">
        <v>81</v>
      </c>
      <c r="G888">
        <v>58</v>
      </c>
      <c r="H888">
        <v>5</v>
      </c>
      <c r="I888">
        <v>134</v>
      </c>
      <c r="J888">
        <v>12</v>
      </c>
      <c r="K888">
        <v>12798</v>
      </c>
      <c r="L888">
        <v>1714932</v>
      </c>
      <c r="M888">
        <f>Inventory_Data[[#This Row],[Opening Stock]]+Inventory_Data[[#This Row],[Purchase Qty]]-Inventory_Data[[#This Row],[Sales Qty]]-Inventory_Data[[#This Row],[Closing Stock]]</f>
        <v>0</v>
      </c>
      <c r="N888">
        <f>Inventory_Data[[#This Row],[Purchase Qty]]*Inventory_Data[[#This Row],[Unit Cost]]</f>
        <v>742284</v>
      </c>
      <c r="O888" t="str">
        <f>IF(Inventory_Data[[#This Row],[Closing Stock]]&lt;=Inventory_Data[[#This Row],[Reorder Level]],"Low Stock","In Stock")</f>
        <v>In Stock</v>
      </c>
      <c r="P888" t="str">
        <f>TEXT(Inventory_Data[[#This Row],[Date]],"MMM")</f>
        <v>Jul</v>
      </c>
      <c r="Q888" t="str">
        <f>TEXT(Inventory_Data[[#This Row],[Date]],"YYYY")</f>
        <v>2025</v>
      </c>
    </row>
    <row r="889" spans="1:17" x14ac:dyDescent="0.3">
      <c r="A889" s="1">
        <v>45848</v>
      </c>
      <c r="B889" t="s">
        <v>32</v>
      </c>
      <c r="C889" t="s">
        <v>28</v>
      </c>
      <c r="D889" t="s">
        <v>26</v>
      </c>
      <c r="E889" t="s">
        <v>29</v>
      </c>
      <c r="F889">
        <v>142</v>
      </c>
      <c r="G889">
        <v>65</v>
      </c>
      <c r="H889">
        <v>63</v>
      </c>
      <c r="I889">
        <v>144</v>
      </c>
      <c r="J889">
        <v>44</v>
      </c>
      <c r="K889">
        <v>54878</v>
      </c>
      <c r="L889">
        <v>7902432</v>
      </c>
      <c r="M889">
        <f>Inventory_Data[[#This Row],[Opening Stock]]+Inventory_Data[[#This Row],[Purchase Qty]]-Inventory_Data[[#This Row],[Sales Qty]]-Inventory_Data[[#This Row],[Closing Stock]]</f>
        <v>0</v>
      </c>
      <c r="N889">
        <f>Inventory_Data[[#This Row],[Purchase Qty]]*Inventory_Data[[#This Row],[Unit Cost]]</f>
        <v>3567070</v>
      </c>
      <c r="O889" t="str">
        <f>IF(Inventory_Data[[#This Row],[Closing Stock]]&lt;=Inventory_Data[[#This Row],[Reorder Level]],"Low Stock","In Stock")</f>
        <v>In Stock</v>
      </c>
      <c r="P889" t="str">
        <f>TEXT(Inventory_Data[[#This Row],[Date]],"MMM")</f>
        <v>Jul</v>
      </c>
      <c r="Q889" t="str">
        <f>TEXT(Inventory_Data[[#This Row],[Date]],"YYYY")</f>
        <v>2025</v>
      </c>
    </row>
    <row r="890" spans="1:17" x14ac:dyDescent="0.3">
      <c r="A890" s="1">
        <v>45849</v>
      </c>
      <c r="B890" t="s">
        <v>39</v>
      </c>
      <c r="C890" t="s">
        <v>28</v>
      </c>
      <c r="D890" t="s">
        <v>37</v>
      </c>
      <c r="E890" t="s">
        <v>15</v>
      </c>
      <c r="F890">
        <v>60</v>
      </c>
      <c r="G890">
        <v>105</v>
      </c>
      <c r="H890">
        <v>72</v>
      </c>
      <c r="I890">
        <v>93</v>
      </c>
      <c r="J890">
        <v>27</v>
      </c>
      <c r="K890">
        <v>6692</v>
      </c>
      <c r="L890">
        <v>622356</v>
      </c>
      <c r="M890">
        <f>Inventory_Data[[#This Row],[Opening Stock]]+Inventory_Data[[#This Row],[Purchase Qty]]-Inventory_Data[[#This Row],[Sales Qty]]-Inventory_Data[[#This Row],[Closing Stock]]</f>
        <v>0</v>
      </c>
      <c r="N890">
        <f>Inventory_Data[[#This Row],[Purchase Qty]]*Inventory_Data[[#This Row],[Unit Cost]]</f>
        <v>702660</v>
      </c>
      <c r="O890" t="str">
        <f>IF(Inventory_Data[[#This Row],[Closing Stock]]&lt;=Inventory_Data[[#This Row],[Reorder Level]],"Low Stock","In Stock")</f>
        <v>In Stock</v>
      </c>
      <c r="P890" t="str">
        <f>TEXT(Inventory_Data[[#This Row],[Date]],"MMM")</f>
        <v>Jul</v>
      </c>
      <c r="Q890" t="str">
        <f>TEXT(Inventory_Data[[#This Row],[Date]],"YYYY")</f>
        <v>2025</v>
      </c>
    </row>
    <row r="891" spans="1:17" x14ac:dyDescent="0.3">
      <c r="A891" s="1">
        <v>45849</v>
      </c>
      <c r="B891" t="s">
        <v>33</v>
      </c>
      <c r="C891" t="s">
        <v>13</v>
      </c>
      <c r="D891" t="s">
        <v>14</v>
      </c>
      <c r="E891" t="s">
        <v>15</v>
      </c>
      <c r="F891">
        <v>81</v>
      </c>
      <c r="G891">
        <v>44</v>
      </c>
      <c r="H891">
        <v>52</v>
      </c>
      <c r="I891">
        <v>73</v>
      </c>
      <c r="J891">
        <v>39</v>
      </c>
      <c r="K891">
        <v>11077</v>
      </c>
      <c r="L891">
        <v>808621</v>
      </c>
      <c r="M891">
        <f>Inventory_Data[[#This Row],[Opening Stock]]+Inventory_Data[[#This Row],[Purchase Qty]]-Inventory_Data[[#This Row],[Sales Qty]]-Inventory_Data[[#This Row],[Closing Stock]]</f>
        <v>0</v>
      </c>
      <c r="N891">
        <f>Inventory_Data[[#This Row],[Purchase Qty]]*Inventory_Data[[#This Row],[Unit Cost]]</f>
        <v>487388</v>
      </c>
      <c r="O891" t="str">
        <f>IF(Inventory_Data[[#This Row],[Closing Stock]]&lt;=Inventory_Data[[#This Row],[Reorder Level]],"Low Stock","In Stock")</f>
        <v>In Stock</v>
      </c>
      <c r="P891" t="str">
        <f>TEXT(Inventory_Data[[#This Row],[Date]],"MMM")</f>
        <v>Jul</v>
      </c>
      <c r="Q891" t="str">
        <f>TEXT(Inventory_Data[[#This Row],[Date]],"YYYY")</f>
        <v>2025</v>
      </c>
    </row>
    <row r="892" spans="1:17" x14ac:dyDescent="0.3">
      <c r="A892" s="1">
        <v>45849</v>
      </c>
      <c r="B892" t="s">
        <v>27</v>
      </c>
      <c r="C892" t="s">
        <v>28</v>
      </c>
      <c r="D892" t="s">
        <v>14</v>
      </c>
      <c r="E892" t="s">
        <v>24</v>
      </c>
      <c r="F892">
        <v>87</v>
      </c>
      <c r="G892">
        <v>14</v>
      </c>
      <c r="H892">
        <v>94</v>
      </c>
      <c r="I892">
        <v>7</v>
      </c>
      <c r="J892">
        <v>29</v>
      </c>
      <c r="K892">
        <v>61560</v>
      </c>
      <c r="L892">
        <v>430920</v>
      </c>
      <c r="M892">
        <f>Inventory_Data[[#This Row],[Opening Stock]]+Inventory_Data[[#This Row],[Purchase Qty]]-Inventory_Data[[#This Row],[Sales Qty]]-Inventory_Data[[#This Row],[Closing Stock]]</f>
        <v>0</v>
      </c>
      <c r="N892">
        <f>Inventory_Data[[#This Row],[Purchase Qty]]*Inventory_Data[[#This Row],[Unit Cost]]</f>
        <v>861840</v>
      </c>
      <c r="O892" t="str">
        <f>IF(Inventory_Data[[#This Row],[Closing Stock]]&lt;=Inventory_Data[[#This Row],[Reorder Level]],"Low Stock","In Stock")</f>
        <v>Low Stock</v>
      </c>
      <c r="P892" t="str">
        <f>TEXT(Inventory_Data[[#This Row],[Date]],"MMM")</f>
        <v>Jul</v>
      </c>
      <c r="Q892" t="str">
        <f>TEXT(Inventory_Data[[#This Row],[Date]],"YYYY")</f>
        <v>2025</v>
      </c>
    </row>
    <row r="893" spans="1:17" x14ac:dyDescent="0.3">
      <c r="A893" s="1">
        <v>45849</v>
      </c>
      <c r="B893" t="s">
        <v>43</v>
      </c>
      <c r="C893" t="s">
        <v>22</v>
      </c>
      <c r="D893" t="s">
        <v>26</v>
      </c>
      <c r="E893" t="s">
        <v>29</v>
      </c>
      <c r="F893">
        <v>57</v>
      </c>
      <c r="G893">
        <v>208</v>
      </c>
      <c r="H893">
        <v>48</v>
      </c>
      <c r="I893">
        <v>217</v>
      </c>
      <c r="J893">
        <v>83</v>
      </c>
      <c r="K893">
        <v>709</v>
      </c>
      <c r="L893">
        <v>153853</v>
      </c>
      <c r="M893">
        <f>Inventory_Data[[#This Row],[Opening Stock]]+Inventory_Data[[#This Row],[Purchase Qty]]-Inventory_Data[[#This Row],[Sales Qty]]-Inventory_Data[[#This Row],[Closing Stock]]</f>
        <v>0</v>
      </c>
      <c r="N893">
        <f>Inventory_Data[[#This Row],[Purchase Qty]]*Inventory_Data[[#This Row],[Unit Cost]]</f>
        <v>147472</v>
      </c>
      <c r="O893" t="str">
        <f>IF(Inventory_Data[[#This Row],[Closing Stock]]&lt;=Inventory_Data[[#This Row],[Reorder Level]],"Low Stock","In Stock")</f>
        <v>In Stock</v>
      </c>
      <c r="P893" t="str">
        <f>TEXT(Inventory_Data[[#This Row],[Date]],"MMM")</f>
        <v>Jul</v>
      </c>
      <c r="Q893" t="str">
        <f>TEXT(Inventory_Data[[#This Row],[Date]],"YYYY")</f>
        <v>2025</v>
      </c>
    </row>
    <row r="894" spans="1:17" x14ac:dyDescent="0.3">
      <c r="A894" s="1">
        <v>45849</v>
      </c>
      <c r="B894" t="s">
        <v>25</v>
      </c>
      <c r="C894" t="s">
        <v>17</v>
      </c>
      <c r="D894" t="s">
        <v>14</v>
      </c>
      <c r="E894" t="s">
        <v>24</v>
      </c>
      <c r="F894">
        <v>41</v>
      </c>
      <c r="G894">
        <v>55</v>
      </c>
      <c r="H894">
        <v>3</v>
      </c>
      <c r="I894">
        <v>93</v>
      </c>
      <c r="J894">
        <v>11</v>
      </c>
      <c r="K894">
        <v>21619</v>
      </c>
      <c r="L894">
        <v>2010567</v>
      </c>
      <c r="M894">
        <f>Inventory_Data[[#This Row],[Opening Stock]]+Inventory_Data[[#This Row],[Purchase Qty]]-Inventory_Data[[#This Row],[Sales Qty]]-Inventory_Data[[#This Row],[Closing Stock]]</f>
        <v>0</v>
      </c>
      <c r="N894">
        <f>Inventory_Data[[#This Row],[Purchase Qty]]*Inventory_Data[[#This Row],[Unit Cost]]</f>
        <v>1189045</v>
      </c>
      <c r="O894" t="str">
        <f>IF(Inventory_Data[[#This Row],[Closing Stock]]&lt;=Inventory_Data[[#This Row],[Reorder Level]],"Low Stock","In Stock")</f>
        <v>In Stock</v>
      </c>
      <c r="P894" t="str">
        <f>TEXT(Inventory_Data[[#This Row],[Date]],"MMM")</f>
        <v>Jul</v>
      </c>
      <c r="Q894" t="str">
        <f>TEXT(Inventory_Data[[#This Row],[Date]],"YYYY")</f>
        <v>2025</v>
      </c>
    </row>
    <row r="895" spans="1:17" x14ac:dyDescent="0.3">
      <c r="A895" s="1">
        <v>45850</v>
      </c>
      <c r="B895" t="s">
        <v>43</v>
      </c>
      <c r="C895" t="s">
        <v>22</v>
      </c>
      <c r="D895" t="s">
        <v>26</v>
      </c>
      <c r="E895" t="s">
        <v>34</v>
      </c>
      <c r="F895">
        <v>321</v>
      </c>
      <c r="G895">
        <v>194</v>
      </c>
      <c r="H895">
        <v>189</v>
      </c>
      <c r="I895">
        <v>326</v>
      </c>
      <c r="J895">
        <v>59</v>
      </c>
      <c r="K895">
        <v>648</v>
      </c>
      <c r="L895">
        <v>211248</v>
      </c>
      <c r="M895">
        <f>Inventory_Data[[#This Row],[Opening Stock]]+Inventory_Data[[#This Row],[Purchase Qty]]-Inventory_Data[[#This Row],[Sales Qty]]-Inventory_Data[[#This Row],[Closing Stock]]</f>
        <v>0</v>
      </c>
      <c r="N895">
        <f>Inventory_Data[[#This Row],[Purchase Qty]]*Inventory_Data[[#This Row],[Unit Cost]]</f>
        <v>125712</v>
      </c>
      <c r="O895" t="str">
        <f>IF(Inventory_Data[[#This Row],[Closing Stock]]&lt;=Inventory_Data[[#This Row],[Reorder Level]],"Low Stock","In Stock")</f>
        <v>In Stock</v>
      </c>
      <c r="P895" t="str">
        <f>TEXT(Inventory_Data[[#This Row],[Date]],"MMM")</f>
        <v>Jul</v>
      </c>
      <c r="Q895" t="str">
        <f>TEXT(Inventory_Data[[#This Row],[Date]],"YYYY")</f>
        <v>2025</v>
      </c>
    </row>
    <row r="896" spans="1:17" x14ac:dyDescent="0.3">
      <c r="A896" s="1">
        <v>45850</v>
      </c>
      <c r="B896" t="s">
        <v>41</v>
      </c>
      <c r="C896" t="s">
        <v>22</v>
      </c>
      <c r="D896" t="s">
        <v>37</v>
      </c>
      <c r="E896" t="s">
        <v>29</v>
      </c>
      <c r="F896">
        <v>218</v>
      </c>
      <c r="G896">
        <v>147</v>
      </c>
      <c r="H896">
        <v>15</v>
      </c>
      <c r="I896">
        <v>350</v>
      </c>
      <c r="J896">
        <v>148</v>
      </c>
      <c r="K896">
        <v>862</v>
      </c>
      <c r="L896">
        <v>301700</v>
      </c>
      <c r="M896">
        <f>Inventory_Data[[#This Row],[Opening Stock]]+Inventory_Data[[#This Row],[Purchase Qty]]-Inventory_Data[[#This Row],[Sales Qty]]-Inventory_Data[[#This Row],[Closing Stock]]</f>
        <v>0</v>
      </c>
      <c r="N896">
        <f>Inventory_Data[[#This Row],[Purchase Qty]]*Inventory_Data[[#This Row],[Unit Cost]]</f>
        <v>126714</v>
      </c>
      <c r="O896" t="str">
        <f>IF(Inventory_Data[[#This Row],[Closing Stock]]&lt;=Inventory_Data[[#This Row],[Reorder Level]],"Low Stock","In Stock")</f>
        <v>In Stock</v>
      </c>
      <c r="P896" t="str">
        <f>TEXT(Inventory_Data[[#This Row],[Date]],"MMM")</f>
        <v>Jul</v>
      </c>
      <c r="Q896" t="str">
        <f>TEXT(Inventory_Data[[#This Row],[Date]],"YYYY")</f>
        <v>2025</v>
      </c>
    </row>
    <row r="897" spans="1:17" x14ac:dyDescent="0.3">
      <c r="A897" s="1">
        <v>45850</v>
      </c>
      <c r="B897" t="s">
        <v>45</v>
      </c>
      <c r="C897" t="s">
        <v>13</v>
      </c>
      <c r="D897" t="s">
        <v>14</v>
      </c>
      <c r="E897" t="s">
        <v>15</v>
      </c>
      <c r="F897">
        <v>29</v>
      </c>
      <c r="G897">
        <v>26</v>
      </c>
      <c r="H897">
        <v>24</v>
      </c>
      <c r="I897">
        <v>31</v>
      </c>
      <c r="J897">
        <v>28</v>
      </c>
      <c r="K897">
        <v>13080</v>
      </c>
      <c r="L897">
        <v>405480</v>
      </c>
      <c r="M897">
        <f>Inventory_Data[[#This Row],[Opening Stock]]+Inventory_Data[[#This Row],[Purchase Qty]]-Inventory_Data[[#This Row],[Sales Qty]]-Inventory_Data[[#This Row],[Closing Stock]]</f>
        <v>0</v>
      </c>
      <c r="N897">
        <f>Inventory_Data[[#This Row],[Purchase Qty]]*Inventory_Data[[#This Row],[Unit Cost]]</f>
        <v>340080</v>
      </c>
      <c r="O897" t="str">
        <f>IF(Inventory_Data[[#This Row],[Closing Stock]]&lt;=Inventory_Data[[#This Row],[Reorder Level]],"Low Stock","In Stock")</f>
        <v>In Stock</v>
      </c>
      <c r="P897" t="str">
        <f>TEXT(Inventory_Data[[#This Row],[Date]],"MMM")</f>
        <v>Jul</v>
      </c>
      <c r="Q897" t="str">
        <f>TEXT(Inventory_Data[[#This Row],[Date]],"YYYY")</f>
        <v>2025</v>
      </c>
    </row>
    <row r="898" spans="1:17" x14ac:dyDescent="0.3">
      <c r="A898" s="1">
        <v>45850</v>
      </c>
      <c r="B898" t="s">
        <v>19</v>
      </c>
      <c r="C898" t="s">
        <v>13</v>
      </c>
      <c r="D898" t="s">
        <v>26</v>
      </c>
      <c r="E898" t="s">
        <v>24</v>
      </c>
      <c r="F898">
        <v>72</v>
      </c>
      <c r="G898">
        <v>57</v>
      </c>
      <c r="H898">
        <v>49</v>
      </c>
      <c r="I898">
        <v>80</v>
      </c>
      <c r="J898">
        <v>16</v>
      </c>
      <c r="K898">
        <v>6668</v>
      </c>
      <c r="L898">
        <v>533440</v>
      </c>
      <c r="M898">
        <f>Inventory_Data[[#This Row],[Opening Stock]]+Inventory_Data[[#This Row],[Purchase Qty]]-Inventory_Data[[#This Row],[Sales Qty]]-Inventory_Data[[#This Row],[Closing Stock]]</f>
        <v>0</v>
      </c>
      <c r="N898">
        <f>Inventory_Data[[#This Row],[Purchase Qty]]*Inventory_Data[[#This Row],[Unit Cost]]</f>
        <v>380076</v>
      </c>
      <c r="O898" t="str">
        <f>IF(Inventory_Data[[#This Row],[Closing Stock]]&lt;=Inventory_Data[[#This Row],[Reorder Level]],"Low Stock","In Stock")</f>
        <v>In Stock</v>
      </c>
      <c r="P898" t="str">
        <f>TEXT(Inventory_Data[[#This Row],[Date]],"MMM")</f>
        <v>Jul</v>
      </c>
      <c r="Q898" t="str">
        <f>TEXT(Inventory_Data[[#This Row],[Date]],"YYYY")</f>
        <v>2025</v>
      </c>
    </row>
    <row r="899" spans="1:17" x14ac:dyDescent="0.3">
      <c r="A899" s="1">
        <v>45851</v>
      </c>
      <c r="B899" t="s">
        <v>42</v>
      </c>
      <c r="C899" t="s">
        <v>17</v>
      </c>
      <c r="D899" t="s">
        <v>26</v>
      </c>
      <c r="E899" t="s">
        <v>29</v>
      </c>
      <c r="F899">
        <v>18</v>
      </c>
      <c r="G899">
        <v>7</v>
      </c>
      <c r="H899">
        <v>17</v>
      </c>
      <c r="I899">
        <v>8</v>
      </c>
      <c r="J899">
        <v>21</v>
      </c>
      <c r="K899">
        <v>13112</v>
      </c>
      <c r="L899">
        <v>104896</v>
      </c>
      <c r="M899">
        <f>Inventory_Data[[#This Row],[Opening Stock]]+Inventory_Data[[#This Row],[Purchase Qty]]-Inventory_Data[[#This Row],[Sales Qty]]-Inventory_Data[[#This Row],[Closing Stock]]</f>
        <v>0</v>
      </c>
      <c r="N899">
        <f>Inventory_Data[[#This Row],[Purchase Qty]]*Inventory_Data[[#This Row],[Unit Cost]]</f>
        <v>91784</v>
      </c>
      <c r="O899" t="str">
        <f>IF(Inventory_Data[[#This Row],[Closing Stock]]&lt;=Inventory_Data[[#This Row],[Reorder Level]],"Low Stock","In Stock")</f>
        <v>Low Stock</v>
      </c>
      <c r="P899" t="str">
        <f>TEXT(Inventory_Data[[#This Row],[Date]],"MMM")</f>
        <v>Jul</v>
      </c>
      <c r="Q899" t="str">
        <f>TEXT(Inventory_Data[[#This Row],[Date]],"YYYY")</f>
        <v>2025</v>
      </c>
    </row>
    <row r="900" spans="1:17" x14ac:dyDescent="0.3">
      <c r="A900" s="1">
        <v>45851</v>
      </c>
      <c r="B900" t="s">
        <v>45</v>
      </c>
      <c r="C900" t="s">
        <v>13</v>
      </c>
      <c r="D900" t="s">
        <v>37</v>
      </c>
      <c r="E900" t="s">
        <v>34</v>
      </c>
      <c r="F900">
        <v>106</v>
      </c>
      <c r="G900">
        <v>42</v>
      </c>
      <c r="H900">
        <v>53</v>
      </c>
      <c r="I900">
        <v>95</v>
      </c>
      <c r="J900">
        <v>21</v>
      </c>
      <c r="K900">
        <v>13042</v>
      </c>
      <c r="L900">
        <v>1238990</v>
      </c>
      <c r="M900">
        <f>Inventory_Data[[#This Row],[Opening Stock]]+Inventory_Data[[#This Row],[Purchase Qty]]-Inventory_Data[[#This Row],[Sales Qty]]-Inventory_Data[[#This Row],[Closing Stock]]</f>
        <v>0</v>
      </c>
      <c r="N900">
        <f>Inventory_Data[[#This Row],[Purchase Qty]]*Inventory_Data[[#This Row],[Unit Cost]]</f>
        <v>547764</v>
      </c>
      <c r="O900" t="str">
        <f>IF(Inventory_Data[[#This Row],[Closing Stock]]&lt;=Inventory_Data[[#This Row],[Reorder Level]],"Low Stock","In Stock")</f>
        <v>In Stock</v>
      </c>
      <c r="P900" t="str">
        <f>TEXT(Inventory_Data[[#This Row],[Date]],"MMM")</f>
        <v>Jul</v>
      </c>
      <c r="Q900" t="str">
        <f>TEXT(Inventory_Data[[#This Row],[Date]],"YYYY")</f>
        <v>2025</v>
      </c>
    </row>
    <row r="901" spans="1:17" x14ac:dyDescent="0.3">
      <c r="A901" s="1">
        <v>45851</v>
      </c>
      <c r="B901" t="s">
        <v>39</v>
      </c>
      <c r="C901" t="s">
        <v>28</v>
      </c>
      <c r="D901" t="s">
        <v>23</v>
      </c>
      <c r="E901" t="s">
        <v>29</v>
      </c>
      <c r="F901">
        <v>168</v>
      </c>
      <c r="G901">
        <v>44</v>
      </c>
      <c r="H901">
        <v>33</v>
      </c>
      <c r="I901">
        <v>179</v>
      </c>
      <c r="J901">
        <v>48</v>
      </c>
      <c r="K901">
        <v>26150</v>
      </c>
      <c r="L901">
        <v>4680850</v>
      </c>
      <c r="M901">
        <f>Inventory_Data[[#This Row],[Opening Stock]]+Inventory_Data[[#This Row],[Purchase Qty]]-Inventory_Data[[#This Row],[Sales Qty]]-Inventory_Data[[#This Row],[Closing Stock]]</f>
        <v>0</v>
      </c>
      <c r="N901">
        <f>Inventory_Data[[#This Row],[Purchase Qty]]*Inventory_Data[[#This Row],[Unit Cost]]</f>
        <v>1150600</v>
      </c>
      <c r="O901" t="str">
        <f>IF(Inventory_Data[[#This Row],[Closing Stock]]&lt;=Inventory_Data[[#This Row],[Reorder Level]],"Low Stock","In Stock")</f>
        <v>In Stock</v>
      </c>
      <c r="P901" t="str">
        <f>TEXT(Inventory_Data[[#This Row],[Date]],"MMM")</f>
        <v>Jul</v>
      </c>
      <c r="Q901" t="str">
        <f>TEXT(Inventory_Data[[#This Row],[Date]],"YYYY")</f>
        <v>2025</v>
      </c>
    </row>
    <row r="902" spans="1:17" x14ac:dyDescent="0.3">
      <c r="A902" s="1">
        <v>45851</v>
      </c>
      <c r="B902" t="s">
        <v>33</v>
      </c>
      <c r="C902" t="s">
        <v>13</v>
      </c>
      <c r="D902" t="s">
        <v>37</v>
      </c>
      <c r="E902" t="s">
        <v>34</v>
      </c>
      <c r="F902">
        <v>19</v>
      </c>
      <c r="G902">
        <v>33</v>
      </c>
      <c r="H902">
        <v>39</v>
      </c>
      <c r="I902">
        <v>13</v>
      </c>
      <c r="J902">
        <v>27</v>
      </c>
      <c r="K902">
        <v>14507</v>
      </c>
      <c r="L902">
        <v>188591</v>
      </c>
      <c r="M902">
        <f>Inventory_Data[[#This Row],[Opening Stock]]+Inventory_Data[[#This Row],[Purchase Qty]]-Inventory_Data[[#This Row],[Sales Qty]]-Inventory_Data[[#This Row],[Closing Stock]]</f>
        <v>0</v>
      </c>
      <c r="N902">
        <f>Inventory_Data[[#This Row],[Purchase Qty]]*Inventory_Data[[#This Row],[Unit Cost]]</f>
        <v>478731</v>
      </c>
      <c r="O902" t="str">
        <f>IF(Inventory_Data[[#This Row],[Closing Stock]]&lt;=Inventory_Data[[#This Row],[Reorder Level]],"Low Stock","In Stock")</f>
        <v>Low Stock</v>
      </c>
      <c r="P902" t="str">
        <f>TEXT(Inventory_Data[[#This Row],[Date]],"MMM")</f>
        <v>Jul</v>
      </c>
      <c r="Q902" t="str">
        <f>TEXT(Inventory_Data[[#This Row],[Date]],"YYYY")</f>
        <v>2025</v>
      </c>
    </row>
    <row r="903" spans="1:17" x14ac:dyDescent="0.3">
      <c r="A903" s="1">
        <v>45851</v>
      </c>
      <c r="B903" t="s">
        <v>19</v>
      </c>
      <c r="C903" t="s">
        <v>13</v>
      </c>
      <c r="D903" t="s">
        <v>14</v>
      </c>
      <c r="E903" t="s">
        <v>24</v>
      </c>
      <c r="F903">
        <v>72</v>
      </c>
      <c r="G903">
        <v>40</v>
      </c>
      <c r="H903">
        <v>35</v>
      </c>
      <c r="I903">
        <v>77</v>
      </c>
      <c r="J903">
        <v>27</v>
      </c>
      <c r="K903">
        <v>1642</v>
      </c>
      <c r="L903">
        <v>126434</v>
      </c>
      <c r="M903">
        <f>Inventory_Data[[#This Row],[Opening Stock]]+Inventory_Data[[#This Row],[Purchase Qty]]-Inventory_Data[[#This Row],[Sales Qty]]-Inventory_Data[[#This Row],[Closing Stock]]</f>
        <v>0</v>
      </c>
      <c r="N903">
        <f>Inventory_Data[[#This Row],[Purchase Qty]]*Inventory_Data[[#This Row],[Unit Cost]]</f>
        <v>65680</v>
      </c>
      <c r="O903" t="str">
        <f>IF(Inventory_Data[[#This Row],[Closing Stock]]&lt;=Inventory_Data[[#This Row],[Reorder Level]],"Low Stock","In Stock")</f>
        <v>In Stock</v>
      </c>
      <c r="P903" t="str">
        <f>TEXT(Inventory_Data[[#This Row],[Date]],"MMM")</f>
        <v>Jul</v>
      </c>
      <c r="Q903" t="str">
        <f>TEXT(Inventory_Data[[#This Row],[Date]],"YYYY")</f>
        <v>2025</v>
      </c>
    </row>
    <row r="904" spans="1:17" x14ac:dyDescent="0.3">
      <c r="A904" s="1">
        <v>45852</v>
      </c>
      <c r="B904" t="s">
        <v>21</v>
      </c>
      <c r="C904" t="s">
        <v>22</v>
      </c>
      <c r="D904" t="s">
        <v>23</v>
      </c>
      <c r="E904" t="s">
        <v>20</v>
      </c>
      <c r="F904">
        <v>300</v>
      </c>
      <c r="G904">
        <v>77</v>
      </c>
      <c r="H904">
        <v>244</v>
      </c>
      <c r="I904">
        <v>133</v>
      </c>
      <c r="J904">
        <v>113</v>
      </c>
      <c r="K904">
        <v>1164</v>
      </c>
      <c r="L904">
        <v>154812</v>
      </c>
      <c r="M904">
        <f>Inventory_Data[[#This Row],[Opening Stock]]+Inventory_Data[[#This Row],[Purchase Qty]]-Inventory_Data[[#This Row],[Sales Qty]]-Inventory_Data[[#This Row],[Closing Stock]]</f>
        <v>0</v>
      </c>
      <c r="N904">
        <f>Inventory_Data[[#This Row],[Purchase Qty]]*Inventory_Data[[#This Row],[Unit Cost]]</f>
        <v>89628</v>
      </c>
      <c r="O904" t="str">
        <f>IF(Inventory_Data[[#This Row],[Closing Stock]]&lt;=Inventory_Data[[#This Row],[Reorder Level]],"Low Stock","In Stock")</f>
        <v>In Stock</v>
      </c>
      <c r="P904" t="str">
        <f>TEXT(Inventory_Data[[#This Row],[Date]],"MMM")</f>
        <v>Jul</v>
      </c>
      <c r="Q904" t="str">
        <f>TEXT(Inventory_Data[[#This Row],[Date]],"YYYY")</f>
        <v>2025</v>
      </c>
    </row>
    <row r="905" spans="1:17" x14ac:dyDescent="0.3">
      <c r="A905" s="1">
        <v>45852</v>
      </c>
      <c r="B905" t="s">
        <v>44</v>
      </c>
      <c r="C905" t="s">
        <v>28</v>
      </c>
      <c r="D905" t="s">
        <v>37</v>
      </c>
      <c r="E905" t="s">
        <v>18</v>
      </c>
      <c r="F905">
        <v>84</v>
      </c>
      <c r="G905">
        <v>74</v>
      </c>
      <c r="H905">
        <v>25</v>
      </c>
      <c r="I905">
        <v>133</v>
      </c>
      <c r="J905">
        <v>49</v>
      </c>
      <c r="K905">
        <v>39692</v>
      </c>
      <c r="L905">
        <v>5279036</v>
      </c>
      <c r="M905">
        <f>Inventory_Data[[#This Row],[Opening Stock]]+Inventory_Data[[#This Row],[Purchase Qty]]-Inventory_Data[[#This Row],[Sales Qty]]-Inventory_Data[[#This Row],[Closing Stock]]</f>
        <v>0</v>
      </c>
      <c r="N905">
        <f>Inventory_Data[[#This Row],[Purchase Qty]]*Inventory_Data[[#This Row],[Unit Cost]]</f>
        <v>2937208</v>
      </c>
      <c r="O905" t="str">
        <f>IF(Inventory_Data[[#This Row],[Closing Stock]]&lt;=Inventory_Data[[#This Row],[Reorder Level]],"Low Stock","In Stock")</f>
        <v>In Stock</v>
      </c>
      <c r="P905" t="str">
        <f>TEXT(Inventory_Data[[#This Row],[Date]],"MMM")</f>
        <v>Jul</v>
      </c>
      <c r="Q905" t="str">
        <f>TEXT(Inventory_Data[[#This Row],[Date]],"YYYY")</f>
        <v>2025</v>
      </c>
    </row>
    <row r="906" spans="1:17" x14ac:dyDescent="0.3">
      <c r="A906" s="1">
        <v>45853</v>
      </c>
      <c r="B906" t="s">
        <v>38</v>
      </c>
      <c r="C906" t="s">
        <v>17</v>
      </c>
      <c r="D906" t="s">
        <v>23</v>
      </c>
      <c r="E906" t="s">
        <v>18</v>
      </c>
      <c r="F906">
        <v>54</v>
      </c>
      <c r="G906">
        <v>36</v>
      </c>
      <c r="H906">
        <v>5</v>
      </c>
      <c r="I906">
        <v>85</v>
      </c>
      <c r="J906">
        <v>10</v>
      </c>
      <c r="K906">
        <v>4304</v>
      </c>
      <c r="L906">
        <v>365840</v>
      </c>
      <c r="M906">
        <f>Inventory_Data[[#This Row],[Opening Stock]]+Inventory_Data[[#This Row],[Purchase Qty]]-Inventory_Data[[#This Row],[Sales Qty]]-Inventory_Data[[#This Row],[Closing Stock]]</f>
        <v>0</v>
      </c>
      <c r="N906">
        <f>Inventory_Data[[#This Row],[Purchase Qty]]*Inventory_Data[[#This Row],[Unit Cost]]</f>
        <v>154944</v>
      </c>
      <c r="O906" t="str">
        <f>IF(Inventory_Data[[#This Row],[Closing Stock]]&lt;=Inventory_Data[[#This Row],[Reorder Level]],"Low Stock","In Stock")</f>
        <v>In Stock</v>
      </c>
      <c r="P906" t="str">
        <f>TEXT(Inventory_Data[[#This Row],[Date]],"MMM")</f>
        <v>Jul</v>
      </c>
      <c r="Q906" t="str">
        <f>TEXT(Inventory_Data[[#This Row],[Date]],"YYYY")</f>
        <v>2025</v>
      </c>
    </row>
    <row r="907" spans="1:17" x14ac:dyDescent="0.3">
      <c r="A907" s="1">
        <v>45853</v>
      </c>
      <c r="B907" t="s">
        <v>35</v>
      </c>
      <c r="C907" t="s">
        <v>22</v>
      </c>
      <c r="D907" t="s">
        <v>23</v>
      </c>
      <c r="E907" t="s">
        <v>20</v>
      </c>
      <c r="F907">
        <v>175</v>
      </c>
      <c r="G907">
        <v>204</v>
      </c>
      <c r="H907">
        <v>271</v>
      </c>
      <c r="I907">
        <v>108</v>
      </c>
      <c r="J907">
        <v>77</v>
      </c>
      <c r="K907">
        <v>906</v>
      </c>
      <c r="L907">
        <v>97848</v>
      </c>
      <c r="M907">
        <f>Inventory_Data[[#This Row],[Opening Stock]]+Inventory_Data[[#This Row],[Purchase Qty]]-Inventory_Data[[#This Row],[Sales Qty]]-Inventory_Data[[#This Row],[Closing Stock]]</f>
        <v>0</v>
      </c>
      <c r="N907">
        <f>Inventory_Data[[#This Row],[Purchase Qty]]*Inventory_Data[[#This Row],[Unit Cost]]</f>
        <v>184824</v>
      </c>
      <c r="O907" t="str">
        <f>IF(Inventory_Data[[#This Row],[Closing Stock]]&lt;=Inventory_Data[[#This Row],[Reorder Level]],"Low Stock","In Stock")</f>
        <v>In Stock</v>
      </c>
      <c r="P907" t="str">
        <f>TEXT(Inventory_Data[[#This Row],[Date]],"MMM")</f>
        <v>Jul</v>
      </c>
      <c r="Q907" t="str">
        <f>TEXT(Inventory_Data[[#This Row],[Date]],"YYYY")</f>
        <v>2025</v>
      </c>
    </row>
    <row r="908" spans="1:17" x14ac:dyDescent="0.3">
      <c r="A908" s="1">
        <v>45853</v>
      </c>
      <c r="B908" t="s">
        <v>42</v>
      </c>
      <c r="C908" t="s">
        <v>17</v>
      </c>
      <c r="D908" t="s">
        <v>26</v>
      </c>
      <c r="E908" t="s">
        <v>34</v>
      </c>
      <c r="F908">
        <v>17</v>
      </c>
      <c r="G908">
        <v>36</v>
      </c>
      <c r="H908">
        <v>15</v>
      </c>
      <c r="I908">
        <v>38</v>
      </c>
      <c r="J908">
        <v>27</v>
      </c>
      <c r="K908">
        <v>3624</v>
      </c>
      <c r="L908">
        <v>137712</v>
      </c>
      <c r="M908">
        <f>Inventory_Data[[#This Row],[Opening Stock]]+Inventory_Data[[#This Row],[Purchase Qty]]-Inventory_Data[[#This Row],[Sales Qty]]-Inventory_Data[[#This Row],[Closing Stock]]</f>
        <v>0</v>
      </c>
      <c r="N908">
        <f>Inventory_Data[[#This Row],[Purchase Qty]]*Inventory_Data[[#This Row],[Unit Cost]]</f>
        <v>130464</v>
      </c>
      <c r="O908" t="str">
        <f>IF(Inventory_Data[[#This Row],[Closing Stock]]&lt;=Inventory_Data[[#This Row],[Reorder Level]],"Low Stock","In Stock")</f>
        <v>In Stock</v>
      </c>
      <c r="P908" t="str">
        <f>TEXT(Inventory_Data[[#This Row],[Date]],"MMM")</f>
        <v>Jul</v>
      </c>
      <c r="Q908" t="str">
        <f>TEXT(Inventory_Data[[#This Row],[Date]],"YYYY")</f>
        <v>2025</v>
      </c>
    </row>
    <row r="909" spans="1:17" x14ac:dyDescent="0.3">
      <c r="A909" s="1">
        <v>45853</v>
      </c>
      <c r="B909" t="s">
        <v>25</v>
      </c>
      <c r="C909" t="s">
        <v>17</v>
      </c>
      <c r="D909" t="s">
        <v>26</v>
      </c>
      <c r="E909" t="s">
        <v>34</v>
      </c>
      <c r="F909">
        <v>26</v>
      </c>
      <c r="G909">
        <v>21</v>
      </c>
      <c r="H909">
        <v>29</v>
      </c>
      <c r="I909">
        <v>18</v>
      </c>
      <c r="J909">
        <v>17</v>
      </c>
      <c r="K909">
        <v>15161</v>
      </c>
      <c r="L909">
        <v>272898</v>
      </c>
      <c r="M909">
        <f>Inventory_Data[[#This Row],[Opening Stock]]+Inventory_Data[[#This Row],[Purchase Qty]]-Inventory_Data[[#This Row],[Sales Qty]]-Inventory_Data[[#This Row],[Closing Stock]]</f>
        <v>0</v>
      </c>
      <c r="N909">
        <f>Inventory_Data[[#This Row],[Purchase Qty]]*Inventory_Data[[#This Row],[Unit Cost]]</f>
        <v>318381</v>
      </c>
      <c r="O909" t="str">
        <f>IF(Inventory_Data[[#This Row],[Closing Stock]]&lt;=Inventory_Data[[#This Row],[Reorder Level]],"Low Stock","In Stock")</f>
        <v>In Stock</v>
      </c>
      <c r="P909" t="str">
        <f>TEXT(Inventory_Data[[#This Row],[Date]],"MMM")</f>
        <v>Jul</v>
      </c>
      <c r="Q909" t="str">
        <f>TEXT(Inventory_Data[[#This Row],[Date]],"YYYY")</f>
        <v>2025</v>
      </c>
    </row>
    <row r="910" spans="1:17" x14ac:dyDescent="0.3">
      <c r="A910" s="1">
        <v>45853</v>
      </c>
      <c r="B910" t="s">
        <v>41</v>
      </c>
      <c r="C910" t="s">
        <v>22</v>
      </c>
      <c r="D910" t="s">
        <v>26</v>
      </c>
      <c r="E910" t="s">
        <v>18</v>
      </c>
      <c r="F910">
        <v>376</v>
      </c>
      <c r="G910">
        <v>281</v>
      </c>
      <c r="H910">
        <v>128</v>
      </c>
      <c r="I910">
        <v>529</v>
      </c>
      <c r="J910">
        <v>94</v>
      </c>
      <c r="K910">
        <v>729</v>
      </c>
      <c r="L910">
        <v>385641</v>
      </c>
      <c r="M910">
        <f>Inventory_Data[[#This Row],[Opening Stock]]+Inventory_Data[[#This Row],[Purchase Qty]]-Inventory_Data[[#This Row],[Sales Qty]]-Inventory_Data[[#This Row],[Closing Stock]]</f>
        <v>0</v>
      </c>
      <c r="N910">
        <f>Inventory_Data[[#This Row],[Purchase Qty]]*Inventory_Data[[#This Row],[Unit Cost]]</f>
        <v>204849</v>
      </c>
      <c r="O910" t="str">
        <f>IF(Inventory_Data[[#This Row],[Closing Stock]]&lt;=Inventory_Data[[#This Row],[Reorder Level]],"Low Stock","In Stock")</f>
        <v>In Stock</v>
      </c>
      <c r="P910" t="str">
        <f>TEXT(Inventory_Data[[#This Row],[Date]],"MMM")</f>
        <v>Jul</v>
      </c>
      <c r="Q910" t="str">
        <f>TEXT(Inventory_Data[[#This Row],[Date]],"YYYY")</f>
        <v>2025</v>
      </c>
    </row>
    <row r="911" spans="1:17" x14ac:dyDescent="0.3">
      <c r="A911" s="1">
        <v>45853</v>
      </c>
      <c r="B911" t="s">
        <v>42</v>
      </c>
      <c r="C911" t="s">
        <v>17</v>
      </c>
      <c r="D911" t="s">
        <v>26</v>
      </c>
      <c r="E911" t="s">
        <v>24</v>
      </c>
      <c r="F911">
        <v>79</v>
      </c>
      <c r="G911">
        <v>55</v>
      </c>
      <c r="H911">
        <v>34</v>
      </c>
      <c r="I911">
        <v>100</v>
      </c>
      <c r="J911">
        <v>25</v>
      </c>
      <c r="K911">
        <v>23355</v>
      </c>
      <c r="L911">
        <v>2335500</v>
      </c>
      <c r="M911">
        <f>Inventory_Data[[#This Row],[Opening Stock]]+Inventory_Data[[#This Row],[Purchase Qty]]-Inventory_Data[[#This Row],[Sales Qty]]-Inventory_Data[[#This Row],[Closing Stock]]</f>
        <v>0</v>
      </c>
      <c r="N911">
        <f>Inventory_Data[[#This Row],[Purchase Qty]]*Inventory_Data[[#This Row],[Unit Cost]]</f>
        <v>1284525</v>
      </c>
      <c r="O911" t="str">
        <f>IF(Inventory_Data[[#This Row],[Closing Stock]]&lt;=Inventory_Data[[#This Row],[Reorder Level]],"Low Stock","In Stock")</f>
        <v>In Stock</v>
      </c>
      <c r="P911" t="str">
        <f>TEXT(Inventory_Data[[#This Row],[Date]],"MMM")</f>
        <v>Jul</v>
      </c>
      <c r="Q911" t="str">
        <f>TEXT(Inventory_Data[[#This Row],[Date]],"YYYY")</f>
        <v>2025</v>
      </c>
    </row>
    <row r="912" spans="1:17" x14ac:dyDescent="0.3">
      <c r="A912" s="1">
        <v>45853</v>
      </c>
      <c r="B912" t="s">
        <v>27</v>
      </c>
      <c r="C912" t="s">
        <v>28</v>
      </c>
      <c r="D912" t="s">
        <v>14</v>
      </c>
      <c r="E912" t="s">
        <v>18</v>
      </c>
      <c r="F912">
        <v>159</v>
      </c>
      <c r="G912">
        <v>69</v>
      </c>
      <c r="H912">
        <v>31</v>
      </c>
      <c r="I912">
        <v>197</v>
      </c>
      <c r="J912">
        <v>42</v>
      </c>
      <c r="K912">
        <v>27735</v>
      </c>
      <c r="L912">
        <v>5463795</v>
      </c>
      <c r="M912">
        <f>Inventory_Data[[#This Row],[Opening Stock]]+Inventory_Data[[#This Row],[Purchase Qty]]-Inventory_Data[[#This Row],[Sales Qty]]-Inventory_Data[[#This Row],[Closing Stock]]</f>
        <v>0</v>
      </c>
      <c r="N912">
        <f>Inventory_Data[[#This Row],[Purchase Qty]]*Inventory_Data[[#This Row],[Unit Cost]]</f>
        <v>1913715</v>
      </c>
      <c r="O912" t="str">
        <f>IF(Inventory_Data[[#This Row],[Closing Stock]]&lt;=Inventory_Data[[#This Row],[Reorder Level]],"Low Stock","In Stock")</f>
        <v>In Stock</v>
      </c>
      <c r="P912" t="str">
        <f>TEXT(Inventory_Data[[#This Row],[Date]],"MMM")</f>
        <v>Jul</v>
      </c>
      <c r="Q912" t="str">
        <f>TEXT(Inventory_Data[[#This Row],[Date]],"YYYY")</f>
        <v>2025</v>
      </c>
    </row>
    <row r="913" spans="1:17" x14ac:dyDescent="0.3">
      <c r="A913" s="1">
        <v>45853</v>
      </c>
      <c r="B913" t="s">
        <v>32</v>
      </c>
      <c r="C913" t="s">
        <v>28</v>
      </c>
      <c r="D913" t="s">
        <v>14</v>
      </c>
      <c r="E913" t="s">
        <v>29</v>
      </c>
      <c r="F913">
        <v>167</v>
      </c>
      <c r="G913">
        <v>105</v>
      </c>
      <c r="H913">
        <v>72</v>
      </c>
      <c r="I913">
        <v>200</v>
      </c>
      <c r="J913">
        <v>36</v>
      </c>
      <c r="K913">
        <v>62970</v>
      </c>
      <c r="L913">
        <v>12594000</v>
      </c>
      <c r="M913">
        <f>Inventory_Data[[#This Row],[Opening Stock]]+Inventory_Data[[#This Row],[Purchase Qty]]-Inventory_Data[[#This Row],[Sales Qty]]-Inventory_Data[[#This Row],[Closing Stock]]</f>
        <v>0</v>
      </c>
      <c r="N913">
        <f>Inventory_Data[[#This Row],[Purchase Qty]]*Inventory_Data[[#This Row],[Unit Cost]]</f>
        <v>6611850</v>
      </c>
      <c r="O913" t="str">
        <f>IF(Inventory_Data[[#This Row],[Closing Stock]]&lt;=Inventory_Data[[#This Row],[Reorder Level]],"Low Stock","In Stock")</f>
        <v>In Stock</v>
      </c>
      <c r="P913" t="str">
        <f>TEXT(Inventory_Data[[#This Row],[Date]],"MMM")</f>
        <v>Jul</v>
      </c>
      <c r="Q913" t="str">
        <f>TEXT(Inventory_Data[[#This Row],[Date]],"YYYY")</f>
        <v>2025</v>
      </c>
    </row>
    <row r="914" spans="1:17" x14ac:dyDescent="0.3">
      <c r="A914" s="1">
        <v>45854</v>
      </c>
      <c r="B914" t="s">
        <v>25</v>
      </c>
      <c r="C914" t="s">
        <v>17</v>
      </c>
      <c r="D914" t="s">
        <v>26</v>
      </c>
      <c r="E914" t="s">
        <v>34</v>
      </c>
      <c r="F914">
        <v>48</v>
      </c>
      <c r="G914">
        <v>38</v>
      </c>
      <c r="H914">
        <v>44</v>
      </c>
      <c r="I914">
        <v>42</v>
      </c>
      <c r="J914">
        <v>22</v>
      </c>
      <c r="K914">
        <v>9049</v>
      </c>
      <c r="L914">
        <v>380058</v>
      </c>
      <c r="M914">
        <f>Inventory_Data[[#This Row],[Opening Stock]]+Inventory_Data[[#This Row],[Purchase Qty]]-Inventory_Data[[#This Row],[Sales Qty]]-Inventory_Data[[#This Row],[Closing Stock]]</f>
        <v>0</v>
      </c>
      <c r="N914">
        <f>Inventory_Data[[#This Row],[Purchase Qty]]*Inventory_Data[[#This Row],[Unit Cost]]</f>
        <v>343862</v>
      </c>
      <c r="O914" t="str">
        <f>IF(Inventory_Data[[#This Row],[Closing Stock]]&lt;=Inventory_Data[[#This Row],[Reorder Level]],"Low Stock","In Stock")</f>
        <v>In Stock</v>
      </c>
      <c r="P914" t="str">
        <f>TEXT(Inventory_Data[[#This Row],[Date]],"MMM")</f>
        <v>Jul</v>
      </c>
      <c r="Q914" t="str">
        <f>TEXT(Inventory_Data[[#This Row],[Date]],"YYYY")</f>
        <v>2025</v>
      </c>
    </row>
    <row r="915" spans="1:17" x14ac:dyDescent="0.3">
      <c r="A915" s="1">
        <v>45854</v>
      </c>
      <c r="B915" t="s">
        <v>39</v>
      </c>
      <c r="C915" t="s">
        <v>28</v>
      </c>
      <c r="D915" t="s">
        <v>37</v>
      </c>
      <c r="E915" t="s">
        <v>18</v>
      </c>
      <c r="F915">
        <v>37</v>
      </c>
      <c r="G915">
        <v>87</v>
      </c>
      <c r="H915">
        <v>17</v>
      </c>
      <c r="I915">
        <v>107</v>
      </c>
      <c r="J915">
        <v>27</v>
      </c>
      <c r="K915">
        <v>58726</v>
      </c>
      <c r="L915">
        <v>6283682</v>
      </c>
      <c r="M915">
        <f>Inventory_Data[[#This Row],[Opening Stock]]+Inventory_Data[[#This Row],[Purchase Qty]]-Inventory_Data[[#This Row],[Sales Qty]]-Inventory_Data[[#This Row],[Closing Stock]]</f>
        <v>0</v>
      </c>
      <c r="N915">
        <f>Inventory_Data[[#This Row],[Purchase Qty]]*Inventory_Data[[#This Row],[Unit Cost]]</f>
        <v>5109162</v>
      </c>
      <c r="O915" t="str">
        <f>IF(Inventory_Data[[#This Row],[Closing Stock]]&lt;=Inventory_Data[[#This Row],[Reorder Level]],"Low Stock","In Stock")</f>
        <v>In Stock</v>
      </c>
      <c r="P915" t="str">
        <f>TEXT(Inventory_Data[[#This Row],[Date]],"MMM")</f>
        <v>Jul</v>
      </c>
      <c r="Q915" t="str">
        <f>TEXT(Inventory_Data[[#This Row],[Date]],"YYYY")</f>
        <v>2025</v>
      </c>
    </row>
    <row r="916" spans="1:17" x14ac:dyDescent="0.3">
      <c r="A916" s="1">
        <v>45855</v>
      </c>
      <c r="B916" t="s">
        <v>27</v>
      </c>
      <c r="C916" t="s">
        <v>28</v>
      </c>
      <c r="D916" t="s">
        <v>14</v>
      </c>
      <c r="E916" t="s">
        <v>18</v>
      </c>
      <c r="F916">
        <v>66</v>
      </c>
      <c r="G916">
        <v>109</v>
      </c>
      <c r="H916">
        <v>79</v>
      </c>
      <c r="I916">
        <v>96</v>
      </c>
      <c r="J916">
        <v>43</v>
      </c>
      <c r="K916">
        <v>34852</v>
      </c>
      <c r="L916">
        <v>3345792</v>
      </c>
      <c r="M916">
        <f>Inventory_Data[[#This Row],[Opening Stock]]+Inventory_Data[[#This Row],[Purchase Qty]]-Inventory_Data[[#This Row],[Sales Qty]]-Inventory_Data[[#This Row],[Closing Stock]]</f>
        <v>0</v>
      </c>
      <c r="N916">
        <f>Inventory_Data[[#This Row],[Purchase Qty]]*Inventory_Data[[#This Row],[Unit Cost]]</f>
        <v>3798868</v>
      </c>
      <c r="O916" t="str">
        <f>IF(Inventory_Data[[#This Row],[Closing Stock]]&lt;=Inventory_Data[[#This Row],[Reorder Level]],"Low Stock","In Stock")</f>
        <v>In Stock</v>
      </c>
      <c r="P916" t="str">
        <f>TEXT(Inventory_Data[[#This Row],[Date]],"MMM")</f>
        <v>Jul</v>
      </c>
      <c r="Q916" t="str">
        <f>TEXT(Inventory_Data[[#This Row],[Date]],"YYYY")</f>
        <v>2025</v>
      </c>
    </row>
    <row r="917" spans="1:17" x14ac:dyDescent="0.3">
      <c r="A917" s="1">
        <v>45855</v>
      </c>
      <c r="B917" t="s">
        <v>44</v>
      </c>
      <c r="C917" t="s">
        <v>28</v>
      </c>
      <c r="D917" t="s">
        <v>37</v>
      </c>
      <c r="E917" t="s">
        <v>24</v>
      </c>
      <c r="F917">
        <v>78</v>
      </c>
      <c r="G917">
        <v>78</v>
      </c>
      <c r="H917">
        <v>37</v>
      </c>
      <c r="I917">
        <v>119</v>
      </c>
      <c r="J917">
        <v>33</v>
      </c>
      <c r="K917">
        <v>10000</v>
      </c>
      <c r="L917">
        <v>1190000</v>
      </c>
      <c r="M917">
        <f>Inventory_Data[[#This Row],[Opening Stock]]+Inventory_Data[[#This Row],[Purchase Qty]]-Inventory_Data[[#This Row],[Sales Qty]]-Inventory_Data[[#This Row],[Closing Stock]]</f>
        <v>0</v>
      </c>
      <c r="N917">
        <f>Inventory_Data[[#This Row],[Purchase Qty]]*Inventory_Data[[#This Row],[Unit Cost]]</f>
        <v>780000</v>
      </c>
      <c r="O917" t="str">
        <f>IF(Inventory_Data[[#This Row],[Closing Stock]]&lt;=Inventory_Data[[#This Row],[Reorder Level]],"Low Stock","In Stock")</f>
        <v>In Stock</v>
      </c>
      <c r="P917" t="str">
        <f>TEXT(Inventory_Data[[#This Row],[Date]],"MMM")</f>
        <v>Jul</v>
      </c>
      <c r="Q917" t="str">
        <f>TEXT(Inventory_Data[[#This Row],[Date]],"YYYY")</f>
        <v>2025</v>
      </c>
    </row>
    <row r="918" spans="1:17" x14ac:dyDescent="0.3">
      <c r="A918" s="1">
        <v>45855</v>
      </c>
      <c r="B918" t="s">
        <v>39</v>
      </c>
      <c r="C918" t="s">
        <v>28</v>
      </c>
      <c r="D918" t="s">
        <v>23</v>
      </c>
      <c r="E918" t="s">
        <v>24</v>
      </c>
      <c r="F918">
        <v>20</v>
      </c>
      <c r="G918">
        <v>32</v>
      </c>
      <c r="H918">
        <v>43</v>
      </c>
      <c r="I918">
        <v>9</v>
      </c>
      <c r="J918">
        <v>36</v>
      </c>
      <c r="K918">
        <v>34076</v>
      </c>
      <c r="L918">
        <v>306684</v>
      </c>
      <c r="M918">
        <f>Inventory_Data[[#This Row],[Opening Stock]]+Inventory_Data[[#This Row],[Purchase Qty]]-Inventory_Data[[#This Row],[Sales Qty]]-Inventory_Data[[#This Row],[Closing Stock]]</f>
        <v>0</v>
      </c>
      <c r="N918">
        <f>Inventory_Data[[#This Row],[Purchase Qty]]*Inventory_Data[[#This Row],[Unit Cost]]</f>
        <v>1090432</v>
      </c>
      <c r="O918" t="str">
        <f>IF(Inventory_Data[[#This Row],[Closing Stock]]&lt;=Inventory_Data[[#This Row],[Reorder Level]],"Low Stock","In Stock")</f>
        <v>Low Stock</v>
      </c>
      <c r="P918" t="str">
        <f>TEXT(Inventory_Data[[#This Row],[Date]],"MMM")</f>
        <v>Jul</v>
      </c>
      <c r="Q918" t="str">
        <f>TEXT(Inventory_Data[[#This Row],[Date]],"YYYY")</f>
        <v>2025</v>
      </c>
    </row>
    <row r="919" spans="1:17" x14ac:dyDescent="0.3">
      <c r="A919" s="1">
        <v>45855</v>
      </c>
      <c r="B919" t="s">
        <v>43</v>
      </c>
      <c r="C919" t="s">
        <v>22</v>
      </c>
      <c r="D919" t="s">
        <v>37</v>
      </c>
      <c r="E919" t="s">
        <v>20</v>
      </c>
      <c r="F919">
        <v>265</v>
      </c>
      <c r="G919">
        <v>213</v>
      </c>
      <c r="H919">
        <v>36</v>
      </c>
      <c r="I919">
        <v>442</v>
      </c>
      <c r="J919">
        <v>67</v>
      </c>
      <c r="K919">
        <v>337</v>
      </c>
      <c r="L919">
        <v>148954</v>
      </c>
      <c r="M919">
        <f>Inventory_Data[[#This Row],[Opening Stock]]+Inventory_Data[[#This Row],[Purchase Qty]]-Inventory_Data[[#This Row],[Sales Qty]]-Inventory_Data[[#This Row],[Closing Stock]]</f>
        <v>0</v>
      </c>
      <c r="N919">
        <f>Inventory_Data[[#This Row],[Purchase Qty]]*Inventory_Data[[#This Row],[Unit Cost]]</f>
        <v>71781</v>
      </c>
      <c r="O919" t="str">
        <f>IF(Inventory_Data[[#This Row],[Closing Stock]]&lt;=Inventory_Data[[#This Row],[Reorder Level]],"Low Stock","In Stock")</f>
        <v>In Stock</v>
      </c>
      <c r="P919" t="str">
        <f>TEXT(Inventory_Data[[#This Row],[Date]],"MMM")</f>
        <v>Jul</v>
      </c>
      <c r="Q919" t="str">
        <f>TEXT(Inventory_Data[[#This Row],[Date]],"YYYY")</f>
        <v>2025</v>
      </c>
    </row>
    <row r="920" spans="1:17" x14ac:dyDescent="0.3">
      <c r="A920" s="1">
        <v>45855</v>
      </c>
      <c r="B920" t="s">
        <v>21</v>
      </c>
      <c r="C920" t="s">
        <v>22</v>
      </c>
      <c r="D920" t="s">
        <v>14</v>
      </c>
      <c r="E920" t="s">
        <v>18</v>
      </c>
      <c r="F920">
        <v>309</v>
      </c>
      <c r="G920">
        <v>177</v>
      </c>
      <c r="H920">
        <v>249</v>
      </c>
      <c r="I920">
        <v>237</v>
      </c>
      <c r="J920">
        <v>140</v>
      </c>
      <c r="K920">
        <v>1090</v>
      </c>
      <c r="L920">
        <v>258330</v>
      </c>
      <c r="M920">
        <f>Inventory_Data[[#This Row],[Opening Stock]]+Inventory_Data[[#This Row],[Purchase Qty]]-Inventory_Data[[#This Row],[Sales Qty]]-Inventory_Data[[#This Row],[Closing Stock]]</f>
        <v>0</v>
      </c>
      <c r="N920">
        <f>Inventory_Data[[#This Row],[Purchase Qty]]*Inventory_Data[[#This Row],[Unit Cost]]</f>
        <v>192930</v>
      </c>
      <c r="O920" t="str">
        <f>IF(Inventory_Data[[#This Row],[Closing Stock]]&lt;=Inventory_Data[[#This Row],[Reorder Level]],"Low Stock","In Stock")</f>
        <v>In Stock</v>
      </c>
      <c r="P920" t="str">
        <f>TEXT(Inventory_Data[[#This Row],[Date]],"MMM")</f>
        <v>Jul</v>
      </c>
      <c r="Q920" t="str">
        <f>TEXT(Inventory_Data[[#This Row],[Date]],"YYYY")</f>
        <v>2025</v>
      </c>
    </row>
    <row r="921" spans="1:17" x14ac:dyDescent="0.3">
      <c r="A921" s="1">
        <v>45856</v>
      </c>
      <c r="B921" t="s">
        <v>41</v>
      </c>
      <c r="C921" t="s">
        <v>22</v>
      </c>
      <c r="D921" t="s">
        <v>26</v>
      </c>
      <c r="E921" t="s">
        <v>34</v>
      </c>
      <c r="F921">
        <v>301</v>
      </c>
      <c r="G921">
        <v>79</v>
      </c>
      <c r="H921">
        <v>151</v>
      </c>
      <c r="I921">
        <v>229</v>
      </c>
      <c r="J921">
        <v>79</v>
      </c>
      <c r="K921">
        <v>689</v>
      </c>
      <c r="L921">
        <v>157781</v>
      </c>
      <c r="M921">
        <f>Inventory_Data[[#This Row],[Opening Stock]]+Inventory_Data[[#This Row],[Purchase Qty]]-Inventory_Data[[#This Row],[Sales Qty]]-Inventory_Data[[#This Row],[Closing Stock]]</f>
        <v>0</v>
      </c>
      <c r="N921">
        <f>Inventory_Data[[#This Row],[Purchase Qty]]*Inventory_Data[[#This Row],[Unit Cost]]</f>
        <v>54431</v>
      </c>
      <c r="O921" t="str">
        <f>IF(Inventory_Data[[#This Row],[Closing Stock]]&lt;=Inventory_Data[[#This Row],[Reorder Level]],"Low Stock","In Stock")</f>
        <v>In Stock</v>
      </c>
      <c r="P921" t="str">
        <f>TEXT(Inventory_Data[[#This Row],[Date]],"MMM")</f>
        <v>Jul</v>
      </c>
      <c r="Q921" t="str">
        <f>TEXT(Inventory_Data[[#This Row],[Date]],"YYYY")</f>
        <v>2025</v>
      </c>
    </row>
    <row r="922" spans="1:17" x14ac:dyDescent="0.3">
      <c r="A922" s="1">
        <v>45856</v>
      </c>
      <c r="B922" t="s">
        <v>16</v>
      </c>
      <c r="C922" t="s">
        <v>17</v>
      </c>
      <c r="D922" t="s">
        <v>37</v>
      </c>
      <c r="E922" t="s">
        <v>20</v>
      </c>
      <c r="F922">
        <v>28</v>
      </c>
      <c r="G922">
        <v>44</v>
      </c>
      <c r="H922">
        <v>43</v>
      </c>
      <c r="I922">
        <v>29</v>
      </c>
      <c r="J922">
        <v>10</v>
      </c>
      <c r="K922">
        <v>23404</v>
      </c>
      <c r="L922">
        <v>678716</v>
      </c>
      <c r="M922">
        <f>Inventory_Data[[#This Row],[Opening Stock]]+Inventory_Data[[#This Row],[Purchase Qty]]-Inventory_Data[[#This Row],[Sales Qty]]-Inventory_Data[[#This Row],[Closing Stock]]</f>
        <v>0</v>
      </c>
      <c r="N922">
        <f>Inventory_Data[[#This Row],[Purchase Qty]]*Inventory_Data[[#This Row],[Unit Cost]]</f>
        <v>1029776</v>
      </c>
      <c r="O922" t="str">
        <f>IF(Inventory_Data[[#This Row],[Closing Stock]]&lt;=Inventory_Data[[#This Row],[Reorder Level]],"Low Stock","In Stock")</f>
        <v>In Stock</v>
      </c>
      <c r="P922" t="str">
        <f>TEXT(Inventory_Data[[#This Row],[Date]],"MMM")</f>
        <v>Jul</v>
      </c>
      <c r="Q922" t="str">
        <f>TEXT(Inventory_Data[[#This Row],[Date]],"YYYY")</f>
        <v>2025</v>
      </c>
    </row>
    <row r="923" spans="1:17" x14ac:dyDescent="0.3">
      <c r="A923" s="1">
        <v>45856</v>
      </c>
      <c r="B923" t="s">
        <v>27</v>
      </c>
      <c r="C923" t="s">
        <v>28</v>
      </c>
      <c r="D923" t="s">
        <v>14</v>
      </c>
      <c r="E923" t="s">
        <v>24</v>
      </c>
      <c r="F923">
        <v>149</v>
      </c>
      <c r="G923">
        <v>58</v>
      </c>
      <c r="H923">
        <v>92</v>
      </c>
      <c r="I923">
        <v>115</v>
      </c>
      <c r="J923">
        <v>50</v>
      </c>
      <c r="K923">
        <v>4615</v>
      </c>
      <c r="L923">
        <v>530725</v>
      </c>
      <c r="M923">
        <f>Inventory_Data[[#This Row],[Opening Stock]]+Inventory_Data[[#This Row],[Purchase Qty]]-Inventory_Data[[#This Row],[Sales Qty]]-Inventory_Data[[#This Row],[Closing Stock]]</f>
        <v>0</v>
      </c>
      <c r="N923">
        <f>Inventory_Data[[#This Row],[Purchase Qty]]*Inventory_Data[[#This Row],[Unit Cost]]</f>
        <v>267670</v>
      </c>
      <c r="O923" t="str">
        <f>IF(Inventory_Data[[#This Row],[Closing Stock]]&lt;=Inventory_Data[[#This Row],[Reorder Level]],"Low Stock","In Stock")</f>
        <v>In Stock</v>
      </c>
      <c r="P923" t="str">
        <f>TEXT(Inventory_Data[[#This Row],[Date]],"MMM")</f>
        <v>Jul</v>
      </c>
      <c r="Q923" t="str">
        <f>TEXT(Inventory_Data[[#This Row],[Date]],"YYYY")</f>
        <v>2025</v>
      </c>
    </row>
    <row r="924" spans="1:17" x14ac:dyDescent="0.3">
      <c r="A924" s="1">
        <v>45856</v>
      </c>
      <c r="B924" t="s">
        <v>19</v>
      </c>
      <c r="C924" t="s">
        <v>13</v>
      </c>
      <c r="D924" t="s">
        <v>23</v>
      </c>
      <c r="E924" t="s">
        <v>15</v>
      </c>
      <c r="F924">
        <v>34</v>
      </c>
      <c r="G924">
        <v>39</v>
      </c>
      <c r="H924">
        <v>46</v>
      </c>
      <c r="I924">
        <v>27</v>
      </c>
      <c r="J924">
        <v>22</v>
      </c>
      <c r="K924">
        <v>4179</v>
      </c>
      <c r="L924">
        <v>112833</v>
      </c>
      <c r="M924">
        <f>Inventory_Data[[#This Row],[Opening Stock]]+Inventory_Data[[#This Row],[Purchase Qty]]-Inventory_Data[[#This Row],[Sales Qty]]-Inventory_Data[[#This Row],[Closing Stock]]</f>
        <v>0</v>
      </c>
      <c r="N924">
        <f>Inventory_Data[[#This Row],[Purchase Qty]]*Inventory_Data[[#This Row],[Unit Cost]]</f>
        <v>162981</v>
      </c>
      <c r="O924" t="str">
        <f>IF(Inventory_Data[[#This Row],[Closing Stock]]&lt;=Inventory_Data[[#This Row],[Reorder Level]],"Low Stock","In Stock")</f>
        <v>In Stock</v>
      </c>
      <c r="P924" t="str">
        <f>TEXT(Inventory_Data[[#This Row],[Date]],"MMM")</f>
        <v>Jul</v>
      </c>
      <c r="Q924" t="str">
        <f>TEXT(Inventory_Data[[#This Row],[Date]],"YYYY")</f>
        <v>2025</v>
      </c>
    </row>
    <row r="925" spans="1:17" x14ac:dyDescent="0.3">
      <c r="A925" s="1">
        <v>45857</v>
      </c>
      <c r="B925" t="s">
        <v>36</v>
      </c>
      <c r="C925" t="s">
        <v>22</v>
      </c>
      <c r="D925" t="s">
        <v>14</v>
      </c>
      <c r="E925" t="s">
        <v>24</v>
      </c>
      <c r="F925">
        <v>123</v>
      </c>
      <c r="G925">
        <v>285</v>
      </c>
      <c r="H925">
        <v>80</v>
      </c>
      <c r="I925">
        <v>328</v>
      </c>
      <c r="J925">
        <v>77</v>
      </c>
      <c r="K925">
        <v>609</v>
      </c>
      <c r="L925">
        <v>199752</v>
      </c>
      <c r="M925">
        <f>Inventory_Data[[#This Row],[Opening Stock]]+Inventory_Data[[#This Row],[Purchase Qty]]-Inventory_Data[[#This Row],[Sales Qty]]-Inventory_Data[[#This Row],[Closing Stock]]</f>
        <v>0</v>
      </c>
      <c r="N925">
        <f>Inventory_Data[[#This Row],[Purchase Qty]]*Inventory_Data[[#This Row],[Unit Cost]]</f>
        <v>173565</v>
      </c>
      <c r="O925" t="str">
        <f>IF(Inventory_Data[[#This Row],[Closing Stock]]&lt;=Inventory_Data[[#This Row],[Reorder Level]],"Low Stock","In Stock")</f>
        <v>In Stock</v>
      </c>
      <c r="P925" t="str">
        <f>TEXT(Inventory_Data[[#This Row],[Date]],"MMM")</f>
        <v>Jul</v>
      </c>
      <c r="Q925" t="str">
        <f>TEXT(Inventory_Data[[#This Row],[Date]],"YYYY")</f>
        <v>2025</v>
      </c>
    </row>
    <row r="926" spans="1:17" x14ac:dyDescent="0.3">
      <c r="A926" s="1">
        <v>45857</v>
      </c>
      <c r="B926" t="s">
        <v>39</v>
      </c>
      <c r="C926" t="s">
        <v>28</v>
      </c>
      <c r="D926" t="s">
        <v>26</v>
      </c>
      <c r="E926" t="s">
        <v>29</v>
      </c>
      <c r="F926">
        <v>98</v>
      </c>
      <c r="G926">
        <v>118</v>
      </c>
      <c r="H926">
        <v>97</v>
      </c>
      <c r="I926">
        <v>119</v>
      </c>
      <c r="J926">
        <v>47</v>
      </c>
      <c r="K926">
        <v>9438</v>
      </c>
      <c r="L926">
        <v>1123122</v>
      </c>
      <c r="M926">
        <f>Inventory_Data[[#This Row],[Opening Stock]]+Inventory_Data[[#This Row],[Purchase Qty]]-Inventory_Data[[#This Row],[Sales Qty]]-Inventory_Data[[#This Row],[Closing Stock]]</f>
        <v>0</v>
      </c>
      <c r="N926">
        <f>Inventory_Data[[#This Row],[Purchase Qty]]*Inventory_Data[[#This Row],[Unit Cost]]</f>
        <v>1113684</v>
      </c>
      <c r="O926" t="str">
        <f>IF(Inventory_Data[[#This Row],[Closing Stock]]&lt;=Inventory_Data[[#This Row],[Reorder Level]],"Low Stock","In Stock")</f>
        <v>In Stock</v>
      </c>
      <c r="P926" t="str">
        <f>TEXT(Inventory_Data[[#This Row],[Date]],"MMM")</f>
        <v>Jul</v>
      </c>
      <c r="Q926" t="str">
        <f>TEXT(Inventory_Data[[#This Row],[Date]],"YYYY")</f>
        <v>2025</v>
      </c>
    </row>
    <row r="927" spans="1:17" x14ac:dyDescent="0.3">
      <c r="A927" s="1">
        <v>45857</v>
      </c>
      <c r="B927" t="s">
        <v>36</v>
      </c>
      <c r="C927" t="s">
        <v>22</v>
      </c>
      <c r="D927" t="s">
        <v>37</v>
      </c>
      <c r="E927" t="s">
        <v>34</v>
      </c>
      <c r="F927">
        <v>482</v>
      </c>
      <c r="G927">
        <v>108</v>
      </c>
      <c r="H927">
        <v>182</v>
      </c>
      <c r="I927">
        <v>408</v>
      </c>
      <c r="J927">
        <v>118</v>
      </c>
      <c r="K927">
        <v>486</v>
      </c>
      <c r="L927">
        <v>198288</v>
      </c>
      <c r="M927">
        <f>Inventory_Data[[#This Row],[Opening Stock]]+Inventory_Data[[#This Row],[Purchase Qty]]-Inventory_Data[[#This Row],[Sales Qty]]-Inventory_Data[[#This Row],[Closing Stock]]</f>
        <v>0</v>
      </c>
      <c r="N927">
        <f>Inventory_Data[[#This Row],[Purchase Qty]]*Inventory_Data[[#This Row],[Unit Cost]]</f>
        <v>52488</v>
      </c>
      <c r="O927" t="str">
        <f>IF(Inventory_Data[[#This Row],[Closing Stock]]&lt;=Inventory_Data[[#This Row],[Reorder Level]],"Low Stock","In Stock")</f>
        <v>In Stock</v>
      </c>
      <c r="P927" t="str">
        <f>TEXT(Inventory_Data[[#This Row],[Date]],"MMM")</f>
        <v>Jul</v>
      </c>
      <c r="Q927" t="str">
        <f>TEXT(Inventory_Data[[#This Row],[Date]],"YYYY")</f>
        <v>2025</v>
      </c>
    </row>
    <row r="928" spans="1:17" x14ac:dyDescent="0.3">
      <c r="A928" s="1">
        <v>45858</v>
      </c>
      <c r="B928" t="s">
        <v>42</v>
      </c>
      <c r="C928" t="s">
        <v>17</v>
      </c>
      <c r="D928" t="s">
        <v>23</v>
      </c>
      <c r="E928" t="s">
        <v>34</v>
      </c>
      <c r="F928">
        <v>19</v>
      </c>
      <c r="G928">
        <v>36</v>
      </c>
      <c r="H928">
        <v>35</v>
      </c>
      <c r="I928">
        <v>20</v>
      </c>
      <c r="J928">
        <v>29</v>
      </c>
      <c r="K928">
        <v>23691</v>
      </c>
      <c r="L928">
        <v>473820</v>
      </c>
      <c r="M928">
        <f>Inventory_Data[[#This Row],[Opening Stock]]+Inventory_Data[[#This Row],[Purchase Qty]]-Inventory_Data[[#This Row],[Sales Qty]]-Inventory_Data[[#This Row],[Closing Stock]]</f>
        <v>0</v>
      </c>
      <c r="N928">
        <f>Inventory_Data[[#This Row],[Purchase Qty]]*Inventory_Data[[#This Row],[Unit Cost]]</f>
        <v>852876</v>
      </c>
      <c r="O928" t="str">
        <f>IF(Inventory_Data[[#This Row],[Closing Stock]]&lt;=Inventory_Data[[#This Row],[Reorder Level]],"Low Stock","In Stock")</f>
        <v>Low Stock</v>
      </c>
      <c r="P928" t="str">
        <f>TEXT(Inventory_Data[[#This Row],[Date]],"MMM")</f>
        <v>Jul</v>
      </c>
      <c r="Q928" t="str">
        <f>TEXT(Inventory_Data[[#This Row],[Date]],"YYYY")</f>
        <v>2025</v>
      </c>
    </row>
    <row r="929" spans="1:17" x14ac:dyDescent="0.3">
      <c r="A929" s="1">
        <v>45858</v>
      </c>
      <c r="B929" t="s">
        <v>40</v>
      </c>
      <c r="C929" t="s">
        <v>28</v>
      </c>
      <c r="D929" t="s">
        <v>23</v>
      </c>
      <c r="E929" t="s">
        <v>34</v>
      </c>
      <c r="F929">
        <v>132</v>
      </c>
      <c r="G929">
        <v>38</v>
      </c>
      <c r="H929">
        <v>81</v>
      </c>
      <c r="I929">
        <v>89</v>
      </c>
      <c r="J929">
        <v>36</v>
      </c>
      <c r="K929">
        <v>21338</v>
      </c>
      <c r="L929">
        <v>1899082</v>
      </c>
      <c r="M929">
        <f>Inventory_Data[[#This Row],[Opening Stock]]+Inventory_Data[[#This Row],[Purchase Qty]]-Inventory_Data[[#This Row],[Sales Qty]]-Inventory_Data[[#This Row],[Closing Stock]]</f>
        <v>0</v>
      </c>
      <c r="N929">
        <f>Inventory_Data[[#This Row],[Purchase Qty]]*Inventory_Data[[#This Row],[Unit Cost]]</f>
        <v>810844</v>
      </c>
      <c r="O929" t="str">
        <f>IF(Inventory_Data[[#This Row],[Closing Stock]]&lt;=Inventory_Data[[#This Row],[Reorder Level]],"Low Stock","In Stock")</f>
        <v>In Stock</v>
      </c>
      <c r="P929" t="str">
        <f>TEXT(Inventory_Data[[#This Row],[Date]],"MMM")</f>
        <v>Jul</v>
      </c>
      <c r="Q929" t="str">
        <f>TEXT(Inventory_Data[[#This Row],[Date]],"YYYY")</f>
        <v>2025</v>
      </c>
    </row>
    <row r="930" spans="1:17" x14ac:dyDescent="0.3">
      <c r="A930" s="1">
        <v>45858</v>
      </c>
      <c r="B930" t="s">
        <v>38</v>
      </c>
      <c r="C930" t="s">
        <v>17</v>
      </c>
      <c r="D930" t="s">
        <v>23</v>
      </c>
      <c r="E930" t="s">
        <v>29</v>
      </c>
      <c r="F930">
        <v>61</v>
      </c>
      <c r="G930">
        <v>35</v>
      </c>
      <c r="H930">
        <v>27</v>
      </c>
      <c r="I930">
        <v>69</v>
      </c>
      <c r="J930">
        <v>14</v>
      </c>
      <c r="K930">
        <v>7935</v>
      </c>
      <c r="L930">
        <v>547515</v>
      </c>
      <c r="M930">
        <f>Inventory_Data[[#This Row],[Opening Stock]]+Inventory_Data[[#This Row],[Purchase Qty]]-Inventory_Data[[#This Row],[Sales Qty]]-Inventory_Data[[#This Row],[Closing Stock]]</f>
        <v>0</v>
      </c>
      <c r="N930">
        <f>Inventory_Data[[#This Row],[Purchase Qty]]*Inventory_Data[[#This Row],[Unit Cost]]</f>
        <v>277725</v>
      </c>
      <c r="O930" t="str">
        <f>IF(Inventory_Data[[#This Row],[Closing Stock]]&lt;=Inventory_Data[[#This Row],[Reorder Level]],"Low Stock","In Stock")</f>
        <v>In Stock</v>
      </c>
      <c r="P930" t="str">
        <f>TEXT(Inventory_Data[[#This Row],[Date]],"MMM")</f>
        <v>Jul</v>
      </c>
      <c r="Q930" t="str">
        <f>TEXT(Inventory_Data[[#This Row],[Date]],"YYYY")</f>
        <v>2025</v>
      </c>
    </row>
    <row r="931" spans="1:17" x14ac:dyDescent="0.3">
      <c r="A931" s="1">
        <v>45858</v>
      </c>
      <c r="B931" t="s">
        <v>16</v>
      </c>
      <c r="C931" t="s">
        <v>17</v>
      </c>
      <c r="D931" t="s">
        <v>23</v>
      </c>
      <c r="E931" t="s">
        <v>20</v>
      </c>
      <c r="F931">
        <v>98</v>
      </c>
      <c r="G931">
        <v>20</v>
      </c>
      <c r="H931">
        <v>11</v>
      </c>
      <c r="I931">
        <v>107</v>
      </c>
      <c r="J931">
        <v>21</v>
      </c>
      <c r="K931">
        <v>17658</v>
      </c>
      <c r="L931">
        <v>1889406</v>
      </c>
      <c r="M931">
        <f>Inventory_Data[[#This Row],[Opening Stock]]+Inventory_Data[[#This Row],[Purchase Qty]]-Inventory_Data[[#This Row],[Sales Qty]]-Inventory_Data[[#This Row],[Closing Stock]]</f>
        <v>0</v>
      </c>
      <c r="N931">
        <f>Inventory_Data[[#This Row],[Purchase Qty]]*Inventory_Data[[#This Row],[Unit Cost]]</f>
        <v>353160</v>
      </c>
      <c r="O931" t="str">
        <f>IF(Inventory_Data[[#This Row],[Closing Stock]]&lt;=Inventory_Data[[#This Row],[Reorder Level]],"Low Stock","In Stock")</f>
        <v>In Stock</v>
      </c>
      <c r="P931" t="str">
        <f>TEXT(Inventory_Data[[#This Row],[Date]],"MMM")</f>
        <v>Jul</v>
      </c>
      <c r="Q931" t="str">
        <f>TEXT(Inventory_Data[[#This Row],[Date]],"YYYY")</f>
        <v>2025</v>
      </c>
    </row>
    <row r="932" spans="1:17" x14ac:dyDescent="0.3">
      <c r="A932" s="1">
        <v>45858</v>
      </c>
      <c r="B932" t="s">
        <v>35</v>
      </c>
      <c r="C932" t="s">
        <v>22</v>
      </c>
      <c r="D932" t="s">
        <v>37</v>
      </c>
      <c r="E932" t="s">
        <v>24</v>
      </c>
      <c r="F932">
        <v>156</v>
      </c>
      <c r="G932">
        <v>279</v>
      </c>
      <c r="H932">
        <v>98</v>
      </c>
      <c r="I932">
        <v>337</v>
      </c>
      <c r="J932">
        <v>134</v>
      </c>
      <c r="K932">
        <v>144</v>
      </c>
      <c r="L932">
        <v>48528</v>
      </c>
      <c r="M932">
        <f>Inventory_Data[[#This Row],[Opening Stock]]+Inventory_Data[[#This Row],[Purchase Qty]]-Inventory_Data[[#This Row],[Sales Qty]]-Inventory_Data[[#This Row],[Closing Stock]]</f>
        <v>0</v>
      </c>
      <c r="N932">
        <f>Inventory_Data[[#This Row],[Purchase Qty]]*Inventory_Data[[#This Row],[Unit Cost]]</f>
        <v>40176</v>
      </c>
      <c r="O932" t="str">
        <f>IF(Inventory_Data[[#This Row],[Closing Stock]]&lt;=Inventory_Data[[#This Row],[Reorder Level]],"Low Stock","In Stock")</f>
        <v>In Stock</v>
      </c>
      <c r="P932" t="str">
        <f>TEXT(Inventory_Data[[#This Row],[Date]],"MMM")</f>
        <v>Jul</v>
      </c>
      <c r="Q932" t="str">
        <f>TEXT(Inventory_Data[[#This Row],[Date]],"YYYY")</f>
        <v>2025</v>
      </c>
    </row>
    <row r="933" spans="1:17" x14ac:dyDescent="0.3">
      <c r="A933" s="1">
        <v>45858</v>
      </c>
      <c r="B933" t="s">
        <v>27</v>
      </c>
      <c r="C933" t="s">
        <v>28</v>
      </c>
      <c r="D933" t="s">
        <v>14</v>
      </c>
      <c r="E933" t="s">
        <v>24</v>
      </c>
      <c r="F933">
        <v>154</v>
      </c>
      <c r="G933">
        <v>25</v>
      </c>
      <c r="H933">
        <v>27</v>
      </c>
      <c r="I933">
        <v>152</v>
      </c>
      <c r="J933">
        <v>42</v>
      </c>
      <c r="K933">
        <v>53465</v>
      </c>
      <c r="L933">
        <v>8126680</v>
      </c>
      <c r="M933">
        <f>Inventory_Data[[#This Row],[Opening Stock]]+Inventory_Data[[#This Row],[Purchase Qty]]-Inventory_Data[[#This Row],[Sales Qty]]-Inventory_Data[[#This Row],[Closing Stock]]</f>
        <v>0</v>
      </c>
      <c r="N933">
        <f>Inventory_Data[[#This Row],[Purchase Qty]]*Inventory_Data[[#This Row],[Unit Cost]]</f>
        <v>1336625</v>
      </c>
      <c r="O933" t="str">
        <f>IF(Inventory_Data[[#This Row],[Closing Stock]]&lt;=Inventory_Data[[#This Row],[Reorder Level]],"Low Stock","In Stock")</f>
        <v>In Stock</v>
      </c>
      <c r="P933" t="str">
        <f>TEXT(Inventory_Data[[#This Row],[Date]],"MMM")</f>
        <v>Jul</v>
      </c>
      <c r="Q933" t="str">
        <f>TEXT(Inventory_Data[[#This Row],[Date]],"YYYY")</f>
        <v>2025</v>
      </c>
    </row>
    <row r="934" spans="1:17" x14ac:dyDescent="0.3">
      <c r="A934" s="1">
        <v>45858</v>
      </c>
      <c r="B934" t="s">
        <v>35</v>
      </c>
      <c r="C934" t="s">
        <v>22</v>
      </c>
      <c r="D934" t="s">
        <v>37</v>
      </c>
      <c r="E934" t="s">
        <v>29</v>
      </c>
      <c r="F934">
        <v>197</v>
      </c>
      <c r="G934">
        <v>153</v>
      </c>
      <c r="H934">
        <v>10</v>
      </c>
      <c r="I934">
        <v>340</v>
      </c>
      <c r="J934">
        <v>136</v>
      </c>
      <c r="K934">
        <v>987</v>
      </c>
      <c r="L934">
        <v>335580</v>
      </c>
      <c r="M934">
        <f>Inventory_Data[[#This Row],[Opening Stock]]+Inventory_Data[[#This Row],[Purchase Qty]]-Inventory_Data[[#This Row],[Sales Qty]]-Inventory_Data[[#This Row],[Closing Stock]]</f>
        <v>0</v>
      </c>
      <c r="N934">
        <f>Inventory_Data[[#This Row],[Purchase Qty]]*Inventory_Data[[#This Row],[Unit Cost]]</f>
        <v>151011</v>
      </c>
      <c r="O934" t="str">
        <f>IF(Inventory_Data[[#This Row],[Closing Stock]]&lt;=Inventory_Data[[#This Row],[Reorder Level]],"Low Stock","In Stock")</f>
        <v>In Stock</v>
      </c>
      <c r="P934" t="str">
        <f>TEXT(Inventory_Data[[#This Row],[Date]],"MMM")</f>
        <v>Jul</v>
      </c>
      <c r="Q934" t="str">
        <f>TEXT(Inventory_Data[[#This Row],[Date]],"YYYY")</f>
        <v>2025</v>
      </c>
    </row>
    <row r="935" spans="1:17" x14ac:dyDescent="0.3">
      <c r="A935" s="1">
        <v>45859</v>
      </c>
      <c r="B935" t="s">
        <v>44</v>
      </c>
      <c r="C935" t="s">
        <v>28</v>
      </c>
      <c r="D935" t="s">
        <v>14</v>
      </c>
      <c r="E935" t="s">
        <v>15</v>
      </c>
      <c r="F935">
        <v>165</v>
      </c>
      <c r="G935">
        <v>101</v>
      </c>
      <c r="H935">
        <v>39</v>
      </c>
      <c r="I935">
        <v>227</v>
      </c>
      <c r="J935">
        <v>50</v>
      </c>
      <c r="K935">
        <v>55498</v>
      </c>
      <c r="L935">
        <v>12598046</v>
      </c>
      <c r="M935">
        <f>Inventory_Data[[#This Row],[Opening Stock]]+Inventory_Data[[#This Row],[Purchase Qty]]-Inventory_Data[[#This Row],[Sales Qty]]-Inventory_Data[[#This Row],[Closing Stock]]</f>
        <v>0</v>
      </c>
      <c r="N935">
        <f>Inventory_Data[[#This Row],[Purchase Qty]]*Inventory_Data[[#This Row],[Unit Cost]]</f>
        <v>5605298</v>
      </c>
      <c r="O935" t="str">
        <f>IF(Inventory_Data[[#This Row],[Closing Stock]]&lt;=Inventory_Data[[#This Row],[Reorder Level]],"Low Stock","In Stock")</f>
        <v>In Stock</v>
      </c>
      <c r="P935" t="str">
        <f>TEXT(Inventory_Data[[#This Row],[Date]],"MMM")</f>
        <v>Jul</v>
      </c>
      <c r="Q935" t="str">
        <f>TEXT(Inventory_Data[[#This Row],[Date]],"YYYY")</f>
        <v>2025</v>
      </c>
    </row>
    <row r="936" spans="1:17" x14ac:dyDescent="0.3">
      <c r="A936" s="1">
        <v>45859</v>
      </c>
      <c r="B936" t="s">
        <v>36</v>
      </c>
      <c r="C936" t="s">
        <v>22</v>
      </c>
      <c r="D936" t="s">
        <v>23</v>
      </c>
      <c r="E936" t="s">
        <v>20</v>
      </c>
      <c r="F936">
        <v>211</v>
      </c>
      <c r="G936">
        <v>141</v>
      </c>
      <c r="H936">
        <v>41</v>
      </c>
      <c r="I936">
        <v>311</v>
      </c>
      <c r="J936">
        <v>137</v>
      </c>
      <c r="K936">
        <v>1141</v>
      </c>
      <c r="L936">
        <v>354851</v>
      </c>
      <c r="M936">
        <f>Inventory_Data[[#This Row],[Opening Stock]]+Inventory_Data[[#This Row],[Purchase Qty]]-Inventory_Data[[#This Row],[Sales Qty]]-Inventory_Data[[#This Row],[Closing Stock]]</f>
        <v>0</v>
      </c>
      <c r="N936">
        <f>Inventory_Data[[#This Row],[Purchase Qty]]*Inventory_Data[[#This Row],[Unit Cost]]</f>
        <v>160881</v>
      </c>
      <c r="O936" t="str">
        <f>IF(Inventory_Data[[#This Row],[Closing Stock]]&lt;=Inventory_Data[[#This Row],[Reorder Level]],"Low Stock","In Stock")</f>
        <v>In Stock</v>
      </c>
      <c r="P936" t="str">
        <f>TEXT(Inventory_Data[[#This Row],[Date]],"MMM")</f>
        <v>Jul</v>
      </c>
      <c r="Q936" t="str">
        <f>TEXT(Inventory_Data[[#This Row],[Date]],"YYYY")</f>
        <v>2025</v>
      </c>
    </row>
    <row r="937" spans="1:17" x14ac:dyDescent="0.3">
      <c r="A937" s="1">
        <v>45859</v>
      </c>
      <c r="B937" t="s">
        <v>16</v>
      </c>
      <c r="C937" t="s">
        <v>17</v>
      </c>
      <c r="D937" t="s">
        <v>14</v>
      </c>
      <c r="E937" t="s">
        <v>24</v>
      </c>
      <c r="F937">
        <v>41</v>
      </c>
      <c r="G937">
        <v>38</v>
      </c>
      <c r="H937">
        <v>10</v>
      </c>
      <c r="I937">
        <v>69</v>
      </c>
      <c r="J937">
        <v>20</v>
      </c>
      <c r="K937">
        <v>10668</v>
      </c>
      <c r="L937">
        <v>736092</v>
      </c>
      <c r="M937">
        <f>Inventory_Data[[#This Row],[Opening Stock]]+Inventory_Data[[#This Row],[Purchase Qty]]-Inventory_Data[[#This Row],[Sales Qty]]-Inventory_Data[[#This Row],[Closing Stock]]</f>
        <v>0</v>
      </c>
      <c r="N937">
        <f>Inventory_Data[[#This Row],[Purchase Qty]]*Inventory_Data[[#This Row],[Unit Cost]]</f>
        <v>405384</v>
      </c>
      <c r="O937" t="str">
        <f>IF(Inventory_Data[[#This Row],[Closing Stock]]&lt;=Inventory_Data[[#This Row],[Reorder Level]],"Low Stock","In Stock")</f>
        <v>In Stock</v>
      </c>
      <c r="P937" t="str">
        <f>TEXT(Inventory_Data[[#This Row],[Date]],"MMM")</f>
        <v>Jul</v>
      </c>
      <c r="Q937" t="str">
        <f>TEXT(Inventory_Data[[#This Row],[Date]],"YYYY")</f>
        <v>2025</v>
      </c>
    </row>
    <row r="938" spans="1:17" x14ac:dyDescent="0.3">
      <c r="A938" s="1">
        <v>45859</v>
      </c>
      <c r="B938" t="s">
        <v>19</v>
      </c>
      <c r="C938" t="s">
        <v>13</v>
      </c>
      <c r="D938" t="s">
        <v>14</v>
      </c>
      <c r="E938" t="s">
        <v>15</v>
      </c>
      <c r="F938">
        <v>102</v>
      </c>
      <c r="G938">
        <v>15</v>
      </c>
      <c r="H938">
        <v>29</v>
      </c>
      <c r="I938">
        <v>88</v>
      </c>
      <c r="J938">
        <v>31</v>
      </c>
      <c r="K938">
        <v>6219</v>
      </c>
      <c r="L938">
        <v>547272</v>
      </c>
      <c r="M938">
        <f>Inventory_Data[[#This Row],[Opening Stock]]+Inventory_Data[[#This Row],[Purchase Qty]]-Inventory_Data[[#This Row],[Sales Qty]]-Inventory_Data[[#This Row],[Closing Stock]]</f>
        <v>0</v>
      </c>
      <c r="N938">
        <f>Inventory_Data[[#This Row],[Purchase Qty]]*Inventory_Data[[#This Row],[Unit Cost]]</f>
        <v>93285</v>
      </c>
      <c r="O938" t="str">
        <f>IF(Inventory_Data[[#This Row],[Closing Stock]]&lt;=Inventory_Data[[#This Row],[Reorder Level]],"Low Stock","In Stock")</f>
        <v>In Stock</v>
      </c>
      <c r="P938" t="str">
        <f>TEXT(Inventory_Data[[#This Row],[Date]],"MMM")</f>
        <v>Jul</v>
      </c>
      <c r="Q938" t="str">
        <f>TEXT(Inventory_Data[[#This Row],[Date]],"YYYY")</f>
        <v>2025</v>
      </c>
    </row>
    <row r="939" spans="1:17" x14ac:dyDescent="0.3">
      <c r="A939" s="1">
        <v>45859</v>
      </c>
      <c r="B939" t="s">
        <v>19</v>
      </c>
      <c r="C939" t="s">
        <v>13</v>
      </c>
      <c r="D939" t="s">
        <v>37</v>
      </c>
      <c r="E939" t="s">
        <v>15</v>
      </c>
      <c r="F939">
        <v>104</v>
      </c>
      <c r="G939">
        <v>57</v>
      </c>
      <c r="H939">
        <v>58</v>
      </c>
      <c r="I939">
        <v>103</v>
      </c>
      <c r="J939">
        <v>27</v>
      </c>
      <c r="K939">
        <v>6999</v>
      </c>
      <c r="L939">
        <v>720897</v>
      </c>
      <c r="M939">
        <f>Inventory_Data[[#This Row],[Opening Stock]]+Inventory_Data[[#This Row],[Purchase Qty]]-Inventory_Data[[#This Row],[Sales Qty]]-Inventory_Data[[#This Row],[Closing Stock]]</f>
        <v>0</v>
      </c>
      <c r="N939">
        <f>Inventory_Data[[#This Row],[Purchase Qty]]*Inventory_Data[[#This Row],[Unit Cost]]</f>
        <v>398943</v>
      </c>
      <c r="O939" t="str">
        <f>IF(Inventory_Data[[#This Row],[Closing Stock]]&lt;=Inventory_Data[[#This Row],[Reorder Level]],"Low Stock","In Stock")</f>
        <v>In Stock</v>
      </c>
      <c r="P939" t="str">
        <f>TEXT(Inventory_Data[[#This Row],[Date]],"MMM")</f>
        <v>Jul</v>
      </c>
      <c r="Q939" t="str">
        <f>TEXT(Inventory_Data[[#This Row],[Date]],"YYYY")</f>
        <v>2025</v>
      </c>
    </row>
    <row r="940" spans="1:17" x14ac:dyDescent="0.3">
      <c r="A940" s="1">
        <v>45859</v>
      </c>
      <c r="B940" t="s">
        <v>31</v>
      </c>
      <c r="C940" t="s">
        <v>22</v>
      </c>
      <c r="D940" t="s">
        <v>23</v>
      </c>
      <c r="E940" t="s">
        <v>20</v>
      </c>
      <c r="F940">
        <v>263</v>
      </c>
      <c r="G940">
        <v>123</v>
      </c>
      <c r="H940">
        <v>84</v>
      </c>
      <c r="I940">
        <v>302</v>
      </c>
      <c r="J940">
        <v>74</v>
      </c>
      <c r="K940">
        <v>688</v>
      </c>
      <c r="L940">
        <v>207776</v>
      </c>
      <c r="M940">
        <f>Inventory_Data[[#This Row],[Opening Stock]]+Inventory_Data[[#This Row],[Purchase Qty]]-Inventory_Data[[#This Row],[Sales Qty]]-Inventory_Data[[#This Row],[Closing Stock]]</f>
        <v>0</v>
      </c>
      <c r="N940">
        <f>Inventory_Data[[#This Row],[Purchase Qty]]*Inventory_Data[[#This Row],[Unit Cost]]</f>
        <v>84624</v>
      </c>
      <c r="O940" t="str">
        <f>IF(Inventory_Data[[#This Row],[Closing Stock]]&lt;=Inventory_Data[[#This Row],[Reorder Level]],"Low Stock","In Stock")</f>
        <v>In Stock</v>
      </c>
      <c r="P940" t="str">
        <f>TEXT(Inventory_Data[[#This Row],[Date]],"MMM")</f>
        <v>Jul</v>
      </c>
      <c r="Q940" t="str">
        <f>TEXT(Inventory_Data[[#This Row],[Date]],"YYYY")</f>
        <v>2025</v>
      </c>
    </row>
    <row r="941" spans="1:17" x14ac:dyDescent="0.3">
      <c r="A941" s="1">
        <v>45859</v>
      </c>
      <c r="B941" t="s">
        <v>35</v>
      </c>
      <c r="C941" t="s">
        <v>22</v>
      </c>
      <c r="D941" t="s">
        <v>37</v>
      </c>
      <c r="E941" t="s">
        <v>29</v>
      </c>
      <c r="F941">
        <v>169</v>
      </c>
      <c r="G941">
        <v>166</v>
      </c>
      <c r="H941">
        <v>34</v>
      </c>
      <c r="I941">
        <v>301</v>
      </c>
      <c r="J941">
        <v>139</v>
      </c>
      <c r="K941">
        <v>253</v>
      </c>
      <c r="L941">
        <v>76153</v>
      </c>
      <c r="M941">
        <f>Inventory_Data[[#This Row],[Opening Stock]]+Inventory_Data[[#This Row],[Purchase Qty]]-Inventory_Data[[#This Row],[Sales Qty]]-Inventory_Data[[#This Row],[Closing Stock]]</f>
        <v>0</v>
      </c>
      <c r="N941">
        <f>Inventory_Data[[#This Row],[Purchase Qty]]*Inventory_Data[[#This Row],[Unit Cost]]</f>
        <v>41998</v>
      </c>
      <c r="O941" t="str">
        <f>IF(Inventory_Data[[#This Row],[Closing Stock]]&lt;=Inventory_Data[[#This Row],[Reorder Level]],"Low Stock","In Stock")</f>
        <v>In Stock</v>
      </c>
      <c r="P941" t="str">
        <f>TEXT(Inventory_Data[[#This Row],[Date]],"MMM")</f>
        <v>Jul</v>
      </c>
      <c r="Q941" t="str">
        <f>TEXT(Inventory_Data[[#This Row],[Date]],"YYYY")</f>
        <v>2025</v>
      </c>
    </row>
    <row r="942" spans="1:17" x14ac:dyDescent="0.3">
      <c r="A942" s="1">
        <v>45859</v>
      </c>
      <c r="B942" t="s">
        <v>12</v>
      </c>
      <c r="C942" t="s">
        <v>13</v>
      </c>
      <c r="D942" t="s">
        <v>23</v>
      </c>
      <c r="E942" t="s">
        <v>29</v>
      </c>
      <c r="F942">
        <v>54</v>
      </c>
      <c r="G942">
        <v>18</v>
      </c>
      <c r="H942">
        <v>19</v>
      </c>
      <c r="I942">
        <v>53</v>
      </c>
      <c r="J942">
        <v>30</v>
      </c>
      <c r="K942">
        <v>16110</v>
      </c>
      <c r="L942">
        <v>853830</v>
      </c>
      <c r="M942">
        <f>Inventory_Data[[#This Row],[Opening Stock]]+Inventory_Data[[#This Row],[Purchase Qty]]-Inventory_Data[[#This Row],[Sales Qty]]-Inventory_Data[[#This Row],[Closing Stock]]</f>
        <v>0</v>
      </c>
      <c r="N942">
        <f>Inventory_Data[[#This Row],[Purchase Qty]]*Inventory_Data[[#This Row],[Unit Cost]]</f>
        <v>289980</v>
      </c>
      <c r="O942" t="str">
        <f>IF(Inventory_Data[[#This Row],[Closing Stock]]&lt;=Inventory_Data[[#This Row],[Reorder Level]],"Low Stock","In Stock")</f>
        <v>In Stock</v>
      </c>
      <c r="P942" t="str">
        <f>TEXT(Inventory_Data[[#This Row],[Date]],"MMM")</f>
        <v>Jul</v>
      </c>
      <c r="Q942" t="str">
        <f>TEXT(Inventory_Data[[#This Row],[Date]],"YYYY")</f>
        <v>2025</v>
      </c>
    </row>
    <row r="943" spans="1:17" x14ac:dyDescent="0.3">
      <c r="A943" s="1">
        <v>45859</v>
      </c>
      <c r="B943" t="s">
        <v>16</v>
      </c>
      <c r="C943" t="s">
        <v>17</v>
      </c>
      <c r="D943" t="s">
        <v>37</v>
      </c>
      <c r="E943" t="s">
        <v>20</v>
      </c>
      <c r="F943">
        <v>47</v>
      </c>
      <c r="G943">
        <v>50</v>
      </c>
      <c r="H943">
        <v>5</v>
      </c>
      <c r="I943">
        <v>92</v>
      </c>
      <c r="J943">
        <v>22</v>
      </c>
      <c r="K943">
        <v>2580</v>
      </c>
      <c r="L943">
        <v>237360</v>
      </c>
      <c r="M943">
        <f>Inventory_Data[[#This Row],[Opening Stock]]+Inventory_Data[[#This Row],[Purchase Qty]]-Inventory_Data[[#This Row],[Sales Qty]]-Inventory_Data[[#This Row],[Closing Stock]]</f>
        <v>0</v>
      </c>
      <c r="N943">
        <f>Inventory_Data[[#This Row],[Purchase Qty]]*Inventory_Data[[#This Row],[Unit Cost]]</f>
        <v>129000</v>
      </c>
      <c r="O943" t="str">
        <f>IF(Inventory_Data[[#This Row],[Closing Stock]]&lt;=Inventory_Data[[#This Row],[Reorder Level]],"Low Stock","In Stock")</f>
        <v>In Stock</v>
      </c>
      <c r="P943" t="str">
        <f>TEXT(Inventory_Data[[#This Row],[Date]],"MMM")</f>
        <v>Jul</v>
      </c>
      <c r="Q943" t="str">
        <f>TEXT(Inventory_Data[[#This Row],[Date]],"YYYY")</f>
        <v>2025</v>
      </c>
    </row>
    <row r="944" spans="1:17" x14ac:dyDescent="0.3">
      <c r="A944" s="1">
        <v>45859</v>
      </c>
      <c r="B944" t="s">
        <v>32</v>
      </c>
      <c r="C944" t="s">
        <v>28</v>
      </c>
      <c r="D944" t="s">
        <v>37</v>
      </c>
      <c r="E944" t="s">
        <v>34</v>
      </c>
      <c r="F944">
        <v>76</v>
      </c>
      <c r="G944">
        <v>67</v>
      </c>
      <c r="H944">
        <v>96</v>
      </c>
      <c r="I944">
        <v>47</v>
      </c>
      <c r="J944">
        <v>29</v>
      </c>
      <c r="K944">
        <v>57923</v>
      </c>
      <c r="L944">
        <v>2722381</v>
      </c>
      <c r="M944">
        <f>Inventory_Data[[#This Row],[Opening Stock]]+Inventory_Data[[#This Row],[Purchase Qty]]-Inventory_Data[[#This Row],[Sales Qty]]-Inventory_Data[[#This Row],[Closing Stock]]</f>
        <v>0</v>
      </c>
      <c r="N944">
        <f>Inventory_Data[[#This Row],[Purchase Qty]]*Inventory_Data[[#This Row],[Unit Cost]]</f>
        <v>3880841</v>
      </c>
      <c r="O944" t="str">
        <f>IF(Inventory_Data[[#This Row],[Closing Stock]]&lt;=Inventory_Data[[#This Row],[Reorder Level]],"Low Stock","In Stock")</f>
        <v>In Stock</v>
      </c>
      <c r="P944" t="str">
        <f>TEXT(Inventory_Data[[#This Row],[Date]],"MMM")</f>
        <v>Jul</v>
      </c>
      <c r="Q944" t="str">
        <f>TEXT(Inventory_Data[[#This Row],[Date]],"YYYY")</f>
        <v>2025</v>
      </c>
    </row>
    <row r="945" spans="1:17" x14ac:dyDescent="0.3">
      <c r="A945" s="1">
        <v>45860</v>
      </c>
      <c r="B945" t="s">
        <v>45</v>
      </c>
      <c r="C945" t="s">
        <v>13</v>
      </c>
      <c r="D945" t="s">
        <v>14</v>
      </c>
      <c r="E945" t="s">
        <v>29</v>
      </c>
      <c r="F945">
        <v>47</v>
      </c>
      <c r="G945">
        <v>36</v>
      </c>
      <c r="H945">
        <v>23</v>
      </c>
      <c r="I945">
        <v>60</v>
      </c>
      <c r="J945">
        <v>34</v>
      </c>
      <c r="K945">
        <v>4962</v>
      </c>
      <c r="L945">
        <v>297720</v>
      </c>
      <c r="M945">
        <f>Inventory_Data[[#This Row],[Opening Stock]]+Inventory_Data[[#This Row],[Purchase Qty]]-Inventory_Data[[#This Row],[Sales Qty]]-Inventory_Data[[#This Row],[Closing Stock]]</f>
        <v>0</v>
      </c>
      <c r="N945">
        <f>Inventory_Data[[#This Row],[Purchase Qty]]*Inventory_Data[[#This Row],[Unit Cost]]</f>
        <v>178632</v>
      </c>
      <c r="O945" t="str">
        <f>IF(Inventory_Data[[#This Row],[Closing Stock]]&lt;=Inventory_Data[[#This Row],[Reorder Level]],"Low Stock","In Stock")</f>
        <v>In Stock</v>
      </c>
      <c r="P945" t="str">
        <f>TEXT(Inventory_Data[[#This Row],[Date]],"MMM")</f>
        <v>Jul</v>
      </c>
      <c r="Q945" t="str">
        <f>TEXT(Inventory_Data[[#This Row],[Date]],"YYYY")</f>
        <v>2025</v>
      </c>
    </row>
    <row r="946" spans="1:17" x14ac:dyDescent="0.3">
      <c r="A946" s="1">
        <v>45860</v>
      </c>
      <c r="B946" t="s">
        <v>42</v>
      </c>
      <c r="C946" t="s">
        <v>17</v>
      </c>
      <c r="D946" t="s">
        <v>23</v>
      </c>
      <c r="E946" t="s">
        <v>24</v>
      </c>
      <c r="F946">
        <v>78</v>
      </c>
      <c r="G946">
        <v>21</v>
      </c>
      <c r="H946">
        <v>8</v>
      </c>
      <c r="I946">
        <v>91</v>
      </c>
      <c r="J946">
        <v>24</v>
      </c>
      <c r="K946">
        <v>2486</v>
      </c>
      <c r="L946">
        <v>226226</v>
      </c>
      <c r="M946">
        <f>Inventory_Data[[#This Row],[Opening Stock]]+Inventory_Data[[#This Row],[Purchase Qty]]-Inventory_Data[[#This Row],[Sales Qty]]-Inventory_Data[[#This Row],[Closing Stock]]</f>
        <v>0</v>
      </c>
      <c r="N946">
        <f>Inventory_Data[[#This Row],[Purchase Qty]]*Inventory_Data[[#This Row],[Unit Cost]]</f>
        <v>52206</v>
      </c>
      <c r="O946" t="str">
        <f>IF(Inventory_Data[[#This Row],[Closing Stock]]&lt;=Inventory_Data[[#This Row],[Reorder Level]],"Low Stock","In Stock")</f>
        <v>In Stock</v>
      </c>
      <c r="P946" t="str">
        <f>TEXT(Inventory_Data[[#This Row],[Date]],"MMM")</f>
        <v>Jul</v>
      </c>
      <c r="Q946" t="str">
        <f>TEXT(Inventory_Data[[#This Row],[Date]],"YYYY")</f>
        <v>2025</v>
      </c>
    </row>
    <row r="947" spans="1:17" x14ac:dyDescent="0.3">
      <c r="A947" s="1">
        <v>45860</v>
      </c>
      <c r="B947" t="s">
        <v>40</v>
      </c>
      <c r="C947" t="s">
        <v>28</v>
      </c>
      <c r="D947" t="s">
        <v>26</v>
      </c>
      <c r="E947" t="s">
        <v>29</v>
      </c>
      <c r="F947">
        <v>92</v>
      </c>
      <c r="G947">
        <v>47</v>
      </c>
      <c r="H947">
        <v>68</v>
      </c>
      <c r="I947">
        <v>71</v>
      </c>
      <c r="J947">
        <v>25</v>
      </c>
      <c r="K947">
        <v>63758</v>
      </c>
      <c r="L947">
        <v>4526818</v>
      </c>
      <c r="M947">
        <f>Inventory_Data[[#This Row],[Opening Stock]]+Inventory_Data[[#This Row],[Purchase Qty]]-Inventory_Data[[#This Row],[Sales Qty]]-Inventory_Data[[#This Row],[Closing Stock]]</f>
        <v>0</v>
      </c>
      <c r="N947">
        <f>Inventory_Data[[#This Row],[Purchase Qty]]*Inventory_Data[[#This Row],[Unit Cost]]</f>
        <v>2996626</v>
      </c>
      <c r="O947" t="str">
        <f>IF(Inventory_Data[[#This Row],[Closing Stock]]&lt;=Inventory_Data[[#This Row],[Reorder Level]],"Low Stock","In Stock")</f>
        <v>In Stock</v>
      </c>
      <c r="P947" t="str">
        <f>TEXT(Inventory_Data[[#This Row],[Date]],"MMM")</f>
        <v>Jul</v>
      </c>
      <c r="Q947" t="str">
        <f>TEXT(Inventory_Data[[#This Row],[Date]],"YYYY")</f>
        <v>2025</v>
      </c>
    </row>
    <row r="948" spans="1:17" x14ac:dyDescent="0.3">
      <c r="A948" s="1">
        <v>45860</v>
      </c>
      <c r="B948" t="s">
        <v>19</v>
      </c>
      <c r="C948" t="s">
        <v>13</v>
      </c>
      <c r="D948" t="s">
        <v>14</v>
      </c>
      <c r="E948" t="s">
        <v>18</v>
      </c>
      <c r="F948">
        <v>91</v>
      </c>
      <c r="G948">
        <v>24</v>
      </c>
      <c r="H948">
        <v>27</v>
      </c>
      <c r="I948">
        <v>88</v>
      </c>
      <c r="J948">
        <v>27</v>
      </c>
      <c r="K948">
        <v>12645</v>
      </c>
      <c r="L948">
        <v>1112760</v>
      </c>
      <c r="M948">
        <f>Inventory_Data[[#This Row],[Opening Stock]]+Inventory_Data[[#This Row],[Purchase Qty]]-Inventory_Data[[#This Row],[Sales Qty]]-Inventory_Data[[#This Row],[Closing Stock]]</f>
        <v>0</v>
      </c>
      <c r="N948">
        <f>Inventory_Data[[#This Row],[Purchase Qty]]*Inventory_Data[[#This Row],[Unit Cost]]</f>
        <v>303480</v>
      </c>
      <c r="O948" t="str">
        <f>IF(Inventory_Data[[#This Row],[Closing Stock]]&lt;=Inventory_Data[[#This Row],[Reorder Level]],"Low Stock","In Stock")</f>
        <v>In Stock</v>
      </c>
      <c r="P948" t="str">
        <f>TEXT(Inventory_Data[[#This Row],[Date]],"MMM")</f>
        <v>Jul</v>
      </c>
      <c r="Q948" t="str">
        <f>TEXT(Inventory_Data[[#This Row],[Date]],"YYYY")</f>
        <v>2025</v>
      </c>
    </row>
    <row r="949" spans="1:17" x14ac:dyDescent="0.3">
      <c r="A949" s="1">
        <v>45860</v>
      </c>
      <c r="B949" t="s">
        <v>43</v>
      </c>
      <c r="C949" t="s">
        <v>22</v>
      </c>
      <c r="D949" t="s">
        <v>26</v>
      </c>
      <c r="E949" t="s">
        <v>20</v>
      </c>
      <c r="F949">
        <v>301</v>
      </c>
      <c r="G949">
        <v>258</v>
      </c>
      <c r="H949">
        <v>173</v>
      </c>
      <c r="I949">
        <v>386</v>
      </c>
      <c r="J949">
        <v>98</v>
      </c>
      <c r="K949">
        <v>66</v>
      </c>
      <c r="L949">
        <v>25476</v>
      </c>
      <c r="M949">
        <f>Inventory_Data[[#This Row],[Opening Stock]]+Inventory_Data[[#This Row],[Purchase Qty]]-Inventory_Data[[#This Row],[Sales Qty]]-Inventory_Data[[#This Row],[Closing Stock]]</f>
        <v>0</v>
      </c>
      <c r="N949">
        <f>Inventory_Data[[#This Row],[Purchase Qty]]*Inventory_Data[[#This Row],[Unit Cost]]</f>
        <v>17028</v>
      </c>
      <c r="O949" t="str">
        <f>IF(Inventory_Data[[#This Row],[Closing Stock]]&lt;=Inventory_Data[[#This Row],[Reorder Level]],"Low Stock","In Stock")</f>
        <v>In Stock</v>
      </c>
      <c r="P949" t="str">
        <f>TEXT(Inventory_Data[[#This Row],[Date]],"MMM")</f>
        <v>Jul</v>
      </c>
      <c r="Q949" t="str">
        <f>TEXT(Inventory_Data[[#This Row],[Date]],"YYYY")</f>
        <v>2025</v>
      </c>
    </row>
    <row r="950" spans="1:17" x14ac:dyDescent="0.3">
      <c r="A950" s="1">
        <v>45861</v>
      </c>
      <c r="B950" t="s">
        <v>16</v>
      </c>
      <c r="C950" t="s">
        <v>17</v>
      </c>
      <c r="D950" t="s">
        <v>14</v>
      </c>
      <c r="E950" t="s">
        <v>15</v>
      </c>
      <c r="F950">
        <v>77</v>
      </c>
      <c r="G950">
        <v>28</v>
      </c>
      <c r="H950">
        <v>30</v>
      </c>
      <c r="I950">
        <v>75</v>
      </c>
      <c r="J950">
        <v>13</v>
      </c>
      <c r="K950">
        <v>19876</v>
      </c>
      <c r="L950">
        <v>1490700</v>
      </c>
      <c r="M950">
        <f>Inventory_Data[[#This Row],[Opening Stock]]+Inventory_Data[[#This Row],[Purchase Qty]]-Inventory_Data[[#This Row],[Sales Qty]]-Inventory_Data[[#This Row],[Closing Stock]]</f>
        <v>0</v>
      </c>
      <c r="N950">
        <f>Inventory_Data[[#This Row],[Purchase Qty]]*Inventory_Data[[#This Row],[Unit Cost]]</f>
        <v>556528</v>
      </c>
      <c r="O950" t="str">
        <f>IF(Inventory_Data[[#This Row],[Closing Stock]]&lt;=Inventory_Data[[#This Row],[Reorder Level]],"Low Stock","In Stock")</f>
        <v>In Stock</v>
      </c>
      <c r="P950" t="str">
        <f>TEXT(Inventory_Data[[#This Row],[Date]],"MMM")</f>
        <v>Jul</v>
      </c>
      <c r="Q950" t="str">
        <f>TEXT(Inventory_Data[[#This Row],[Date]],"YYYY")</f>
        <v>2025</v>
      </c>
    </row>
    <row r="951" spans="1:17" x14ac:dyDescent="0.3">
      <c r="A951" s="1">
        <v>45861</v>
      </c>
      <c r="B951" t="s">
        <v>32</v>
      </c>
      <c r="C951" t="s">
        <v>28</v>
      </c>
      <c r="D951" t="s">
        <v>37</v>
      </c>
      <c r="E951" t="s">
        <v>15</v>
      </c>
      <c r="F951">
        <v>128</v>
      </c>
      <c r="G951">
        <v>29</v>
      </c>
      <c r="H951">
        <v>77</v>
      </c>
      <c r="I951">
        <v>80</v>
      </c>
      <c r="J951">
        <v>23</v>
      </c>
      <c r="K951">
        <v>14790</v>
      </c>
      <c r="L951">
        <v>1183200</v>
      </c>
      <c r="M951">
        <f>Inventory_Data[[#This Row],[Opening Stock]]+Inventory_Data[[#This Row],[Purchase Qty]]-Inventory_Data[[#This Row],[Sales Qty]]-Inventory_Data[[#This Row],[Closing Stock]]</f>
        <v>0</v>
      </c>
      <c r="N951">
        <f>Inventory_Data[[#This Row],[Purchase Qty]]*Inventory_Data[[#This Row],[Unit Cost]]</f>
        <v>428910</v>
      </c>
      <c r="O951" t="str">
        <f>IF(Inventory_Data[[#This Row],[Closing Stock]]&lt;=Inventory_Data[[#This Row],[Reorder Level]],"Low Stock","In Stock")</f>
        <v>In Stock</v>
      </c>
      <c r="P951" t="str">
        <f>TEXT(Inventory_Data[[#This Row],[Date]],"MMM")</f>
        <v>Jul</v>
      </c>
      <c r="Q951" t="str">
        <f>TEXT(Inventory_Data[[#This Row],[Date]],"YYYY")</f>
        <v>2025</v>
      </c>
    </row>
    <row r="952" spans="1:17" x14ac:dyDescent="0.3">
      <c r="A952" s="1">
        <v>45861</v>
      </c>
      <c r="B952" t="s">
        <v>43</v>
      </c>
      <c r="C952" t="s">
        <v>22</v>
      </c>
      <c r="D952" t="s">
        <v>26</v>
      </c>
      <c r="E952" t="s">
        <v>20</v>
      </c>
      <c r="F952">
        <v>148</v>
      </c>
      <c r="G952">
        <v>205</v>
      </c>
      <c r="H952">
        <v>271</v>
      </c>
      <c r="I952">
        <v>82</v>
      </c>
      <c r="J952">
        <v>110</v>
      </c>
      <c r="K952">
        <v>162</v>
      </c>
      <c r="L952">
        <v>13284</v>
      </c>
      <c r="M952">
        <f>Inventory_Data[[#This Row],[Opening Stock]]+Inventory_Data[[#This Row],[Purchase Qty]]-Inventory_Data[[#This Row],[Sales Qty]]-Inventory_Data[[#This Row],[Closing Stock]]</f>
        <v>0</v>
      </c>
      <c r="N952">
        <f>Inventory_Data[[#This Row],[Purchase Qty]]*Inventory_Data[[#This Row],[Unit Cost]]</f>
        <v>33210</v>
      </c>
      <c r="O952" t="str">
        <f>IF(Inventory_Data[[#This Row],[Closing Stock]]&lt;=Inventory_Data[[#This Row],[Reorder Level]],"Low Stock","In Stock")</f>
        <v>Low Stock</v>
      </c>
      <c r="P952" t="str">
        <f>TEXT(Inventory_Data[[#This Row],[Date]],"MMM")</f>
        <v>Jul</v>
      </c>
      <c r="Q952" t="str">
        <f>TEXT(Inventory_Data[[#This Row],[Date]],"YYYY")</f>
        <v>2025</v>
      </c>
    </row>
    <row r="953" spans="1:17" x14ac:dyDescent="0.3">
      <c r="A953" s="1">
        <v>45861</v>
      </c>
      <c r="B953" t="s">
        <v>30</v>
      </c>
      <c r="C953" t="s">
        <v>28</v>
      </c>
      <c r="D953" t="s">
        <v>23</v>
      </c>
      <c r="E953" t="s">
        <v>29</v>
      </c>
      <c r="F953">
        <v>81</v>
      </c>
      <c r="G953">
        <v>10</v>
      </c>
      <c r="H953">
        <v>21</v>
      </c>
      <c r="I953">
        <v>70</v>
      </c>
      <c r="J953">
        <v>28</v>
      </c>
      <c r="K953">
        <v>4143</v>
      </c>
      <c r="L953">
        <v>290010</v>
      </c>
      <c r="M953">
        <f>Inventory_Data[[#This Row],[Opening Stock]]+Inventory_Data[[#This Row],[Purchase Qty]]-Inventory_Data[[#This Row],[Sales Qty]]-Inventory_Data[[#This Row],[Closing Stock]]</f>
        <v>0</v>
      </c>
      <c r="N953">
        <f>Inventory_Data[[#This Row],[Purchase Qty]]*Inventory_Data[[#This Row],[Unit Cost]]</f>
        <v>41430</v>
      </c>
      <c r="O953" t="str">
        <f>IF(Inventory_Data[[#This Row],[Closing Stock]]&lt;=Inventory_Data[[#This Row],[Reorder Level]],"Low Stock","In Stock")</f>
        <v>In Stock</v>
      </c>
      <c r="P953" t="str">
        <f>TEXT(Inventory_Data[[#This Row],[Date]],"MMM")</f>
        <v>Jul</v>
      </c>
      <c r="Q953" t="str">
        <f>TEXT(Inventory_Data[[#This Row],[Date]],"YYYY")</f>
        <v>2025</v>
      </c>
    </row>
    <row r="954" spans="1:17" x14ac:dyDescent="0.3">
      <c r="A954" s="1">
        <v>45861</v>
      </c>
      <c r="B954" t="s">
        <v>27</v>
      </c>
      <c r="C954" t="s">
        <v>28</v>
      </c>
      <c r="D954" t="s">
        <v>14</v>
      </c>
      <c r="E954" t="s">
        <v>18</v>
      </c>
      <c r="F954">
        <v>59</v>
      </c>
      <c r="G954">
        <v>28</v>
      </c>
      <c r="H954">
        <v>71</v>
      </c>
      <c r="I954">
        <v>16</v>
      </c>
      <c r="J954">
        <v>38</v>
      </c>
      <c r="K954">
        <v>44401</v>
      </c>
      <c r="L954">
        <v>710416</v>
      </c>
      <c r="M954">
        <f>Inventory_Data[[#This Row],[Opening Stock]]+Inventory_Data[[#This Row],[Purchase Qty]]-Inventory_Data[[#This Row],[Sales Qty]]-Inventory_Data[[#This Row],[Closing Stock]]</f>
        <v>0</v>
      </c>
      <c r="N954">
        <f>Inventory_Data[[#This Row],[Purchase Qty]]*Inventory_Data[[#This Row],[Unit Cost]]</f>
        <v>1243228</v>
      </c>
      <c r="O954" t="str">
        <f>IF(Inventory_Data[[#This Row],[Closing Stock]]&lt;=Inventory_Data[[#This Row],[Reorder Level]],"Low Stock","In Stock")</f>
        <v>Low Stock</v>
      </c>
      <c r="P954" t="str">
        <f>TEXT(Inventory_Data[[#This Row],[Date]],"MMM")</f>
        <v>Jul</v>
      </c>
      <c r="Q954" t="str">
        <f>TEXT(Inventory_Data[[#This Row],[Date]],"YYYY")</f>
        <v>2025</v>
      </c>
    </row>
    <row r="955" spans="1:17" x14ac:dyDescent="0.3">
      <c r="A955" s="1">
        <v>45861</v>
      </c>
      <c r="B955" t="s">
        <v>44</v>
      </c>
      <c r="C955" t="s">
        <v>28</v>
      </c>
      <c r="D955" t="s">
        <v>26</v>
      </c>
      <c r="E955" t="s">
        <v>18</v>
      </c>
      <c r="F955">
        <v>131</v>
      </c>
      <c r="G955">
        <v>119</v>
      </c>
      <c r="H955">
        <v>31</v>
      </c>
      <c r="I955">
        <v>219</v>
      </c>
      <c r="J955">
        <v>27</v>
      </c>
      <c r="K955">
        <v>7695</v>
      </c>
      <c r="L955">
        <v>1685205</v>
      </c>
      <c r="M955">
        <f>Inventory_Data[[#This Row],[Opening Stock]]+Inventory_Data[[#This Row],[Purchase Qty]]-Inventory_Data[[#This Row],[Sales Qty]]-Inventory_Data[[#This Row],[Closing Stock]]</f>
        <v>0</v>
      </c>
      <c r="N955">
        <f>Inventory_Data[[#This Row],[Purchase Qty]]*Inventory_Data[[#This Row],[Unit Cost]]</f>
        <v>915705</v>
      </c>
      <c r="O955" t="str">
        <f>IF(Inventory_Data[[#This Row],[Closing Stock]]&lt;=Inventory_Data[[#This Row],[Reorder Level]],"Low Stock","In Stock")</f>
        <v>In Stock</v>
      </c>
      <c r="P955" t="str">
        <f>TEXT(Inventory_Data[[#This Row],[Date]],"MMM")</f>
        <v>Jul</v>
      </c>
      <c r="Q955" t="str">
        <f>TEXT(Inventory_Data[[#This Row],[Date]],"YYYY")</f>
        <v>2025</v>
      </c>
    </row>
    <row r="956" spans="1:17" x14ac:dyDescent="0.3">
      <c r="A956" s="1">
        <v>45861</v>
      </c>
      <c r="B956" t="s">
        <v>39</v>
      </c>
      <c r="C956" t="s">
        <v>28</v>
      </c>
      <c r="D956" t="s">
        <v>14</v>
      </c>
      <c r="E956" t="s">
        <v>18</v>
      </c>
      <c r="F956">
        <v>164</v>
      </c>
      <c r="G956">
        <v>98</v>
      </c>
      <c r="H956">
        <v>96</v>
      </c>
      <c r="I956">
        <v>166</v>
      </c>
      <c r="J956">
        <v>34</v>
      </c>
      <c r="K956">
        <v>4444</v>
      </c>
      <c r="L956">
        <v>737704</v>
      </c>
      <c r="M956">
        <f>Inventory_Data[[#This Row],[Opening Stock]]+Inventory_Data[[#This Row],[Purchase Qty]]-Inventory_Data[[#This Row],[Sales Qty]]-Inventory_Data[[#This Row],[Closing Stock]]</f>
        <v>0</v>
      </c>
      <c r="N956">
        <f>Inventory_Data[[#This Row],[Purchase Qty]]*Inventory_Data[[#This Row],[Unit Cost]]</f>
        <v>435512</v>
      </c>
      <c r="O956" t="str">
        <f>IF(Inventory_Data[[#This Row],[Closing Stock]]&lt;=Inventory_Data[[#This Row],[Reorder Level]],"Low Stock","In Stock")</f>
        <v>In Stock</v>
      </c>
      <c r="P956" t="str">
        <f>TEXT(Inventory_Data[[#This Row],[Date]],"MMM")</f>
        <v>Jul</v>
      </c>
      <c r="Q956" t="str">
        <f>TEXT(Inventory_Data[[#This Row],[Date]],"YYYY")</f>
        <v>2025</v>
      </c>
    </row>
    <row r="957" spans="1:17" x14ac:dyDescent="0.3">
      <c r="A957" s="1">
        <v>45861</v>
      </c>
      <c r="B957" t="s">
        <v>36</v>
      </c>
      <c r="C957" t="s">
        <v>22</v>
      </c>
      <c r="D957" t="s">
        <v>14</v>
      </c>
      <c r="E957" t="s">
        <v>20</v>
      </c>
      <c r="F957">
        <v>214</v>
      </c>
      <c r="G957">
        <v>149</v>
      </c>
      <c r="H957">
        <v>53</v>
      </c>
      <c r="I957">
        <v>310</v>
      </c>
      <c r="J957">
        <v>128</v>
      </c>
      <c r="K957">
        <v>175</v>
      </c>
      <c r="L957">
        <v>54250</v>
      </c>
      <c r="M957">
        <f>Inventory_Data[[#This Row],[Opening Stock]]+Inventory_Data[[#This Row],[Purchase Qty]]-Inventory_Data[[#This Row],[Sales Qty]]-Inventory_Data[[#This Row],[Closing Stock]]</f>
        <v>0</v>
      </c>
      <c r="N957">
        <f>Inventory_Data[[#This Row],[Purchase Qty]]*Inventory_Data[[#This Row],[Unit Cost]]</f>
        <v>26075</v>
      </c>
      <c r="O957" t="str">
        <f>IF(Inventory_Data[[#This Row],[Closing Stock]]&lt;=Inventory_Data[[#This Row],[Reorder Level]],"Low Stock","In Stock")</f>
        <v>In Stock</v>
      </c>
      <c r="P957" t="str">
        <f>TEXT(Inventory_Data[[#This Row],[Date]],"MMM")</f>
        <v>Jul</v>
      </c>
      <c r="Q957" t="str">
        <f>TEXT(Inventory_Data[[#This Row],[Date]],"YYYY")</f>
        <v>2025</v>
      </c>
    </row>
    <row r="958" spans="1:17" x14ac:dyDescent="0.3">
      <c r="A958" s="1">
        <v>45861</v>
      </c>
      <c r="B958" t="s">
        <v>35</v>
      </c>
      <c r="C958" t="s">
        <v>22</v>
      </c>
      <c r="D958" t="s">
        <v>23</v>
      </c>
      <c r="E958" t="s">
        <v>20</v>
      </c>
      <c r="F958">
        <v>57</v>
      </c>
      <c r="G958">
        <v>72</v>
      </c>
      <c r="H958">
        <v>119</v>
      </c>
      <c r="I958">
        <v>10</v>
      </c>
      <c r="J958">
        <v>149</v>
      </c>
      <c r="K958">
        <v>768</v>
      </c>
      <c r="L958">
        <v>7680</v>
      </c>
      <c r="M958">
        <f>Inventory_Data[[#This Row],[Opening Stock]]+Inventory_Data[[#This Row],[Purchase Qty]]-Inventory_Data[[#This Row],[Sales Qty]]-Inventory_Data[[#This Row],[Closing Stock]]</f>
        <v>0</v>
      </c>
      <c r="N958">
        <f>Inventory_Data[[#This Row],[Purchase Qty]]*Inventory_Data[[#This Row],[Unit Cost]]</f>
        <v>55296</v>
      </c>
      <c r="O958" t="str">
        <f>IF(Inventory_Data[[#This Row],[Closing Stock]]&lt;=Inventory_Data[[#This Row],[Reorder Level]],"Low Stock","In Stock")</f>
        <v>Low Stock</v>
      </c>
      <c r="P958" t="str">
        <f>TEXT(Inventory_Data[[#This Row],[Date]],"MMM")</f>
        <v>Jul</v>
      </c>
      <c r="Q958" t="str">
        <f>TEXT(Inventory_Data[[#This Row],[Date]],"YYYY")</f>
        <v>2025</v>
      </c>
    </row>
    <row r="959" spans="1:17" x14ac:dyDescent="0.3">
      <c r="A959" s="1">
        <v>45862</v>
      </c>
      <c r="B959" t="s">
        <v>19</v>
      </c>
      <c r="C959" t="s">
        <v>13</v>
      </c>
      <c r="D959" t="s">
        <v>14</v>
      </c>
      <c r="E959" t="s">
        <v>18</v>
      </c>
      <c r="F959">
        <v>102</v>
      </c>
      <c r="G959">
        <v>41</v>
      </c>
      <c r="H959">
        <v>9</v>
      </c>
      <c r="I959">
        <v>134</v>
      </c>
      <c r="J959">
        <v>37</v>
      </c>
      <c r="K959">
        <v>17603</v>
      </c>
      <c r="L959">
        <v>2358802</v>
      </c>
      <c r="M959">
        <f>Inventory_Data[[#This Row],[Opening Stock]]+Inventory_Data[[#This Row],[Purchase Qty]]-Inventory_Data[[#This Row],[Sales Qty]]-Inventory_Data[[#This Row],[Closing Stock]]</f>
        <v>0</v>
      </c>
      <c r="N959">
        <f>Inventory_Data[[#This Row],[Purchase Qty]]*Inventory_Data[[#This Row],[Unit Cost]]</f>
        <v>721723</v>
      </c>
      <c r="O959" t="str">
        <f>IF(Inventory_Data[[#This Row],[Closing Stock]]&lt;=Inventory_Data[[#This Row],[Reorder Level]],"Low Stock","In Stock")</f>
        <v>In Stock</v>
      </c>
      <c r="P959" t="str">
        <f>TEXT(Inventory_Data[[#This Row],[Date]],"MMM")</f>
        <v>Jul</v>
      </c>
      <c r="Q959" t="str">
        <f>TEXT(Inventory_Data[[#This Row],[Date]],"YYYY")</f>
        <v>2025</v>
      </c>
    </row>
    <row r="960" spans="1:17" x14ac:dyDescent="0.3">
      <c r="A960" s="1">
        <v>45862</v>
      </c>
      <c r="B960" t="s">
        <v>45</v>
      </c>
      <c r="C960" t="s">
        <v>13</v>
      </c>
      <c r="D960" t="s">
        <v>37</v>
      </c>
      <c r="E960" t="s">
        <v>20</v>
      </c>
      <c r="F960">
        <v>119</v>
      </c>
      <c r="G960">
        <v>5</v>
      </c>
      <c r="H960">
        <v>59</v>
      </c>
      <c r="I960">
        <v>65</v>
      </c>
      <c r="J960">
        <v>30</v>
      </c>
      <c r="K960">
        <v>11084</v>
      </c>
      <c r="L960">
        <v>720460</v>
      </c>
      <c r="M960">
        <f>Inventory_Data[[#This Row],[Opening Stock]]+Inventory_Data[[#This Row],[Purchase Qty]]-Inventory_Data[[#This Row],[Sales Qty]]-Inventory_Data[[#This Row],[Closing Stock]]</f>
        <v>0</v>
      </c>
      <c r="N960">
        <f>Inventory_Data[[#This Row],[Purchase Qty]]*Inventory_Data[[#This Row],[Unit Cost]]</f>
        <v>55420</v>
      </c>
      <c r="O960" t="str">
        <f>IF(Inventory_Data[[#This Row],[Closing Stock]]&lt;=Inventory_Data[[#This Row],[Reorder Level]],"Low Stock","In Stock")</f>
        <v>In Stock</v>
      </c>
      <c r="P960" t="str">
        <f>TEXT(Inventory_Data[[#This Row],[Date]],"MMM")</f>
        <v>Jul</v>
      </c>
      <c r="Q960" t="str">
        <f>TEXT(Inventory_Data[[#This Row],[Date]],"YYYY")</f>
        <v>2025</v>
      </c>
    </row>
    <row r="961" spans="1:17" x14ac:dyDescent="0.3">
      <c r="A961" s="1">
        <v>45862</v>
      </c>
      <c r="B961" t="s">
        <v>40</v>
      </c>
      <c r="C961" t="s">
        <v>28</v>
      </c>
      <c r="D961" t="s">
        <v>14</v>
      </c>
      <c r="E961" t="s">
        <v>34</v>
      </c>
      <c r="F961">
        <v>145</v>
      </c>
      <c r="G961">
        <v>116</v>
      </c>
      <c r="H961">
        <v>47</v>
      </c>
      <c r="I961">
        <v>214</v>
      </c>
      <c r="J961">
        <v>30</v>
      </c>
      <c r="K961">
        <v>12815</v>
      </c>
      <c r="L961">
        <v>2742410</v>
      </c>
      <c r="M961">
        <f>Inventory_Data[[#This Row],[Opening Stock]]+Inventory_Data[[#This Row],[Purchase Qty]]-Inventory_Data[[#This Row],[Sales Qty]]-Inventory_Data[[#This Row],[Closing Stock]]</f>
        <v>0</v>
      </c>
      <c r="N961">
        <f>Inventory_Data[[#This Row],[Purchase Qty]]*Inventory_Data[[#This Row],[Unit Cost]]</f>
        <v>1486540</v>
      </c>
      <c r="O961" t="str">
        <f>IF(Inventory_Data[[#This Row],[Closing Stock]]&lt;=Inventory_Data[[#This Row],[Reorder Level]],"Low Stock","In Stock")</f>
        <v>In Stock</v>
      </c>
      <c r="P961" t="str">
        <f>TEXT(Inventory_Data[[#This Row],[Date]],"MMM")</f>
        <v>Jul</v>
      </c>
      <c r="Q961" t="str">
        <f>TEXT(Inventory_Data[[#This Row],[Date]],"YYYY")</f>
        <v>2025</v>
      </c>
    </row>
    <row r="962" spans="1:17" x14ac:dyDescent="0.3">
      <c r="A962" s="1">
        <v>45862</v>
      </c>
      <c r="B962" t="s">
        <v>19</v>
      </c>
      <c r="C962" t="s">
        <v>13</v>
      </c>
      <c r="D962" t="s">
        <v>23</v>
      </c>
      <c r="E962" t="s">
        <v>15</v>
      </c>
      <c r="F962">
        <v>87</v>
      </c>
      <c r="G962">
        <v>8</v>
      </c>
      <c r="H962">
        <v>14</v>
      </c>
      <c r="I962">
        <v>81</v>
      </c>
      <c r="J962">
        <v>30</v>
      </c>
      <c r="K962">
        <v>17160</v>
      </c>
      <c r="L962">
        <v>1389960</v>
      </c>
      <c r="M962">
        <f>Inventory_Data[[#This Row],[Opening Stock]]+Inventory_Data[[#This Row],[Purchase Qty]]-Inventory_Data[[#This Row],[Sales Qty]]-Inventory_Data[[#This Row],[Closing Stock]]</f>
        <v>0</v>
      </c>
      <c r="N962">
        <f>Inventory_Data[[#This Row],[Purchase Qty]]*Inventory_Data[[#This Row],[Unit Cost]]</f>
        <v>137280</v>
      </c>
      <c r="O962" t="str">
        <f>IF(Inventory_Data[[#This Row],[Closing Stock]]&lt;=Inventory_Data[[#This Row],[Reorder Level]],"Low Stock","In Stock")</f>
        <v>In Stock</v>
      </c>
      <c r="P962" t="str">
        <f>TEXT(Inventory_Data[[#This Row],[Date]],"MMM")</f>
        <v>Jul</v>
      </c>
      <c r="Q962" t="str">
        <f>TEXT(Inventory_Data[[#This Row],[Date]],"YYYY")</f>
        <v>2025</v>
      </c>
    </row>
    <row r="963" spans="1:17" x14ac:dyDescent="0.3">
      <c r="A963" s="1">
        <v>45862</v>
      </c>
      <c r="B963" t="s">
        <v>40</v>
      </c>
      <c r="C963" t="s">
        <v>28</v>
      </c>
      <c r="D963" t="s">
        <v>26</v>
      </c>
      <c r="E963" t="s">
        <v>29</v>
      </c>
      <c r="F963">
        <v>129</v>
      </c>
      <c r="G963">
        <v>112</v>
      </c>
      <c r="H963">
        <v>81</v>
      </c>
      <c r="I963">
        <v>160</v>
      </c>
      <c r="J963">
        <v>31</v>
      </c>
      <c r="K963">
        <v>26318</v>
      </c>
      <c r="L963">
        <v>4210880</v>
      </c>
      <c r="M963">
        <f>Inventory_Data[[#This Row],[Opening Stock]]+Inventory_Data[[#This Row],[Purchase Qty]]-Inventory_Data[[#This Row],[Sales Qty]]-Inventory_Data[[#This Row],[Closing Stock]]</f>
        <v>0</v>
      </c>
      <c r="N963">
        <f>Inventory_Data[[#This Row],[Purchase Qty]]*Inventory_Data[[#This Row],[Unit Cost]]</f>
        <v>2947616</v>
      </c>
      <c r="O963" t="str">
        <f>IF(Inventory_Data[[#This Row],[Closing Stock]]&lt;=Inventory_Data[[#This Row],[Reorder Level]],"Low Stock","In Stock")</f>
        <v>In Stock</v>
      </c>
      <c r="P963" t="str">
        <f>TEXT(Inventory_Data[[#This Row],[Date]],"MMM")</f>
        <v>Jul</v>
      </c>
      <c r="Q963" t="str">
        <f>TEXT(Inventory_Data[[#This Row],[Date]],"YYYY")</f>
        <v>2025</v>
      </c>
    </row>
    <row r="964" spans="1:17" x14ac:dyDescent="0.3">
      <c r="A964" s="1">
        <v>45862</v>
      </c>
      <c r="B964" t="s">
        <v>36</v>
      </c>
      <c r="C964" t="s">
        <v>22</v>
      </c>
      <c r="D964" t="s">
        <v>26</v>
      </c>
      <c r="E964" t="s">
        <v>18</v>
      </c>
      <c r="F964">
        <v>309</v>
      </c>
      <c r="G964">
        <v>243</v>
      </c>
      <c r="H964">
        <v>265</v>
      </c>
      <c r="I964">
        <v>287</v>
      </c>
      <c r="J964">
        <v>110</v>
      </c>
      <c r="K964">
        <v>154</v>
      </c>
      <c r="L964">
        <v>44198</v>
      </c>
      <c r="M964">
        <f>Inventory_Data[[#This Row],[Opening Stock]]+Inventory_Data[[#This Row],[Purchase Qty]]-Inventory_Data[[#This Row],[Sales Qty]]-Inventory_Data[[#This Row],[Closing Stock]]</f>
        <v>0</v>
      </c>
      <c r="N964">
        <f>Inventory_Data[[#This Row],[Purchase Qty]]*Inventory_Data[[#This Row],[Unit Cost]]</f>
        <v>37422</v>
      </c>
      <c r="O964" t="str">
        <f>IF(Inventory_Data[[#This Row],[Closing Stock]]&lt;=Inventory_Data[[#This Row],[Reorder Level]],"Low Stock","In Stock")</f>
        <v>In Stock</v>
      </c>
      <c r="P964" t="str">
        <f>TEXT(Inventory_Data[[#This Row],[Date]],"MMM")</f>
        <v>Jul</v>
      </c>
      <c r="Q964" t="str">
        <f>TEXT(Inventory_Data[[#This Row],[Date]],"YYYY")</f>
        <v>2025</v>
      </c>
    </row>
    <row r="965" spans="1:17" x14ac:dyDescent="0.3">
      <c r="A965" s="1">
        <v>45862</v>
      </c>
      <c r="B965" t="s">
        <v>30</v>
      </c>
      <c r="C965" t="s">
        <v>28</v>
      </c>
      <c r="D965" t="s">
        <v>14</v>
      </c>
      <c r="E965" t="s">
        <v>20</v>
      </c>
      <c r="F965">
        <v>148</v>
      </c>
      <c r="G965">
        <v>49</v>
      </c>
      <c r="H965">
        <v>41</v>
      </c>
      <c r="I965">
        <v>156</v>
      </c>
      <c r="J965">
        <v>36</v>
      </c>
      <c r="K965">
        <v>61246</v>
      </c>
      <c r="L965">
        <v>9554376</v>
      </c>
      <c r="M965">
        <f>Inventory_Data[[#This Row],[Opening Stock]]+Inventory_Data[[#This Row],[Purchase Qty]]-Inventory_Data[[#This Row],[Sales Qty]]-Inventory_Data[[#This Row],[Closing Stock]]</f>
        <v>0</v>
      </c>
      <c r="N965">
        <f>Inventory_Data[[#This Row],[Purchase Qty]]*Inventory_Data[[#This Row],[Unit Cost]]</f>
        <v>3001054</v>
      </c>
      <c r="O965" t="str">
        <f>IF(Inventory_Data[[#This Row],[Closing Stock]]&lt;=Inventory_Data[[#This Row],[Reorder Level]],"Low Stock","In Stock")</f>
        <v>In Stock</v>
      </c>
      <c r="P965" t="str">
        <f>TEXT(Inventory_Data[[#This Row],[Date]],"MMM")</f>
        <v>Jul</v>
      </c>
      <c r="Q965" t="str">
        <f>TEXT(Inventory_Data[[#This Row],[Date]],"YYYY")</f>
        <v>2025</v>
      </c>
    </row>
    <row r="966" spans="1:17" x14ac:dyDescent="0.3">
      <c r="A966" s="1">
        <v>45862</v>
      </c>
      <c r="B966" t="s">
        <v>44</v>
      </c>
      <c r="C966" t="s">
        <v>28</v>
      </c>
      <c r="D966" t="s">
        <v>23</v>
      </c>
      <c r="E966" t="s">
        <v>18</v>
      </c>
      <c r="F966">
        <v>168</v>
      </c>
      <c r="G966">
        <v>67</v>
      </c>
      <c r="H966">
        <v>89</v>
      </c>
      <c r="I966">
        <v>146</v>
      </c>
      <c r="J966">
        <v>29</v>
      </c>
      <c r="K966">
        <v>22500</v>
      </c>
      <c r="L966">
        <v>3285000</v>
      </c>
      <c r="M966">
        <f>Inventory_Data[[#This Row],[Opening Stock]]+Inventory_Data[[#This Row],[Purchase Qty]]-Inventory_Data[[#This Row],[Sales Qty]]-Inventory_Data[[#This Row],[Closing Stock]]</f>
        <v>0</v>
      </c>
      <c r="N966">
        <f>Inventory_Data[[#This Row],[Purchase Qty]]*Inventory_Data[[#This Row],[Unit Cost]]</f>
        <v>1507500</v>
      </c>
      <c r="O966" t="str">
        <f>IF(Inventory_Data[[#This Row],[Closing Stock]]&lt;=Inventory_Data[[#This Row],[Reorder Level]],"Low Stock","In Stock")</f>
        <v>In Stock</v>
      </c>
      <c r="P966" t="str">
        <f>TEXT(Inventory_Data[[#This Row],[Date]],"MMM")</f>
        <v>Jul</v>
      </c>
      <c r="Q966" t="str">
        <f>TEXT(Inventory_Data[[#This Row],[Date]],"YYYY")</f>
        <v>2025</v>
      </c>
    </row>
    <row r="967" spans="1:17" x14ac:dyDescent="0.3">
      <c r="A967" s="1">
        <v>45863</v>
      </c>
      <c r="B967" t="s">
        <v>38</v>
      </c>
      <c r="C967" t="s">
        <v>17</v>
      </c>
      <c r="D967" t="s">
        <v>14</v>
      </c>
      <c r="E967" t="s">
        <v>20</v>
      </c>
      <c r="F967">
        <v>99</v>
      </c>
      <c r="G967">
        <v>55</v>
      </c>
      <c r="H967">
        <v>6</v>
      </c>
      <c r="I967">
        <v>148</v>
      </c>
      <c r="J967">
        <v>27</v>
      </c>
      <c r="K967">
        <v>21970</v>
      </c>
      <c r="L967">
        <v>3251560</v>
      </c>
      <c r="M967">
        <f>Inventory_Data[[#This Row],[Opening Stock]]+Inventory_Data[[#This Row],[Purchase Qty]]-Inventory_Data[[#This Row],[Sales Qty]]-Inventory_Data[[#This Row],[Closing Stock]]</f>
        <v>0</v>
      </c>
      <c r="N967">
        <f>Inventory_Data[[#This Row],[Purchase Qty]]*Inventory_Data[[#This Row],[Unit Cost]]</f>
        <v>1208350</v>
      </c>
      <c r="O967" t="str">
        <f>IF(Inventory_Data[[#This Row],[Closing Stock]]&lt;=Inventory_Data[[#This Row],[Reorder Level]],"Low Stock","In Stock")</f>
        <v>In Stock</v>
      </c>
      <c r="P967" t="str">
        <f>TEXT(Inventory_Data[[#This Row],[Date]],"MMM")</f>
        <v>Jul</v>
      </c>
      <c r="Q967" t="str">
        <f>TEXT(Inventory_Data[[#This Row],[Date]],"YYYY")</f>
        <v>2025</v>
      </c>
    </row>
    <row r="968" spans="1:17" x14ac:dyDescent="0.3">
      <c r="A968" s="1">
        <v>45863</v>
      </c>
      <c r="B968" t="s">
        <v>43</v>
      </c>
      <c r="C968" t="s">
        <v>22</v>
      </c>
      <c r="D968" t="s">
        <v>37</v>
      </c>
      <c r="E968" t="s">
        <v>24</v>
      </c>
      <c r="F968">
        <v>234</v>
      </c>
      <c r="G968">
        <v>76</v>
      </c>
      <c r="H968">
        <v>237</v>
      </c>
      <c r="I968">
        <v>73</v>
      </c>
      <c r="J968">
        <v>71</v>
      </c>
      <c r="K968">
        <v>523</v>
      </c>
      <c r="L968">
        <v>38179</v>
      </c>
      <c r="M968">
        <f>Inventory_Data[[#This Row],[Opening Stock]]+Inventory_Data[[#This Row],[Purchase Qty]]-Inventory_Data[[#This Row],[Sales Qty]]-Inventory_Data[[#This Row],[Closing Stock]]</f>
        <v>0</v>
      </c>
      <c r="N968">
        <f>Inventory_Data[[#This Row],[Purchase Qty]]*Inventory_Data[[#This Row],[Unit Cost]]</f>
        <v>39748</v>
      </c>
      <c r="O968" t="str">
        <f>IF(Inventory_Data[[#This Row],[Closing Stock]]&lt;=Inventory_Data[[#This Row],[Reorder Level]],"Low Stock","In Stock")</f>
        <v>In Stock</v>
      </c>
      <c r="P968" t="str">
        <f>TEXT(Inventory_Data[[#This Row],[Date]],"MMM")</f>
        <v>Jul</v>
      </c>
      <c r="Q968" t="str">
        <f>TEXT(Inventory_Data[[#This Row],[Date]],"YYYY")</f>
        <v>2025</v>
      </c>
    </row>
    <row r="969" spans="1:17" x14ac:dyDescent="0.3">
      <c r="A969" s="1">
        <v>45863</v>
      </c>
      <c r="B969" t="s">
        <v>30</v>
      </c>
      <c r="C969" t="s">
        <v>28</v>
      </c>
      <c r="D969" t="s">
        <v>37</v>
      </c>
      <c r="E969" t="s">
        <v>24</v>
      </c>
      <c r="F969">
        <v>83</v>
      </c>
      <c r="G969">
        <v>49</v>
      </c>
      <c r="H969">
        <v>63</v>
      </c>
      <c r="I969">
        <v>69</v>
      </c>
      <c r="J969">
        <v>23</v>
      </c>
      <c r="K969">
        <v>27997</v>
      </c>
      <c r="L969">
        <v>1931793</v>
      </c>
      <c r="M969">
        <f>Inventory_Data[[#This Row],[Opening Stock]]+Inventory_Data[[#This Row],[Purchase Qty]]-Inventory_Data[[#This Row],[Sales Qty]]-Inventory_Data[[#This Row],[Closing Stock]]</f>
        <v>0</v>
      </c>
      <c r="N969">
        <f>Inventory_Data[[#This Row],[Purchase Qty]]*Inventory_Data[[#This Row],[Unit Cost]]</f>
        <v>1371853</v>
      </c>
      <c r="O969" t="str">
        <f>IF(Inventory_Data[[#This Row],[Closing Stock]]&lt;=Inventory_Data[[#This Row],[Reorder Level]],"Low Stock","In Stock")</f>
        <v>In Stock</v>
      </c>
      <c r="P969" t="str">
        <f>TEXT(Inventory_Data[[#This Row],[Date]],"MMM")</f>
        <v>Jul</v>
      </c>
      <c r="Q969" t="str">
        <f>TEXT(Inventory_Data[[#This Row],[Date]],"YYYY")</f>
        <v>2025</v>
      </c>
    </row>
    <row r="970" spans="1:17" x14ac:dyDescent="0.3">
      <c r="A970" s="1">
        <v>45864</v>
      </c>
      <c r="B970" t="s">
        <v>43</v>
      </c>
      <c r="C970" t="s">
        <v>22</v>
      </c>
      <c r="D970" t="s">
        <v>37</v>
      </c>
      <c r="E970" t="s">
        <v>24</v>
      </c>
      <c r="F970">
        <v>488</v>
      </c>
      <c r="G970">
        <v>296</v>
      </c>
      <c r="H970">
        <v>163</v>
      </c>
      <c r="I970">
        <v>621</v>
      </c>
      <c r="J970">
        <v>76</v>
      </c>
      <c r="K970">
        <v>1085</v>
      </c>
      <c r="L970">
        <v>673785</v>
      </c>
      <c r="M970">
        <f>Inventory_Data[[#This Row],[Opening Stock]]+Inventory_Data[[#This Row],[Purchase Qty]]-Inventory_Data[[#This Row],[Sales Qty]]-Inventory_Data[[#This Row],[Closing Stock]]</f>
        <v>0</v>
      </c>
      <c r="N970">
        <f>Inventory_Data[[#This Row],[Purchase Qty]]*Inventory_Data[[#This Row],[Unit Cost]]</f>
        <v>321160</v>
      </c>
      <c r="O970" t="str">
        <f>IF(Inventory_Data[[#This Row],[Closing Stock]]&lt;=Inventory_Data[[#This Row],[Reorder Level]],"Low Stock","In Stock")</f>
        <v>In Stock</v>
      </c>
      <c r="P970" t="str">
        <f>TEXT(Inventory_Data[[#This Row],[Date]],"MMM")</f>
        <v>Jul</v>
      </c>
      <c r="Q970" t="str">
        <f>TEXT(Inventory_Data[[#This Row],[Date]],"YYYY")</f>
        <v>2025</v>
      </c>
    </row>
    <row r="971" spans="1:17" x14ac:dyDescent="0.3">
      <c r="A971" s="1">
        <v>45864</v>
      </c>
      <c r="B971" t="s">
        <v>33</v>
      </c>
      <c r="C971" t="s">
        <v>13</v>
      </c>
      <c r="D971" t="s">
        <v>14</v>
      </c>
      <c r="E971" t="s">
        <v>15</v>
      </c>
      <c r="F971">
        <v>72</v>
      </c>
      <c r="G971">
        <v>7</v>
      </c>
      <c r="H971">
        <v>18</v>
      </c>
      <c r="I971">
        <v>61</v>
      </c>
      <c r="J971">
        <v>18</v>
      </c>
      <c r="K971">
        <v>11476</v>
      </c>
      <c r="L971">
        <v>700036</v>
      </c>
      <c r="M971">
        <f>Inventory_Data[[#This Row],[Opening Stock]]+Inventory_Data[[#This Row],[Purchase Qty]]-Inventory_Data[[#This Row],[Sales Qty]]-Inventory_Data[[#This Row],[Closing Stock]]</f>
        <v>0</v>
      </c>
      <c r="N971">
        <f>Inventory_Data[[#This Row],[Purchase Qty]]*Inventory_Data[[#This Row],[Unit Cost]]</f>
        <v>80332</v>
      </c>
      <c r="O971" t="str">
        <f>IF(Inventory_Data[[#This Row],[Closing Stock]]&lt;=Inventory_Data[[#This Row],[Reorder Level]],"Low Stock","In Stock")</f>
        <v>In Stock</v>
      </c>
      <c r="P971" t="str">
        <f>TEXT(Inventory_Data[[#This Row],[Date]],"MMM")</f>
        <v>Jul</v>
      </c>
      <c r="Q971" t="str">
        <f>TEXT(Inventory_Data[[#This Row],[Date]],"YYYY")</f>
        <v>2025</v>
      </c>
    </row>
    <row r="972" spans="1:17" x14ac:dyDescent="0.3">
      <c r="A972" s="1">
        <v>45864</v>
      </c>
      <c r="B972" t="s">
        <v>36</v>
      </c>
      <c r="C972" t="s">
        <v>22</v>
      </c>
      <c r="D972" t="s">
        <v>26</v>
      </c>
      <c r="E972" t="s">
        <v>15</v>
      </c>
      <c r="F972">
        <v>178</v>
      </c>
      <c r="G972">
        <v>32</v>
      </c>
      <c r="H972">
        <v>210</v>
      </c>
      <c r="I972">
        <v>0</v>
      </c>
      <c r="J972">
        <v>50</v>
      </c>
      <c r="K972">
        <v>140</v>
      </c>
      <c r="L972">
        <v>0</v>
      </c>
      <c r="M972">
        <f>Inventory_Data[[#This Row],[Opening Stock]]+Inventory_Data[[#This Row],[Purchase Qty]]-Inventory_Data[[#This Row],[Sales Qty]]-Inventory_Data[[#This Row],[Closing Stock]]</f>
        <v>0</v>
      </c>
      <c r="N972">
        <f>Inventory_Data[[#This Row],[Purchase Qty]]*Inventory_Data[[#This Row],[Unit Cost]]</f>
        <v>4480</v>
      </c>
      <c r="O972" t="str">
        <f>IF(Inventory_Data[[#This Row],[Closing Stock]]&lt;=Inventory_Data[[#This Row],[Reorder Level]],"Low Stock","In Stock")</f>
        <v>Low Stock</v>
      </c>
      <c r="P972" t="str">
        <f>TEXT(Inventory_Data[[#This Row],[Date]],"MMM")</f>
        <v>Jul</v>
      </c>
      <c r="Q972" t="str">
        <f>TEXT(Inventory_Data[[#This Row],[Date]],"YYYY")</f>
        <v>2025</v>
      </c>
    </row>
    <row r="973" spans="1:17" x14ac:dyDescent="0.3">
      <c r="A973" s="1">
        <v>45865</v>
      </c>
      <c r="B973" t="s">
        <v>42</v>
      </c>
      <c r="C973" t="s">
        <v>17</v>
      </c>
      <c r="D973" t="s">
        <v>37</v>
      </c>
      <c r="E973" t="s">
        <v>24</v>
      </c>
      <c r="F973">
        <v>12</v>
      </c>
      <c r="G973">
        <v>24</v>
      </c>
      <c r="H973">
        <v>25</v>
      </c>
      <c r="I973">
        <v>11</v>
      </c>
      <c r="J973">
        <v>10</v>
      </c>
      <c r="K973">
        <v>24081</v>
      </c>
      <c r="L973">
        <v>264891</v>
      </c>
      <c r="M973">
        <f>Inventory_Data[[#This Row],[Opening Stock]]+Inventory_Data[[#This Row],[Purchase Qty]]-Inventory_Data[[#This Row],[Sales Qty]]-Inventory_Data[[#This Row],[Closing Stock]]</f>
        <v>0</v>
      </c>
      <c r="N973">
        <f>Inventory_Data[[#This Row],[Purchase Qty]]*Inventory_Data[[#This Row],[Unit Cost]]</f>
        <v>577944</v>
      </c>
      <c r="O973" t="str">
        <f>IF(Inventory_Data[[#This Row],[Closing Stock]]&lt;=Inventory_Data[[#This Row],[Reorder Level]],"Low Stock","In Stock")</f>
        <v>In Stock</v>
      </c>
      <c r="P973" t="str">
        <f>TEXT(Inventory_Data[[#This Row],[Date]],"MMM")</f>
        <v>Jul</v>
      </c>
      <c r="Q973" t="str">
        <f>TEXT(Inventory_Data[[#This Row],[Date]],"YYYY")</f>
        <v>2025</v>
      </c>
    </row>
    <row r="974" spans="1:17" x14ac:dyDescent="0.3">
      <c r="A974" s="1">
        <v>45865</v>
      </c>
      <c r="B974" t="s">
        <v>12</v>
      </c>
      <c r="C974" t="s">
        <v>13</v>
      </c>
      <c r="D974" t="s">
        <v>26</v>
      </c>
      <c r="E974" t="s">
        <v>15</v>
      </c>
      <c r="F974">
        <v>88</v>
      </c>
      <c r="G974">
        <v>38</v>
      </c>
      <c r="H974">
        <v>45</v>
      </c>
      <c r="I974">
        <v>81</v>
      </c>
      <c r="J974">
        <v>33</v>
      </c>
      <c r="K974">
        <v>12057</v>
      </c>
      <c r="L974">
        <v>976617</v>
      </c>
      <c r="M974">
        <f>Inventory_Data[[#This Row],[Opening Stock]]+Inventory_Data[[#This Row],[Purchase Qty]]-Inventory_Data[[#This Row],[Sales Qty]]-Inventory_Data[[#This Row],[Closing Stock]]</f>
        <v>0</v>
      </c>
      <c r="N974">
        <f>Inventory_Data[[#This Row],[Purchase Qty]]*Inventory_Data[[#This Row],[Unit Cost]]</f>
        <v>458166</v>
      </c>
      <c r="O974" t="str">
        <f>IF(Inventory_Data[[#This Row],[Closing Stock]]&lt;=Inventory_Data[[#This Row],[Reorder Level]],"Low Stock","In Stock")</f>
        <v>In Stock</v>
      </c>
      <c r="P974" t="str">
        <f>TEXT(Inventory_Data[[#This Row],[Date]],"MMM")</f>
        <v>Jul</v>
      </c>
      <c r="Q974" t="str">
        <f>TEXT(Inventory_Data[[#This Row],[Date]],"YYYY")</f>
        <v>2025</v>
      </c>
    </row>
    <row r="975" spans="1:17" x14ac:dyDescent="0.3">
      <c r="A975" s="1">
        <v>45865</v>
      </c>
      <c r="B975" t="s">
        <v>21</v>
      </c>
      <c r="C975" t="s">
        <v>22</v>
      </c>
      <c r="D975" t="s">
        <v>26</v>
      </c>
      <c r="E975" t="s">
        <v>18</v>
      </c>
      <c r="F975">
        <v>309</v>
      </c>
      <c r="G975">
        <v>292</v>
      </c>
      <c r="H975">
        <v>47</v>
      </c>
      <c r="I975">
        <v>554</v>
      </c>
      <c r="J975">
        <v>145</v>
      </c>
      <c r="K975">
        <v>222</v>
      </c>
      <c r="L975">
        <v>122988</v>
      </c>
      <c r="M975">
        <f>Inventory_Data[[#This Row],[Opening Stock]]+Inventory_Data[[#This Row],[Purchase Qty]]-Inventory_Data[[#This Row],[Sales Qty]]-Inventory_Data[[#This Row],[Closing Stock]]</f>
        <v>0</v>
      </c>
      <c r="N975">
        <f>Inventory_Data[[#This Row],[Purchase Qty]]*Inventory_Data[[#This Row],[Unit Cost]]</f>
        <v>64824</v>
      </c>
      <c r="O975" t="str">
        <f>IF(Inventory_Data[[#This Row],[Closing Stock]]&lt;=Inventory_Data[[#This Row],[Reorder Level]],"Low Stock","In Stock")</f>
        <v>In Stock</v>
      </c>
      <c r="P975" t="str">
        <f>TEXT(Inventory_Data[[#This Row],[Date]],"MMM")</f>
        <v>Jul</v>
      </c>
      <c r="Q975" t="str">
        <f>TEXT(Inventory_Data[[#This Row],[Date]],"YYYY")</f>
        <v>2025</v>
      </c>
    </row>
    <row r="976" spans="1:17" x14ac:dyDescent="0.3">
      <c r="A976" s="1">
        <v>45865</v>
      </c>
      <c r="B976" t="s">
        <v>35</v>
      </c>
      <c r="C976" t="s">
        <v>22</v>
      </c>
      <c r="D976" t="s">
        <v>14</v>
      </c>
      <c r="E976" t="s">
        <v>20</v>
      </c>
      <c r="F976">
        <v>109</v>
      </c>
      <c r="G976">
        <v>269</v>
      </c>
      <c r="H976">
        <v>105</v>
      </c>
      <c r="I976">
        <v>273</v>
      </c>
      <c r="J976">
        <v>62</v>
      </c>
      <c r="K976">
        <v>179</v>
      </c>
      <c r="L976">
        <v>48867</v>
      </c>
      <c r="M976">
        <f>Inventory_Data[[#This Row],[Opening Stock]]+Inventory_Data[[#This Row],[Purchase Qty]]-Inventory_Data[[#This Row],[Sales Qty]]-Inventory_Data[[#This Row],[Closing Stock]]</f>
        <v>0</v>
      </c>
      <c r="N976">
        <f>Inventory_Data[[#This Row],[Purchase Qty]]*Inventory_Data[[#This Row],[Unit Cost]]</f>
        <v>48151</v>
      </c>
      <c r="O976" t="str">
        <f>IF(Inventory_Data[[#This Row],[Closing Stock]]&lt;=Inventory_Data[[#This Row],[Reorder Level]],"Low Stock","In Stock")</f>
        <v>In Stock</v>
      </c>
      <c r="P976" t="str">
        <f>TEXT(Inventory_Data[[#This Row],[Date]],"MMM")</f>
        <v>Jul</v>
      </c>
      <c r="Q976" t="str">
        <f>TEXT(Inventory_Data[[#This Row],[Date]],"YYYY")</f>
        <v>2025</v>
      </c>
    </row>
    <row r="977" spans="1:17" x14ac:dyDescent="0.3">
      <c r="A977" s="1">
        <v>45866</v>
      </c>
      <c r="B977" t="s">
        <v>12</v>
      </c>
      <c r="C977" t="s">
        <v>13</v>
      </c>
      <c r="D977" t="s">
        <v>26</v>
      </c>
      <c r="E977" t="s">
        <v>18</v>
      </c>
      <c r="F977">
        <v>39</v>
      </c>
      <c r="G977">
        <v>63</v>
      </c>
      <c r="H977">
        <v>10</v>
      </c>
      <c r="I977">
        <v>92</v>
      </c>
      <c r="J977">
        <v>23</v>
      </c>
      <c r="K977">
        <v>13376</v>
      </c>
      <c r="L977">
        <v>1230592</v>
      </c>
      <c r="M977">
        <f>Inventory_Data[[#This Row],[Opening Stock]]+Inventory_Data[[#This Row],[Purchase Qty]]-Inventory_Data[[#This Row],[Sales Qty]]-Inventory_Data[[#This Row],[Closing Stock]]</f>
        <v>0</v>
      </c>
      <c r="N977">
        <f>Inventory_Data[[#This Row],[Purchase Qty]]*Inventory_Data[[#This Row],[Unit Cost]]</f>
        <v>842688</v>
      </c>
      <c r="O977" t="str">
        <f>IF(Inventory_Data[[#This Row],[Closing Stock]]&lt;=Inventory_Data[[#This Row],[Reorder Level]],"Low Stock","In Stock")</f>
        <v>In Stock</v>
      </c>
      <c r="P977" t="str">
        <f>TEXT(Inventory_Data[[#This Row],[Date]],"MMM")</f>
        <v>Jul</v>
      </c>
      <c r="Q977" t="str">
        <f>TEXT(Inventory_Data[[#This Row],[Date]],"YYYY")</f>
        <v>2025</v>
      </c>
    </row>
    <row r="978" spans="1:17" x14ac:dyDescent="0.3">
      <c r="A978" s="1">
        <v>45866</v>
      </c>
      <c r="B978" t="s">
        <v>40</v>
      </c>
      <c r="C978" t="s">
        <v>28</v>
      </c>
      <c r="D978" t="s">
        <v>26</v>
      </c>
      <c r="E978" t="s">
        <v>15</v>
      </c>
      <c r="F978">
        <v>152</v>
      </c>
      <c r="G978">
        <v>58</v>
      </c>
      <c r="H978">
        <v>95</v>
      </c>
      <c r="I978">
        <v>115</v>
      </c>
      <c r="J978">
        <v>56</v>
      </c>
      <c r="K978">
        <v>52388</v>
      </c>
      <c r="L978">
        <v>6024620</v>
      </c>
      <c r="M978">
        <f>Inventory_Data[[#This Row],[Opening Stock]]+Inventory_Data[[#This Row],[Purchase Qty]]-Inventory_Data[[#This Row],[Sales Qty]]-Inventory_Data[[#This Row],[Closing Stock]]</f>
        <v>0</v>
      </c>
      <c r="N978">
        <f>Inventory_Data[[#This Row],[Purchase Qty]]*Inventory_Data[[#This Row],[Unit Cost]]</f>
        <v>3038504</v>
      </c>
      <c r="O978" t="str">
        <f>IF(Inventory_Data[[#This Row],[Closing Stock]]&lt;=Inventory_Data[[#This Row],[Reorder Level]],"Low Stock","In Stock")</f>
        <v>In Stock</v>
      </c>
      <c r="P978" t="str">
        <f>TEXT(Inventory_Data[[#This Row],[Date]],"MMM")</f>
        <v>Jul</v>
      </c>
      <c r="Q978" t="str">
        <f>TEXT(Inventory_Data[[#This Row],[Date]],"YYYY")</f>
        <v>2025</v>
      </c>
    </row>
    <row r="979" spans="1:17" x14ac:dyDescent="0.3">
      <c r="A979" s="1">
        <v>45866</v>
      </c>
      <c r="B979" t="s">
        <v>12</v>
      </c>
      <c r="C979" t="s">
        <v>13</v>
      </c>
      <c r="D979" t="s">
        <v>26</v>
      </c>
      <c r="E979" t="s">
        <v>24</v>
      </c>
      <c r="F979">
        <v>28</v>
      </c>
      <c r="G979">
        <v>13</v>
      </c>
      <c r="H979">
        <v>41</v>
      </c>
      <c r="I979">
        <v>0</v>
      </c>
      <c r="J979">
        <v>27</v>
      </c>
      <c r="K979">
        <v>4733</v>
      </c>
      <c r="L979">
        <v>0</v>
      </c>
      <c r="M979">
        <f>Inventory_Data[[#This Row],[Opening Stock]]+Inventory_Data[[#This Row],[Purchase Qty]]-Inventory_Data[[#This Row],[Sales Qty]]-Inventory_Data[[#This Row],[Closing Stock]]</f>
        <v>0</v>
      </c>
      <c r="N979">
        <f>Inventory_Data[[#This Row],[Purchase Qty]]*Inventory_Data[[#This Row],[Unit Cost]]</f>
        <v>61529</v>
      </c>
      <c r="O979" t="str">
        <f>IF(Inventory_Data[[#This Row],[Closing Stock]]&lt;=Inventory_Data[[#This Row],[Reorder Level]],"Low Stock","In Stock")</f>
        <v>Low Stock</v>
      </c>
      <c r="P979" t="str">
        <f>TEXT(Inventory_Data[[#This Row],[Date]],"MMM")</f>
        <v>Jul</v>
      </c>
      <c r="Q979" t="str">
        <f>TEXT(Inventory_Data[[#This Row],[Date]],"YYYY")</f>
        <v>2025</v>
      </c>
    </row>
    <row r="980" spans="1:17" x14ac:dyDescent="0.3">
      <c r="A980" s="1">
        <v>45866</v>
      </c>
      <c r="B980" t="s">
        <v>27</v>
      </c>
      <c r="C980" t="s">
        <v>28</v>
      </c>
      <c r="D980" t="s">
        <v>14</v>
      </c>
      <c r="E980" t="s">
        <v>29</v>
      </c>
      <c r="F980">
        <v>116</v>
      </c>
      <c r="G980">
        <v>83</v>
      </c>
      <c r="H980">
        <v>67</v>
      </c>
      <c r="I980">
        <v>132</v>
      </c>
      <c r="J980">
        <v>31</v>
      </c>
      <c r="K980">
        <v>21262</v>
      </c>
      <c r="L980">
        <v>2806584</v>
      </c>
      <c r="M980">
        <f>Inventory_Data[[#This Row],[Opening Stock]]+Inventory_Data[[#This Row],[Purchase Qty]]-Inventory_Data[[#This Row],[Sales Qty]]-Inventory_Data[[#This Row],[Closing Stock]]</f>
        <v>0</v>
      </c>
      <c r="N980">
        <f>Inventory_Data[[#This Row],[Purchase Qty]]*Inventory_Data[[#This Row],[Unit Cost]]</f>
        <v>1764746</v>
      </c>
      <c r="O980" t="str">
        <f>IF(Inventory_Data[[#This Row],[Closing Stock]]&lt;=Inventory_Data[[#This Row],[Reorder Level]],"Low Stock","In Stock")</f>
        <v>In Stock</v>
      </c>
      <c r="P980" t="str">
        <f>TEXT(Inventory_Data[[#This Row],[Date]],"MMM")</f>
        <v>Jul</v>
      </c>
      <c r="Q980" t="str">
        <f>TEXT(Inventory_Data[[#This Row],[Date]],"YYYY")</f>
        <v>2025</v>
      </c>
    </row>
    <row r="981" spans="1:17" x14ac:dyDescent="0.3">
      <c r="A981" s="1">
        <v>45866</v>
      </c>
      <c r="B981" t="s">
        <v>43</v>
      </c>
      <c r="C981" t="s">
        <v>22</v>
      </c>
      <c r="D981" t="s">
        <v>26</v>
      </c>
      <c r="E981" t="s">
        <v>15</v>
      </c>
      <c r="F981">
        <v>214</v>
      </c>
      <c r="G981">
        <v>36</v>
      </c>
      <c r="H981">
        <v>87</v>
      </c>
      <c r="I981">
        <v>163</v>
      </c>
      <c r="J981">
        <v>116</v>
      </c>
      <c r="K981">
        <v>633</v>
      </c>
      <c r="L981">
        <v>103179</v>
      </c>
      <c r="M981">
        <f>Inventory_Data[[#This Row],[Opening Stock]]+Inventory_Data[[#This Row],[Purchase Qty]]-Inventory_Data[[#This Row],[Sales Qty]]-Inventory_Data[[#This Row],[Closing Stock]]</f>
        <v>0</v>
      </c>
      <c r="N981">
        <f>Inventory_Data[[#This Row],[Purchase Qty]]*Inventory_Data[[#This Row],[Unit Cost]]</f>
        <v>22788</v>
      </c>
      <c r="O981" t="str">
        <f>IF(Inventory_Data[[#This Row],[Closing Stock]]&lt;=Inventory_Data[[#This Row],[Reorder Level]],"Low Stock","In Stock")</f>
        <v>In Stock</v>
      </c>
      <c r="P981" t="str">
        <f>TEXT(Inventory_Data[[#This Row],[Date]],"MMM")</f>
        <v>Jul</v>
      </c>
      <c r="Q981" t="str">
        <f>TEXT(Inventory_Data[[#This Row],[Date]],"YYYY")</f>
        <v>2025</v>
      </c>
    </row>
    <row r="982" spans="1:17" x14ac:dyDescent="0.3">
      <c r="A982" s="1">
        <v>45867</v>
      </c>
      <c r="B982" t="s">
        <v>39</v>
      </c>
      <c r="C982" t="s">
        <v>28</v>
      </c>
      <c r="D982" t="s">
        <v>26</v>
      </c>
      <c r="E982" t="s">
        <v>34</v>
      </c>
      <c r="F982">
        <v>111</v>
      </c>
      <c r="G982">
        <v>60</v>
      </c>
      <c r="H982">
        <v>77</v>
      </c>
      <c r="I982">
        <v>94</v>
      </c>
      <c r="J982">
        <v>25</v>
      </c>
      <c r="K982">
        <v>2815</v>
      </c>
      <c r="L982">
        <v>264610</v>
      </c>
      <c r="M982">
        <f>Inventory_Data[[#This Row],[Opening Stock]]+Inventory_Data[[#This Row],[Purchase Qty]]-Inventory_Data[[#This Row],[Sales Qty]]-Inventory_Data[[#This Row],[Closing Stock]]</f>
        <v>0</v>
      </c>
      <c r="N982">
        <f>Inventory_Data[[#This Row],[Purchase Qty]]*Inventory_Data[[#This Row],[Unit Cost]]</f>
        <v>168900</v>
      </c>
      <c r="O982" t="str">
        <f>IF(Inventory_Data[[#This Row],[Closing Stock]]&lt;=Inventory_Data[[#This Row],[Reorder Level]],"Low Stock","In Stock")</f>
        <v>In Stock</v>
      </c>
      <c r="P982" t="str">
        <f>TEXT(Inventory_Data[[#This Row],[Date]],"MMM")</f>
        <v>Jul</v>
      </c>
      <c r="Q982" t="str">
        <f>TEXT(Inventory_Data[[#This Row],[Date]],"YYYY")</f>
        <v>2025</v>
      </c>
    </row>
    <row r="983" spans="1:17" x14ac:dyDescent="0.3">
      <c r="A983" s="1">
        <v>45867</v>
      </c>
      <c r="B983" t="s">
        <v>40</v>
      </c>
      <c r="C983" t="s">
        <v>28</v>
      </c>
      <c r="D983" t="s">
        <v>14</v>
      </c>
      <c r="E983" t="s">
        <v>18</v>
      </c>
      <c r="F983">
        <v>169</v>
      </c>
      <c r="G983">
        <v>40</v>
      </c>
      <c r="H983">
        <v>77</v>
      </c>
      <c r="I983">
        <v>132</v>
      </c>
      <c r="J983">
        <v>22</v>
      </c>
      <c r="K983">
        <v>21581</v>
      </c>
      <c r="L983">
        <v>2848692</v>
      </c>
      <c r="M983">
        <f>Inventory_Data[[#This Row],[Opening Stock]]+Inventory_Data[[#This Row],[Purchase Qty]]-Inventory_Data[[#This Row],[Sales Qty]]-Inventory_Data[[#This Row],[Closing Stock]]</f>
        <v>0</v>
      </c>
      <c r="N983">
        <f>Inventory_Data[[#This Row],[Purchase Qty]]*Inventory_Data[[#This Row],[Unit Cost]]</f>
        <v>863240</v>
      </c>
      <c r="O983" t="str">
        <f>IF(Inventory_Data[[#This Row],[Closing Stock]]&lt;=Inventory_Data[[#This Row],[Reorder Level]],"Low Stock","In Stock")</f>
        <v>In Stock</v>
      </c>
      <c r="P983" t="str">
        <f>TEXT(Inventory_Data[[#This Row],[Date]],"MMM")</f>
        <v>Jul</v>
      </c>
      <c r="Q983" t="str">
        <f>TEXT(Inventory_Data[[#This Row],[Date]],"YYYY")</f>
        <v>2025</v>
      </c>
    </row>
    <row r="984" spans="1:17" x14ac:dyDescent="0.3">
      <c r="A984" s="1">
        <v>45867</v>
      </c>
      <c r="B984" t="s">
        <v>19</v>
      </c>
      <c r="C984" t="s">
        <v>13</v>
      </c>
      <c r="D984" t="s">
        <v>26</v>
      </c>
      <c r="E984" t="s">
        <v>24</v>
      </c>
      <c r="F984">
        <v>57</v>
      </c>
      <c r="G984">
        <v>77</v>
      </c>
      <c r="H984">
        <v>21</v>
      </c>
      <c r="I984">
        <v>113</v>
      </c>
      <c r="J984">
        <v>24</v>
      </c>
      <c r="K984">
        <v>8207</v>
      </c>
      <c r="L984">
        <v>927391</v>
      </c>
      <c r="M984">
        <f>Inventory_Data[[#This Row],[Opening Stock]]+Inventory_Data[[#This Row],[Purchase Qty]]-Inventory_Data[[#This Row],[Sales Qty]]-Inventory_Data[[#This Row],[Closing Stock]]</f>
        <v>0</v>
      </c>
      <c r="N984">
        <f>Inventory_Data[[#This Row],[Purchase Qty]]*Inventory_Data[[#This Row],[Unit Cost]]</f>
        <v>631939</v>
      </c>
      <c r="O984" t="str">
        <f>IF(Inventory_Data[[#This Row],[Closing Stock]]&lt;=Inventory_Data[[#This Row],[Reorder Level]],"Low Stock","In Stock")</f>
        <v>In Stock</v>
      </c>
      <c r="P984" t="str">
        <f>TEXT(Inventory_Data[[#This Row],[Date]],"MMM")</f>
        <v>Jul</v>
      </c>
      <c r="Q984" t="str">
        <f>TEXT(Inventory_Data[[#This Row],[Date]],"YYYY")</f>
        <v>2025</v>
      </c>
    </row>
    <row r="985" spans="1:17" x14ac:dyDescent="0.3">
      <c r="A985" s="1">
        <v>45867</v>
      </c>
      <c r="B985" t="s">
        <v>31</v>
      </c>
      <c r="C985" t="s">
        <v>22</v>
      </c>
      <c r="D985" t="s">
        <v>23</v>
      </c>
      <c r="E985" t="s">
        <v>24</v>
      </c>
      <c r="F985">
        <v>425</v>
      </c>
      <c r="G985">
        <v>183</v>
      </c>
      <c r="H985">
        <v>19</v>
      </c>
      <c r="I985">
        <v>589</v>
      </c>
      <c r="J985">
        <v>146</v>
      </c>
      <c r="K985">
        <v>434</v>
      </c>
      <c r="L985">
        <v>255626</v>
      </c>
      <c r="M985">
        <f>Inventory_Data[[#This Row],[Opening Stock]]+Inventory_Data[[#This Row],[Purchase Qty]]-Inventory_Data[[#This Row],[Sales Qty]]-Inventory_Data[[#This Row],[Closing Stock]]</f>
        <v>0</v>
      </c>
      <c r="N985">
        <f>Inventory_Data[[#This Row],[Purchase Qty]]*Inventory_Data[[#This Row],[Unit Cost]]</f>
        <v>79422</v>
      </c>
      <c r="O985" t="str">
        <f>IF(Inventory_Data[[#This Row],[Closing Stock]]&lt;=Inventory_Data[[#This Row],[Reorder Level]],"Low Stock","In Stock")</f>
        <v>In Stock</v>
      </c>
      <c r="P985" t="str">
        <f>TEXT(Inventory_Data[[#This Row],[Date]],"MMM")</f>
        <v>Jul</v>
      </c>
      <c r="Q985" t="str">
        <f>TEXT(Inventory_Data[[#This Row],[Date]],"YYYY")</f>
        <v>2025</v>
      </c>
    </row>
    <row r="986" spans="1:17" x14ac:dyDescent="0.3">
      <c r="A986" s="1">
        <v>45867</v>
      </c>
      <c r="B986" t="s">
        <v>21</v>
      </c>
      <c r="C986" t="s">
        <v>22</v>
      </c>
      <c r="D986" t="s">
        <v>14</v>
      </c>
      <c r="E986" t="s">
        <v>18</v>
      </c>
      <c r="F986">
        <v>432</v>
      </c>
      <c r="G986">
        <v>193</v>
      </c>
      <c r="H986">
        <v>14</v>
      </c>
      <c r="I986">
        <v>611</v>
      </c>
      <c r="J986">
        <v>73</v>
      </c>
      <c r="K986">
        <v>53</v>
      </c>
      <c r="L986">
        <v>32383</v>
      </c>
      <c r="M986">
        <f>Inventory_Data[[#This Row],[Opening Stock]]+Inventory_Data[[#This Row],[Purchase Qty]]-Inventory_Data[[#This Row],[Sales Qty]]-Inventory_Data[[#This Row],[Closing Stock]]</f>
        <v>0</v>
      </c>
      <c r="N986">
        <f>Inventory_Data[[#This Row],[Purchase Qty]]*Inventory_Data[[#This Row],[Unit Cost]]</f>
        <v>10229</v>
      </c>
      <c r="O986" t="str">
        <f>IF(Inventory_Data[[#This Row],[Closing Stock]]&lt;=Inventory_Data[[#This Row],[Reorder Level]],"Low Stock","In Stock")</f>
        <v>In Stock</v>
      </c>
      <c r="P986" t="str">
        <f>TEXT(Inventory_Data[[#This Row],[Date]],"MMM")</f>
        <v>Jul</v>
      </c>
      <c r="Q986" t="str">
        <f>TEXT(Inventory_Data[[#This Row],[Date]],"YYYY")</f>
        <v>2025</v>
      </c>
    </row>
    <row r="987" spans="1:17" x14ac:dyDescent="0.3">
      <c r="A987" s="1">
        <v>45867</v>
      </c>
      <c r="B987" t="s">
        <v>25</v>
      </c>
      <c r="C987" t="s">
        <v>17</v>
      </c>
      <c r="D987" t="s">
        <v>37</v>
      </c>
      <c r="E987" t="s">
        <v>20</v>
      </c>
      <c r="F987">
        <v>56</v>
      </c>
      <c r="G987">
        <v>42</v>
      </c>
      <c r="H987">
        <v>40</v>
      </c>
      <c r="I987">
        <v>58</v>
      </c>
      <c r="J987">
        <v>15</v>
      </c>
      <c r="K987">
        <v>7372</v>
      </c>
      <c r="L987">
        <v>427576</v>
      </c>
      <c r="M987">
        <f>Inventory_Data[[#This Row],[Opening Stock]]+Inventory_Data[[#This Row],[Purchase Qty]]-Inventory_Data[[#This Row],[Sales Qty]]-Inventory_Data[[#This Row],[Closing Stock]]</f>
        <v>0</v>
      </c>
      <c r="N987">
        <f>Inventory_Data[[#This Row],[Purchase Qty]]*Inventory_Data[[#This Row],[Unit Cost]]</f>
        <v>309624</v>
      </c>
      <c r="O987" t="str">
        <f>IF(Inventory_Data[[#This Row],[Closing Stock]]&lt;=Inventory_Data[[#This Row],[Reorder Level]],"Low Stock","In Stock")</f>
        <v>In Stock</v>
      </c>
      <c r="P987" t="str">
        <f>TEXT(Inventory_Data[[#This Row],[Date]],"MMM")</f>
        <v>Jul</v>
      </c>
      <c r="Q987" t="str">
        <f>TEXT(Inventory_Data[[#This Row],[Date]],"YYYY")</f>
        <v>2025</v>
      </c>
    </row>
    <row r="988" spans="1:17" x14ac:dyDescent="0.3">
      <c r="A988" s="1">
        <v>45867</v>
      </c>
      <c r="B988" t="s">
        <v>12</v>
      </c>
      <c r="C988" t="s">
        <v>13</v>
      </c>
      <c r="D988" t="s">
        <v>26</v>
      </c>
      <c r="E988" t="s">
        <v>20</v>
      </c>
      <c r="F988">
        <v>76</v>
      </c>
      <c r="G988">
        <v>76</v>
      </c>
      <c r="H988">
        <v>26</v>
      </c>
      <c r="I988">
        <v>126</v>
      </c>
      <c r="J988">
        <v>38</v>
      </c>
      <c r="K988">
        <v>15752</v>
      </c>
      <c r="L988">
        <v>1984752</v>
      </c>
      <c r="M988">
        <f>Inventory_Data[[#This Row],[Opening Stock]]+Inventory_Data[[#This Row],[Purchase Qty]]-Inventory_Data[[#This Row],[Sales Qty]]-Inventory_Data[[#This Row],[Closing Stock]]</f>
        <v>0</v>
      </c>
      <c r="N988">
        <f>Inventory_Data[[#This Row],[Purchase Qty]]*Inventory_Data[[#This Row],[Unit Cost]]</f>
        <v>1197152</v>
      </c>
      <c r="O988" t="str">
        <f>IF(Inventory_Data[[#This Row],[Closing Stock]]&lt;=Inventory_Data[[#This Row],[Reorder Level]],"Low Stock","In Stock")</f>
        <v>In Stock</v>
      </c>
      <c r="P988" t="str">
        <f>TEXT(Inventory_Data[[#This Row],[Date]],"MMM")</f>
        <v>Jul</v>
      </c>
      <c r="Q988" t="str">
        <f>TEXT(Inventory_Data[[#This Row],[Date]],"YYYY")</f>
        <v>2025</v>
      </c>
    </row>
    <row r="989" spans="1:17" x14ac:dyDescent="0.3">
      <c r="A989" s="1">
        <v>45867</v>
      </c>
      <c r="B989" t="s">
        <v>30</v>
      </c>
      <c r="C989" t="s">
        <v>28</v>
      </c>
      <c r="D989" t="s">
        <v>26</v>
      </c>
      <c r="E989" t="s">
        <v>24</v>
      </c>
      <c r="F989">
        <v>67</v>
      </c>
      <c r="G989">
        <v>49</v>
      </c>
      <c r="H989">
        <v>67</v>
      </c>
      <c r="I989">
        <v>49</v>
      </c>
      <c r="J989">
        <v>27</v>
      </c>
      <c r="K989">
        <v>56555</v>
      </c>
      <c r="L989">
        <v>2771195</v>
      </c>
      <c r="M989">
        <f>Inventory_Data[[#This Row],[Opening Stock]]+Inventory_Data[[#This Row],[Purchase Qty]]-Inventory_Data[[#This Row],[Sales Qty]]-Inventory_Data[[#This Row],[Closing Stock]]</f>
        <v>0</v>
      </c>
      <c r="N989">
        <f>Inventory_Data[[#This Row],[Purchase Qty]]*Inventory_Data[[#This Row],[Unit Cost]]</f>
        <v>2771195</v>
      </c>
      <c r="O989" t="str">
        <f>IF(Inventory_Data[[#This Row],[Closing Stock]]&lt;=Inventory_Data[[#This Row],[Reorder Level]],"Low Stock","In Stock")</f>
        <v>In Stock</v>
      </c>
      <c r="P989" t="str">
        <f>TEXT(Inventory_Data[[#This Row],[Date]],"MMM")</f>
        <v>Jul</v>
      </c>
      <c r="Q989" t="str">
        <f>TEXT(Inventory_Data[[#This Row],[Date]],"YYYY")</f>
        <v>2025</v>
      </c>
    </row>
    <row r="990" spans="1:17" x14ac:dyDescent="0.3">
      <c r="A990" s="1">
        <v>45867</v>
      </c>
      <c r="B990" t="s">
        <v>38</v>
      </c>
      <c r="C990" t="s">
        <v>17</v>
      </c>
      <c r="D990" t="s">
        <v>26</v>
      </c>
      <c r="E990" t="s">
        <v>20</v>
      </c>
      <c r="F990">
        <v>25</v>
      </c>
      <c r="G990">
        <v>25</v>
      </c>
      <c r="H990">
        <v>6</v>
      </c>
      <c r="I990">
        <v>44</v>
      </c>
      <c r="J990">
        <v>24</v>
      </c>
      <c r="K990">
        <v>20088</v>
      </c>
      <c r="L990">
        <v>883872</v>
      </c>
      <c r="M990">
        <f>Inventory_Data[[#This Row],[Opening Stock]]+Inventory_Data[[#This Row],[Purchase Qty]]-Inventory_Data[[#This Row],[Sales Qty]]-Inventory_Data[[#This Row],[Closing Stock]]</f>
        <v>0</v>
      </c>
      <c r="N990">
        <f>Inventory_Data[[#This Row],[Purchase Qty]]*Inventory_Data[[#This Row],[Unit Cost]]</f>
        <v>502200</v>
      </c>
      <c r="O990" t="str">
        <f>IF(Inventory_Data[[#This Row],[Closing Stock]]&lt;=Inventory_Data[[#This Row],[Reorder Level]],"Low Stock","In Stock")</f>
        <v>In Stock</v>
      </c>
      <c r="P990" t="str">
        <f>TEXT(Inventory_Data[[#This Row],[Date]],"MMM")</f>
        <v>Jul</v>
      </c>
      <c r="Q990" t="str">
        <f>TEXT(Inventory_Data[[#This Row],[Date]],"YYYY")</f>
        <v>2025</v>
      </c>
    </row>
    <row r="991" spans="1:17" x14ac:dyDescent="0.3">
      <c r="A991" s="1">
        <v>45868</v>
      </c>
      <c r="B991" t="s">
        <v>30</v>
      </c>
      <c r="C991" t="s">
        <v>28</v>
      </c>
      <c r="D991" t="s">
        <v>26</v>
      </c>
      <c r="E991" t="s">
        <v>24</v>
      </c>
      <c r="F991">
        <v>128</v>
      </c>
      <c r="G991">
        <v>85</v>
      </c>
      <c r="H991">
        <v>24</v>
      </c>
      <c r="I991">
        <v>189</v>
      </c>
      <c r="J991">
        <v>40</v>
      </c>
      <c r="K991">
        <v>36960</v>
      </c>
      <c r="L991">
        <v>6985440</v>
      </c>
      <c r="M991">
        <f>Inventory_Data[[#This Row],[Opening Stock]]+Inventory_Data[[#This Row],[Purchase Qty]]-Inventory_Data[[#This Row],[Sales Qty]]-Inventory_Data[[#This Row],[Closing Stock]]</f>
        <v>0</v>
      </c>
      <c r="N991">
        <f>Inventory_Data[[#This Row],[Purchase Qty]]*Inventory_Data[[#This Row],[Unit Cost]]</f>
        <v>3141600</v>
      </c>
      <c r="O991" t="str">
        <f>IF(Inventory_Data[[#This Row],[Closing Stock]]&lt;=Inventory_Data[[#This Row],[Reorder Level]],"Low Stock","In Stock")</f>
        <v>In Stock</v>
      </c>
      <c r="P991" t="str">
        <f>TEXT(Inventory_Data[[#This Row],[Date]],"MMM")</f>
        <v>Jul</v>
      </c>
      <c r="Q991" t="str">
        <f>TEXT(Inventory_Data[[#This Row],[Date]],"YYYY")</f>
        <v>2025</v>
      </c>
    </row>
    <row r="992" spans="1:17" x14ac:dyDescent="0.3">
      <c r="A992" s="1">
        <v>45868</v>
      </c>
      <c r="B992" t="s">
        <v>41</v>
      </c>
      <c r="C992" t="s">
        <v>22</v>
      </c>
      <c r="D992" t="s">
        <v>23</v>
      </c>
      <c r="E992" t="s">
        <v>15</v>
      </c>
      <c r="F992">
        <v>496</v>
      </c>
      <c r="G992">
        <v>103</v>
      </c>
      <c r="H992">
        <v>176</v>
      </c>
      <c r="I992">
        <v>423</v>
      </c>
      <c r="J992">
        <v>69</v>
      </c>
      <c r="K992">
        <v>479</v>
      </c>
      <c r="L992">
        <v>202617</v>
      </c>
      <c r="M992">
        <f>Inventory_Data[[#This Row],[Opening Stock]]+Inventory_Data[[#This Row],[Purchase Qty]]-Inventory_Data[[#This Row],[Sales Qty]]-Inventory_Data[[#This Row],[Closing Stock]]</f>
        <v>0</v>
      </c>
      <c r="N992">
        <f>Inventory_Data[[#This Row],[Purchase Qty]]*Inventory_Data[[#This Row],[Unit Cost]]</f>
        <v>49337</v>
      </c>
      <c r="O992" t="str">
        <f>IF(Inventory_Data[[#This Row],[Closing Stock]]&lt;=Inventory_Data[[#This Row],[Reorder Level]],"Low Stock","In Stock")</f>
        <v>In Stock</v>
      </c>
      <c r="P992" t="str">
        <f>TEXT(Inventory_Data[[#This Row],[Date]],"MMM")</f>
        <v>Jul</v>
      </c>
      <c r="Q992" t="str">
        <f>TEXT(Inventory_Data[[#This Row],[Date]],"YYYY")</f>
        <v>2025</v>
      </c>
    </row>
    <row r="993" spans="1:17" x14ac:dyDescent="0.3">
      <c r="A993" s="1">
        <v>45868</v>
      </c>
      <c r="B993" t="s">
        <v>12</v>
      </c>
      <c r="C993" t="s">
        <v>13</v>
      </c>
      <c r="D993" t="s">
        <v>37</v>
      </c>
      <c r="E993" t="s">
        <v>29</v>
      </c>
      <c r="F993">
        <v>36</v>
      </c>
      <c r="G993">
        <v>28</v>
      </c>
      <c r="H993">
        <v>47</v>
      </c>
      <c r="I993">
        <v>17</v>
      </c>
      <c r="J993">
        <v>20</v>
      </c>
      <c r="K993">
        <v>1241</v>
      </c>
      <c r="L993">
        <v>21097</v>
      </c>
      <c r="M993">
        <f>Inventory_Data[[#This Row],[Opening Stock]]+Inventory_Data[[#This Row],[Purchase Qty]]-Inventory_Data[[#This Row],[Sales Qty]]-Inventory_Data[[#This Row],[Closing Stock]]</f>
        <v>0</v>
      </c>
      <c r="N993">
        <f>Inventory_Data[[#This Row],[Purchase Qty]]*Inventory_Data[[#This Row],[Unit Cost]]</f>
        <v>34748</v>
      </c>
      <c r="O993" t="str">
        <f>IF(Inventory_Data[[#This Row],[Closing Stock]]&lt;=Inventory_Data[[#This Row],[Reorder Level]],"Low Stock","In Stock")</f>
        <v>Low Stock</v>
      </c>
      <c r="P993" t="str">
        <f>TEXT(Inventory_Data[[#This Row],[Date]],"MMM")</f>
        <v>Jul</v>
      </c>
      <c r="Q993" t="str">
        <f>TEXT(Inventory_Data[[#This Row],[Date]],"YYYY")</f>
        <v>2025</v>
      </c>
    </row>
    <row r="994" spans="1:17" x14ac:dyDescent="0.3">
      <c r="A994" s="1">
        <v>45868</v>
      </c>
      <c r="B994" t="s">
        <v>41</v>
      </c>
      <c r="C994" t="s">
        <v>22</v>
      </c>
      <c r="D994" t="s">
        <v>23</v>
      </c>
      <c r="E994" t="s">
        <v>29</v>
      </c>
      <c r="F994">
        <v>493</v>
      </c>
      <c r="G994">
        <v>278</v>
      </c>
      <c r="H994">
        <v>236</v>
      </c>
      <c r="I994">
        <v>535</v>
      </c>
      <c r="J994">
        <v>67</v>
      </c>
      <c r="K994">
        <v>67</v>
      </c>
      <c r="L994">
        <v>35845</v>
      </c>
      <c r="M994">
        <f>Inventory_Data[[#This Row],[Opening Stock]]+Inventory_Data[[#This Row],[Purchase Qty]]-Inventory_Data[[#This Row],[Sales Qty]]-Inventory_Data[[#This Row],[Closing Stock]]</f>
        <v>0</v>
      </c>
      <c r="N994">
        <f>Inventory_Data[[#This Row],[Purchase Qty]]*Inventory_Data[[#This Row],[Unit Cost]]</f>
        <v>18626</v>
      </c>
      <c r="O994" t="str">
        <f>IF(Inventory_Data[[#This Row],[Closing Stock]]&lt;=Inventory_Data[[#This Row],[Reorder Level]],"Low Stock","In Stock")</f>
        <v>In Stock</v>
      </c>
      <c r="P994" t="str">
        <f>TEXT(Inventory_Data[[#This Row],[Date]],"MMM")</f>
        <v>Jul</v>
      </c>
      <c r="Q994" t="str">
        <f>TEXT(Inventory_Data[[#This Row],[Date]],"YYYY")</f>
        <v>2025</v>
      </c>
    </row>
    <row r="995" spans="1:17" x14ac:dyDescent="0.3">
      <c r="A995" s="1">
        <v>45869</v>
      </c>
      <c r="B995" t="s">
        <v>31</v>
      </c>
      <c r="C995" t="s">
        <v>22</v>
      </c>
      <c r="D995" t="s">
        <v>23</v>
      </c>
      <c r="E995" t="s">
        <v>29</v>
      </c>
      <c r="F995">
        <v>467</v>
      </c>
      <c r="G995">
        <v>142</v>
      </c>
      <c r="H995">
        <v>53</v>
      </c>
      <c r="I995">
        <v>556</v>
      </c>
      <c r="J995">
        <v>79</v>
      </c>
      <c r="K995">
        <v>147</v>
      </c>
      <c r="L995">
        <v>81732</v>
      </c>
      <c r="M995">
        <f>Inventory_Data[[#This Row],[Opening Stock]]+Inventory_Data[[#This Row],[Purchase Qty]]-Inventory_Data[[#This Row],[Sales Qty]]-Inventory_Data[[#This Row],[Closing Stock]]</f>
        <v>0</v>
      </c>
      <c r="N995">
        <f>Inventory_Data[[#This Row],[Purchase Qty]]*Inventory_Data[[#This Row],[Unit Cost]]</f>
        <v>20874</v>
      </c>
      <c r="O995" t="str">
        <f>IF(Inventory_Data[[#This Row],[Closing Stock]]&lt;=Inventory_Data[[#This Row],[Reorder Level]],"Low Stock","In Stock")</f>
        <v>In Stock</v>
      </c>
      <c r="P995" t="str">
        <f>TEXT(Inventory_Data[[#This Row],[Date]],"MMM")</f>
        <v>Jul</v>
      </c>
      <c r="Q995" t="str">
        <f>TEXT(Inventory_Data[[#This Row],[Date]],"YYYY")</f>
        <v>2025</v>
      </c>
    </row>
    <row r="996" spans="1:17" x14ac:dyDescent="0.3">
      <c r="A996" s="1">
        <v>45870</v>
      </c>
      <c r="B996" t="s">
        <v>35</v>
      </c>
      <c r="C996" t="s">
        <v>22</v>
      </c>
      <c r="D996" t="s">
        <v>26</v>
      </c>
      <c r="E996" t="s">
        <v>20</v>
      </c>
      <c r="F996">
        <v>111</v>
      </c>
      <c r="G996">
        <v>78</v>
      </c>
      <c r="H996">
        <v>136</v>
      </c>
      <c r="I996">
        <v>53</v>
      </c>
      <c r="J996">
        <v>74</v>
      </c>
      <c r="K996">
        <v>242</v>
      </c>
      <c r="L996">
        <v>12826</v>
      </c>
      <c r="M996">
        <f>Inventory_Data[[#This Row],[Opening Stock]]+Inventory_Data[[#This Row],[Purchase Qty]]-Inventory_Data[[#This Row],[Sales Qty]]-Inventory_Data[[#This Row],[Closing Stock]]</f>
        <v>0</v>
      </c>
      <c r="N996">
        <f>Inventory_Data[[#This Row],[Purchase Qty]]*Inventory_Data[[#This Row],[Unit Cost]]</f>
        <v>18876</v>
      </c>
      <c r="O996" t="str">
        <f>IF(Inventory_Data[[#This Row],[Closing Stock]]&lt;=Inventory_Data[[#This Row],[Reorder Level]],"Low Stock","In Stock")</f>
        <v>Low Stock</v>
      </c>
      <c r="P996" t="str">
        <f>TEXT(Inventory_Data[[#This Row],[Date]],"MMM")</f>
        <v>Aug</v>
      </c>
      <c r="Q996" t="str">
        <f>TEXT(Inventory_Data[[#This Row],[Date]],"YYYY")</f>
        <v>2025</v>
      </c>
    </row>
    <row r="997" spans="1:17" x14ac:dyDescent="0.3">
      <c r="A997" s="1">
        <v>45870</v>
      </c>
      <c r="B997" t="s">
        <v>39</v>
      </c>
      <c r="C997" t="s">
        <v>28</v>
      </c>
      <c r="D997" t="s">
        <v>14</v>
      </c>
      <c r="E997" t="s">
        <v>18</v>
      </c>
      <c r="F997">
        <v>178</v>
      </c>
      <c r="G997">
        <v>57</v>
      </c>
      <c r="H997">
        <v>65</v>
      </c>
      <c r="I997">
        <v>170</v>
      </c>
      <c r="J997">
        <v>57</v>
      </c>
      <c r="K997">
        <v>53135</v>
      </c>
      <c r="L997">
        <v>9032950</v>
      </c>
      <c r="M997">
        <f>Inventory_Data[[#This Row],[Opening Stock]]+Inventory_Data[[#This Row],[Purchase Qty]]-Inventory_Data[[#This Row],[Sales Qty]]-Inventory_Data[[#This Row],[Closing Stock]]</f>
        <v>0</v>
      </c>
      <c r="N997">
        <f>Inventory_Data[[#This Row],[Purchase Qty]]*Inventory_Data[[#This Row],[Unit Cost]]</f>
        <v>3028695</v>
      </c>
      <c r="O997" t="str">
        <f>IF(Inventory_Data[[#This Row],[Closing Stock]]&lt;=Inventory_Data[[#This Row],[Reorder Level]],"Low Stock","In Stock")</f>
        <v>In Stock</v>
      </c>
      <c r="P997" t="str">
        <f>TEXT(Inventory_Data[[#This Row],[Date]],"MMM")</f>
        <v>Aug</v>
      </c>
      <c r="Q997" t="str">
        <f>TEXT(Inventory_Data[[#This Row],[Date]],"YYYY")</f>
        <v>2025</v>
      </c>
    </row>
    <row r="998" spans="1:17" x14ac:dyDescent="0.3">
      <c r="A998" s="1">
        <v>45870</v>
      </c>
      <c r="B998" t="s">
        <v>45</v>
      </c>
      <c r="C998" t="s">
        <v>13</v>
      </c>
      <c r="D998" t="s">
        <v>26</v>
      </c>
      <c r="E998" t="s">
        <v>20</v>
      </c>
      <c r="F998">
        <v>80</v>
      </c>
      <c r="G998">
        <v>47</v>
      </c>
      <c r="H998">
        <v>20</v>
      </c>
      <c r="I998">
        <v>107</v>
      </c>
      <c r="J998">
        <v>31</v>
      </c>
      <c r="K998">
        <v>16196</v>
      </c>
      <c r="L998">
        <v>1732972</v>
      </c>
      <c r="M998">
        <f>Inventory_Data[[#This Row],[Opening Stock]]+Inventory_Data[[#This Row],[Purchase Qty]]-Inventory_Data[[#This Row],[Sales Qty]]-Inventory_Data[[#This Row],[Closing Stock]]</f>
        <v>0</v>
      </c>
      <c r="N998">
        <f>Inventory_Data[[#This Row],[Purchase Qty]]*Inventory_Data[[#This Row],[Unit Cost]]</f>
        <v>761212</v>
      </c>
      <c r="O998" t="str">
        <f>IF(Inventory_Data[[#This Row],[Closing Stock]]&lt;=Inventory_Data[[#This Row],[Reorder Level]],"Low Stock","In Stock")</f>
        <v>In Stock</v>
      </c>
      <c r="P998" t="str">
        <f>TEXT(Inventory_Data[[#This Row],[Date]],"MMM")</f>
        <v>Aug</v>
      </c>
      <c r="Q998" t="str">
        <f>TEXT(Inventory_Data[[#This Row],[Date]],"YYYY")</f>
        <v>2025</v>
      </c>
    </row>
    <row r="999" spans="1:17" x14ac:dyDescent="0.3">
      <c r="A999" s="1">
        <v>45870</v>
      </c>
      <c r="B999" t="s">
        <v>30</v>
      </c>
      <c r="C999" t="s">
        <v>28</v>
      </c>
      <c r="D999" t="s">
        <v>23</v>
      </c>
      <c r="E999" t="s">
        <v>29</v>
      </c>
      <c r="F999">
        <v>24</v>
      </c>
      <c r="G999">
        <v>112</v>
      </c>
      <c r="H999">
        <v>77</v>
      </c>
      <c r="I999">
        <v>59</v>
      </c>
      <c r="J999">
        <v>37</v>
      </c>
      <c r="K999">
        <v>6804</v>
      </c>
      <c r="L999">
        <v>401436</v>
      </c>
      <c r="M999">
        <f>Inventory_Data[[#This Row],[Opening Stock]]+Inventory_Data[[#This Row],[Purchase Qty]]-Inventory_Data[[#This Row],[Sales Qty]]-Inventory_Data[[#This Row],[Closing Stock]]</f>
        <v>0</v>
      </c>
      <c r="N999">
        <f>Inventory_Data[[#This Row],[Purchase Qty]]*Inventory_Data[[#This Row],[Unit Cost]]</f>
        <v>762048</v>
      </c>
      <c r="O999" t="str">
        <f>IF(Inventory_Data[[#This Row],[Closing Stock]]&lt;=Inventory_Data[[#This Row],[Reorder Level]],"Low Stock","In Stock")</f>
        <v>In Stock</v>
      </c>
      <c r="P999" t="str">
        <f>TEXT(Inventory_Data[[#This Row],[Date]],"MMM")</f>
        <v>Aug</v>
      </c>
      <c r="Q999" t="str">
        <f>TEXT(Inventory_Data[[#This Row],[Date]],"YYYY")</f>
        <v>2025</v>
      </c>
    </row>
    <row r="1000" spans="1:17" x14ac:dyDescent="0.3">
      <c r="A1000" s="1">
        <v>45871</v>
      </c>
      <c r="B1000" t="s">
        <v>31</v>
      </c>
      <c r="C1000" t="s">
        <v>22</v>
      </c>
      <c r="D1000" t="s">
        <v>26</v>
      </c>
      <c r="E1000" t="s">
        <v>29</v>
      </c>
      <c r="F1000">
        <v>389</v>
      </c>
      <c r="G1000">
        <v>118</v>
      </c>
      <c r="H1000">
        <v>261</v>
      </c>
      <c r="I1000">
        <v>246</v>
      </c>
      <c r="J1000">
        <v>142</v>
      </c>
      <c r="K1000">
        <v>388</v>
      </c>
      <c r="L1000">
        <v>95448</v>
      </c>
      <c r="M1000">
        <f>Inventory_Data[[#This Row],[Opening Stock]]+Inventory_Data[[#This Row],[Purchase Qty]]-Inventory_Data[[#This Row],[Sales Qty]]-Inventory_Data[[#This Row],[Closing Stock]]</f>
        <v>0</v>
      </c>
      <c r="N1000">
        <f>Inventory_Data[[#This Row],[Purchase Qty]]*Inventory_Data[[#This Row],[Unit Cost]]</f>
        <v>45784</v>
      </c>
      <c r="O1000" t="str">
        <f>IF(Inventory_Data[[#This Row],[Closing Stock]]&lt;=Inventory_Data[[#This Row],[Reorder Level]],"Low Stock","In Stock")</f>
        <v>In Stock</v>
      </c>
      <c r="P1000" t="str">
        <f>TEXT(Inventory_Data[[#This Row],[Date]],"MMM")</f>
        <v>Aug</v>
      </c>
      <c r="Q1000" t="str">
        <f>TEXT(Inventory_Data[[#This Row],[Date]],"YYYY")</f>
        <v>2025</v>
      </c>
    </row>
    <row r="1001" spans="1:17" x14ac:dyDescent="0.3">
      <c r="A1001" s="1">
        <v>45871</v>
      </c>
      <c r="B1001" t="s">
        <v>25</v>
      </c>
      <c r="C1001" t="s">
        <v>17</v>
      </c>
      <c r="D1001" t="s">
        <v>26</v>
      </c>
      <c r="E1001" t="s">
        <v>34</v>
      </c>
      <c r="F1001">
        <v>77</v>
      </c>
      <c r="G1001">
        <v>59</v>
      </c>
      <c r="H1001">
        <v>35</v>
      </c>
      <c r="I1001">
        <v>101</v>
      </c>
      <c r="J1001">
        <v>27</v>
      </c>
      <c r="K1001">
        <v>14114</v>
      </c>
      <c r="L1001">
        <v>1425514</v>
      </c>
      <c r="M1001">
        <f>Inventory_Data[[#This Row],[Opening Stock]]+Inventory_Data[[#This Row],[Purchase Qty]]-Inventory_Data[[#This Row],[Sales Qty]]-Inventory_Data[[#This Row],[Closing Stock]]</f>
        <v>0</v>
      </c>
      <c r="N1001">
        <f>Inventory_Data[[#This Row],[Purchase Qty]]*Inventory_Data[[#This Row],[Unit Cost]]</f>
        <v>832726</v>
      </c>
      <c r="O1001" t="str">
        <f>IF(Inventory_Data[[#This Row],[Closing Stock]]&lt;=Inventory_Data[[#This Row],[Reorder Level]],"Low Stock","In Stock")</f>
        <v>In Stock</v>
      </c>
      <c r="P1001" t="str">
        <f>TEXT(Inventory_Data[[#This Row],[Date]],"MMM")</f>
        <v>Aug</v>
      </c>
      <c r="Q1001" t="str">
        <f>TEXT(Inventory_Data[[#This Row],[Date]],"YYYY")</f>
        <v>2025</v>
      </c>
    </row>
    <row r="1002" spans="1:17" x14ac:dyDescent="0.3">
      <c r="A1002" s="1">
        <v>45871</v>
      </c>
      <c r="B1002" t="s">
        <v>40</v>
      </c>
      <c r="C1002" t="s">
        <v>28</v>
      </c>
      <c r="D1002" t="s">
        <v>23</v>
      </c>
      <c r="E1002" t="s">
        <v>29</v>
      </c>
      <c r="F1002">
        <v>89</v>
      </c>
      <c r="G1002">
        <v>115</v>
      </c>
      <c r="H1002">
        <v>77</v>
      </c>
      <c r="I1002">
        <v>127</v>
      </c>
      <c r="J1002">
        <v>58</v>
      </c>
      <c r="K1002">
        <v>53039</v>
      </c>
      <c r="L1002">
        <v>6735953</v>
      </c>
      <c r="M1002">
        <f>Inventory_Data[[#This Row],[Opening Stock]]+Inventory_Data[[#This Row],[Purchase Qty]]-Inventory_Data[[#This Row],[Sales Qty]]-Inventory_Data[[#This Row],[Closing Stock]]</f>
        <v>0</v>
      </c>
      <c r="N1002">
        <f>Inventory_Data[[#This Row],[Purchase Qty]]*Inventory_Data[[#This Row],[Unit Cost]]</f>
        <v>6099485</v>
      </c>
      <c r="O1002" t="str">
        <f>IF(Inventory_Data[[#This Row],[Closing Stock]]&lt;=Inventory_Data[[#This Row],[Reorder Level]],"Low Stock","In Stock")</f>
        <v>In Stock</v>
      </c>
      <c r="P1002" t="str">
        <f>TEXT(Inventory_Data[[#This Row],[Date]],"MMM")</f>
        <v>Aug</v>
      </c>
      <c r="Q1002" t="str">
        <f>TEXT(Inventory_Data[[#This Row],[Date]],"YYYY")</f>
        <v>2025</v>
      </c>
    </row>
    <row r="1003" spans="1:17" x14ac:dyDescent="0.3">
      <c r="A1003" s="1">
        <v>45871</v>
      </c>
      <c r="B1003" t="s">
        <v>39</v>
      </c>
      <c r="C1003" t="s">
        <v>28</v>
      </c>
      <c r="D1003" t="s">
        <v>37</v>
      </c>
      <c r="E1003" t="s">
        <v>34</v>
      </c>
      <c r="F1003">
        <v>33</v>
      </c>
      <c r="G1003">
        <v>73</v>
      </c>
      <c r="H1003">
        <v>43</v>
      </c>
      <c r="I1003">
        <v>63</v>
      </c>
      <c r="J1003">
        <v>21</v>
      </c>
      <c r="K1003">
        <v>60885</v>
      </c>
      <c r="L1003">
        <v>3835755</v>
      </c>
      <c r="M1003">
        <f>Inventory_Data[[#This Row],[Opening Stock]]+Inventory_Data[[#This Row],[Purchase Qty]]-Inventory_Data[[#This Row],[Sales Qty]]-Inventory_Data[[#This Row],[Closing Stock]]</f>
        <v>0</v>
      </c>
      <c r="N1003">
        <f>Inventory_Data[[#This Row],[Purchase Qty]]*Inventory_Data[[#This Row],[Unit Cost]]</f>
        <v>4444605</v>
      </c>
      <c r="O1003" t="str">
        <f>IF(Inventory_Data[[#This Row],[Closing Stock]]&lt;=Inventory_Data[[#This Row],[Reorder Level]],"Low Stock","In Stock")</f>
        <v>In Stock</v>
      </c>
      <c r="P1003" t="str">
        <f>TEXT(Inventory_Data[[#This Row],[Date]],"MMM")</f>
        <v>Aug</v>
      </c>
      <c r="Q1003" t="str">
        <f>TEXT(Inventory_Data[[#This Row],[Date]],"YYYY")</f>
        <v>2025</v>
      </c>
    </row>
    <row r="1004" spans="1:17" x14ac:dyDescent="0.3">
      <c r="A1004" s="1">
        <v>45871</v>
      </c>
      <c r="B1004" t="s">
        <v>32</v>
      </c>
      <c r="C1004" t="s">
        <v>28</v>
      </c>
      <c r="D1004" t="s">
        <v>37</v>
      </c>
      <c r="E1004" t="s">
        <v>24</v>
      </c>
      <c r="F1004">
        <v>101</v>
      </c>
      <c r="G1004">
        <v>108</v>
      </c>
      <c r="H1004">
        <v>10</v>
      </c>
      <c r="I1004">
        <v>199</v>
      </c>
      <c r="J1004">
        <v>24</v>
      </c>
      <c r="K1004">
        <v>40802</v>
      </c>
      <c r="L1004">
        <v>8119598</v>
      </c>
      <c r="M1004">
        <f>Inventory_Data[[#This Row],[Opening Stock]]+Inventory_Data[[#This Row],[Purchase Qty]]-Inventory_Data[[#This Row],[Sales Qty]]-Inventory_Data[[#This Row],[Closing Stock]]</f>
        <v>0</v>
      </c>
      <c r="N1004">
        <f>Inventory_Data[[#This Row],[Purchase Qty]]*Inventory_Data[[#This Row],[Unit Cost]]</f>
        <v>4406616</v>
      </c>
      <c r="O1004" t="str">
        <f>IF(Inventory_Data[[#This Row],[Closing Stock]]&lt;=Inventory_Data[[#This Row],[Reorder Level]],"Low Stock","In Stock")</f>
        <v>In Stock</v>
      </c>
      <c r="P1004" t="str">
        <f>TEXT(Inventory_Data[[#This Row],[Date]],"MMM")</f>
        <v>Aug</v>
      </c>
      <c r="Q1004" t="str">
        <f>TEXT(Inventory_Data[[#This Row],[Date]],"YYYY")</f>
        <v>2025</v>
      </c>
    </row>
    <row r="1005" spans="1:17" x14ac:dyDescent="0.3">
      <c r="A1005" s="1">
        <v>45871</v>
      </c>
      <c r="B1005" t="s">
        <v>40</v>
      </c>
      <c r="C1005" t="s">
        <v>28</v>
      </c>
      <c r="D1005" t="s">
        <v>14</v>
      </c>
      <c r="E1005" t="s">
        <v>15</v>
      </c>
      <c r="F1005">
        <v>123</v>
      </c>
      <c r="G1005">
        <v>63</v>
      </c>
      <c r="H1005">
        <v>23</v>
      </c>
      <c r="I1005">
        <v>163</v>
      </c>
      <c r="J1005">
        <v>22</v>
      </c>
      <c r="K1005">
        <v>52024</v>
      </c>
      <c r="L1005">
        <v>8479912</v>
      </c>
      <c r="M1005">
        <f>Inventory_Data[[#This Row],[Opening Stock]]+Inventory_Data[[#This Row],[Purchase Qty]]-Inventory_Data[[#This Row],[Sales Qty]]-Inventory_Data[[#This Row],[Closing Stock]]</f>
        <v>0</v>
      </c>
      <c r="N1005">
        <f>Inventory_Data[[#This Row],[Purchase Qty]]*Inventory_Data[[#This Row],[Unit Cost]]</f>
        <v>3277512</v>
      </c>
      <c r="O1005" t="str">
        <f>IF(Inventory_Data[[#This Row],[Closing Stock]]&lt;=Inventory_Data[[#This Row],[Reorder Level]],"Low Stock","In Stock")</f>
        <v>In Stock</v>
      </c>
      <c r="P1005" t="str">
        <f>TEXT(Inventory_Data[[#This Row],[Date]],"MMM")</f>
        <v>Aug</v>
      </c>
      <c r="Q1005" t="str">
        <f>TEXT(Inventory_Data[[#This Row],[Date]],"YYYY")</f>
        <v>2025</v>
      </c>
    </row>
    <row r="1006" spans="1:17" x14ac:dyDescent="0.3">
      <c r="A1006" s="1">
        <v>45871</v>
      </c>
      <c r="B1006" t="s">
        <v>16</v>
      </c>
      <c r="C1006" t="s">
        <v>17</v>
      </c>
      <c r="D1006" t="s">
        <v>37</v>
      </c>
      <c r="E1006" t="s">
        <v>24</v>
      </c>
      <c r="F1006">
        <v>33</v>
      </c>
      <c r="G1006">
        <v>5</v>
      </c>
      <c r="H1006">
        <v>19</v>
      </c>
      <c r="I1006">
        <v>19</v>
      </c>
      <c r="J1006">
        <v>21</v>
      </c>
      <c r="K1006">
        <v>2055</v>
      </c>
      <c r="L1006">
        <v>39045</v>
      </c>
      <c r="M1006">
        <f>Inventory_Data[[#This Row],[Opening Stock]]+Inventory_Data[[#This Row],[Purchase Qty]]-Inventory_Data[[#This Row],[Sales Qty]]-Inventory_Data[[#This Row],[Closing Stock]]</f>
        <v>0</v>
      </c>
      <c r="N1006">
        <f>Inventory_Data[[#This Row],[Purchase Qty]]*Inventory_Data[[#This Row],[Unit Cost]]</f>
        <v>10275</v>
      </c>
      <c r="O1006" t="str">
        <f>IF(Inventory_Data[[#This Row],[Closing Stock]]&lt;=Inventory_Data[[#This Row],[Reorder Level]],"Low Stock","In Stock")</f>
        <v>Low Stock</v>
      </c>
      <c r="P1006" t="str">
        <f>TEXT(Inventory_Data[[#This Row],[Date]],"MMM")</f>
        <v>Aug</v>
      </c>
      <c r="Q1006" t="str">
        <f>TEXT(Inventory_Data[[#This Row],[Date]],"YYYY")</f>
        <v>2025</v>
      </c>
    </row>
    <row r="1007" spans="1:17" x14ac:dyDescent="0.3">
      <c r="A1007" s="1">
        <v>45872</v>
      </c>
      <c r="B1007" t="s">
        <v>21</v>
      </c>
      <c r="C1007" t="s">
        <v>22</v>
      </c>
      <c r="D1007" t="s">
        <v>23</v>
      </c>
      <c r="E1007" t="s">
        <v>15</v>
      </c>
      <c r="F1007">
        <v>162</v>
      </c>
      <c r="G1007">
        <v>126</v>
      </c>
      <c r="H1007">
        <v>127</v>
      </c>
      <c r="I1007">
        <v>161</v>
      </c>
      <c r="J1007">
        <v>130</v>
      </c>
      <c r="K1007">
        <v>567</v>
      </c>
      <c r="L1007">
        <v>91287</v>
      </c>
      <c r="M1007">
        <f>Inventory_Data[[#This Row],[Opening Stock]]+Inventory_Data[[#This Row],[Purchase Qty]]-Inventory_Data[[#This Row],[Sales Qty]]-Inventory_Data[[#This Row],[Closing Stock]]</f>
        <v>0</v>
      </c>
      <c r="N1007">
        <f>Inventory_Data[[#This Row],[Purchase Qty]]*Inventory_Data[[#This Row],[Unit Cost]]</f>
        <v>71442</v>
      </c>
      <c r="O1007" t="str">
        <f>IF(Inventory_Data[[#This Row],[Closing Stock]]&lt;=Inventory_Data[[#This Row],[Reorder Level]],"Low Stock","In Stock")</f>
        <v>In Stock</v>
      </c>
      <c r="P1007" t="str">
        <f>TEXT(Inventory_Data[[#This Row],[Date]],"MMM")</f>
        <v>Aug</v>
      </c>
      <c r="Q1007" t="str">
        <f>TEXT(Inventory_Data[[#This Row],[Date]],"YYYY")</f>
        <v>2025</v>
      </c>
    </row>
    <row r="1008" spans="1:17" x14ac:dyDescent="0.3">
      <c r="A1008" s="1">
        <v>45872</v>
      </c>
      <c r="B1008" t="s">
        <v>39</v>
      </c>
      <c r="C1008" t="s">
        <v>28</v>
      </c>
      <c r="D1008" t="s">
        <v>37</v>
      </c>
      <c r="E1008" t="s">
        <v>15</v>
      </c>
      <c r="F1008">
        <v>73</v>
      </c>
      <c r="G1008">
        <v>113</v>
      </c>
      <c r="H1008">
        <v>29</v>
      </c>
      <c r="I1008">
        <v>157</v>
      </c>
      <c r="J1008">
        <v>57</v>
      </c>
      <c r="K1008">
        <v>53294</v>
      </c>
      <c r="L1008">
        <v>8367158</v>
      </c>
      <c r="M1008">
        <f>Inventory_Data[[#This Row],[Opening Stock]]+Inventory_Data[[#This Row],[Purchase Qty]]-Inventory_Data[[#This Row],[Sales Qty]]-Inventory_Data[[#This Row],[Closing Stock]]</f>
        <v>0</v>
      </c>
      <c r="N1008">
        <f>Inventory_Data[[#This Row],[Purchase Qty]]*Inventory_Data[[#This Row],[Unit Cost]]</f>
        <v>6022222</v>
      </c>
      <c r="O1008" t="str">
        <f>IF(Inventory_Data[[#This Row],[Closing Stock]]&lt;=Inventory_Data[[#This Row],[Reorder Level]],"Low Stock","In Stock")</f>
        <v>In Stock</v>
      </c>
      <c r="P1008" t="str">
        <f>TEXT(Inventory_Data[[#This Row],[Date]],"MMM")</f>
        <v>Aug</v>
      </c>
      <c r="Q1008" t="str">
        <f>TEXT(Inventory_Data[[#This Row],[Date]],"YYYY")</f>
        <v>2025</v>
      </c>
    </row>
    <row r="1009" spans="1:17" x14ac:dyDescent="0.3">
      <c r="A1009" s="1">
        <v>45872</v>
      </c>
      <c r="B1009" t="s">
        <v>41</v>
      </c>
      <c r="C1009" t="s">
        <v>22</v>
      </c>
      <c r="D1009" t="s">
        <v>14</v>
      </c>
      <c r="E1009" t="s">
        <v>15</v>
      </c>
      <c r="F1009">
        <v>429</v>
      </c>
      <c r="G1009">
        <v>287</v>
      </c>
      <c r="H1009">
        <v>249</v>
      </c>
      <c r="I1009">
        <v>467</v>
      </c>
      <c r="J1009">
        <v>135</v>
      </c>
      <c r="K1009">
        <v>846</v>
      </c>
      <c r="L1009">
        <v>395082</v>
      </c>
      <c r="M1009">
        <f>Inventory_Data[[#This Row],[Opening Stock]]+Inventory_Data[[#This Row],[Purchase Qty]]-Inventory_Data[[#This Row],[Sales Qty]]-Inventory_Data[[#This Row],[Closing Stock]]</f>
        <v>0</v>
      </c>
      <c r="N1009">
        <f>Inventory_Data[[#This Row],[Purchase Qty]]*Inventory_Data[[#This Row],[Unit Cost]]</f>
        <v>242802</v>
      </c>
      <c r="O1009" t="str">
        <f>IF(Inventory_Data[[#This Row],[Closing Stock]]&lt;=Inventory_Data[[#This Row],[Reorder Level]],"Low Stock","In Stock")</f>
        <v>In Stock</v>
      </c>
      <c r="P1009" t="str">
        <f>TEXT(Inventory_Data[[#This Row],[Date]],"MMM")</f>
        <v>Aug</v>
      </c>
      <c r="Q1009" t="str">
        <f>TEXT(Inventory_Data[[#This Row],[Date]],"YYYY")</f>
        <v>2025</v>
      </c>
    </row>
    <row r="1010" spans="1:17" x14ac:dyDescent="0.3">
      <c r="A1010" s="1">
        <v>45872</v>
      </c>
      <c r="B1010" t="s">
        <v>40</v>
      </c>
      <c r="C1010" t="s">
        <v>28</v>
      </c>
      <c r="D1010" t="s">
        <v>23</v>
      </c>
      <c r="E1010" t="s">
        <v>34</v>
      </c>
      <c r="F1010">
        <v>153</v>
      </c>
      <c r="G1010">
        <v>38</v>
      </c>
      <c r="H1010">
        <v>29</v>
      </c>
      <c r="I1010">
        <v>162</v>
      </c>
      <c r="J1010">
        <v>36</v>
      </c>
      <c r="K1010">
        <v>2262</v>
      </c>
      <c r="L1010">
        <v>366444</v>
      </c>
      <c r="M1010">
        <f>Inventory_Data[[#This Row],[Opening Stock]]+Inventory_Data[[#This Row],[Purchase Qty]]-Inventory_Data[[#This Row],[Sales Qty]]-Inventory_Data[[#This Row],[Closing Stock]]</f>
        <v>0</v>
      </c>
      <c r="N1010">
        <f>Inventory_Data[[#This Row],[Purchase Qty]]*Inventory_Data[[#This Row],[Unit Cost]]</f>
        <v>85956</v>
      </c>
      <c r="O1010" t="str">
        <f>IF(Inventory_Data[[#This Row],[Closing Stock]]&lt;=Inventory_Data[[#This Row],[Reorder Level]],"Low Stock","In Stock")</f>
        <v>In Stock</v>
      </c>
      <c r="P1010" t="str">
        <f>TEXT(Inventory_Data[[#This Row],[Date]],"MMM")</f>
        <v>Aug</v>
      </c>
      <c r="Q1010" t="str">
        <f>TEXT(Inventory_Data[[#This Row],[Date]],"YYYY")</f>
        <v>2025</v>
      </c>
    </row>
    <row r="1011" spans="1:17" x14ac:dyDescent="0.3">
      <c r="A1011" s="1">
        <v>45872</v>
      </c>
      <c r="B1011" t="s">
        <v>43</v>
      </c>
      <c r="C1011" t="s">
        <v>22</v>
      </c>
      <c r="D1011" t="s">
        <v>14</v>
      </c>
      <c r="E1011" t="s">
        <v>24</v>
      </c>
      <c r="F1011">
        <v>444</v>
      </c>
      <c r="G1011">
        <v>141</v>
      </c>
      <c r="H1011">
        <v>201</v>
      </c>
      <c r="I1011">
        <v>384</v>
      </c>
      <c r="J1011">
        <v>96</v>
      </c>
      <c r="K1011">
        <v>933</v>
      </c>
      <c r="L1011">
        <v>358272</v>
      </c>
      <c r="M1011">
        <f>Inventory_Data[[#This Row],[Opening Stock]]+Inventory_Data[[#This Row],[Purchase Qty]]-Inventory_Data[[#This Row],[Sales Qty]]-Inventory_Data[[#This Row],[Closing Stock]]</f>
        <v>0</v>
      </c>
      <c r="N1011">
        <f>Inventory_Data[[#This Row],[Purchase Qty]]*Inventory_Data[[#This Row],[Unit Cost]]</f>
        <v>131553</v>
      </c>
      <c r="O1011" t="str">
        <f>IF(Inventory_Data[[#This Row],[Closing Stock]]&lt;=Inventory_Data[[#This Row],[Reorder Level]],"Low Stock","In Stock")</f>
        <v>In Stock</v>
      </c>
      <c r="P1011" t="str">
        <f>TEXT(Inventory_Data[[#This Row],[Date]],"MMM")</f>
        <v>Aug</v>
      </c>
      <c r="Q1011" t="str">
        <f>TEXT(Inventory_Data[[#This Row],[Date]],"YYYY")</f>
        <v>2025</v>
      </c>
    </row>
    <row r="1012" spans="1:17" x14ac:dyDescent="0.3">
      <c r="A1012" s="1">
        <v>45872</v>
      </c>
      <c r="B1012" t="s">
        <v>33</v>
      </c>
      <c r="C1012" t="s">
        <v>13</v>
      </c>
      <c r="D1012" t="s">
        <v>23</v>
      </c>
      <c r="E1012" t="s">
        <v>20</v>
      </c>
      <c r="F1012">
        <v>100</v>
      </c>
      <c r="G1012">
        <v>44</v>
      </c>
      <c r="H1012">
        <v>21</v>
      </c>
      <c r="I1012">
        <v>123</v>
      </c>
      <c r="J1012">
        <v>17</v>
      </c>
      <c r="K1012">
        <v>3836</v>
      </c>
      <c r="L1012">
        <v>471828</v>
      </c>
      <c r="M1012">
        <f>Inventory_Data[[#This Row],[Opening Stock]]+Inventory_Data[[#This Row],[Purchase Qty]]-Inventory_Data[[#This Row],[Sales Qty]]-Inventory_Data[[#This Row],[Closing Stock]]</f>
        <v>0</v>
      </c>
      <c r="N1012">
        <f>Inventory_Data[[#This Row],[Purchase Qty]]*Inventory_Data[[#This Row],[Unit Cost]]</f>
        <v>168784</v>
      </c>
      <c r="O1012" t="str">
        <f>IF(Inventory_Data[[#This Row],[Closing Stock]]&lt;=Inventory_Data[[#This Row],[Reorder Level]],"Low Stock","In Stock")</f>
        <v>In Stock</v>
      </c>
      <c r="P1012" t="str">
        <f>TEXT(Inventory_Data[[#This Row],[Date]],"MMM")</f>
        <v>Aug</v>
      </c>
      <c r="Q1012" t="str">
        <f>TEXT(Inventory_Data[[#This Row],[Date]],"YYYY")</f>
        <v>2025</v>
      </c>
    </row>
    <row r="1013" spans="1:17" x14ac:dyDescent="0.3">
      <c r="A1013" s="1">
        <v>45872</v>
      </c>
      <c r="B1013" t="s">
        <v>25</v>
      </c>
      <c r="C1013" t="s">
        <v>17</v>
      </c>
      <c r="D1013" t="s">
        <v>14</v>
      </c>
      <c r="E1013" t="s">
        <v>34</v>
      </c>
      <c r="F1013">
        <v>13</v>
      </c>
      <c r="G1013">
        <v>56</v>
      </c>
      <c r="H1013">
        <v>4</v>
      </c>
      <c r="I1013">
        <v>65</v>
      </c>
      <c r="J1013">
        <v>11</v>
      </c>
      <c r="K1013">
        <v>24080</v>
      </c>
      <c r="L1013">
        <v>1565200</v>
      </c>
      <c r="M1013">
        <f>Inventory_Data[[#This Row],[Opening Stock]]+Inventory_Data[[#This Row],[Purchase Qty]]-Inventory_Data[[#This Row],[Sales Qty]]-Inventory_Data[[#This Row],[Closing Stock]]</f>
        <v>0</v>
      </c>
      <c r="N1013">
        <f>Inventory_Data[[#This Row],[Purchase Qty]]*Inventory_Data[[#This Row],[Unit Cost]]</f>
        <v>1348480</v>
      </c>
      <c r="O1013" t="str">
        <f>IF(Inventory_Data[[#This Row],[Closing Stock]]&lt;=Inventory_Data[[#This Row],[Reorder Level]],"Low Stock","In Stock")</f>
        <v>In Stock</v>
      </c>
      <c r="P1013" t="str">
        <f>TEXT(Inventory_Data[[#This Row],[Date]],"MMM")</f>
        <v>Aug</v>
      </c>
      <c r="Q1013" t="str">
        <f>TEXT(Inventory_Data[[#This Row],[Date]],"YYYY")</f>
        <v>2025</v>
      </c>
    </row>
    <row r="1014" spans="1:17" x14ac:dyDescent="0.3">
      <c r="A1014" s="1">
        <v>45873</v>
      </c>
      <c r="B1014" t="s">
        <v>27</v>
      </c>
      <c r="C1014" t="s">
        <v>28</v>
      </c>
      <c r="D1014" t="s">
        <v>37</v>
      </c>
      <c r="E1014" t="s">
        <v>34</v>
      </c>
      <c r="F1014">
        <v>76</v>
      </c>
      <c r="G1014">
        <v>26</v>
      </c>
      <c r="H1014">
        <v>43</v>
      </c>
      <c r="I1014">
        <v>59</v>
      </c>
      <c r="J1014">
        <v>23</v>
      </c>
      <c r="K1014">
        <v>26489</v>
      </c>
      <c r="L1014">
        <v>1562851</v>
      </c>
      <c r="M1014">
        <f>Inventory_Data[[#This Row],[Opening Stock]]+Inventory_Data[[#This Row],[Purchase Qty]]-Inventory_Data[[#This Row],[Sales Qty]]-Inventory_Data[[#This Row],[Closing Stock]]</f>
        <v>0</v>
      </c>
      <c r="N1014">
        <f>Inventory_Data[[#This Row],[Purchase Qty]]*Inventory_Data[[#This Row],[Unit Cost]]</f>
        <v>688714</v>
      </c>
      <c r="O1014" t="str">
        <f>IF(Inventory_Data[[#This Row],[Closing Stock]]&lt;=Inventory_Data[[#This Row],[Reorder Level]],"Low Stock","In Stock")</f>
        <v>In Stock</v>
      </c>
      <c r="P1014" t="str">
        <f>TEXT(Inventory_Data[[#This Row],[Date]],"MMM")</f>
        <v>Aug</v>
      </c>
      <c r="Q1014" t="str">
        <f>TEXT(Inventory_Data[[#This Row],[Date]],"YYYY")</f>
        <v>2025</v>
      </c>
    </row>
    <row r="1015" spans="1:17" x14ac:dyDescent="0.3">
      <c r="A1015" s="1">
        <v>45873</v>
      </c>
      <c r="B1015" t="s">
        <v>36</v>
      </c>
      <c r="C1015" t="s">
        <v>22</v>
      </c>
      <c r="D1015" t="s">
        <v>26</v>
      </c>
      <c r="E1015" t="s">
        <v>34</v>
      </c>
      <c r="F1015">
        <v>262</v>
      </c>
      <c r="G1015">
        <v>229</v>
      </c>
      <c r="H1015">
        <v>40</v>
      </c>
      <c r="I1015">
        <v>451</v>
      </c>
      <c r="J1015">
        <v>56</v>
      </c>
      <c r="K1015">
        <v>1004</v>
      </c>
      <c r="L1015">
        <v>452804</v>
      </c>
      <c r="M1015">
        <f>Inventory_Data[[#This Row],[Opening Stock]]+Inventory_Data[[#This Row],[Purchase Qty]]-Inventory_Data[[#This Row],[Sales Qty]]-Inventory_Data[[#This Row],[Closing Stock]]</f>
        <v>0</v>
      </c>
      <c r="N1015">
        <f>Inventory_Data[[#This Row],[Purchase Qty]]*Inventory_Data[[#This Row],[Unit Cost]]</f>
        <v>229916</v>
      </c>
      <c r="O1015" t="str">
        <f>IF(Inventory_Data[[#This Row],[Closing Stock]]&lt;=Inventory_Data[[#This Row],[Reorder Level]],"Low Stock","In Stock")</f>
        <v>In Stock</v>
      </c>
      <c r="P1015" t="str">
        <f>TEXT(Inventory_Data[[#This Row],[Date]],"MMM")</f>
        <v>Aug</v>
      </c>
      <c r="Q1015" t="str">
        <f>TEXT(Inventory_Data[[#This Row],[Date]],"YYYY")</f>
        <v>2025</v>
      </c>
    </row>
    <row r="1016" spans="1:17" x14ac:dyDescent="0.3">
      <c r="A1016" s="1">
        <v>45873</v>
      </c>
      <c r="B1016" t="s">
        <v>45</v>
      </c>
      <c r="C1016" t="s">
        <v>13</v>
      </c>
      <c r="D1016" t="s">
        <v>26</v>
      </c>
      <c r="E1016" t="s">
        <v>15</v>
      </c>
      <c r="F1016">
        <v>91</v>
      </c>
      <c r="G1016">
        <v>70</v>
      </c>
      <c r="H1016">
        <v>56</v>
      </c>
      <c r="I1016">
        <v>105</v>
      </c>
      <c r="J1016">
        <v>26</v>
      </c>
      <c r="K1016">
        <v>17506</v>
      </c>
      <c r="L1016">
        <v>1838130</v>
      </c>
      <c r="M1016">
        <f>Inventory_Data[[#This Row],[Opening Stock]]+Inventory_Data[[#This Row],[Purchase Qty]]-Inventory_Data[[#This Row],[Sales Qty]]-Inventory_Data[[#This Row],[Closing Stock]]</f>
        <v>0</v>
      </c>
      <c r="N1016">
        <f>Inventory_Data[[#This Row],[Purchase Qty]]*Inventory_Data[[#This Row],[Unit Cost]]</f>
        <v>1225420</v>
      </c>
      <c r="O1016" t="str">
        <f>IF(Inventory_Data[[#This Row],[Closing Stock]]&lt;=Inventory_Data[[#This Row],[Reorder Level]],"Low Stock","In Stock")</f>
        <v>In Stock</v>
      </c>
      <c r="P1016" t="str">
        <f>TEXT(Inventory_Data[[#This Row],[Date]],"MMM")</f>
        <v>Aug</v>
      </c>
      <c r="Q1016" t="str">
        <f>TEXT(Inventory_Data[[#This Row],[Date]],"YYYY")</f>
        <v>2025</v>
      </c>
    </row>
    <row r="1017" spans="1:17" x14ac:dyDescent="0.3">
      <c r="A1017" s="1">
        <v>45873</v>
      </c>
      <c r="B1017" t="s">
        <v>35</v>
      </c>
      <c r="C1017" t="s">
        <v>22</v>
      </c>
      <c r="D1017" t="s">
        <v>23</v>
      </c>
      <c r="E1017" t="s">
        <v>20</v>
      </c>
      <c r="F1017">
        <v>485</v>
      </c>
      <c r="G1017">
        <v>213</v>
      </c>
      <c r="H1017">
        <v>24</v>
      </c>
      <c r="I1017">
        <v>674</v>
      </c>
      <c r="J1017">
        <v>117</v>
      </c>
      <c r="K1017">
        <v>66</v>
      </c>
      <c r="L1017">
        <v>44484</v>
      </c>
      <c r="M1017">
        <f>Inventory_Data[[#This Row],[Opening Stock]]+Inventory_Data[[#This Row],[Purchase Qty]]-Inventory_Data[[#This Row],[Sales Qty]]-Inventory_Data[[#This Row],[Closing Stock]]</f>
        <v>0</v>
      </c>
      <c r="N1017">
        <f>Inventory_Data[[#This Row],[Purchase Qty]]*Inventory_Data[[#This Row],[Unit Cost]]</f>
        <v>14058</v>
      </c>
      <c r="O1017" t="str">
        <f>IF(Inventory_Data[[#This Row],[Closing Stock]]&lt;=Inventory_Data[[#This Row],[Reorder Level]],"Low Stock","In Stock")</f>
        <v>In Stock</v>
      </c>
      <c r="P1017" t="str">
        <f>TEXT(Inventory_Data[[#This Row],[Date]],"MMM")</f>
        <v>Aug</v>
      </c>
      <c r="Q1017" t="str">
        <f>TEXT(Inventory_Data[[#This Row],[Date]],"YYYY")</f>
        <v>2025</v>
      </c>
    </row>
    <row r="1018" spans="1:17" x14ac:dyDescent="0.3">
      <c r="A1018" s="1">
        <v>45874</v>
      </c>
      <c r="B1018" t="s">
        <v>19</v>
      </c>
      <c r="C1018" t="s">
        <v>13</v>
      </c>
      <c r="D1018" t="s">
        <v>14</v>
      </c>
      <c r="E1018" t="s">
        <v>20</v>
      </c>
      <c r="F1018">
        <v>86</v>
      </c>
      <c r="G1018">
        <v>73</v>
      </c>
      <c r="H1018">
        <v>8</v>
      </c>
      <c r="I1018">
        <v>151</v>
      </c>
      <c r="J1018">
        <v>34</v>
      </c>
      <c r="K1018">
        <v>7890</v>
      </c>
      <c r="L1018">
        <v>1191390</v>
      </c>
      <c r="M1018">
        <f>Inventory_Data[[#This Row],[Opening Stock]]+Inventory_Data[[#This Row],[Purchase Qty]]-Inventory_Data[[#This Row],[Sales Qty]]-Inventory_Data[[#This Row],[Closing Stock]]</f>
        <v>0</v>
      </c>
      <c r="N1018">
        <f>Inventory_Data[[#This Row],[Purchase Qty]]*Inventory_Data[[#This Row],[Unit Cost]]</f>
        <v>575970</v>
      </c>
      <c r="O1018" t="str">
        <f>IF(Inventory_Data[[#This Row],[Closing Stock]]&lt;=Inventory_Data[[#This Row],[Reorder Level]],"Low Stock","In Stock")</f>
        <v>In Stock</v>
      </c>
      <c r="P1018" t="str">
        <f>TEXT(Inventory_Data[[#This Row],[Date]],"MMM")</f>
        <v>Aug</v>
      </c>
      <c r="Q1018" t="str">
        <f>TEXT(Inventory_Data[[#This Row],[Date]],"YYYY")</f>
        <v>2025</v>
      </c>
    </row>
    <row r="1019" spans="1:17" x14ac:dyDescent="0.3">
      <c r="A1019" s="1">
        <v>45874</v>
      </c>
      <c r="B1019" t="s">
        <v>40</v>
      </c>
      <c r="C1019" t="s">
        <v>28</v>
      </c>
      <c r="D1019" t="s">
        <v>26</v>
      </c>
      <c r="E1019" t="s">
        <v>15</v>
      </c>
      <c r="F1019">
        <v>162</v>
      </c>
      <c r="G1019">
        <v>13</v>
      </c>
      <c r="H1019">
        <v>60</v>
      </c>
      <c r="I1019">
        <v>115</v>
      </c>
      <c r="J1019">
        <v>23</v>
      </c>
      <c r="K1019">
        <v>27743</v>
      </c>
      <c r="L1019">
        <v>3190445</v>
      </c>
      <c r="M1019">
        <f>Inventory_Data[[#This Row],[Opening Stock]]+Inventory_Data[[#This Row],[Purchase Qty]]-Inventory_Data[[#This Row],[Sales Qty]]-Inventory_Data[[#This Row],[Closing Stock]]</f>
        <v>0</v>
      </c>
      <c r="N1019">
        <f>Inventory_Data[[#This Row],[Purchase Qty]]*Inventory_Data[[#This Row],[Unit Cost]]</f>
        <v>360659</v>
      </c>
      <c r="O1019" t="str">
        <f>IF(Inventory_Data[[#This Row],[Closing Stock]]&lt;=Inventory_Data[[#This Row],[Reorder Level]],"Low Stock","In Stock")</f>
        <v>In Stock</v>
      </c>
      <c r="P1019" t="str">
        <f>TEXT(Inventory_Data[[#This Row],[Date]],"MMM")</f>
        <v>Aug</v>
      </c>
      <c r="Q1019" t="str">
        <f>TEXT(Inventory_Data[[#This Row],[Date]],"YYYY")</f>
        <v>2025</v>
      </c>
    </row>
    <row r="1020" spans="1:17" x14ac:dyDescent="0.3">
      <c r="A1020" s="1">
        <v>45874</v>
      </c>
      <c r="B1020" t="s">
        <v>32</v>
      </c>
      <c r="C1020" t="s">
        <v>28</v>
      </c>
      <c r="D1020" t="s">
        <v>23</v>
      </c>
      <c r="E1020" t="s">
        <v>29</v>
      </c>
      <c r="F1020">
        <v>75</v>
      </c>
      <c r="G1020">
        <v>119</v>
      </c>
      <c r="H1020">
        <v>63</v>
      </c>
      <c r="I1020">
        <v>131</v>
      </c>
      <c r="J1020">
        <v>59</v>
      </c>
      <c r="K1020">
        <v>45335</v>
      </c>
      <c r="L1020">
        <v>5938885</v>
      </c>
      <c r="M1020">
        <f>Inventory_Data[[#This Row],[Opening Stock]]+Inventory_Data[[#This Row],[Purchase Qty]]-Inventory_Data[[#This Row],[Sales Qty]]-Inventory_Data[[#This Row],[Closing Stock]]</f>
        <v>0</v>
      </c>
      <c r="N1020">
        <f>Inventory_Data[[#This Row],[Purchase Qty]]*Inventory_Data[[#This Row],[Unit Cost]]</f>
        <v>5394865</v>
      </c>
      <c r="O1020" t="str">
        <f>IF(Inventory_Data[[#This Row],[Closing Stock]]&lt;=Inventory_Data[[#This Row],[Reorder Level]],"Low Stock","In Stock")</f>
        <v>In Stock</v>
      </c>
      <c r="P1020" t="str">
        <f>TEXT(Inventory_Data[[#This Row],[Date]],"MMM")</f>
        <v>Aug</v>
      </c>
      <c r="Q1020" t="str">
        <f>TEXT(Inventory_Data[[#This Row],[Date]],"YYYY")</f>
        <v>2025</v>
      </c>
    </row>
    <row r="1021" spans="1:17" x14ac:dyDescent="0.3">
      <c r="A1021" s="1">
        <v>45875</v>
      </c>
      <c r="B1021" t="s">
        <v>21</v>
      </c>
      <c r="C1021" t="s">
        <v>22</v>
      </c>
      <c r="D1021" t="s">
        <v>23</v>
      </c>
      <c r="E1021" t="s">
        <v>24</v>
      </c>
      <c r="F1021">
        <v>432</v>
      </c>
      <c r="G1021">
        <v>84</v>
      </c>
      <c r="H1021">
        <v>64</v>
      </c>
      <c r="I1021">
        <v>452</v>
      </c>
      <c r="J1021">
        <v>57</v>
      </c>
      <c r="K1021">
        <v>1172</v>
      </c>
      <c r="L1021">
        <v>529744</v>
      </c>
      <c r="M1021">
        <f>Inventory_Data[[#This Row],[Opening Stock]]+Inventory_Data[[#This Row],[Purchase Qty]]-Inventory_Data[[#This Row],[Sales Qty]]-Inventory_Data[[#This Row],[Closing Stock]]</f>
        <v>0</v>
      </c>
      <c r="N1021">
        <f>Inventory_Data[[#This Row],[Purchase Qty]]*Inventory_Data[[#This Row],[Unit Cost]]</f>
        <v>98448</v>
      </c>
      <c r="O1021" t="str">
        <f>IF(Inventory_Data[[#This Row],[Closing Stock]]&lt;=Inventory_Data[[#This Row],[Reorder Level]],"Low Stock","In Stock")</f>
        <v>In Stock</v>
      </c>
      <c r="P1021" t="str">
        <f>TEXT(Inventory_Data[[#This Row],[Date]],"MMM")</f>
        <v>Aug</v>
      </c>
      <c r="Q1021" t="str">
        <f>TEXT(Inventory_Data[[#This Row],[Date]],"YYYY")</f>
        <v>2025</v>
      </c>
    </row>
    <row r="1022" spans="1:17" x14ac:dyDescent="0.3">
      <c r="A1022" s="1">
        <v>45875</v>
      </c>
      <c r="B1022" t="s">
        <v>41</v>
      </c>
      <c r="C1022" t="s">
        <v>22</v>
      </c>
      <c r="D1022" t="s">
        <v>37</v>
      </c>
      <c r="E1022" t="s">
        <v>34</v>
      </c>
      <c r="F1022">
        <v>275</v>
      </c>
      <c r="G1022">
        <v>299</v>
      </c>
      <c r="H1022">
        <v>24</v>
      </c>
      <c r="I1022">
        <v>550</v>
      </c>
      <c r="J1022">
        <v>83</v>
      </c>
      <c r="K1022">
        <v>423</v>
      </c>
      <c r="L1022">
        <v>232650</v>
      </c>
      <c r="M1022">
        <f>Inventory_Data[[#This Row],[Opening Stock]]+Inventory_Data[[#This Row],[Purchase Qty]]-Inventory_Data[[#This Row],[Sales Qty]]-Inventory_Data[[#This Row],[Closing Stock]]</f>
        <v>0</v>
      </c>
      <c r="N1022">
        <f>Inventory_Data[[#This Row],[Purchase Qty]]*Inventory_Data[[#This Row],[Unit Cost]]</f>
        <v>126477</v>
      </c>
      <c r="O1022" t="str">
        <f>IF(Inventory_Data[[#This Row],[Closing Stock]]&lt;=Inventory_Data[[#This Row],[Reorder Level]],"Low Stock","In Stock")</f>
        <v>In Stock</v>
      </c>
      <c r="P1022" t="str">
        <f>TEXT(Inventory_Data[[#This Row],[Date]],"MMM")</f>
        <v>Aug</v>
      </c>
      <c r="Q1022" t="str">
        <f>TEXT(Inventory_Data[[#This Row],[Date]],"YYYY")</f>
        <v>2025</v>
      </c>
    </row>
    <row r="1023" spans="1:17" x14ac:dyDescent="0.3">
      <c r="A1023" s="1">
        <v>45875</v>
      </c>
      <c r="B1023" t="s">
        <v>42</v>
      </c>
      <c r="C1023" t="s">
        <v>17</v>
      </c>
      <c r="D1023" t="s">
        <v>23</v>
      </c>
      <c r="E1023" t="s">
        <v>15</v>
      </c>
      <c r="F1023">
        <v>94</v>
      </c>
      <c r="G1023">
        <v>22</v>
      </c>
      <c r="H1023">
        <v>14</v>
      </c>
      <c r="I1023">
        <v>102</v>
      </c>
      <c r="J1023">
        <v>18</v>
      </c>
      <c r="K1023">
        <v>15531</v>
      </c>
      <c r="L1023">
        <v>1584162</v>
      </c>
      <c r="M1023">
        <f>Inventory_Data[[#This Row],[Opening Stock]]+Inventory_Data[[#This Row],[Purchase Qty]]-Inventory_Data[[#This Row],[Sales Qty]]-Inventory_Data[[#This Row],[Closing Stock]]</f>
        <v>0</v>
      </c>
      <c r="N1023">
        <f>Inventory_Data[[#This Row],[Purchase Qty]]*Inventory_Data[[#This Row],[Unit Cost]]</f>
        <v>341682</v>
      </c>
      <c r="O1023" t="str">
        <f>IF(Inventory_Data[[#This Row],[Closing Stock]]&lt;=Inventory_Data[[#This Row],[Reorder Level]],"Low Stock","In Stock")</f>
        <v>In Stock</v>
      </c>
      <c r="P1023" t="str">
        <f>TEXT(Inventory_Data[[#This Row],[Date]],"MMM")</f>
        <v>Aug</v>
      </c>
      <c r="Q1023" t="str">
        <f>TEXT(Inventory_Data[[#This Row],[Date]],"YYYY")</f>
        <v>2025</v>
      </c>
    </row>
    <row r="1024" spans="1:17" x14ac:dyDescent="0.3">
      <c r="A1024" s="1">
        <v>45875</v>
      </c>
      <c r="B1024" t="s">
        <v>35</v>
      </c>
      <c r="C1024" t="s">
        <v>22</v>
      </c>
      <c r="D1024" t="s">
        <v>26</v>
      </c>
      <c r="E1024" t="s">
        <v>29</v>
      </c>
      <c r="F1024">
        <v>157</v>
      </c>
      <c r="G1024">
        <v>67</v>
      </c>
      <c r="H1024">
        <v>19</v>
      </c>
      <c r="I1024">
        <v>205</v>
      </c>
      <c r="J1024">
        <v>97</v>
      </c>
      <c r="K1024">
        <v>45</v>
      </c>
      <c r="L1024">
        <v>9225</v>
      </c>
      <c r="M1024">
        <f>Inventory_Data[[#This Row],[Opening Stock]]+Inventory_Data[[#This Row],[Purchase Qty]]-Inventory_Data[[#This Row],[Sales Qty]]-Inventory_Data[[#This Row],[Closing Stock]]</f>
        <v>0</v>
      </c>
      <c r="N1024">
        <f>Inventory_Data[[#This Row],[Purchase Qty]]*Inventory_Data[[#This Row],[Unit Cost]]</f>
        <v>3015</v>
      </c>
      <c r="O1024" t="str">
        <f>IF(Inventory_Data[[#This Row],[Closing Stock]]&lt;=Inventory_Data[[#This Row],[Reorder Level]],"Low Stock","In Stock")</f>
        <v>In Stock</v>
      </c>
      <c r="P1024" t="str">
        <f>TEXT(Inventory_Data[[#This Row],[Date]],"MMM")</f>
        <v>Aug</v>
      </c>
      <c r="Q1024" t="str">
        <f>TEXT(Inventory_Data[[#This Row],[Date]],"YYYY")</f>
        <v>2025</v>
      </c>
    </row>
    <row r="1025" spans="1:17" x14ac:dyDescent="0.3">
      <c r="A1025" s="1">
        <v>45875</v>
      </c>
      <c r="B1025" t="s">
        <v>42</v>
      </c>
      <c r="C1025" t="s">
        <v>17</v>
      </c>
      <c r="D1025" t="s">
        <v>23</v>
      </c>
      <c r="E1025" t="s">
        <v>24</v>
      </c>
      <c r="F1025">
        <v>57</v>
      </c>
      <c r="G1025">
        <v>47</v>
      </c>
      <c r="H1025">
        <v>28</v>
      </c>
      <c r="I1025">
        <v>76</v>
      </c>
      <c r="J1025">
        <v>25</v>
      </c>
      <c r="K1025">
        <v>19036</v>
      </c>
      <c r="L1025">
        <v>1446736</v>
      </c>
      <c r="M1025">
        <f>Inventory_Data[[#This Row],[Opening Stock]]+Inventory_Data[[#This Row],[Purchase Qty]]-Inventory_Data[[#This Row],[Sales Qty]]-Inventory_Data[[#This Row],[Closing Stock]]</f>
        <v>0</v>
      </c>
      <c r="N1025">
        <f>Inventory_Data[[#This Row],[Purchase Qty]]*Inventory_Data[[#This Row],[Unit Cost]]</f>
        <v>894692</v>
      </c>
      <c r="O1025" t="str">
        <f>IF(Inventory_Data[[#This Row],[Closing Stock]]&lt;=Inventory_Data[[#This Row],[Reorder Level]],"Low Stock","In Stock")</f>
        <v>In Stock</v>
      </c>
      <c r="P1025" t="str">
        <f>TEXT(Inventory_Data[[#This Row],[Date]],"MMM")</f>
        <v>Aug</v>
      </c>
      <c r="Q1025" t="str">
        <f>TEXT(Inventory_Data[[#This Row],[Date]],"YYYY")</f>
        <v>2025</v>
      </c>
    </row>
    <row r="1026" spans="1:17" x14ac:dyDescent="0.3">
      <c r="A1026" s="1">
        <v>45875</v>
      </c>
      <c r="B1026" t="s">
        <v>45</v>
      </c>
      <c r="C1026" t="s">
        <v>13</v>
      </c>
      <c r="D1026" t="s">
        <v>23</v>
      </c>
      <c r="E1026" t="s">
        <v>24</v>
      </c>
      <c r="F1026">
        <v>118</v>
      </c>
      <c r="G1026">
        <v>59</v>
      </c>
      <c r="H1026">
        <v>3</v>
      </c>
      <c r="I1026">
        <v>174</v>
      </c>
      <c r="J1026">
        <v>35</v>
      </c>
      <c r="K1026">
        <v>6677</v>
      </c>
      <c r="L1026">
        <v>1161798</v>
      </c>
      <c r="M1026">
        <f>Inventory_Data[[#This Row],[Opening Stock]]+Inventory_Data[[#This Row],[Purchase Qty]]-Inventory_Data[[#This Row],[Sales Qty]]-Inventory_Data[[#This Row],[Closing Stock]]</f>
        <v>0</v>
      </c>
      <c r="N1026">
        <f>Inventory_Data[[#This Row],[Purchase Qty]]*Inventory_Data[[#This Row],[Unit Cost]]</f>
        <v>393943</v>
      </c>
      <c r="O1026" t="str">
        <f>IF(Inventory_Data[[#This Row],[Closing Stock]]&lt;=Inventory_Data[[#This Row],[Reorder Level]],"Low Stock","In Stock")</f>
        <v>In Stock</v>
      </c>
      <c r="P1026" t="str">
        <f>TEXT(Inventory_Data[[#This Row],[Date]],"MMM")</f>
        <v>Aug</v>
      </c>
      <c r="Q1026" t="str">
        <f>TEXT(Inventory_Data[[#This Row],[Date]],"YYYY")</f>
        <v>2025</v>
      </c>
    </row>
    <row r="1027" spans="1:17" x14ac:dyDescent="0.3">
      <c r="A1027" s="1">
        <v>45876</v>
      </c>
      <c r="B1027" t="s">
        <v>43</v>
      </c>
      <c r="C1027" t="s">
        <v>22</v>
      </c>
      <c r="D1027" t="s">
        <v>14</v>
      </c>
      <c r="E1027" t="s">
        <v>20</v>
      </c>
      <c r="F1027">
        <v>473</v>
      </c>
      <c r="G1027">
        <v>180</v>
      </c>
      <c r="H1027">
        <v>132</v>
      </c>
      <c r="I1027">
        <v>521</v>
      </c>
      <c r="J1027">
        <v>143</v>
      </c>
      <c r="K1027">
        <v>1187</v>
      </c>
      <c r="L1027">
        <v>618427</v>
      </c>
      <c r="M1027">
        <f>Inventory_Data[[#This Row],[Opening Stock]]+Inventory_Data[[#This Row],[Purchase Qty]]-Inventory_Data[[#This Row],[Sales Qty]]-Inventory_Data[[#This Row],[Closing Stock]]</f>
        <v>0</v>
      </c>
      <c r="N1027">
        <f>Inventory_Data[[#This Row],[Purchase Qty]]*Inventory_Data[[#This Row],[Unit Cost]]</f>
        <v>213660</v>
      </c>
      <c r="O1027" t="str">
        <f>IF(Inventory_Data[[#This Row],[Closing Stock]]&lt;=Inventory_Data[[#This Row],[Reorder Level]],"Low Stock","In Stock")</f>
        <v>In Stock</v>
      </c>
      <c r="P1027" t="str">
        <f>TEXT(Inventory_Data[[#This Row],[Date]],"MMM")</f>
        <v>Aug</v>
      </c>
      <c r="Q1027" t="str">
        <f>TEXT(Inventory_Data[[#This Row],[Date]],"YYYY")</f>
        <v>2025</v>
      </c>
    </row>
    <row r="1028" spans="1:17" x14ac:dyDescent="0.3">
      <c r="A1028" s="1">
        <v>45876</v>
      </c>
      <c r="B1028" t="s">
        <v>31</v>
      </c>
      <c r="C1028" t="s">
        <v>22</v>
      </c>
      <c r="D1028" t="s">
        <v>26</v>
      </c>
      <c r="E1028" t="s">
        <v>34</v>
      </c>
      <c r="F1028">
        <v>192</v>
      </c>
      <c r="G1028">
        <v>288</v>
      </c>
      <c r="H1028">
        <v>56</v>
      </c>
      <c r="I1028">
        <v>424</v>
      </c>
      <c r="J1028">
        <v>111</v>
      </c>
      <c r="K1028">
        <v>24</v>
      </c>
      <c r="L1028">
        <v>10176</v>
      </c>
      <c r="M1028">
        <f>Inventory_Data[[#This Row],[Opening Stock]]+Inventory_Data[[#This Row],[Purchase Qty]]-Inventory_Data[[#This Row],[Sales Qty]]-Inventory_Data[[#This Row],[Closing Stock]]</f>
        <v>0</v>
      </c>
      <c r="N1028">
        <f>Inventory_Data[[#This Row],[Purchase Qty]]*Inventory_Data[[#This Row],[Unit Cost]]</f>
        <v>6912</v>
      </c>
      <c r="O1028" t="str">
        <f>IF(Inventory_Data[[#This Row],[Closing Stock]]&lt;=Inventory_Data[[#This Row],[Reorder Level]],"Low Stock","In Stock")</f>
        <v>In Stock</v>
      </c>
      <c r="P1028" t="str">
        <f>TEXT(Inventory_Data[[#This Row],[Date]],"MMM")</f>
        <v>Aug</v>
      </c>
      <c r="Q1028" t="str">
        <f>TEXT(Inventory_Data[[#This Row],[Date]],"YYYY")</f>
        <v>2025</v>
      </c>
    </row>
    <row r="1029" spans="1:17" x14ac:dyDescent="0.3">
      <c r="A1029" s="1">
        <v>45877</v>
      </c>
      <c r="B1029" t="s">
        <v>32</v>
      </c>
      <c r="C1029" t="s">
        <v>28</v>
      </c>
      <c r="D1029" t="s">
        <v>14</v>
      </c>
      <c r="E1029" t="s">
        <v>34</v>
      </c>
      <c r="F1029">
        <v>82</v>
      </c>
      <c r="G1029">
        <v>82</v>
      </c>
      <c r="H1029">
        <v>37</v>
      </c>
      <c r="I1029">
        <v>127</v>
      </c>
      <c r="J1029">
        <v>44</v>
      </c>
      <c r="K1029">
        <v>8648</v>
      </c>
      <c r="L1029">
        <v>1098296</v>
      </c>
      <c r="M1029">
        <f>Inventory_Data[[#This Row],[Opening Stock]]+Inventory_Data[[#This Row],[Purchase Qty]]-Inventory_Data[[#This Row],[Sales Qty]]-Inventory_Data[[#This Row],[Closing Stock]]</f>
        <v>0</v>
      </c>
      <c r="N1029">
        <f>Inventory_Data[[#This Row],[Purchase Qty]]*Inventory_Data[[#This Row],[Unit Cost]]</f>
        <v>709136</v>
      </c>
      <c r="O1029" t="str">
        <f>IF(Inventory_Data[[#This Row],[Closing Stock]]&lt;=Inventory_Data[[#This Row],[Reorder Level]],"Low Stock","In Stock")</f>
        <v>In Stock</v>
      </c>
      <c r="P1029" t="str">
        <f>TEXT(Inventory_Data[[#This Row],[Date]],"MMM")</f>
        <v>Aug</v>
      </c>
      <c r="Q1029" t="str">
        <f>TEXT(Inventory_Data[[#This Row],[Date]],"YYYY")</f>
        <v>2025</v>
      </c>
    </row>
    <row r="1030" spans="1:17" x14ac:dyDescent="0.3">
      <c r="A1030" s="1">
        <v>45877</v>
      </c>
      <c r="B1030" t="s">
        <v>12</v>
      </c>
      <c r="C1030" t="s">
        <v>13</v>
      </c>
      <c r="D1030" t="s">
        <v>26</v>
      </c>
      <c r="E1030" t="s">
        <v>34</v>
      </c>
      <c r="F1030">
        <v>68</v>
      </c>
      <c r="G1030">
        <v>5</v>
      </c>
      <c r="H1030">
        <v>21</v>
      </c>
      <c r="I1030">
        <v>52</v>
      </c>
      <c r="J1030">
        <v>16</v>
      </c>
      <c r="K1030">
        <v>14649</v>
      </c>
      <c r="L1030">
        <v>761748</v>
      </c>
      <c r="M1030">
        <f>Inventory_Data[[#This Row],[Opening Stock]]+Inventory_Data[[#This Row],[Purchase Qty]]-Inventory_Data[[#This Row],[Sales Qty]]-Inventory_Data[[#This Row],[Closing Stock]]</f>
        <v>0</v>
      </c>
      <c r="N1030">
        <f>Inventory_Data[[#This Row],[Purchase Qty]]*Inventory_Data[[#This Row],[Unit Cost]]</f>
        <v>73245</v>
      </c>
      <c r="O1030" t="str">
        <f>IF(Inventory_Data[[#This Row],[Closing Stock]]&lt;=Inventory_Data[[#This Row],[Reorder Level]],"Low Stock","In Stock")</f>
        <v>In Stock</v>
      </c>
      <c r="P1030" t="str">
        <f>TEXT(Inventory_Data[[#This Row],[Date]],"MMM")</f>
        <v>Aug</v>
      </c>
      <c r="Q1030" t="str">
        <f>TEXT(Inventory_Data[[#This Row],[Date]],"YYYY")</f>
        <v>2025</v>
      </c>
    </row>
    <row r="1031" spans="1:17" x14ac:dyDescent="0.3">
      <c r="A1031" s="1">
        <v>45877</v>
      </c>
      <c r="B1031" t="s">
        <v>38</v>
      </c>
      <c r="C1031" t="s">
        <v>17</v>
      </c>
      <c r="D1031" t="s">
        <v>23</v>
      </c>
      <c r="E1031" t="s">
        <v>18</v>
      </c>
      <c r="F1031">
        <v>15</v>
      </c>
      <c r="G1031">
        <v>33</v>
      </c>
      <c r="H1031">
        <v>18</v>
      </c>
      <c r="I1031">
        <v>30</v>
      </c>
      <c r="J1031">
        <v>12</v>
      </c>
      <c r="K1031">
        <v>12466</v>
      </c>
      <c r="L1031">
        <v>373980</v>
      </c>
      <c r="M1031">
        <f>Inventory_Data[[#This Row],[Opening Stock]]+Inventory_Data[[#This Row],[Purchase Qty]]-Inventory_Data[[#This Row],[Sales Qty]]-Inventory_Data[[#This Row],[Closing Stock]]</f>
        <v>0</v>
      </c>
      <c r="N1031">
        <f>Inventory_Data[[#This Row],[Purchase Qty]]*Inventory_Data[[#This Row],[Unit Cost]]</f>
        <v>411378</v>
      </c>
      <c r="O1031" t="str">
        <f>IF(Inventory_Data[[#This Row],[Closing Stock]]&lt;=Inventory_Data[[#This Row],[Reorder Level]],"Low Stock","In Stock")</f>
        <v>In Stock</v>
      </c>
      <c r="P1031" t="str">
        <f>TEXT(Inventory_Data[[#This Row],[Date]],"MMM")</f>
        <v>Aug</v>
      </c>
      <c r="Q1031" t="str">
        <f>TEXT(Inventory_Data[[#This Row],[Date]],"YYYY")</f>
        <v>2025</v>
      </c>
    </row>
    <row r="1032" spans="1:17" x14ac:dyDescent="0.3">
      <c r="A1032" s="1">
        <v>45877</v>
      </c>
      <c r="B1032" t="s">
        <v>31</v>
      </c>
      <c r="C1032" t="s">
        <v>22</v>
      </c>
      <c r="D1032" t="s">
        <v>14</v>
      </c>
      <c r="E1032" t="s">
        <v>24</v>
      </c>
      <c r="F1032">
        <v>493</v>
      </c>
      <c r="G1032">
        <v>60</v>
      </c>
      <c r="H1032">
        <v>20</v>
      </c>
      <c r="I1032">
        <v>533</v>
      </c>
      <c r="J1032">
        <v>76</v>
      </c>
      <c r="K1032">
        <v>1173</v>
      </c>
      <c r="L1032">
        <v>625209</v>
      </c>
      <c r="M1032">
        <f>Inventory_Data[[#This Row],[Opening Stock]]+Inventory_Data[[#This Row],[Purchase Qty]]-Inventory_Data[[#This Row],[Sales Qty]]-Inventory_Data[[#This Row],[Closing Stock]]</f>
        <v>0</v>
      </c>
      <c r="N1032">
        <f>Inventory_Data[[#This Row],[Purchase Qty]]*Inventory_Data[[#This Row],[Unit Cost]]</f>
        <v>70380</v>
      </c>
      <c r="O1032" t="str">
        <f>IF(Inventory_Data[[#This Row],[Closing Stock]]&lt;=Inventory_Data[[#This Row],[Reorder Level]],"Low Stock","In Stock")</f>
        <v>In Stock</v>
      </c>
      <c r="P1032" t="str">
        <f>TEXT(Inventory_Data[[#This Row],[Date]],"MMM")</f>
        <v>Aug</v>
      </c>
      <c r="Q1032" t="str">
        <f>TEXT(Inventory_Data[[#This Row],[Date]],"YYYY")</f>
        <v>2025</v>
      </c>
    </row>
    <row r="1033" spans="1:17" x14ac:dyDescent="0.3">
      <c r="A1033" s="1">
        <v>45877</v>
      </c>
      <c r="B1033" t="s">
        <v>21</v>
      </c>
      <c r="C1033" t="s">
        <v>22</v>
      </c>
      <c r="D1033" t="s">
        <v>14</v>
      </c>
      <c r="E1033" t="s">
        <v>18</v>
      </c>
      <c r="F1033">
        <v>306</v>
      </c>
      <c r="G1033">
        <v>297</v>
      </c>
      <c r="H1033">
        <v>238</v>
      </c>
      <c r="I1033">
        <v>365</v>
      </c>
      <c r="J1033">
        <v>99</v>
      </c>
      <c r="K1033">
        <v>459</v>
      </c>
      <c r="L1033">
        <v>167535</v>
      </c>
      <c r="M1033">
        <f>Inventory_Data[[#This Row],[Opening Stock]]+Inventory_Data[[#This Row],[Purchase Qty]]-Inventory_Data[[#This Row],[Sales Qty]]-Inventory_Data[[#This Row],[Closing Stock]]</f>
        <v>0</v>
      </c>
      <c r="N1033">
        <f>Inventory_Data[[#This Row],[Purchase Qty]]*Inventory_Data[[#This Row],[Unit Cost]]</f>
        <v>136323</v>
      </c>
      <c r="O1033" t="str">
        <f>IF(Inventory_Data[[#This Row],[Closing Stock]]&lt;=Inventory_Data[[#This Row],[Reorder Level]],"Low Stock","In Stock")</f>
        <v>In Stock</v>
      </c>
      <c r="P1033" t="str">
        <f>TEXT(Inventory_Data[[#This Row],[Date]],"MMM")</f>
        <v>Aug</v>
      </c>
      <c r="Q1033" t="str">
        <f>TEXT(Inventory_Data[[#This Row],[Date]],"YYYY")</f>
        <v>2025</v>
      </c>
    </row>
    <row r="1034" spans="1:17" x14ac:dyDescent="0.3">
      <c r="A1034" s="1">
        <v>45877</v>
      </c>
      <c r="B1034" t="s">
        <v>39</v>
      </c>
      <c r="C1034" t="s">
        <v>28</v>
      </c>
      <c r="D1034" t="s">
        <v>14</v>
      </c>
      <c r="E1034" t="s">
        <v>18</v>
      </c>
      <c r="F1034">
        <v>102</v>
      </c>
      <c r="G1034">
        <v>116</v>
      </c>
      <c r="H1034">
        <v>73</v>
      </c>
      <c r="I1034">
        <v>145</v>
      </c>
      <c r="J1034">
        <v>39</v>
      </c>
      <c r="K1034">
        <v>56704</v>
      </c>
      <c r="L1034">
        <v>8222080</v>
      </c>
      <c r="M1034">
        <f>Inventory_Data[[#This Row],[Opening Stock]]+Inventory_Data[[#This Row],[Purchase Qty]]-Inventory_Data[[#This Row],[Sales Qty]]-Inventory_Data[[#This Row],[Closing Stock]]</f>
        <v>0</v>
      </c>
      <c r="N1034">
        <f>Inventory_Data[[#This Row],[Purchase Qty]]*Inventory_Data[[#This Row],[Unit Cost]]</f>
        <v>6577664</v>
      </c>
      <c r="O1034" t="str">
        <f>IF(Inventory_Data[[#This Row],[Closing Stock]]&lt;=Inventory_Data[[#This Row],[Reorder Level]],"Low Stock","In Stock")</f>
        <v>In Stock</v>
      </c>
      <c r="P1034" t="str">
        <f>TEXT(Inventory_Data[[#This Row],[Date]],"MMM")</f>
        <v>Aug</v>
      </c>
      <c r="Q1034" t="str">
        <f>TEXT(Inventory_Data[[#This Row],[Date]],"YYYY")</f>
        <v>2025</v>
      </c>
    </row>
    <row r="1035" spans="1:17" x14ac:dyDescent="0.3">
      <c r="A1035" s="1">
        <v>45877</v>
      </c>
      <c r="B1035" t="s">
        <v>21</v>
      </c>
      <c r="C1035" t="s">
        <v>22</v>
      </c>
      <c r="D1035" t="s">
        <v>26</v>
      </c>
      <c r="E1035" t="s">
        <v>20</v>
      </c>
      <c r="F1035">
        <v>377</v>
      </c>
      <c r="G1035">
        <v>244</v>
      </c>
      <c r="H1035">
        <v>230</v>
      </c>
      <c r="I1035">
        <v>391</v>
      </c>
      <c r="J1035">
        <v>56</v>
      </c>
      <c r="K1035">
        <v>573</v>
      </c>
      <c r="L1035">
        <v>224043</v>
      </c>
      <c r="M1035">
        <f>Inventory_Data[[#This Row],[Opening Stock]]+Inventory_Data[[#This Row],[Purchase Qty]]-Inventory_Data[[#This Row],[Sales Qty]]-Inventory_Data[[#This Row],[Closing Stock]]</f>
        <v>0</v>
      </c>
      <c r="N1035">
        <f>Inventory_Data[[#This Row],[Purchase Qty]]*Inventory_Data[[#This Row],[Unit Cost]]</f>
        <v>139812</v>
      </c>
      <c r="O1035" t="str">
        <f>IF(Inventory_Data[[#This Row],[Closing Stock]]&lt;=Inventory_Data[[#This Row],[Reorder Level]],"Low Stock","In Stock")</f>
        <v>In Stock</v>
      </c>
      <c r="P1035" t="str">
        <f>TEXT(Inventory_Data[[#This Row],[Date]],"MMM")</f>
        <v>Aug</v>
      </c>
      <c r="Q1035" t="str">
        <f>TEXT(Inventory_Data[[#This Row],[Date]],"YYYY")</f>
        <v>2025</v>
      </c>
    </row>
    <row r="1036" spans="1:17" x14ac:dyDescent="0.3">
      <c r="A1036" s="1">
        <v>45877</v>
      </c>
      <c r="B1036" t="s">
        <v>38</v>
      </c>
      <c r="C1036" t="s">
        <v>17</v>
      </c>
      <c r="D1036" t="s">
        <v>26</v>
      </c>
      <c r="E1036" t="s">
        <v>20</v>
      </c>
      <c r="F1036">
        <v>45</v>
      </c>
      <c r="G1036">
        <v>36</v>
      </c>
      <c r="H1036">
        <v>43</v>
      </c>
      <c r="I1036">
        <v>38</v>
      </c>
      <c r="J1036">
        <v>23</v>
      </c>
      <c r="K1036">
        <v>17168</v>
      </c>
      <c r="L1036">
        <v>652384</v>
      </c>
      <c r="M1036">
        <f>Inventory_Data[[#This Row],[Opening Stock]]+Inventory_Data[[#This Row],[Purchase Qty]]-Inventory_Data[[#This Row],[Sales Qty]]-Inventory_Data[[#This Row],[Closing Stock]]</f>
        <v>0</v>
      </c>
      <c r="N1036">
        <f>Inventory_Data[[#This Row],[Purchase Qty]]*Inventory_Data[[#This Row],[Unit Cost]]</f>
        <v>618048</v>
      </c>
      <c r="O1036" t="str">
        <f>IF(Inventory_Data[[#This Row],[Closing Stock]]&lt;=Inventory_Data[[#This Row],[Reorder Level]],"Low Stock","In Stock")</f>
        <v>In Stock</v>
      </c>
      <c r="P1036" t="str">
        <f>TEXT(Inventory_Data[[#This Row],[Date]],"MMM")</f>
        <v>Aug</v>
      </c>
      <c r="Q1036" t="str">
        <f>TEXT(Inventory_Data[[#This Row],[Date]],"YYYY")</f>
        <v>2025</v>
      </c>
    </row>
    <row r="1037" spans="1:17" x14ac:dyDescent="0.3">
      <c r="A1037" s="1">
        <v>45877</v>
      </c>
      <c r="B1037" t="s">
        <v>21</v>
      </c>
      <c r="C1037" t="s">
        <v>22</v>
      </c>
      <c r="D1037" t="s">
        <v>23</v>
      </c>
      <c r="E1037" t="s">
        <v>34</v>
      </c>
      <c r="F1037">
        <v>420</v>
      </c>
      <c r="G1037">
        <v>278</v>
      </c>
      <c r="H1037">
        <v>25</v>
      </c>
      <c r="I1037">
        <v>673</v>
      </c>
      <c r="J1037">
        <v>57</v>
      </c>
      <c r="K1037">
        <v>94</v>
      </c>
      <c r="L1037">
        <v>63262</v>
      </c>
      <c r="M1037">
        <f>Inventory_Data[[#This Row],[Opening Stock]]+Inventory_Data[[#This Row],[Purchase Qty]]-Inventory_Data[[#This Row],[Sales Qty]]-Inventory_Data[[#This Row],[Closing Stock]]</f>
        <v>0</v>
      </c>
      <c r="N1037">
        <f>Inventory_Data[[#This Row],[Purchase Qty]]*Inventory_Data[[#This Row],[Unit Cost]]</f>
        <v>26132</v>
      </c>
      <c r="O1037" t="str">
        <f>IF(Inventory_Data[[#This Row],[Closing Stock]]&lt;=Inventory_Data[[#This Row],[Reorder Level]],"Low Stock","In Stock")</f>
        <v>In Stock</v>
      </c>
      <c r="P1037" t="str">
        <f>TEXT(Inventory_Data[[#This Row],[Date]],"MMM")</f>
        <v>Aug</v>
      </c>
      <c r="Q1037" t="str">
        <f>TEXT(Inventory_Data[[#This Row],[Date]],"YYYY")</f>
        <v>2025</v>
      </c>
    </row>
    <row r="1038" spans="1:17" x14ac:dyDescent="0.3">
      <c r="A1038" s="1">
        <v>45878</v>
      </c>
      <c r="B1038" t="s">
        <v>38</v>
      </c>
      <c r="C1038" t="s">
        <v>17</v>
      </c>
      <c r="D1038" t="s">
        <v>23</v>
      </c>
      <c r="E1038" t="s">
        <v>24</v>
      </c>
      <c r="F1038">
        <v>92</v>
      </c>
      <c r="G1038">
        <v>40</v>
      </c>
      <c r="H1038">
        <v>33</v>
      </c>
      <c r="I1038">
        <v>99</v>
      </c>
      <c r="J1038">
        <v>21</v>
      </c>
      <c r="K1038">
        <v>17314</v>
      </c>
      <c r="L1038">
        <v>1714086</v>
      </c>
      <c r="M1038">
        <f>Inventory_Data[[#This Row],[Opening Stock]]+Inventory_Data[[#This Row],[Purchase Qty]]-Inventory_Data[[#This Row],[Sales Qty]]-Inventory_Data[[#This Row],[Closing Stock]]</f>
        <v>0</v>
      </c>
      <c r="N1038">
        <f>Inventory_Data[[#This Row],[Purchase Qty]]*Inventory_Data[[#This Row],[Unit Cost]]</f>
        <v>692560</v>
      </c>
      <c r="O1038" t="str">
        <f>IF(Inventory_Data[[#This Row],[Closing Stock]]&lt;=Inventory_Data[[#This Row],[Reorder Level]],"Low Stock","In Stock")</f>
        <v>In Stock</v>
      </c>
      <c r="P1038" t="str">
        <f>TEXT(Inventory_Data[[#This Row],[Date]],"MMM")</f>
        <v>Aug</v>
      </c>
      <c r="Q1038" t="str">
        <f>TEXT(Inventory_Data[[#This Row],[Date]],"YYYY")</f>
        <v>2025</v>
      </c>
    </row>
    <row r="1039" spans="1:17" x14ac:dyDescent="0.3">
      <c r="A1039" s="1">
        <v>45878</v>
      </c>
      <c r="B1039" t="s">
        <v>33</v>
      </c>
      <c r="C1039" t="s">
        <v>13</v>
      </c>
      <c r="D1039" t="s">
        <v>23</v>
      </c>
      <c r="E1039" t="s">
        <v>20</v>
      </c>
      <c r="F1039">
        <v>22</v>
      </c>
      <c r="G1039">
        <v>45</v>
      </c>
      <c r="H1039">
        <v>50</v>
      </c>
      <c r="I1039">
        <v>17</v>
      </c>
      <c r="J1039">
        <v>28</v>
      </c>
      <c r="K1039">
        <v>17698</v>
      </c>
      <c r="L1039">
        <v>300866</v>
      </c>
      <c r="M1039">
        <f>Inventory_Data[[#This Row],[Opening Stock]]+Inventory_Data[[#This Row],[Purchase Qty]]-Inventory_Data[[#This Row],[Sales Qty]]-Inventory_Data[[#This Row],[Closing Stock]]</f>
        <v>0</v>
      </c>
      <c r="N1039">
        <f>Inventory_Data[[#This Row],[Purchase Qty]]*Inventory_Data[[#This Row],[Unit Cost]]</f>
        <v>796410</v>
      </c>
      <c r="O1039" t="str">
        <f>IF(Inventory_Data[[#This Row],[Closing Stock]]&lt;=Inventory_Data[[#This Row],[Reorder Level]],"Low Stock","In Stock")</f>
        <v>Low Stock</v>
      </c>
      <c r="P1039" t="str">
        <f>TEXT(Inventory_Data[[#This Row],[Date]],"MMM")</f>
        <v>Aug</v>
      </c>
      <c r="Q1039" t="str">
        <f>TEXT(Inventory_Data[[#This Row],[Date]],"YYYY")</f>
        <v>2025</v>
      </c>
    </row>
    <row r="1040" spans="1:17" x14ac:dyDescent="0.3">
      <c r="A1040" s="1">
        <v>45878</v>
      </c>
      <c r="B1040" t="s">
        <v>31</v>
      </c>
      <c r="C1040" t="s">
        <v>22</v>
      </c>
      <c r="D1040" t="s">
        <v>37</v>
      </c>
      <c r="E1040" t="s">
        <v>15</v>
      </c>
      <c r="F1040">
        <v>477</v>
      </c>
      <c r="G1040">
        <v>269</v>
      </c>
      <c r="H1040">
        <v>152</v>
      </c>
      <c r="I1040">
        <v>594</v>
      </c>
      <c r="J1040">
        <v>98</v>
      </c>
      <c r="K1040">
        <v>382</v>
      </c>
      <c r="L1040">
        <v>226908</v>
      </c>
      <c r="M1040">
        <f>Inventory_Data[[#This Row],[Opening Stock]]+Inventory_Data[[#This Row],[Purchase Qty]]-Inventory_Data[[#This Row],[Sales Qty]]-Inventory_Data[[#This Row],[Closing Stock]]</f>
        <v>0</v>
      </c>
      <c r="N1040">
        <f>Inventory_Data[[#This Row],[Purchase Qty]]*Inventory_Data[[#This Row],[Unit Cost]]</f>
        <v>102758</v>
      </c>
      <c r="O1040" t="str">
        <f>IF(Inventory_Data[[#This Row],[Closing Stock]]&lt;=Inventory_Data[[#This Row],[Reorder Level]],"Low Stock","In Stock")</f>
        <v>In Stock</v>
      </c>
      <c r="P1040" t="str">
        <f>TEXT(Inventory_Data[[#This Row],[Date]],"MMM")</f>
        <v>Aug</v>
      </c>
      <c r="Q1040" t="str">
        <f>TEXT(Inventory_Data[[#This Row],[Date]],"YYYY")</f>
        <v>2025</v>
      </c>
    </row>
    <row r="1041" spans="1:17" x14ac:dyDescent="0.3">
      <c r="A1041" s="1">
        <v>45878</v>
      </c>
      <c r="B1041" t="s">
        <v>33</v>
      </c>
      <c r="C1041" t="s">
        <v>13</v>
      </c>
      <c r="D1041" t="s">
        <v>37</v>
      </c>
      <c r="E1041" t="s">
        <v>34</v>
      </c>
      <c r="F1041">
        <v>103</v>
      </c>
      <c r="G1041">
        <v>67</v>
      </c>
      <c r="H1041">
        <v>23</v>
      </c>
      <c r="I1041">
        <v>147</v>
      </c>
      <c r="J1041">
        <v>17</v>
      </c>
      <c r="K1041">
        <v>1193</v>
      </c>
      <c r="L1041">
        <v>175371</v>
      </c>
      <c r="M1041">
        <f>Inventory_Data[[#This Row],[Opening Stock]]+Inventory_Data[[#This Row],[Purchase Qty]]-Inventory_Data[[#This Row],[Sales Qty]]-Inventory_Data[[#This Row],[Closing Stock]]</f>
        <v>0</v>
      </c>
      <c r="N1041">
        <f>Inventory_Data[[#This Row],[Purchase Qty]]*Inventory_Data[[#This Row],[Unit Cost]]</f>
        <v>79931</v>
      </c>
      <c r="O1041" t="str">
        <f>IF(Inventory_Data[[#This Row],[Closing Stock]]&lt;=Inventory_Data[[#This Row],[Reorder Level]],"Low Stock","In Stock")</f>
        <v>In Stock</v>
      </c>
      <c r="P1041" t="str">
        <f>TEXT(Inventory_Data[[#This Row],[Date]],"MMM")</f>
        <v>Aug</v>
      </c>
      <c r="Q1041" t="str">
        <f>TEXT(Inventory_Data[[#This Row],[Date]],"YYYY")</f>
        <v>2025</v>
      </c>
    </row>
    <row r="1042" spans="1:17" x14ac:dyDescent="0.3">
      <c r="A1042" s="1">
        <v>45878</v>
      </c>
      <c r="B1042" t="s">
        <v>43</v>
      </c>
      <c r="C1042" t="s">
        <v>22</v>
      </c>
      <c r="D1042" t="s">
        <v>37</v>
      </c>
      <c r="E1042" t="s">
        <v>15</v>
      </c>
      <c r="F1042">
        <v>457</v>
      </c>
      <c r="G1042">
        <v>220</v>
      </c>
      <c r="H1042">
        <v>179</v>
      </c>
      <c r="I1042">
        <v>498</v>
      </c>
      <c r="J1042">
        <v>94</v>
      </c>
      <c r="K1042">
        <v>394</v>
      </c>
      <c r="L1042">
        <v>196212</v>
      </c>
      <c r="M1042">
        <f>Inventory_Data[[#This Row],[Opening Stock]]+Inventory_Data[[#This Row],[Purchase Qty]]-Inventory_Data[[#This Row],[Sales Qty]]-Inventory_Data[[#This Row],[Closing Stock]]</f>
        <v>0</v>
      </c>
      <c r="N1042">
        <f>Inventory_Data[[#This Row],[Purchase Qty]]*Inventory_Data[[#This Row],[Unit Cost]]</f>
        <v>86680</v>
      </c>
      <c r="O1042" t="str">
        <f>IF(Inventory_Data[[#This Row],[Closing Stock]]&lt;=Inventory_Data[[#This Row],[Reorder Level]],"Low Stock","In Stock")</f>
        <v>In Stock</v>
      </c>
      <c r="P1042" t="str">
        <f>TEXT(Inventory_Data[[#This Row],[Date]],"MMM")</f>
        <v>Aug</v>
      </c>
      <c r="Q1042" t="str">
        <f>TEXT(Inventory_Data[[#This Row],[Date]],"YYYY")</f>
        <v>2025</v>
      </c>
    </row>
    <row r="1043" spans="1:17" x14ac:dyDescent="0.3">
      <c r="A1043" s="1">
        <v>45878</v>
      </c>
      <c r="B1043" t="s">
        <v>25</v>
      </c>
      <c r="C1043" t="s">
        <v>17</v>
      </c>
      <c r="D1043" t="s">
        <v>23</v>
      </c>
      <c r="E1043" t="s">
        <v>29</v>
      </c>
      <c r="F1043">
        <v>71</v>
      </c>
      <c r="G1043">
        <v>31</v>
      </c>
      <c r="H1043">
        <v>26</v>
      </c>
      <c r="I1043">
        <v>76</v>
      </c>
      <c r="J1043">
        <v>11</v>
      </c>
      <c r="K1043">
        <v>13183</v>
      </c>
      <c r="L1043">
        <v>1001908</v>
      </c>
      <c r="M1043">
        <f>Inventory_Data[[#This Row],[Opening Stock]]+Inventory_Data[[#This Row],[Purchase Qty]]-Inventory_Data[[#This Row],[Sales Qty]]-Inventory_Data[[#This Row],[Closing Stock]]</f>
        <v>0</v>
      </c>
      <c r="N1043">
        <f>Inventory_Data[[#This Row],[Purchase Qty]]*Inventory_Data[[#This Row],[Unit Cost]]</f>
        <v>408673</v>
      </c>
      <c r="O1043" t="str">
        <f>IF(Inventory_Data[[#This Row],[Closing Stock]]&lt;=Inventory_Data[[#This Row],[Reorder Level]],"Low Stock","In Stock")</f>
        <v>In Stock</v>
      </c>
      <c r="P1043" t="str">
        <f>TEXT(Inventory_Data[[#This Row],[Date]],"MMM")</f>
        <v>Aug</v>
      </c>
      <c r="Q1043" t="str">
        <f>TEXT(Inventory_Data[[#This Row],[Date]],"YYYY")</f>
        <v>2025</v>
      </c>
    </row>
    <row r="1044" spans="1:17" x14ac:dyDescent="0.3">
      <c r="A1044" s="1">
        <v>45878</v>
      </c>
      <c r="B1044" t="s">
        <v>40</v>
      </c>
      <c r="C1044" t="s">
        <v>28</v>
      </c>
      <c r="D1044" t="s">
        <v>37</v>
      </c>
      <c r="E1044" t="s">
        <v>24</v>
      </c>
      <c r="F1044">
        <v>142</v>
      </c>
      <c r="G1044">
        <v>103</v>
      </c>
      <c r="H1044">
        <v>6</v>
      </c>
      <c r="I1044">
        <v>239</v>
      </c>
      <c r="J1044">
        <v>21</v>
      </c>
      <c r="K1044">
        <v>54760</v>
      </c>
      <c r="L1044">
        <v>13087640</v>
      </c>
      <c r="M1044">
        <f>Inventory_Data[[#This Row],[Opening Stock]]+Inventory_Data[[#This Row],[Purchase Qty]]-Inventory_Data[[#This Row],[Sales Qty]]-Inventory_Data[[#This Row],[Closing Stock]]</f>
        <v>0</v>
      </c>
      <c r="N1044">
        <f>Inventory_Data[[#This Row],[Purchase Qty]]*Inventory_Data[[#This Row],[Unit Cost]]</f>
        <v>5640280</v>
      </c>
      <c r="O1044" t="str">
        <f>IF(Inventory_Data[[#This Row],[Closing Stock]]&lt;=Inventory_Data[[#This Row],[Reorder Level]],"Low Stock","In Stock")</f>
        <v>In Stock</v>
      </c>
      <c r="P1044" t="str">
        <f>TEXT(Inventory_Data[[#This Row],[Date]],"MMM")</f>
        <v>Aug</v>
      </c>
      <c r="Q1044" t="str">
        <f>TEXT(Inventory_Data[[#This Row],[Date]],"YYYY")</f>
        <v>2025</v>
      </c>
    </row>
    <row r="1045" spans="1:17" x14ac:dyDescent="0.3">
      <c r="A1045" s="1">
        <v>45878</v>
      </c>
      <c r="B1045" t="s">
        <v>19</v>
      </c>
      <c r="C1045" t="s">
        <v>13</v>
      </c>
      <c r="D1045" t="s">
        <v>14</v>
      </c>
      <c r="E1045" t="s">
        <v>15</v>
      </c>
      <c r="F1045">
        <v>28</v>
      </c>
      <c r="G1045">
        <v>7</v>
      </c>
      <c r="H1045">
        <v>26</v>
      </c>
      <c r="I1045">
        <v>9</v>
      </c>
      <c r="J1045">
        <v>30</v>
      </c>
      <c r="K1045">
        <v>16800</v>
      </c>
      <c r="L1045">
        <v>151200</v>
      </c>
      <c r="M1045">
        <f>Inventory_Data[[#This Row],[Opening Stock]]+Inventory_Data[[#This Row],[Purchase Qty]]-Inventory_Data[[#This Row],[Sales Qty]]-Inventory_Data[[#This Row],[Closing Stock]]</f>
        <v>0</v>
      </c>
      <c r="N1045">
        <f>Inventory_Data[[#This Row],[Purchase Qty]]*Inventory_Data[[#This Row],[Unit Cost]]</f>
        <v>117600</v>
      </c>
      <c r="O1045" t="str">
        <f>IF(Inventory_Data[[#This Row],[Closing Stock]]&lt;=Inventory_Data[[#This Row],[Reorder Level]],"Low Stock","In Stock")</f>
        <v>Low Stock</v>
      </c>
      <c r="P1045" t="str">
        <f>TEXT(Inventory_Data[[#This Row],[Date]],"MMM")</f>
        <v>Aug</v>
      </c>
      <c r="Q1045" t="str">
        <f>TEXT(Inventory_Data[[#This Row],[Date]],"YYYY")</f>
        <v>2025</v>
      </c>
    </row>
    <row r="1046" spans="1:17" x14ac:dyDescent="0.3">
      <c r="A1046" s="1">
        <v>45879</v>
      </c>
      <c r="B1046" t="s">
        <v>33</v>
      </c>
      <c r="C1046" t="s">
        <v>13</v>
      </c>
      <c r="D1046" t="s">
        <v>23</v>
      </c>
      <c r="E1046" t="s">
        <v>18</v>
      </c>
      <c r="F1046">
        <v>93</v>
      </c>
      <c r="G1046">
        <v>76</v>
      </c>
      <c r="H1046">
        <v>60</v>
      </c>
      <c r="I1046">
        <v>109</v>
      </c>
      <c r="J1046">
        <v>32</v>
      </c>
      <c r="K1046">
        <v>6942</v>
      </c>
      <c r="L1046">
        <v>756678</v>
      </c>
      <c r="M1046">
        <f>Inventory_Data[[#This Row],[Opening Stock]]+Inventory_Data[[#This Row],[Purchase Qty]]-Inventory_Data[[#This Row],[Sales Qty]]-Inventory_Data[[#This Row],[Closing Stock]]</f>
        <v>0</v>
      </c>
      <c r="N1046">
        <f>Inventory_Data[[#This Row],[Purchase Qty]]*Inventory_Data[[#This Row],[Unit Cost]]</f>
        <v>527592</v>
      </c>
      <c r="O1046" t="str">
        <f>IF(Inventory_Data[[#This Row],[Closing Stock]]&lt;=Inventory_Data[[#This Row],[Reorder Level]],"Low Stock","In Stock")</f>
        <v>In Stock</v>
      </c>
      <c r="P1046" t="str">
        <f>TEXT(Inventory_Data[[#This Row],[Date]],"MMM")</f>
        <v>Aug</v>
      </c>
      <c r="Q1046" t="str">
        <f>TEXT(Inventory_Data[[#This Row],[Date]],"YYYY")</f>
        <v>2025</v>
      </c>
    </row>
    <row r="1047" spans="1:17" x14ac:dyDescent="0.3">
      <c r="A1047" s="1">
        <v>45879</v>
      </c>
      <c r="B1047" t="s">
        <v>39</v>
      </c>
      <c r="C1047" t="s">
        <v>28</v>
      </c>
      <c r="D1047" t="s">
        <v>37</v>
      </c>
      <c r="E1047" t="s">
        <v>24</v>
      </c>
      <c r="F1047">
        <v>133</v>
      </c>
      <c r="G1047">
        <v>29</v>
      </c>
      <c r="H1047">
        <v>43</v>
      </c>
      <c r="I1047">
        <v>119</v>
      </c>
      <c r="J1047">
        <v>54</v>
      </c>
      <c r="K1047">
        <v>11702</v>
      </c>
      <c r="L1047">
        <v>1392538</v>
      </c>
      <c r="M1047">
        <f>Inventory_Data[[#This Row],[Opening Stock]]+Inventory_Data[[#This Row],[Purchase Qty]]-Inventory_Data[[#This Row],[Sales Qty]]-Inventory_Data[[#This Row],[Closing Stock]]</f>
        <v>0</v>
      </c>
      <c r="N1047">
        <f>Inventory_Data[[#This Row],[Purchase Qty]]*Inventory_Data[[#This Row],[Unit Cost]]</f>
        <v>339358</v>
      </c>
      <c r="O1047" t="str">
        <f>IF(Inventory_Data[[#This Row],[Closing Stock]]&lt;=Inventory_Data[[#This Row],[Reorder Level]],"Low Stock","In Stock")</f>
        <v>In Stock</v>
      </c>
      <c r="P1047" t="str">
        <f>TEXT(Inventory_Data[[#This Row],[Date]],"MMM")</f>
        <v>Aug</v>
      </c>
      <c r="Q1047" t="str">
        <f>TEXT(Inventory_Data[[#This Row],[Date]],"YYYY")</f>
        <v>2025</v>
      </c>
    </row>
    <row r="1048" spans="1:17" x14ac:dyDescent="0.3">
      <c r="A1048" s="1">
        <v>45879</v>
      </c>
      <c r="B1048" t="s">
        <v>31</v>
      </c>
      <c r="C1048" t="s">
        <v>22</v>
      </c>
      <c r="D1048" t="s">
        <v>14</v>
      </c>
      <c r="E1048" t="s">
        <v>20</v>
      </c>
      <c r="F1048">
        <v>392</v>
      </c>
      <c r="G1048">
        <v>44</v>
      </c>
      <c r="H1048">
        <v>130</v>
      </c>
      <c r="I1048">
        <v>306</v>
      </c>
      <c r="J1048">
        <v>115</v>
      </c>
      <c r="K1048">
        <v>97</v>
      </c>
      <c r="L1048">
        <v>29682</v>
      </c>
      <c r="M1048">
        <f>Inventory_Data[[#This Row],[Opening Stock]]+Inventory_Data[[#This Row],[Purchase Qty]]-Inventory_Data[[#This Row],[Sales Qty]]-Inventory_Data[[#This Row],[Closing Stock]]</f>
        <v>0</v>
      </c>
      <c r="N1048">
        <f>Inventory_Data[[#This Row],[Purchase Qty]]*Inventory_Data[[#This Row],[Unit Cost]]</f>
        <v>4268</v>
      </c>
      <c r="O1048" t="str">
        <f>IF(Inventory_Data[[#This Row],[Closing Stock]]&lt;=Inventory_Data[[#This Row],[Reorder Level]],"Low Stock","In Stock")</f>
        <v>In Stock</v>
      </c>
      <c r="P1048" t="str">
        <f>TEXT(Inventory_Data[[#This Row],[Date]],"MMM")</f>
        <v>Aug</v>
      </c>
      <c r="Q1048" t="str">
        <f>TEXT(Inventory_Data[[#This Row],[Date]],"YYYY")</f>
        <v>2025</v>
      </c>
    </row>
    <row r="1049" spans="1:17" x14ac:dyDescent="0.3">
      <c r="A1049" s="1">
        <v>45879</v>
      </c>
      <c r="B1049" t="s">
        <v>16</v>
      </c>
      <c r="C1049" t="s">
        <v>17</v>
      </c>
      <c r="D1049" t="s">
        <v>26</v>
      </c>
      <c r="E1049" t="s">
        <v>15</v>
      </c>
      <c r="F1049">
        <v>47</v>
      </c>
      <c r="G1049">
        <v>7</v>
      </c>
      <c r="H1049">
        <v>29</v>
      </c>
      <c r="I1049">
        <v>25</v>
      </c>
      <c r="J1049">
        <v>22</v>
      </c>
      <c r="K1049">
        <v>4755</v>
      </c>
      <c r="L1049">
        <v>118875</v>
      </c>
      <c r="M1049">
        <f>Inventory_Data[[#This Row],[Opening Stock]]+Inventory_Data[[#This Row],[Purchase Qty]]-Inventory_Data[[#This Row],[Sales Qty]]-Inventory_Data[[#This Row],[Closing Stock]]</f>
        <v>0</v>
      </c>
      <c r="N1049">
        <f>Inventory_Data[[#This Row],[Purchase Qty]]*Inventory_Data[[#This Row],[Unit Cost]]</f>
        <v>33285</v>
      </c>
      <c r="O1049" t="str">
        <f>IF(Inventory_Data[[#This Row],[Closing Stock]]&lt;=Inventory_Data[[#This Row],[Reorder Level]],"Low Stock","In Stock")</f>
        <v>In Stock</v>
      </c>
      <c r="P1049" t="str">
        <f>TEXT(Inventory_Data[[#This Row],[Date]],"MMM")</f>
        <v>Aug</v>
      </c>
      <c r="Q1049" t="str">
        <f>TEXT(Inventory_Data[[#This Row],[Date]],"YYYY")</f>
        <v>2025</v>
      </c>
    </row>
    <row r="1050" spans="1:17" x14ac:dyDescent="0.3">
      <c r="A1050" s="1">
        <v>45879</v>
      </c>
      <c r="B1050" t="s">
        <v>40</v>
      </c>
      <c r="C1050" t="s">
        <v>28</v>
      </c>
      <c r="D1050" t="s">
        <v>14</v>
      </c>
      <c r="E1050" t="s">
        <v>24</v>
      </c>
      <c r="F1050">
        <v>80</v>
      </c>
      <c r="G1050">
        <v>10</v>
      </c>
      <c r="H1050">
        <v>90</v>
      </c>
      <c r="I1050">
        <v>0</v>
      </c>
      <c r="J1050">
        <v>51</v>
      </c>
      <c r="K1050">
        <v>48588</v>
      </c>
      <c r="L1050">
        <v>0</v>
      </c>
      <c r="M1050">
        <f>Inventory_Data[[#This Row],[Opening Stock]]+Inventory_Data[[#This Row],[Purchase Qty]]-Inventory_Data[[#This Row],[Sales Qty]]-Inventory_Data[[#This Row],[Closing Stock]]</f>
        <v>0</v>
      </c>
      <c r="N1050">
        <f>Inventory_Data[[#This Row],[Purchase Qty]]*Inventory_Data[[#This Row],[Unit Cost]]</f>
        <v>485880</v>
      </c>
      <c r="O1050" t="str">
        <f>IF(Inventory_Data[[#This Row],[Closing Stock]]&lt;=Inventory_Data[[#This Row],[Reorder Level]],"Low Stock","In Stock")</f>
        <v>Low Stock</v>
      </c>
      <c r="P1050" t="str">
        <f>TEXT(Inventory_Data[[#This Row],[Date]],"MMM")</f>
        <v>Aug</v>
      </c>
      <c r="Q1050" t="str">
        <f>TEXT(Inventory_Data[[#This Row],[Date]],"YYYY")</f>
        <v>2025</v>
      </c>
    </row>
    <row r="1051" spans="1:17" x14ac:dyDescent="0.3">
      <c r="A1051" s="1">
        <v>45880</v>
      </c>
      <c r="B1051" t="s">
        <v>25</v>
      </c>
      <c r="C1051" t="s">
        <v>17</v>
      </c>
      <c r="D1051" t="s">
        <v>26</v>
      </c>
      <c r="E1051" t="s">
        <v>29</v>
      </c>
      <c r="F1051">
        <v>14</v>
      </c>
      <c r="G1051">
        <v>39</v>
      </c>
      <c r="H1051">
        <v>24</v>
      </c>
      <c r="I1051">
        <v>29</v>
      </c>
      <c r="J1051">
        <v>20</v>
      </c>
      <c r="K1051">
        <v>10424</v>
      </c>
      <c r="L1051">
        <v>302296</v>
      </c>
      <c r="M1051">
        <f>Inventory_Data[[#This Row],[Opening Stock]]+Inventory_Data[[#This Row],[Purchase Qty]]-Inventory_Data[[#This Row],[Sales Qty]]-Inventory_Data[[#This Row],[Closing Stock]]</f>
        <v>0</v>
      </c>
      <c r="N1051">
        <f>Inventory_Data[[#This Row],[Purchase Qty]]*Inventory_Data[[#This Row],[Unit Cost]]</f>
        <v>406536</v>
      </c>
      <c r="O1051" t="str">
        <f>IF(Inventory_Data[[#This Row],[Closing Stock]]&lt;=Inventory_Data[[#This Row],[Reorder Level]],"Low Stock","In Stock")</f>
        <v>In Stock</v>
      </c>
      <c r="P1051" t="str">
        <f>TEXT(Inventory_Data[[#This Row],[Date]],"MMM")</f>
        <v>Aug</v>
      </c>
      <c r="Q1051" t="str">
        <f>TEXT(Inventory_Data[[#This Row],[Date]],"YYYY")</f>
        <v>2025</v>
      </c>
    </row>
    <row r="1052" spans="1:17" x14ac:dyDescent="0.3">
      <c r="A1052" s="1">
        <v>45880</v>
      </c>
      <c r="B1052" t="s">
        <v>42</v>
      </c>
      <c r="C1052" t="s">
        <v>17</v>
      </c>
      <c r="D1052" t="s">
        <v>23</v>
      </c>
      <c r="E1052" t="s">
        <v>34</v>
      </c>
      <c r="F1052">
        <v>77</v>
      </c>
      <c r="G1052">
        <v>28</v>
      </c>
      <c r="H1052">
        <v>44</v>
      </c>
      <c r="I1052">
        <v>61</v>
      </c>
      <c r="J1052">
        <v>17</v>
      </c>
      <c r="K1052">
        <v>7148</v>
      </c>
      <c r="L1052">
        <v>436028</v>
      </c>
      <c r="M1052">
        <f>Inventory_Data[[#This Row],[Opening Stock]]+Inventory_Data[[#This Row],[Purchase Qty]]-Inventory_Data[[#This Row],[Sales Qty]]-Inventory_Data[[#This Row],[Closing Stock]]</f>
        <v>0</v>
      </c>
      <c r="N1052">
        <f>Inventory_Data[[#This Row],[Purchase Qty]]*Inventory_Data[[#This Row],[Unit Cost]]</f>
        <v>200144</v>
      </c>
      <c r="O1052" t="str">
        <f>IF(Inventory_Data[[#This Row],[Closing Stock]]&lt;=Inventory_Data[[#This Row],[Reorder Level]],"Low Stock","In Stock")</f>
        <v>In Stock</v>
      </c>
      <c r="P1052" t="str">
        <f>TEXT(Inventory_Data[[#This Row],[Date]],"MMM")</f>
        <v>Aug</v>
      </c>
      <c r="Q1052" t="str">
        <f>TEXT(Inventory_Data[[#This Row],[Date]],"YYYY")</f>
        <v>2025</v>
      </c>
    </row>
    <row r="1053" spans="1:17" x14ac:dyDescent="0.3">
      <c r="A1053" s="1">
        <v>45880</v>
      </c>
      <c r="B1053" t="s">
        <v>36</v>
      </c>
      <c r="C1053" t="s">
        <v>22</v>
      </c>
      <c r="D1053" t="s">
        <v>23</v>
      </c>
      <c r="E1053" t="s">
        <v>20</v>
      </c>
      <c r="F1053">
        <v>330</v>
      </c>
      <c r="G1053">
        <v>250</v>
      </c>
      <c r="H1053">
        <v>225</v>
      </c>
      <c r="I1053">
        <v>355</v>
      </c>
      <c r="J1053">
        <v>90</v>
      </c>
      <c r="K1053">
        <v>424</v>
      </c>
      <c r="L1053">
        <v>150520</v>
      </c>
      <c r="M1053">
        <f>Inventory_Data[[#This Row],[Opening Stock]]+Inventory_Data[[#This Row],[Purchase Qty]]-Inventory_Data[[#This Row],[Sales Qty]]-Inventory_Data[[#This Row],[Closing Stock]]</f>
        <v>0</v>
      </c>
      <c r="N1053">
        <f>Inventory_Data[[#This Row],[Purchase Qty]]*Inventory_Data[[#This Row],[Unit Cost]]</f>
        <v>106000</v>
      </c>
      <c r="O1053" t="str">
        <f>IF(Inventory_Data[[#This Row],[Closing Stock]]&lt;=Inventory_Data[[#This Row],[Reorder Level]],"Low Stock","In Stock")</f>
        <v>In Stock</v>
      </c>
      <c r="P1053" t="str">
        <f>TEXT(Inventory_Data[[#This Row],[Date]],"MMM")</f>
        <v>Aug</v>
      </c>
      <c r="Q1053" t="str">
        <f>TEXT(Inventory_Data[[#This Row],[Date]],"YYYY")</f>
        <v>2025</v>
      </c>
    </row>
    <row r="1054" spans="1:17" x14ac:dyDescent="0.3">
      <c r="A1054" s="1">
        <v>45880</v>
      </c>
      <c r="B1054" t="s">
        <v>33</v>
      </c>
      <c r="C1054" t="s">
        <v>13</v>
      </c>
      <c r="D1054" t="s">
        <v>23</v>
      </c>
      <c r="E1054" t="s">
        <v>15</v>
      </c>
      <c r="F1054">
        <v>118</v>
      </c>
      <c r="G1054">
        <v>37</v>
      </c>
      <c r="H1054">
        <v>22</v>
      </c>
      <c r="I1054">
        <v>133</v>
      </c>
      <c r="J1054">
        <v>26</v>
      </c>
      <c r="K1054">
        <v>14693</v>
      </c>
      <c r="L1054">
        <v>1954169</v>
      </c>
      <c r="M1054">
        <f>Inventory_Data[[#This Row],[Opening Stock]]+Inventory_Data[[#This Row],[Purchase Qty]]-Inventory_Data[[#This Row],[Sales Qty]]-Inventory_Data[[#This Row],[Closing Stock]]</f>
        <v>0</v>
      </c>
      <c r="N1054">
        <f>Inventory_Data[[#This Row],[Purchase Qty]]*Inventory_Data[[#This Row],[Unit Cost]]</f>
        <v>543641</v>
      </c>
      <c r="O1054" t="str">
        <f>IF(Inventory_Data[[#This Row],[Closing Stock]]&lt;=Inventory_Data[[#This Row],[Reorder Level]],"Low Stock","In Stock")</f>
        <v>In Stock</v>
      </c>
      <c r="P1054" t="str">
        <f>TEXT(Inventory_Data[[#This Row],[Date]],"MMM")</f>
        <v>Aug</v>
      </c>
      <c r="Q1054" t="str">
        <f>TEXT(Inventory_Data[[#This Row],[Date]],"YYYY")</f>
        <v>2025</v>
      </c>
    </row>
    <row r="1055" spans="1:17" x14ac:dyDescent="0.3">
      <c r="A1055" s="1">
        <v>45881</v>
      </c>
      <c r="B1055" t="s">
        <v>41</v>
      </c>
      <c r="C1055" t="s">
        <v>22</v>
      </c>
      <c r="D1055" t="s">
        <v>37</v>
      </c>
      <c r="E1055" t="s">
        <v>34</v>
      </c>
      <c r="F1055">
        <v>62</v>
      </c>
      <c r="G1055">
        <v>75</v>
      </c>
      <c r="H1055">
        <v>137</v>
      </c>
      <c r="I1055">
        <v>0</v>
      </c>
      <c r="J1055">
        <v>66</v>
      </c>
      <c r="K1055">
        <v>1156</v>
      </c>
      <c r="L1055">
        <v>0</v>
      </c>
      <c r="M1055">
        <f>Inventory_Data[[#This Row],[Opening Stock]]+Inventory_Data[[#This Row],[Purchase Qty]]-Inventory_Data[[#This Row],[Sales Qty]]-Inventory_Data[[#This Row],[Closing Stock]]</f>
        <v>0</v>
      </c>
      <c r="N1055">
        <f>Inventory_Data[[#This Row],[Purchase Qty]]*Inventory_Data[[#This Row],[Unit Cost]]</f>
        <v>86700</v>
      </c>
      <c r="O1055" t="str">
        <f>IF(Inventory_Data[[#This Row],[Closing Stock]]&lt;=Inventory_Data[[#This Row],[Reorder Level]],"Low Stock","In Stock")</f>
        <v>Low Stock</v>
      </c>
      <c r="P1055" t="str">
        <f>TEXT(Inventory_Data[[#This Row],[Date]],"MMM")</f>
        <v>Aug</v>
      </c>
      <c r="Q1055" t="str">
        <f>TEXT(Inventory_Data[[#This Row],[Date]],"YYYY")</f>
        <v>2025</v>
      </c>
    </row>
    <row r="1056" spans="1:17" x14ac:dyDescent="0.3">
      <c r="A1056" s="1">
        <v>45882</v>
      </c>
      <c r="B1056" t="s">
        <v>40</v>
      </c>
      <c r="C1056" t="s">
        <v>28</v>
      </c>
      <c r="D1056" t="s">
        <v>37</v>
      </c>
      <c r="E1056" t="s">
        <v>20</v>
      </c>
      <c r="F1056">
        <v>86</v>
      </c>
      <c r="G1056">
        <v>50</v>
      </c>
      <c r="H1056">
        <v>33</v>
      </c>
      <c r="I1056">
        <v>103</v>
      </c>
      <c r="J1056">
        <v>35</v>
      </c>
      <c r="K1056">
        <v>58820</v>
      </c>
      <c r="L1056">
        <v>6058460</v>
      </c>
      <c r="M1056">
        <f>Inventory_Data[[#This Row],[Opening Stock]]+Inventory_Data[[#This Row],[Purchase Qty]]-Inventory_Data[[#This Row],[Sales Qty]]-Inventory_Data[[#This Row],[Closing Stock]]</f>
        <v>0</v>
      </c>
      <c r="N1056">
        <f>Inventory_Data[[#This Row],[Purchase Qty]]*Inventory_Data[[#This Row],[Unit Cost]]</f>
        <v>2941000</v>
      </c>
      <c r="O1056" t="str">
        <f>IF(Inventory_Data[[#This Row],[Closing Stock]]&lt;=Inventory_Data[[#This Row],[Reorder Level]],"Low Stock","In Stock")</f>
        <v>In Stock</v>
      </c>
      <c r="P1056" t="str">
        <f>TEXT(Inventory_Data[[#This Row],[Date]],"MMM")</f>
        <v>Aug</v>
      </c>
      <c r="Q1056" t="str">
        <f>TEXT(Inventory_Data[[#This Row],[Date]],"YYYY")</f>
        <v>2025</v>
      </c>
    </row>
    <row r="1057" spans="1:17" x14ac:dyDescent="0.3">
      <c r="A1057" s="1">
        <v>45882</v>
      </c>
      <c r="B1057" t="s">
        <v>39</v>
      </c>
      <c r="C1057" t="s">
        <v>28</v>
      </c>
      <c r="D1057" t="s">
        <v>26</v>
      </c>
      <c r="E1057" t="s">
        <v>20</v>
      </c>
      <c r="F1057">
        <v>87</v>
      </c>
      <c r="G1057">
        <v>79</v>
      </c>
      <c r="H1057">
        <v>91</v>
      </c>
      <c r="I1057">
        <v>75</v>
      </c>
      <c r="J1057">
        <v>38</v>
      </c>
      <c r="K1057">
        <v>40716</v>
      </c>
      <c r="L1057">
        <v>3053700</v>
      </c>
      <c r="M1057">
        <f>Inventory_Data[[#This Row],[Opening Stock]]+Inventory_Data[[#This Row],[Purchase Qty]]-Inventory_Data[[#This Row],[Sales Qty]]-Inventory_Data[[#This Row],[Closing Stock]]</f>
        <v>0</v>
      </c>
      <c r="N1057">
        <f>Inventory_Data[[#This Row],[Purchase Qty]]*Inventory_Data[[#This Row],[Unit Cost]]</f>
        <v>3216564</v>
      </c>
      <c r="O1057" t="str">
        <f>IF(Inventory_Data[[#This Row],[Closing Stock]]&lt;=Inventory_Data[[#This Row],[Reorder Level]],"Low Stock","In Stock")</f>
        <v>In Stock</v>
      </c>
      <c r="P1057" t="str">
        <f>TEXT(Inventory_Data[[#This Row],[Date]],"MMM")</f>
        <v>Aug</v>
      </c>
      <c r="Q1057" t="str">
        <f>TEXT(Inventory_Data[[#This Row],[Date]],"YYYY")</f>
        <v>2025</v>
      </c>
    </row>
    <row r="1058" spans="1:17" x14ac:dyDescent="0.3">
      <c r="A1058" s="1">
        <v>45882</v>
      </c>
      <c r="B1058" t="s">
        <v>39</v>
      </c>
      <c r="C1058" t="s">
        <v>28</v>
      </c>
      <c r="D1058" t="s">
        <v>23</v>
      </c>
      <c r="E1058" t="s">
        <v>20</v>
      </c>
      <c r="F1058">
        <v>163</v>
      </c>
      <c r="G1058">
        <v>44</v>
      </c>
      <c r="H1058">
        <v>66</v>
      </c>
      <c r="I1058">
        <v>141</v>
      </c>
      <c r="J1058">
        <v>36</v>
      </c>
      <c r="K1058">
        <v>46730</v>
      </c>
      <c r="L1058">
        <v>6588930</v>
      </c>
      <c r="M1058">
        <f>Inventory_Data[[#This Row],[Opening Stock]]+Inventory_Data[[#This Row],[Purchase Qty]]-Inventory_Data[[#This Row],[Sales Qty]]-Inventory_Data[[#This Row],[Closing Stock]]</f>
        <v>0</v>
      </c>
      <c r="N1058">
        <f>Inventory_Data[[#This Row],[Purchase Qty]]*Inventory_Data[[#This Row],[Unit Cost]]</f>
        <v>2056120</v>
      </c>
      <c r="O1058" t="str">
        <f>IF(Inventory_Data[[#This Row],[Closing Stock]]&lt;=Inventory_Data[[#This Row],[Reorder Level]],"Low Stock","In Stock")</f>
        <v>In Stock</v>
      </c>
      <c r="P1058" t="str">
        <f>TEXT(Inventory_Data[[#This Row],[Date]],"MMM")</f>
        <v>Aug</v>
      </c>
      <c r="Q1058" t="str">
        <f>TEXT(Inventory_Data[[#This Row],[Date]],"YYYY")</f>
        <v>2025</v>
      </c>
    </row>
    <row r="1059" spans="1:17" x14ac:dyDescent="0.3">
      <c r="A1059" s="1">
        <v>45883</v>
      </c>
      <c r="B1059" t="s">
        <v>41</v>
      </c>
      <c r="C1059" t="s">
        <v>22</v>
      </c>
      <c r="D1059" t="s">
        <v>23</v>
      </c>
      <c r="E1059" t="s">
        <v>18</v>
      </c>
      <c r="F1059">
        <v>180</v>
      </c>
      <c r="G1059">
        <v>105</v>
      </c>
      <c r="H1059">
        <v>165</v>
      </c>
      <c r="I1059">
        <v>120</v>
      </c>
      <c r="J1059">
        <v>82</v>
      </c>
      <c r="K1059">
        <v>209</v>
      </c>
      <c r="L1059">
        <v>25080</v>
      </c>
      <c r="M1059">
        <f>Inventory_Data[[#This Row],[Opening Stock]]+Inventory_Data[[#This Row],[Purchase Qty]]-Inventory_Data[[#This Row],[Sales Qty]]-Inventory_Data[[#This Row],[Closing Stock]]</f>
        <v>0</v>
      </c>
      <c r="N1059">
        <f>Inventory_Data[[#This Row],[Purchase Qty]]*Inventory_Data[[#This Row],[Unit Cost]]</f>
        <v>21945</v>
      </c>
      <c r="O1059" t="str">
        <f>IF(Inventory_Data[[#This Row],[Closing Stock]]&lt;=Inventory_Data[[#This Row],[Reorder Level]],"Low Stock","In Stock")</f>
        <v>In Stock</v>
      </c>
      <c r="P1059" t="str">
        <f>TEXT(Inventory_Data[[#This Row],[Date]],"MMM")</f>
        <v>Aug</v>
      </c>
      <c r="Q1059" t="str">
        <f>TEXT(Inventory_Data[[#This Row],[Date]],"YYYY")</f>
        <v>2025</v>
      </c>
    </row>
    <row r="1060" spans="1:17" x14ac:dyDescent="0.3">
      <c r="A1060" s="1">
        <v>45883</v>
      </c>
      <c r="B1060" t="s">
        <v>39</v>
      </c>
      <c r="C1060" t="s">
        <v>28</v>
      </c>
      <c r="D1060" t="s">
        <v>14</v>
      </c>
      <c r="E1060" t="s">
        <v>20</v>
      </c>
      <c r="F1060">
        <v>70</v>
      </c>
      <c r="G1060">
        <v>67</v>
      </c>
      <c r="H1060">
        <v>38</v>
      </c>
      <c r="I1060">
        <v>99</v>
      </c>
      <c r="J1060">
        <v>57</v>
      </c>
      <c r="K1060">
        <v>5698</v>
      </c>
      <c r="L1060">
        <v>564102</v>
      </c>
      <c r="M1060">
        <f>Inventory_Data[[#This Row],[Opening Stock]]+Inventory_Data[[#This Row],[Purchase Qty]]-Inventory_Data[[#This Row],[Sales Qty]]-Inventory_Data[[#This Row],[Closing Stock]]</f>
        <v>0</v>
      </c>
      <c r="N1060">
        <f>Inventory_Data[[#This Row],[Purchase Qty]]*Inventory_Data[[#This Row],[Unit Cost]]</f>
        <v>381766</v>
      </c>
      <c r="O1060" t="str">
        <f>IF(Inventory_Data[[#This Row],[Closing Stock]]&lt;=Inventory_Data[[#This Row],[Reorder Level]],"Low Stock","In Stock")</f>
        <v>In Stock</v>
      </c>
      <c r="P1060" t="str">
        <f>TEXT(Inventory_Data[[#This Row],[Date]],"MMM")</f>
        <v>Aug</v>
      </c>
      <c r="Q1060" t="str">
        <f>TEXT(Inventory_Data[[#This Row],[Date]],"YYYY")</f>
        <v>2025</v>
      </c>
    </row>
    <row r="1061" spans="1:17" x14ac:dyDescent="0.3">
      <c r="A1061" s="1">
        <v>45883</v>
      </c>
      <c r="B1061" t="s">
        <v>16</v>
      </c>
      <c r="C1061" t="s">
        <v>17</v>
      </c>
      <c r="D1061" t="s">
        <v>37</v>
      </c>
      <c r="E1061" t="s">
        <v>24</v>
      </c>
      <c r="F1061">
        <v>30</v>
      </c>
      <c r="G1061">
        <v>34</v>
      </c>
      <c r="H1061">
        <v>34</v>
      </c>
      <c r="I1061">
        <v>30</v>
      </c>
      <c r="J1061">
        <v>10</v>
      </c>
      <c r="K1061">
        <v>8522</v>
      </c>
      <c r="L1061">
        <v>255660</v>
      </c>
      <c r="M1061">
        <f>Inventory_Data[[#This Row],[Opening Stock]]+Inventory_Data[[#This Row],[Purchase Qty]]-Inventory_Data[[#This Row],[Sales Qty]]-Inventory_Data[[#This Row],[Closing Stock]]</f>
        <v>0</v>
      </c>
      <c r="N1061">
        <f>Inventory_Data[[#This Row],[Purchase Qty]]*Inventory_Data[[#This Row],[Unit Cost]]</f>
        <v>289748</v>
      </c>
      <c r="O1061" t="str">
        <f>IF(Inventory_Data[[#This Row],[Closing Stock]]&lt;=Inventory_Data[[#This Row],[Reorder Level]],"Low Stock","In Stock")</f>
        <v>In Stock</v>
      </c>
      <c r="P1061" t="str">
        <f>TEXT(Inventory_Data[[#This Row],[Date]],"MMM")</f>
        <v>Aug</v>
      </c>
      <c r="Q1061" t="str">
        <f>TEXT(Inventory_Data[[#This Row],[Date]],"YYYY")</f>
        <v>2025</v>
      </c>
    </row>
    <row r="1062" spans="1:17" x14ac:dyDescent="0.3">
      <c r="A1062" s="1">
        <v>45883</v>
      </c>
      <c r="B1062" t="s">
        <v>16</v>
      </c>
      <c r="C1062" t="s">
        <v>17</v>
      </c>
      <c r="D1062" t="s">
        <v>23</v>
      </c>
      <c r="E1062" t="s">
        <v>15</v>
      </c>
      <c r="F1062">
        <v>83</v>
      </c>
      <c r="G1062">
        <v>55</v>
      </c>
      <c r="H1062">
        <v>42</v>
      </c>
      <c r="I1062">
        <v>96</v>
      </c>
      <c r="J1062">
        <v>17</v>
      </c>
      <c r="K1062">
        <v>18675</v>
      </c>
      <c r="L1062">
        <v>1792800</v>
      </c>
      <c r="M1062">
        <f>Inventory_Data[[#This Row],[Opening Stock]]+Inventory_Data[[#This Row],[Purchase Qty]]-Inventory_Data[[#This Row],[Sales Qty]]-Inventory_Data[[#This Row],[Closing Stock]]</f>
        <v>0</v>
      </c>
      <c r="N1062">
        <f>Inventory_Data[[#This Row],[Purchase Qty]]*Inventory_Data[[#This Row],[Unit Cost]]</f>
        <v>1027125</v>
      </c>
      <c r="O1062" t="str">
        <f>IF(Inventory_Data[[#This Row],[Closing Stock]]&lt;=Inventory_Data[[#This Row],[Reorder Level]],"Low Stock","In Stock")</f>
        <v>In Stock</v>
      </c>
      <c r="P1062" t="str">
        <f>TEXT(Inventory_Data[[#This Row],[Date]],"MMM")</f>
        <v>Aug</v>
      </c>
      <c r="Q1062" t="str">
        <f>TEXT(Inventory_Data[[#This Row],[Date]],"YYYY")</f>
        <v>2025</v>
      </c>
    </row>
    <row r="1063" spans="1:17" x14ac:dyDescent="0.3">
      <c r="A1063" s="1">
        <v>45884</v>
      </c>
      <c r="B1063" t="s">
        <v>25</v>
      </c>
      <c r="C1063" t="s">
        <v>17</v>
      </c>
      <c r="D1063" t="s">
        <v>14</v>
      </c>
      <c r="E1063" t="s">
        <v>29</v>
      </c>
      <c r="F1063">
        <v>70</v>
      </c>
      <c r="G1063">
        <v>24</v>
      </c>
      <c r="H1063">
        <v>4</v>
      </c>
      <c r="I1063">
        <v>90</v>
      </c>
      <c r="J1063">
        <v>17</v>
      </c>
      <c r="K1063">
        <v>17379</v>
      </c>
      <c r="L1063">
        <v>1564110</v>
      </c>
      <c r="M1063">
        <f>Inventory_Data[[#This Row],[Opening Stock]]+Inventory_Data[[#This Row],[Purchase Qty]]-Inventory_Data[[#This Row],[Sales Qty]]-Inventory_Data[[#This Row],[Closing Stock]]</f>
        <v>0</v>
      </c>
      <c r="N1063">
        <f>Inventory_Data[[#This Row],[Purchase Qty]]*Inventory_Data[[#This Row],[Unit Cost]]</f>
        <v>417096</v>
      </c>
      <c r="O1063" t="str">
        <f>IF(Inventory_Data[[#This Row],[Closing Stock]]&lt;=Inventory_Data[[#This Row],[Reorder Level]],"Low Stock","In Stock")</f>
        <v>In Stock</v>
      </c>
      <c r="P1063" t="str">
        <f>TEXT(Inventory_Data[[#This Row],[Date]],"MMM")</f>
        <v>Aug</v>
      </c>
      <c r="Q1063" t="str">
        <f>TEXT(Inventory_Data[[#This Row],[Date]],"YYYY")</f>
        <v>2025</v>
      </c>
    </row>
    <row r="1064" spans="1:17" x14ac:dyDescent="0.3">
      <c r="A1064" s="1">
        <v>45884</v>
      </c>
      <c r="B1064" t="s">
        <v>19</v>
      </c>
      <c r="C1064" t="s">
        <v>13</v>
      </c>
      <c r="D1064" t="s">
        <v>26</v>
      </c>
      <c r="E1064" t="s">
        <v>29</v>
      </c>
      <c r="F1064">
        <v>40</v>
      </c>
      <c r="G1064">
        <v>41</v>
      </c>
      <c r="H1064">
        <v>40</v>
      </c>
      <c r="I1064">
        <v>41</v>
      </c>
      <c r="J1064">
        <v>36</v>
      </c>
      <c r="K1064">
        <v>6288</v>
      </c>
      <c r="L1064">
        <v>257808</v>
      </c>
      <c r="M1064">
        <f>Inventory_Data[[#This Row],[Opening Stock]]+Inventory_Data[[#This Row],[Purchase Qty]]-Inventory_Data[[#This Row],[Sales Qty]]-Inventory_Data[[#This Row],[Closing Stock]]</f>
        <v>0</v>
      </c>
      <c r="N1064">
        <f>Inventory_Data[[#This Row],[Purchase Qty]]*Inventory_Data[[#This Row],[Unit Cost]]</f>
        <v>257808</v>
      </c>
      <c r="O1064" t="str">
        <f>IF(Inventory_Data[[#This Row],[Closing Stock]]&lt;=Inventory_Data[[#This Row],[Reorder Level]],"Low Stock","In Stock")</f>
        <v>In Stock</v>
      </c>
      <c r="P1064" t="str">
        <f>TEXT(Inventory_Data[[#This Row],[Date]],"MMM")</f>
        <v>Aug</v>
      </c>
      <c r="Q1064" t="str">
        <f>TEXT(Inventory_Data[[#This Row],[Date]],"YYYY")</f>
        <v>2025</v>
      </c>
    </row>
    <row r="1065" spans="1:17" x14ac:dyDescent="0.3">
      <c r="A1065" s="1">
        <v>45884</v>
      </c>
      <c r="B1065" t="s">
        <v>27</v>
      </c>
      <c r="C1065" t="s">
        <v>28</v>
      </c>
      <c r="D1065" t="s">
        <v>26</v>
      </c>
      <c r="E1065" t="s">
        <v>34</v>
      </c>
      <c r="F1065">
        <v>100</v>
      </c>
      <c r="G1065">
        <v>65</v>
      </c>
      <c r="H1065">
        <v>28</v>
      </c>
      <c r="I1065">
        <v>137</v>
      </c>
      <c r="J1065">
        <v>32</v>
      </c>
      <c r="K1065">
        <v>26721</v>
      </c>
      <c r="L1065">
        <v>3660777</v>
      </c>
      <c r="M1065">
        <f>Inventory_Data[[#This Row],[Opening Stock]]+Inventory_Data[[#This Row],[Purchase Qty]]-Inventory_Data[[#This Row],[Sales Qty]]-Inventory_Data[[#This Row],[Closing Stock]]</f>
        <v>0</v>
      </c>
      <c r="N1065">
        <f>Inventory_Data[[#This Row],[Purchase Qty]]*Inventory_Data[[#This Row],[Unit Cost]]</f>
        <v>1736865</v>
      </c>
      <c r="O1065" t="str">
        <f>IF(Inventory_Data[[#This Row],[Closing Stock]]&lt;=Inventory_Data[[#This Row],[Reorder Level]],"Low Stock","In Stock")</f>
        <v>In Stock</v>
      </c>
      <c r="P1065" t="str">
        <f>TEXT(Inventory_Data[[#This Row],[Date]],"MMM")</f>
        <v>Aug</v>
      </c>
      <c r="Q1065" t="str">
        <f>TEXT(Inventory_Data[[#This Row],[Date]],"YYYY")</f>
        <v>2025</v>
      </c>
    </row>
    <row r="1066" spans="1:17" x14ac:dyDescent="0.3">
      <c r="A1066" s="1">
        <v>45884</v>
      </c>
      <c r="B1066" t="s">
        <v>41</v>
      </c>
      <c r="C1066" t="s">
        <v>22</v>
      </c>
      <c r="D1066" t="s">
        <v>23</v>
      </c>
      <c r="E1066" t="s">
        <v>24</v>
      </c>
      <c r="F1066">
        <v>485</v>
      </c>
      <c r="G1066">
        <v>36</v>
      </c>
      <c r="H1066">
        <v>38</v>
      </c>
      <c r="I1066">
        <v>483</v>
      </c>
      <c r="J1066">
        <v>82</v>
      </c>
      <c r="K1066">
        <v>926</v>
      </c>
      <c r="L1066">
        <v>447258</v>
      </c>
      <c r="M1066">
        <f>Inventory_Data[[#This Row],[Opening Stock]]+Inventory_Data[[#This Row],[Purchase Qty]]-Inventory_Data[[#This Row],[Sales Qty]]-Inventory_Data[[#This Row],[Closing Stock]]</f>
        <v>0</v>
      </c>
      <c r="N1066">
        <f>Inventory_Data[[#This Row],[Purchase Qty]]*Inventory_Data[[#This Row],[Unit Cost]]</f>
        <v>33336</v>
      </c>
      <c r="O1066" t="str">
        <f>IF(Inventory_Data[[#This Row],[Closing Stock]]&lt;=Inventory_Data[[#This Row],[Reorder Level]],"Low Stock","In Stock")</f>
        <v>In Stock</v>
      </c>
      <c r="P1066" t="str">
        <f>TEXT(Inventory_Data[[#This Row],[Date]],"MMM")</f>
        <v>Aug</v>
      </c>
      <c r="Q1066" t="str">
        <f>TEXT(Inventory_Data[[#This Row],[Date]],"YYYY")</f>
        <v>2025</v>
      </c>
    </row>
    <row r="1067" spans="1:17" x14ac:dyDescent="0.3">
      <c r="A1067" s="1">
        <v>45884</v>
      </c>
      <c r="B1067" t="s">
        <v>16</v>
      </c>
      <c r="C1067" t="s">
        <v>17</v>
      </c>
      <c r="D1067" t="s">
        <v>14</v>
      </c>
      <c r="E1067" t="s">
        <v>18</v>
      </c>
      <c r="F1067">
        <v>20</v>
      </c>
      <c r="G1067">
        <v>28</v>
      </c>
      <c r="H1067">
        <v>22</v>
      </c>
      <c r="I1067">
        <v>26</v>
      </c>
      <c r="J1067">
        <v>28</v>
      </c>
      <c r="K1067">
        <v>13891</v>
      </c>
      <c r="L1067">
        <v>361166</v>
      </c>
      <c r="M1067">
        <f>Inventory_Data[[#This Row],[Opening Stock]]+Inventory_Data[[#This Row],[Purchase Qty]]-Inventory_Data[[#This Row],[Sales Qty]]-Inventory_Data[[#This Row],[Closing Stock]]</f>
        <v>0</v>
      </c>
      <c r="N1067">
        <f>Inventory_Data[[#This Row],[Purchase Qty]]*Inventory_Data[[#This Row],[Unit Cost]]</f>
        <v>388948</v>
      </c>
      <c r="O1067" t="str">
        <f>IF(Inventory_Data[[#This Row],[Closing Stock]]&lt;=Inventory_Data[[#This Row],[Reorder Level]],"Low Stock","In Stock")</f>
        <v>Low Stock</v>
      </c>
      <c r="P1067" t="str">
        <f>TEXT(Inventory_Data[[#This Row],[Date]],"MMM")</f>
        <v>Aug</v>
      </c>
      <c r="Q1067" t="str">
        <f>TEXT(Inventory_Data[[#This Row],[Date]],"YYYY")</f>
        <v>2025</v>
      </c>
    </row>
    <row r="1068" spans="1:17" x14ac:dyDescent="0.3">
      <c r="A1068" s="1">
        <v>45884</v>
      </c>
      <c r="B1068" t="s">
        <v>42</v>
      </c>
      <c r="C1068" t="s">
        <v>17</v>
      </c>
      <c r="D1068" t="s">
        <v>14</v>
      </c>
      <c r="E1068" t="s">
        <v>15</v>
      </c>
      <c r="F1068">
        <v>93</v>
      </c>
      <c r="G1068">
        <v>21</v>
      </c>
      <c r="H1068">
        <v>13</v>
      </c>
      <c r="I1068">
        <v>101</v>
      </c>
      <c r="J1068">
        <v>27</v>
      </c>
      <c r="K1068">
        <v>9428</v>
      </c>
      <c r="L1068">
        <v>952228</v>
      </c>
      <c r="M1068">
        <f>Inventory_Data[[#This Row],[Opening Stock]]+Inventory_Data[[#This Row],[Purchase Qty]]-Inventory_Data[[#This Row],[Sales Qty]]-Inventory_Data[[#This Row],[Closing Stock]]</f>
        <v>0</v>
      </c>
      <c r="N1068">
        <f>Inventory_Data[[#This Row],[Purchase Qty]]*Inventory_Data[[#This Row],[Unit Cost]]</f>
        <v>197988</v>
      </c>
      <c r="O1068" t="str">
        <f>IF(Inventory_Data[[#This Row],[Closing Stock]]&lt;=Inventory_Data[[#This Row],[Reorder Level]],"Low Stock","In Stock")</f>
        <v>In Stock</v>
      </c>
      <c r="P1068" t="str">
        <f>TEXT(Inventory_Data[[#This Row],[Date]],"MMM")</f>
        <v>Aug</v>
      </c>
      <c r="Q1068" t="str">
        <f>TEXT(Inventory_Data[[#This Row],[Date]],"YYYY")</f>
        <v>2025</v>
      </c>
    </row>
    <row r="1069" spans="1:17" x14ac:dyDescent="0.3">
      <c r="A1069" s="1">
        <v>45884</v>
      </c>
      <c r="B1069" t="s">
        <v>30</v>
      </c>
      <c r="C1069" t="s">
        <v>28</v>
      </c>
      <c r="D1069" t="s">
        <v>37</v>
      </c>
      <c r="E1069" t="s">
        <v>34</v>
      </c>
      <c r="F1069">
        <v>124</v>
      </c>
      <c r="G1069">
        <v>80</v>
      </c>
      <c r="H1069">
        <v>17</v>
      </c>
      <c r="I1069">
        <v>187</v>
      </c>
      <c r="J1069">
        <v>56</v>
      </c>
      <c r="K1069">
        <v>3057</v>
      </c>
      <c r="L1069">
        <v>571659</v>
      </c>
      <c r="M1069">
        <f>Inventory_Data[[#This Row],[Opening Stock]]+Inventory_Data[[#This Row],[Purchase Qty]]-Inventory_Data[[#This Row],[Sales Qty]]-Inventory_Data[[#This Row],[Closing Stock]]</f>
        <v>0</v>
      </c>
      <c r="N1069">
        <f>Inventory_Data[[#This Row],[Purchase Qty]]*Inventory_Data[[#This Row],[Unit Cost]]</f>
        <v>244560</v>
      </c>
      <c r="O1069" t="str">
        <f>IF(Inventory_Data[[#This Row],[Closing Stock]]&lt;=Inventory_Data[[#This Row],[Reorder Level]],"Low Stock","In Stock")</f>
        <v>In Stock</v>
      </c>
      <c r="P1069" t="str">
        <f>TEXT(Inventory_Data[[#This Row],[Date]],"MMM")</f>
        <v>Aug</v>
      </c>
      <c r="Q1069" t="str">
        <f>TEXT(Inventory_Data[[#This Row],[Date]],"YYYY")</f>
        <v>2025</v>
      </c>
    </row>
    <row r="1070" spans="1:17" x14ac:dyDescent="0.3">
      <c r="A1070" s="1">
        <v>45884</v>
      </c>
      <c r="B1070" t="s">
        <v>35</v>
      </c>
      <c r="C1070" t="s">
        <v>22</v>
      </c>
      <c r="D1070" t="s">
        <v>37</v>
      </c>
      <c r="E1070" t="s">
        <v>24</v>
      </c>
      <c r="F1070">
        <v>493</v>
      </c>
      <c r="G1070">
        <v>245</v>
      </c>
      <c r="H1070">
        <v>78</v>
      </c>
      <c r="I1070">
        <v>660</v>
      </c>
      <c r="J1070">
        <v>88</v>
      </c>
      <c r="K1070">
        <v>103</v>
      </c>
      <c r="L1070">
        <v>67980</v>
      </c>
      <c r="M1070">
        <f>Inventory_Data[[#This Row],[Opening Stock]]+Inventory_Data[[#This Row],[Purchase Qty]]-Inventory_Data[[#This Row],[Sales Qty]]-Inventory_Data[[#This Row],[Closing Stock]]</f>
        <v>0</v>
      </c>
      <c r="N1070">
        <f>Inventory_Data[[#This Row],[Purchase Qty]]*Inventory_Data[[#This Row],[Unit Cost]]</f>
        <v>25235</v>
      </c>
      <c r="O1070" t="str">
        <f>IF(Inventory_Data[[#This Row],[Closing Stock]]&lt;=Inventory_Data[[#This Row],[Reorder Level]],"Low Stock","In Stock")</f>
        <v>In Stock</v>
      </c>
      <c r="P1070" t="str">
        <f>TEXT(Inventory_Data[[#This Row],[Date]],"MMM")</f>
        <v>Aug</v>
      </c>
      <c r="Q1070" t="str">
        <f>TEXT(Inventory_Data[[#This Row],[Date]],"YYYY")</f>
        <v>2025</v>
      </c>
    </row>
    <row r="1071" spans="1:17" x14ac:dyDescent="0.3">
      <c r="A1071" s="1">
        <v>45885</v>
      </c>
      <c r="B1071" t="s">
        <v>21</v>
      </c>
      <c r="C1071" t="s">
        <v>22</v>
      </c>
      <c r="D1071" t="s">
        <v>26</v>
      </c>
      <c r="E1071" t="s">
        <v>15</v>
      </c>
      <c r="F1071">
        <v>233</v>
      </c>
      <c r="G1071">
        <v>136</v>
      </c>
      <c r="H1071">
        <v>93</v>
      </c>
      <c r="I1071">
        <v>276</v>
      </c>
      <c r="J1071">
        <v>106</v>
      </c>
      <c r="K1071">
        <v>269</v>
      </c>
      <c r="L1071">
        <v>74244</v>
      </c>
      <c r="M1071">
        <f>Inventory_Data[[#This Row],[Opening Stock]]+Inventory_Data[[#This Row],[Purchase Qty]]-Inventory_Data[[#This Row],[Sales Qty]]-Inventory_Data[[#This Row],[Closing Stock]]</f>
        <v>0</v>
      </c>
      <c r="N1071">
        <f>Inventory_Data[[#This Row],[Purchase Qty]]*Inventory_Data[[#This Row],[Unit Cost]]</f>
        <v>36584</v>
      </c>
      <c r="O1071" t="str">
        <f>IF(Inventory_Data[[#This Row],[Closing Stock]]&lt;=Inventory_Data[[#This Row],[Reorder Level]],"Low Stock","In Stock")</f>
        <v>In Stock</v>
      </c>
      <c r="P1071" t="str">
        <f>TEXT(Inventory_Data[[#This Row],[Date]],"MMM")</f>
        <v>Aug</v>
      </c>
      <c r="Q1071" t="str">
        <f>TEXT(Inventory_Data[[#This Row],[Date]],"YYYY")</f>
        <v>2025</v>
      </c>
    </row>
    <row r="1072" spans="1:17" x14ac:dyDescent="0.3">
      <c r="A1072" s="1">
        <v>45885</v>
      </c>
      <c r="B1072" t="s">
        <v>40</v>
      </c>
      <c r="C1072" t="s">
        <v>28</v>
      </c>
      <c r="D1072" t="s">
        <v>37</v>
      </c>
      <c r="E1072" t="s">
        <v>29</v>
      </c>
      <c r="F1072">
        <v>113</v>
      </c>
      <c r="G1072">
        <v>62</v>
      </c>
      <c r="H1072">
        <v>42</v>
      </c>
      <c r="I1072">
        <v>133</v>
      </c>
      <c r="J1072">
        <v>58</v>
      </c>
      <c r="K1072">
        <v>48636</v>
      </c>
      <c r="L1072">
        <v>6468588</v>
      </c>
      <c r="M1072">
        <f>Inventory_Data[[#This Row],[Opening Stock]]+Inventory_Data[[#This Row],[Purchase Qty]]-Inventory_Data[[#This Row],[Sales Qty]]-Inventory_Data[[#This Row],[Closing Stock]]</f>
        <v>0</v>
      </c>
      <c r="N1072">
        <f>Inventory_Data[[#This Row],[Purchase Qty]]*Inventory_Data[[#This Row],[Unit Cost]]</f>
        <v>3015432</v>
      </c>
      <c r="O1072" t="str">
        <f>IF(Inventory_Data[[#This Row],[Closing Stock]]&lt;=Inventory_Data[[#This Row],[Reorder Level]],"Low Stock","In Stock")</f>
        <v>In Stock</v>
      </c>
      <c r="P1072" t="str">
        <f>TEXT(Inventory_Data[[#This Row],[Date]],"MMM")</f>
        <v>Aug</v>
      </c>
      <c r="Q1072" t="str">
        <f>TEXT(Inventory_Data[[#This Row],[Date]],"YYYY")</f>
        <v>2025</v>
      </c>
    </row>
    <row r="1073" spans="1:17" x14ac:dyDescent="0.3">
      <c r="A1073" s="1">
        <v>45885</v>
      </c>
      <c r="B1073" t="s">
        <v>39</v>
      </c>
      <c r="C1073" t="s">
        <v>28</v>
      </c>
      <c r="D1073" t="s">
        <v>14</v>
      </c>
      <c r="E1073" t="s">
        <v>18</v>
      </c>
      <c r="F1073">
        <v>53</v>
      </c>
      <c r="G1073">
        <v>46</v>
      </c>
      <c r="H1073">
        <v>46</v>
      </c>
      <c r="I1073">
        <v>53</v>
      </c>
      <c r="J1073">
        <v>45</v>
      </c>
      <c r="K1073">
        <v>12256</v>
      </c>
      <c r="L1073">
        <v>649568</v>
      </c>
      <c r="M1073">
        <f>Inventory_Data[[#This Row],[Opening Stock]]+Inventory_Data[[#This Row],[Purchase Qty]]-Inventory_Data[[#This Row],[Sales Qty]]-Inventory_Data[[#This Row],[Closing Stock]]</f>
        <v>0</v>
      </c>
      <c r="N1073">
        <f>Inventory_Data[[#This Row],[Purchase Qty]]*Inventory_Data[[#This Row],[Unit Cost]]</f>
        <v>563776</v>
      </c>
      <c r="O1073" t="str">
        <f>IF(Inventory_Data[[#This Row],[Closing Stock]]&lt;=Inventory_Data[[#This Row],[Reorder Level]],"Low Stock","In Stock")</f>
        <v>In Stock</v>
      </c>
      <c r="P1073" t="str">
        <f>TEXT(Inventory_Data[[#This Row],[Date]],"MMM")</f>
        <v>Aug</v>
      </c>
      <c r="Q1073" t="str">
        <f>TEXT(Inventory_Data[[#This Row],[Date]],"YYYY")</f>
        <v>2025</v>
      </c>
    </row>
    <row r="1074" spans="1:17" x14ac:dyDescent="0.3">
      <c r="A1074" s="1">
        <v>45885</v>
      </c>
      <c r="B1074" t="s">
        <v>32</v>
      </c>
      <c r="C1074" t="s">
        <v>28</v>
      </c>
      <c r="D1074" t="s">
        <v>14</v>
      </c>
      <c r="E1074" t="s">
        <v>34</v>
      </c>
      <c r="F1074">
        <v>64</v>
      </c>
      <c r="G1074">
        <v>25</v>
      </c>
      <c r="H1074">
        <v>35</v>
      </c>
      <c r="I1074">
        <v>54</v>
      </c>
      <c r="J1074">
        <v>20</v>
      </c>
      <c r="K1074">
        <v>29633</v>
      </c>
      <c r="L1074">
        <v>1600182</v>
      </c>
      <c r="M1074">
        <f>Inventory_Data[[#This Row],[Opening Stock]]+Inventory_Data[[#This Row],[Purchase Qty]]-Inventory_Data[[#This Row],[Sales Qty]]-Inventory_Data[[#This Row],[Closing Stock]]</f>
        <v>0</v>
      </c>
      <c r="N1074">
        <f>Inventory_Data[[#This Row],[Purchase Qty]]*Inventory_Data[[#This Row],[Unit Cost]]</f>
        <v>740825</v>
      </c>
      <c r="O1074" t="str">
        <f>IF(Inventory_Data[[#This Row],[Closing Stock]]&lt;=Inventory_Data[[#This Row],[Reorder Level]],"Low Stock","In Stock")</f>
        <v>In Stock</v>
      </c>
      <c r="P1074" t="str">
        <f>TEXT(Inventory_Data[[#This Row],[Date]],"MMM")</f>
        <v>Aug</v>
      </c>
      <c r="Q1074" t="str">
        <f>TEXT(Inventory_Data[[#This Row],[Date]],"YYYY")</f>
        <v>2025</v>
      </c>
    </row>
    <row r="1075" spans="1:17" x14ac:dyDescent="0.3">
      <c r="A1075" s="1">
        <v>45885</v>
      </c>
      <c r="B1075" t="s">
        <v>44</v>
      </c>
      <c r="C1075" t="s">
        <v>28</v>
      </c>
      <c r="D1075" t="s">
        <v>23</v>
      </c>
      <c r="E1075" t="s">
        <v>20</v>
      </c>
      <c r="F1075">
        <v>178</v>
      </c>
      <c r="G1075">
        <v>40</v>
      </c>
      <c r="H1075">
        <v>70</v>
      </c>
      <c r="I1075">
        <v>148</v>
      </c>
      <c r="J1075">
        <v>31</v>
      </c>
      <c r="K1075">
        <v>34482</v>
      </c>
      <c r="L1075">
        <v>5103336</v>
      </c>
      <c r="M1075">
        <f>Inventory_Data[[#This Row],[Opening Stock]]+Inventory_Data[[#This Row],[Purchase Qty]]-Inventory_Data[[#This Row],[Sales Qty]]-Inventory_Data[[#This Row],[Closing Stock]]</f>
        <v>0</v>
      </c>
      <c r="N1075">
        <f>Inventory_Data[[#This Row],[Purchase Qty]]*Inventory_Data[[#This Row],[Unit Cost]]</f>
        <v>1379280</v>
      </c>
      <c r="O1075" t="str">
        <f>IF(Inventory_Data[[#This Row],[Closing Stock]]&lt;=Inventory_Data[[#This Row],[Reorder Level]],"Low Stock","In Stock")</f>
        <v>In Stock</v>
      </c>
      <c r="P1075" t="str">
        <f>TEXT(Inventory_Data[[#This Row],[Date]],"MMM")</f>
        <v>Aug</v>
      </c>
      <c r="Q1075" t="str">
        <f>TEXT(Inventory_Data[[#This Row],[Date]],"YYYY")</f>
        <v>2025</v>
      </c>
    </row>
    <row r="1076" spans="1:17" x14ac:dyDescent="0.3">
      <c r="A1076" s="1">
        <v>45885</v>
      </c>
      <c r="B1076" t="s">
        <v>36</v>
      </c>
      <c r="C1076" t="s">
        <v>22</v>
      </c>
      <c r="D1076" t="s">
        <v>26</v>
      </c>
      <c r="E1076" t="s">
        <v>15</v>
      </c>
      <c r="F1076">
        <v>460</v>
      </c>
      <c r="G1076">
        <v>208</v>
      </c>
      <c r="H1076">
        <v>71</v>
      </c>
      <c r="I1076">
        <v>597</v>
      </c>
      <c r="J1076">
        <v>54</v>
      </c>
      <c r="K1076">
        <v>898</v>
      </c>
      <c r="L1076">
        <v>536106</v>
      </c>
      <c r="M1076">
        <f>Inventory_Data[[#This Row],[Opening Stock]]+Inventory_Data[[#This Row],[Purchase Qty]]-Inventory_Data[[#This Row],[Sales Qty]]-Inventory_Data[[#This Row],[Closing Stock]]</f>
        <v>0</v>
      </c>
      <c r="N1076">
        <f>Inventory_Data[[#This Row],[Purchase Qty]]*Inventory_Data[[#This Row],[Unit Cost]]</f>
        <v>186784</v>
      </c>
      <c r="O1076" t="str">
        <f>IF(Inventory_Data[[#This Row],[Closing Stock]]&lt;=Inventory_Data[[#This Row],[Reorder Level]],"Low Stock","In Stock")</f>
        <v>In Stock</v>
      </c>
      <c r="P1076" t="str">
        <f>TEXT(Inventory_Data[[#This Row],[Date]],"MMM")</f>
        <v>Aug</v>
      </c>
      <c r="Q1076" t="str">
        <f>TEXT(Inventory_Data[[#This Row],[Date]],"YYYY")</f>
        <v>2025</v>
      </c>
    </row>
    <row r="1077" spans="1:17" x14ac:dyDescent="0.3">
      <c r="A1077" s="1">
        <v>45886</v>
      </c>
      <c r="B1077" t="s">
        <v>16</v>
      </c>
      <c r="C1077" t="s">
        <v>17</v>
      </c>
      <c r="D1077" t="s">
        <v>26</v>
      </c>
      <c r="E1077" t="s">
        <v>18</v>
      </c>
      <c r="F1077">
        <v>66</v>
      </c>
      <c r="G1077">
        <v>6</v>
      </c>
      <c r="H1077">
        <v>33</v>
      </c>
      <c r="I1077">
        <v>39</v>
      </c>
      <c r="J1077">
        <v>18</v>
      </c>
      <c r="K1077">
        <v>18772</v>
      </c>
      <c r="L1077">
        <v>732108</v>
      </c>
      <c r="M1077">
        <f>Inventory_Data[[#This Row],[Opening Stock]]+Inventory_Data[[#This Row],[Purchase Qty]]-Inventory_Data[[#This Row],[Sales Qty]]-Inventory_Data[[#This Row],[Closing Stock]]</f>
        <v>0</v>
      </c>
      <c r="N1077">
        <f>Inventory_Data[[#This Row],[Purchase Qty]]*Inventory_Data[[#This Row],[Unit Cost]]</f>
        <v>112632</v>
      </c>
      <c r="O1077" t="str">
        <f>IF(Inventory_Data[[#This Row],[Closing Stock]]&lt;=Inventory_Data[[#This Row],[Reorder Level]],"Low Stock","In Stock")</f>
        <v>In Stock</v>
      </c>
      <c r="P1077" t="str">
        <f>TEXT(Inventory_Data[[#This Row],[Date]],"MMM")</f>
        <v>Aug</v>
      </c>
      <c r="Q1077" t="str">
        <f>TEXT(Inventory_Data[[#This Row],[Date]],"YYYY")</f>
        <v>2025</v>
      </c>
    </row>
    <row r="1078" spans="1:17" x14ac:dyDescent="0.3">
      <c r="A1078" s="1">
        <v>45886</v>
      </c>
      <c r="B1078" t="s">
        <v>35</v>
      </c>
      <c r="C1078" t="s">
        <v>22</v>
      </c>
      <c r="D1078" t="s">
        <v>37</v>
      </c>
      <c r="E1078" t="s">
        <v>20</v>
      </c>
      <c r="F1078">
        <v>205</v>
      </c>
      <c r="G1078">
        <v>218</v>
      </c>
      <c r="H1078">
        <v>11</v>
      </c>
      <c r="I1078">
        <v>412</v>
      </c>
      <c r="J1078">
        <v>131</v>
      </c>
      <c r="K1078">
        <v>777</v>
      </c>
      <c r="L1078">
        <v>320124</v>
      </c>
      <c r="M1078">
        <f>Inventory_Data[[#This Row],[Opening Stock]]+Inventory_Data[[#This Row],[Purchase Qty]]-Inventory_Data[[#This Row],[Sales Qty]]-Inventory_Data[[#This Row],[Closing Stock]]</f>
        <v>0</v>
      </c>
      <c r="N1078">
        <f>Inventory_Data[[#This Row],[Purchase Qty]]*Inventory_Data[[#This Row],[Unit Cost]]</f>
        <v>169386</v>
      </c>
      <c r="O1078" t="str">
        <f>IF(Inventory_Data[[#This Row],[Closing Stock]]&lt;=Inventory_Data[[#This Row],[Reorder Level]],"Low Stock","In Stock")</f>
        <v>In Stock</v>
      </c>
      <c r="P1078" t="str">
        <f>TEXT(Inventory_Data[[#This Row],[Date]],"MMM")</f>
        <v>Aug</v>
      </c>
      <c r="Q1078" t="str">
        <f>TEXT(Inventory_Data[[#This Row],[Date]],"YYYY")</f>
        <v>2025</v>
      </c>
    </row>
    <row r="1079" spans="1:17" x14ac:dyDescent="0.3">
      <c r="A1079" s="1">
        <v>45886</v>
      </c>
      <c r="B1079" t="s">
        <v>41</v>
      </c>
      <c r="C1079" t="s">
        <v>22</v>
      </c>
      <c r="D1079" t="s">
        <v>37</v>
      </c>
      <c r="E1079" t="s">
        <v>24</v>
      </c>
      <c r="F1079">
        <v>97</v>
      </c>
      <c r="G1079">
        <v>297</v>
      </c>
      <c r="H1079">
        <v>224</v>
      </c>
      <c r="I1079">
        <v>170</v>
      </c>
      <c r="J1079">
        <v>110</v>
      </c>
      <c r="K1079">
        <v>821</v>
      </c>
      <c r="L1079">
        <v>139570</v>
      </c>
      <c r="M1079">
        <f>Inventory_Data[[#This Row],[Opening Stock]]+Inventory_Data[[#This Row],[Purchase Qty]]-Inventory_Data[[#This Row],[Sales Qty]]-Inventory_Data[[#This Row],[Closing Stock]]</f>
        <v>0</v>
      </c>
      <c r="N1079">
        <f>Inventory_Data[[#This Row],[Purchase Qty]]*Inventory_Data[[#This Row],[Unit Cost]]</f>
        <v>243837</v>
      </c>
      <c r="O1079" t="str">
        <f>IF(Inventory_Data[[#This Row],[Closing Stock]]&lt;=Inventory_Data[[#This Row],[Reorder Level]],"Low Stock","In Stock")</f>
        <v>In Stock</v>
      </c>
      <c r="P1079" t="str">
        <f>TEXT(Inventory_Data[[#This Row],[Date]],"MMM")</f>
        <v>Aug</v>
      </c>
      <c r="Q1079" t="str">
        <f>TEXT(Inventory_Data[[#This Row],[Date]],"YYYY")</f>
        <v>2025</v>
      </c>
    </row>
    <row r="1080" spans="1:17" x14ac:dyDescent="0.3">
      <c r="A1080" s="1">
        <v>45886</v>
      </c>
      <c r="B1080" t="s">
        <v>45</v>
      </c>
      <c r="C1080" t="s">
        <v>13</v>
      </c>
      <c r="D1080" t="s">
        <v>23</v>
      </c>
      <c r="E1080" t="s">
        <v>24</v>
      </c>
      <c r="F1080">
        <v>72</v>
      </c>
      <c r="G1080">
        <v>29</v>
      </c>
      <c r="H1080">
        <v>47</v>
      </c>
      <c r="I1080">
        <v>54</v>
      </c>
      <c r="J1080">
        <v>30</v>
      </c>
      <c r="K1080">
        <v>16161</v>
      </c>
      <c r="L1080">
        <v>872694</v>
      </c>
      <c r="M1080">
        <f>Inventory_Data[[#This Row],[Opening Stock]]+Inventory_Data[[#This Row],[Purchase Qty]]-Inventory_Data[[#This Row],[Sales Qty]]-Inventory_Data[[#This Row],[Closing Stock]]</f>
        <v>0</v>
      </c>
      <c r="N1080">
        <f>Inventory_Data[[#This Row],[Purchase Qty]]*Inventory_Data[[#This Row],[Unit Cost]]</f>
        <v>468669</v>
      </c>
      <c r="O1080" t="str">
        <f>IF(Inventory_Data[[#This Row],[Closing Stock]]&lt;=Inventory_Data[[#This Row],[Reorder Level]],"Low Stock","In Stock")</f>
        <v>In Stock</v>
      </c>
      <c r="P1080" t="str">
        <f>TEXT(Inventory_Data[[#This Row],[Date]],"MMM")</f>
        <v>Aug</v>
      </c>
      <c r="Q1080" t="str">
        <f>TEXT(Inventory_Data[[#This Row],[Date]],"YYYY")</f>
        <v>2025</v>
      </c>
    </row>
    <row r="1081" spans="1:17" x14ac:dyDescent="0.3">
      <c r="A1081" s="1">
        <v>45886</v>
      </c>
      <c r="B1081" t="s">
        <v>16</v>
      </c>
      <c r="C1081" t="s">
        <v>17</v>
      </c>
      <c r="D1081" t="s">
        <v>37</v>
      </c>
      <c r="E1081" t="s">
        <v>18</v>
      </c>
      <c r="F1081">
        <v>23</v>
      </c>
      <c r="G1081">
        <v>34</v>
      </c>
      <c r="H1081">
        <v>36</v>
      </c>
      <c r="I1081">
        <v>21</v>
      </c>
      <c r="J1081">
        <v>14</v>
      </c>
      <c r="K1081">
        <v>22704</v>
      </c>
      <c r="L1081">
        <v>476784</v>
      </c>
      <c r="M1081">
        <f>Inventory_Data[[#This Row],[Opening Stock]]+Inventory_Data[[#This Row],[Purchase Qty]]-Inventory_Data[[#This Row],[Sales Qty]]-Inventory_Data[[#This Row],[Closing Stock]]</f>
        <v>0</v>
      </c>
      <c r="N1081">
        <f>Inventory_Data[[#This Row],[Purchase Qty]]*Inventory_Data[[#This Row],[Unit Cost]]</f>
        <v>771936</v>
      </c>
      <c r="O1081" t="str">
        <f>IF(Inventory_Data[[#This Row],[Closing Stock]]&lt;=Inventory_Data[[#This Row],[Reorder Level]],"Low Stock","In Stock")</f>
        <v>In Stock</v>
      </c>
      <c r="P1081" t="str">
        <f>TEXT(Inventory_Data[[#This Row],[Date]],"MMM")</f>
        <v>Aug</v>
      </c>
      <c r="Q1081" t="str">
        <f>TEXT(Inventory_Data[[#This Row],[Date]],"YYYY")</f>
        <v>2025</v>
      </c>
    </row>
    <row r="1082" spans="1:17" x14ac:dyDescent="0.3">
      <c r="A1082" s="1">
        <v>45886</v>
      </c>
      <c r="B1082" t="s">
        <v>40</v>
      </c>
      <c r="C1082" t="s">
        <v>28</v>
      </c>
      <c r="D1082" t="s">
        <v>37</v>
      </c>
      <c r="E1082" t="s">
        <v>24</v>
      </c>
      <c r="F1082">
        <v>141</v>
      </c>
      <c r="G1082">
        <v>30</v>
      </c>
      <c r="H1082">
        <v>88</v>
      </c>
      <c r="I1082">
        <v>83</v>
      </c>
      <c r="J1082">
        <v>58</v>
      </c>
      <c r="K1082">
        <v>15840</v>
      </c>
      <c r="L1082">
        <v>1314720</v>
      </c>
      <c r="M1082">
        <f>Inventory_Data[[#This Row],[Opening Stock]]+Inventory_Data[[#This Row],[Purchase Qty]]-Inventory_Data[[#This Row],[Sales Qty]]-Inventory_Data[[#This Row],[Closing Stock]]</f>
        <v>0</v>
      </c>
      <c r="N1082">
        <f>Inventory_Data[[#This Row],[Purchase Qty]]*Inventory_Data[[#This Row],[Unit Cost]]</f>
        <v>475200</v>
      </c>
      <c r="O1082" t="str">
        <f>IF(Inventory_Data[[#This Row],[Closing Stock]]&lt;=Inventory_Data[[#This Row],[Reorder Level]],"Low Stock","In Stock")</f>
        <v>In Stock</v>
      </c>
      <c r="P1082" t="str">
        <f>TEXT(Inventory_Data[[#This Row],[Date]],"MMM")</f>
        <v>Aug</v>
      </c>
      <c r="Q1082" t="str">
        <f>TEXT(Inventory_Data[[#This Row],[Date]],"YYYY")</f>
        <v>2025</v>
      </c>
    </row>
    <row r="1083" spans="1:17" x14ac:dyDescent="0.3">
      <c r="A1083" s="1">
        <v>45887</v>
      </c>
      <c r="B1083" t="s">
        <v>36</v>
      </c>
      <c r="C1083" t="s">
        <v>22</v>
      </c>
      <c r="D1083" t="s">
        <v>37</v>
      </c>
      <c r="E1083" t="s">
        <v>15</v>
      </c>
      <c r="F1083">
        <v>329</v>
      </c>
      <c r="G1083">
        <v>154</v>
      </c>
      <c r="H1083">
        <v>201</v>
      </c>
      <c r="I1083">
        <v>282</v>
      </c>
      <c r="J1083">
        <v>129</v>
      </c>
      <c r="K1083">
        <v>393</v>
      </c>
      <c r="L1083">
        <v>110826</v>
      </c>
      <c r="M1083">
        <f>Inventory_Data[[#This Row],[Opening Stock]]+Inventory_Data[[#This Row],[Purchase Qty]]-Inventory_Data[[#This Row],[Sales Qty]]-Inventory_Data[[#This Row],[Closing Stock]]</f>
        <v>0</v>
      </c>
      <c r="N1083">
        <f>Inventory_Data[[#This Row],[Purchase Qty]]*Inventory_Data[[#This Row],[Unit Cost]]</f>
        <v>60522</v>
      </c>
      <c r="O1083" t="str">
        <f>IF(Inventory_Data[[#This Row],[Closing Stock]]&lt;=Inventory_Data[[#This Row],[Reorder Level]],"Low Stock","In Stock")</f>
        <v>In Stock</v>
      </c>
      <c r="P1083" t="str">
        <f>TEXT(Inventory_Data[[#This Row],[Date]],"MMM")</f>
        <v>Aug</v>
      </c>
      <c r="Q1083" t="str">
        <f>TEXT(Inventory_Data[[#This Row],[Date]],"YYYY")</f>
        <v>2025</v>
      </c>
    </row>
    <row r="1084" spans="1:17" x14ac:dyDescent="0.3">
      <c r="A1084" s="1">
        <v>45887</v>
      </c>
      <c r="B1084" t="s">
        <v>38</v>
      </c>
      <c r="C1084" t="s">
        <v>17</v>
      </c>
      <c r="D1084" t="s">
        <v>23</v>
      </c>
      <c r="E1084" t="s">
        <v>20</v>
      </c>
      <c r="F1084">
        <v>27</v>
      </c>
      <c r="G1084">
        <v>6</v>
      </c>
      <c r="H1084">
        <v>9</v>
      </c>
      <c r="I1084">
        <v>24</v>
      </c>
      <c r="J1084">
        <v>10</v>
      </c>
      <c r="K1084">
        <v>3878</v>
      </c>
      <c r="L1084">
        <v>93072</v>
      </c>
      <c r="M1084">
        <f>Inventory_Data[[#This Row],[Opening Stock]]+Inventory_Data[[#This Row],[Purchase Qty]]-Inventory_Data[[#This Row],[Sales Qty]]-Inventory_Data[[#This Row],[Closing Stock]]</f>
        <v>0</v>
      </c>
      <c r="N1084">
        <f>Inventory_Data[[#This Row],[Purchase Qty]]*Inventory_Data[[#This Row],[Unit Cost]]</f>
        <v>23268</v>
      </c>
      <c r="O1084" t="str">
        <f>IF(Inventory_Data[[#This Row],[Closing Stock]]&lt;=Inventory_Data[[#This Row],[Reorder Level]],"Low Stock","In Stock")</f>
        <v>In Stock</v>
      </c>
      <c r="P1084" t="str">
        <f>TEXT(Inventory_Data[[#This Row],[Date]],"MMM")</f>
        <v>Aug</v>
      </c>
      <c r="Q1084" t="str">
        <f>TEXT(Inventory_Data[[#This Row],[Date]],"YYYY")</f>
        <v>2025</v>
      </c>
    </row>
    <row r="1085" spans="1:17" x14ac:dyDescent="0.3">
      <c r="A1085" s="1">
        <v>45887</v>
      </c>
      <c r="B1085" t="s">
        <v>39</v>
      </c>
      <c r="C1085" t="s">
        <v>28</v>
      </c>
      <c r="D1085" t="s">
        <v>37</v>
      </c>
      <c r="E1085" t="s">
        <v>18</v>
      </c>
      <c r="F1085">
        <v>60</v>
      </c>
      <c r="G1085">
        <v>18</v>
      </c>
      <c r="H1085">
        <v>12</v>
      </c>
      <c r="I1085">
        <v>66</v>
      </c>
      <c r="J1085">
        <v>59</v>
      </c>
      <c r="K1085">
        <v>61387</v>
      </c>
      <c r="L1085">
        <v>4051542</v>
      </c>
      <c r="M1085">
        <f>Inventory_Data[[#This Row],[Opening Stock]]+Inventory_Data[[#This Row],[Purchase Qty]]-Inventory_Data[[#This Row],[Sales Qty]]-Inventory_Data[[#This Row],[Closing Stock]]</f>
        <v>0</v>
      </c>
      <c r="N1085">
        <f>Inventory_Data[[#This Row],[Purchase Qty]]*Inventory_Data[[#This Row],[Unit Cost]]</f>
        <v>1104966</v>
      </c>
      <c r="O1085" t="str">
        <f>IF(Inventory_Data[[#This Row],[Closing Stock]]&lt;=Inventory_Data[[#This Row],[Reorder Level]],"Low Stock","In Stock")</f>
        <v>In Stock</v>
      </c>
      <c r="P1085" t="str">
        <f>TEXT(Inventory_Data[[#This Row],[Date]],"MMM")</f>
        <v>Aug</v>
      </c>
      <c r="Q1085" t="str">
        <f>TEXT(Inventory_Data[[#This Row],[Date]],"YYYY")</f>
        <v>2025</v>
      </c>
    </row>
    <row r="1086" spans="1:17" x14ac:dyDescent="0.3">
      <c r="A1086" s="1">
        <v>45887</v>
      </c>
      <c r="B1086" t="s">
        <v>19</v>
      </c>
      <c r="C1086" t="s">
        <v>13</v>
      </c>
      <c r="D1086" t="s">
        <v>37</v>
      </c>
      <c r="E1086" t="s">
        <v>34</v>
      </c>
      <c r="F1086">
        <v>68</v>
      </c>
      <c r="G1086">
        <v>66</v>
      </c>
      <c r="H1086">
        <v>7</v>
      </c>
      <c r="I1086">
        <v>127</v>
      </c>
      <c r="J1086">
        <v>30</v>
      </c>
      <c r="K1086">
        <v>9101</v>
      </c>
      <c r="L1086">
        <v>1155827</v>
      </c>
      <c r="M1086">
        <f>Inventory_Data[[#This Row],[Opening Stock]]+Inventory_Data[[#This Row],[Purchase Qty]]-Inventory_Data[[#This Row],[Sales Qty]]-Inventory_Data[[#This Row],[Closing Stock]]</f>
        <v>0</v>
      </c>
      <c r="N1086">
        <f>Inventory_Data[[#This Row],[Purchase Qty]]*Inventory_Data[[#This Row],[Unit Cost]]</f>
        <v>600666</v>
      </c>
      <c r="O1086" t="str">
        <f>IF(Inventory_Data[[#This Row],[Closing Stock]]&lt;=Inventory_Data[[#This Row],[Reorder Level]],"Low Stock","In Stock")</f>
        <v>In Stock</v>
      </c>
      <c r="P1086" t="str">
        <f>TEXT(Inventory_Data[[#This Row],[Date]],"MMM")</f>
        <v>Aug</v>
      </c>
      <c r="Q1086" t="str">
        <f>TEXT(Inventory_Data[[#This Row],[Date]],"YYYY")</f>
        <v>2025</v>
      </c>
    </row>
    <row r="1087" spans="1:17" x14ac:dyDescent="0.3">
      <c r="A1087" s="1">
        <v>45887</v>
      </c>
      <c r="B1087" t="s">
        <v>33</v>
      </c>
      <c r="C1087" t="s">
        <v>13</v>
      </c>
      <c r="D1087" t="s">
        <v>23</v>
      </c>
      <c r="E1087" t="s">
        <v>34</v>
      </c>
      <c r="F1087">
        <v>97</v>
      </c>
      <c r="G1087">
        <v>54</v>
      </c>
      <c r="H1087">
        <v>32</v>
      </c>
      <c r="I1087">
        <v>119</v>
      </c>
      <c r="J1087">
        <v>21</v>
      </c>
      <c r="K1087">
        <v>9352</v>
      </c>
      <c r="L1087">
        <v>1112888</v>
      </c>
      <c r="M1087">
        <f>Inventory_Data[[#This Row],[Opening Stock]]+Inventory_Data[[#This Row],[Purchase Qty]]-Inventory_Data[[#This Row],[Sales Qty]]-Inventory_Data[[#This Row],[Closing Stock]]</f>
        <v>0</v>
      </c>
      <c r="N1087">
        <f>Inventory_Data[[#This Row],[Purchase Qty]]*Inventory_Data[[#This Row],[Unit Cost]]</f>
        <v>505008</v>
      </c>
      <c r="O1087" t="str">
        <f>IF(Inventory_Data[[#This Row],[Closing Stock]]&lt;=Inventory_Data[[#This Row],[Reorder Level]],"Low Stock","In Stock")</f>
        <v>In Stock</v>
      </c>
      <c r="P1087" t="str">
        <f>TEXT(Inventory_Data[[#This Row],[Date]],"MMM")</f>
        <v>Aug</v>
      </c>
      <c r="Q1087" t="str">
        <f>TEXT(Inventory_Data[[#This Row],[Date]],"YYYY")</f>
        <v>2025</v>
      </c>
    </row>
    <row r="1088" spans="1:17" x14ac:dyDescent="0.3">
      <c r="A1088" s="1">
        <v>45888</v>
      </c>
      <c r="B1088" t="s">
        <v>39</v>
      </c>
      <c r="C1088" t="s">
        <v>28</v>
      </c>
      <c r="D1088" t="s">
        <v>37</v>
      </c>
      <c r="E1088" t="s">
        <v>15</v>
      </c>
      <c r="F1088">
        <v>135</v>
      </c>
      <c r="G1088">
        <v>18</v>
      </c>
      <c r="H1088">
        <v>67</v>
      </c>
      <c r="I1088">
        <v>86</v>
      </c>
      <c r="J1088">
        <v>27</v>
      </c>
      <c r="K1088">
        <v>57992</v>
      </c>
      <c r="L1088">
        <v>4987312</v>
      </c>
      <c r="M1088">
        <f>Inventory_Data[[#This Row],[Opening Stock]]+Inventory_Data[[#This Row],[Purchase Qty]]-Inventory_Data[[#This Row],[Sales Qty]]-Inventory_Data[[#This Row],[Closing Stock]]</f>
        <v>0</v>
      </c>
      <c r="N1088">
        <f>Inventory_Data[[#This Row],[Purchase Qty]]*Inventory_Data[[#This Row],[Unit Cost]]</f>
        <v>1043856</v>
      </c>
      <c r="O1088" t="str">
        <f>IF(Inventory_Data[[#This Row],[Closing Stock]]&lt;=Inventory_Data[[#This Row],[Reorder Level]],"Low Stock","In Stock")</f>
        <v>In Stock</v>
      </c>
      <c r="P1088" t="str">
        <f>TEXT(Inventory_Data[[#This Row],[Date]],"MMM")</f>
        <v>Aug</v>
      </c>
      <c r="Q1088" t="str">
        <f>TEXT(Inventory_Data[[#This Row],[Date]],"YYYY")</f>
        <v>2025</v>
      </c>
    </row>
    <row r="1089" spans="1:17" x14ac:dyDescent="0.3">
      <c r="A1089" s="1">
        <v>45888</v>
      </c>
      <c r="B1089" t="s">
        <v>19</v>
      </c>
      <c r="C1089" t="s">
        <v>13</v>
      </c>
      <c r="D1089" t="s">
        <v>37</v>
      </c>
      <c r="E1089" t="s">
        <v>15</v>
      </c>
      <c r="F1089">
        <v>90</v>
      </c>
      <c r="G1089">
        <v>70</v>
      </c>
      <c r="H1089">
        <v>58</v>
      </c>
      <c r="I1089">
        <v>102</v>
      </c>
      <c r="J1089">
        <v>19</v>
      </c>
      <c r="K1089">
        <v>2962</v>
      </c>
      <c r="L1089">
        <v>302124</v>
      </c>
      <c r="M1089">
        <f>Inventory_Data[[#This Row],[Opening Stock]]+Inventory_Data[[#This Row],[Purchase Qty]]-Inventory_Data[[#This Row],[Sales Qty]]-Inventory_Data[[#This Row],[Closing Stock]]</f>
        <v>0</v>
      </c>
      <c r="N1089">
        <f>Inventory_Data[[#This Row],[Purchase Qty]]*Inventory_Data[[#This Row],[Unit Cost]]</f>
        <v>207340</v>
      </c>
      <c r="O1089" t="str">
        <f>IF(Inventory_Data[[#This Row],[Closing Stock]]&lt;=Inventory_Data[[#This Row],[Reorder Level]],"Low Stock","In Stock")</f>
        <v>In Stock</v>
      </c>
      <c r="P1089" t="str">
        <f>TEXT(Inventory_Data[[#This Row],[Date]],"MMM")</f>
        <v>Aug</v>
      </c>
      <c r="Q1089" t="str">
        <f>TEXT(Inventory_Data[[#This Row],[Date]],"YYYY")</f>
        <v>2025</v>
      </c>
    </row>
    <row r="1090" spans="1:17" x14ac:dyDescent="0.3">
      <c r="A1090" s="1">
        <v>45888</v>
      </c>
      <c r="B1090" t="s">
        <v>19</v>
      </c>
      <c r="C1090" t="s">
        <v>13</v>
      </c>
      <c r="D1090" t="s">
        <v>26</v>
      </c>
      <c r="E1090" t="s">
        <v>34</v>
      </c>
      <c r="F1090">
        <v>116</v>
      </c>
      <c r="G1090">
        <v>63</v>
      </c>
      <c r="H1090">
        <v>51</v>
      </c>
      <c r="I1090">
        <v>128</v>
      </c>
      <c r="J1090">
        <v>22</v>
      </c>
      <c r="K1090">
        <v>5722</v>
      </c>
      <c r="L1090">
        <v>732416</v>
      </c>
      <c r="M1090">
        <f>Inventory_Data[[#This Row],[Opening Stock]]+Inventory_Data[[#This Row],[Purchase Qty]]-Inventory_Data[[#This Row],[Sales Qty]]-Inventory_Data[[#This Row],[Closing Stock]]</f>
        <v>0</v>
      </c>
      <c r="N1090">
        <f>Inventory_Data[[#This Row],[Purchase Qty]]*Inventory_Data[[#This Row],[Unit Cost]]</f>
        <v>360486</v>
      </c>
      <c r="O1090" t="str">
        <f>IF(Inventory_Data[[#This Row],[Closing Stock]]&lt;=Inventory_Data[[#This Row],[Reorder Level]],"Low Stock","In Stock")</f>
        <v>In Stock</v>
      </c>
      <c r="P1090" t="str">
        <f>TEXT(Inventory_Data[[#This Row],[Date]],"MMM")</f>
        <v>Aug</v>
      </c>
      <c r="Q1090" t="str">
        <f>TEXT(Inventory_Data[[#This Row],[Date]],"YYYY")</f>
        <v>2025</v>
      </c>
    </row>
    <row r="1091" spans="1:17" x14ac:dyDescent="0.3">
      <c r="A1091" s="1">
        <v>45889</v>
      </c>
      <c r="B1091" t="s">
        <v>32</v>
      </c>
      <c r="C1091" t="s">
        <v>28</v>
      </c>
      <c r="D1091" t="s">
        <v>14</v>
      </c>
      <c r="E1091" t="s">
        <v>29</v>
      </c>
      <c r="F1091">
        <v>33</v>
      </c>
      <c r="G1091">
        <v>53</v>
      </c>
      <c r="H1091">
        <v>67</v>
      </c>
      <c r="I1091">
        <v>19</v>
      </c>
      <c r="J1091">
        <v>45</v>
      </c>
      <c r="K1091">
        <v>2045</v>
      </c>
      <c r="L1091">
        <v>38855</v>
      </c>
      <c r="M1091">
        <f>Inventory_Data[[#This Row],[Opening Stock]]+Inventory_Data[[#This Row],[Purchase Qty]]-Inventory_Data[[#This Row],[Sales Qty]]-Inventory_Data[[#This Row],[Closing Stock]]</f>
        <v>0</v>
      </c>
      <c r="N1091">
        <f>Inventory_Data[[#This Row],[Purchase Qty]]*Inventory_Data[[#This Row],[Unit Cost]]</f>
        <v>108385</v>
      </c>
      <c r="O1091" t="str">
        <f>IF(Inventory_Data[[#This Row],[Closing Stock]]&lt;=Inventory_Data[[#This Row],[Reorder Level]],"Low Stock","In Stock")</f>
        <v>Low Stock</v>
      </c>
      <c r="P1091" t="str">
        <f>TEXT(Inventory_Data[[#This Row],[Date]],"MMM")</f>
        <v>Aug</v>
      </c>
      <c r="Q1091" t="str">
        <f>TEXT(Inventory_Data[[#This Row],[Date]],"YYYY")</f>
        <v>2025</v>
      </c>
    </row>
    <row r="1092" spans="1:17" x14ac:dyDescent="0.3">
      <c r="A1092" s="1">
        <v>45889</v>
      </c>
      <c r="B1092" t="s">
        <v>43</v>
      </c>
      <c r="C1092" t="s">
        <v>22</v>
      </c>
      <c r="D1092" t="s">
        <v>37</v>
      </c>
      <c r="E1092" t="s">
        <v>29</v>
      </c>
      <c r="F1092">
        <v>228</v>
      </c>
      <c r="G1092">
        <v>101</v>
      </c>
      <c r="H1092">
        <v>219</v>
      </c>
      <c r="I1092">
        <v>110</v>
      </c>
      <c r="J1092">
        <v>91</v>
      </c>
      <c r="K1092">
        <v>614</v>
      </c>
      <c r="L1092">
        <v>67540</v>
      </c>
      <c r="M1092">
        <f>Inventory_Data[[#This Row],[Opening Stock]]+Inventory_Data[[#This Row],[Purchase Qty]]-Inventory_Data[[#This Row],[Sales Qty]]-Inventory_Data[[#This Row],[Closing Stock]]</f>
        <v>0</v>
      </c>
      <c r="N1092">
        <f>Inventory_Data[[#This Row],[Purchase Qty]]*Inventory_Data[[#This Row],[Unit Cost]]</f>
        <v>62014</v>
      </c>
      <c r="O1092" t="str">
        <f>IF(Inventory_Data[[#This Row],[Closing Stock]]&lt;=Inventory_Data[[#This Row],[Reorder Level]],"Low Stock","In Stock")</f>
        <v>In Stock</v>
      </c>
      <c r="P1092" t="str">
        <f>TEXT(Inventory_Data[[#This Row],[Date]],"MMM")</f>
        <v>Aug</v>
      </c>
      <c r="Q1092" t="str">
        <f>TEXT(Inventory_Data[[#This Row],[Date]],"YYYY")</f>
        <v>2025</v>
      </c>
    </row>
    <row r="1093" spans="1:17" x14ac:dyDescent="0.3">
      <c r="A1093" s="1">
        <v>45889</v>
      </c>
      <c r="B1093" t="s">
        <v>32</v>
      </c>
      <c r="C1093" t="s">
        <v>28</v>
      </c>
      <c r="D1093" t="s">
        <v>37</v>
      </c>
      <c r="E1093" t="s">
        <v>34</v>
      </c>
      <c r="F1093">
        <v>122</v>
      </c>
      <c r="G1093">
        <v>28</v>
      </c>
      <c r="H1093">
        <v>50</v>
      </c>
      <c r="I1093">
        <v>100</v>
      </c>
      <c r="J1093">
        <v>51</v>
      </c>
      <c r="K1093">
        <v>58030</v>
      </c>
      <c r="L1093">
        <v>5803000</v>
      </c>
      <c r="M1093">
        <f>Inventory_Data[[#This Row],[Opening Stock]]+Inventory_Data[[#This Row],[Purchase Qty]]-Inventory_Data[[#This Row],[Sales Qty]]-Inventory_Data[[#This Row],[Closing Stock]]</f>
        <v>0</v>
      </c>
      <c r="N1093">
        <f>Inventory_Data[[#This Row],[Purchase Qty]]*Inventory_Data[[#This Row],[Unit Cost]]</f>
        <v>1624840</v>
      </c>
      <c r="O1093" t="str">
        <f>IF(Inventory_Data[[#This Row],[Closing Stock]]&lt;=Inventory_Data[[#This Row],[Reorder Level]],"Low Stock","In Stock")</f>
        <v>In Stock</v>
      </c>
      <c r="P1093" t="str">
        <f>TEXT(Inventory_Data[[#This Row],[Date]],"MMM")</f>
        <v>Aug</v>
      </c>
      <c r="Q1093" t="str">
        <f>TEXT(Inventory_Data[[#This Row],[Date]],"YYYY")</f>
        <v>2025</v>
      </c>
    </row>
    <row r="1094" spans="1:17" x14ac:dyDescent="0.3">
      <c r="A1094" s="1">
        <v>45889</v>
      </c>
      <c r="B1094" t="s">
        <v>40</v>
      </c>
      <c r="C1094" t="s">
        <v>28</v>
      </c>
      <c r="D1094" t="s">
        <v>37</v>
      </c>
      <c r="E1094" t="s">
        <v>24</v>
      </c>
      <c r="F1094">
        <v>45</v>
      </c>
      <c r="G1094">
        <v>38</v>
      </c>
      <c r="H1094">
        <v>71</v>
      </c>
      <c r="I1094">
        <v>12</v>
      </c>
      <c r="J1094">
        <v>33</v>
      </c>
      <c r="K1094">
        <v>54553</v>
      </c>
      <c r="L1094">
        <v>654636</v>
      </c>
      <c r="M1094">
        <f>Inventory_Data[[#This Row],[Opening Stock]]+Inventory_Data[[#This Row],[Purchase Qty]]-Inventory_Data[[#This Row],[Sales Qty]]-Inventory_Data[[#This Row],[Closing Stock]]</f>
        <v>0</v>
      </c>
      <c r="N1094">
        <f>Inventory_Data[[#This Row],[Purchase Qty]]*Inventory_Data[[#This Row],[Unit Cost]]</f>
        <v>2073014</v>
      </c>
      <c r="O1094" t="str">
        <f>IF(Inventory_Data[[#This Row],[Closing Stock]]&lt;=Inventory_Data[[#This Row],[Reorder Level]],"Low Stock","In Stock")</f>
        <v>Low Stock</v>
      </c>
      <c r="P1094" t="str">
        <f>TEXT(Inventory_Data[[#This Row],[Date]],"MMM")</f>
        <v>Aug</v>
      </c>
      <c r="Q1094" t="str">
        <f>TEXT(Inventory_Data[[#This Row],[Date]],"YYYY")</f>
        <v>2025</v>
      </c>
    </row>
    <row r="1095" spans="1:17" x14ac:dyDescent="0.3">
      <c r="A1095" s="1">
        <v>45889</v>
      </c>
      <c r="B1095" t="s">
        <v>25</v>
      </c>
      <c r="C1095" t="s">
        <v>17</v>
      </c>
      <c r="D1095" t="s">
        <v>23</v>
      </c>
      <c r="E1095" t="s">
        <v>18</v>
      </c>
      <c r="F1095">
        <v>45</v>
      </c>
      <c r="G1095">
        <v>52</v>
      </c>
      <c r="H1095">
        <v>25</v>
      </c>
      <c r="I1095">
        <v>72</v>
      </c>
      <c r="J1095">
        <v>29</v>
      </c>
      <c r="K1095">
        <v>12872</v>
      </c>
      <c r="L1095">
        <v>926784</v>
      </c>
      <c r="M1095">
        <f>Inventory_Data[[#This Row],[Opening Stock]]+Inventory_Data[[#This Row],[Purchase Qty]]-Inventory_Data[[#This Row],[Sales Qty]]-Inventory_Data[[#This Row],[Closing Stock]]</f>
        <v>0</v>
      </c>
      <c r="N1095">
        <f>Inventory_Data[[#This Row],[Purchase Qty]]*Inventory_Data[[#This Row],[Unit Cost]]</f>
        <v>669344</v>
      </c>
      <c r="O1095" t="str">
        <f>IF(Inventory_Data[[#This Row],[Closing Stock]]&lt;=Inventory_Data[[#This Row],[Reorder Level]],"Low Stock","In Stock")</f>
        <v>In Stock</v>
      </c>
      <c r="P1095" t="str">
        <f>TEXT(Inventory_Data[[#This Row],[Date]],"MMM")</f>
        <v>Aug</v>
      </c>
      <c r="Q1095" t="str">
        <f>TEXT(Inventory_Data[[#This Row],[Date]],"YYYY")</f>
        <v>2025</v>
      </c>
    </row>
    <row r="1096" spans="1:17" x14ac:dyDescent="0.3">
      <c r="A1096" s="1">
        <v>45889</v>
      </c>
      <c r="B1096" t="s">
        <v>40</v>
      </c>
      <c r="C1096" t="s">
        <v>28</v>
      </c>
      <c r="D1096" t="s">
        <v>37</v>
      </c>
      <c r="E1096" t="s">
        <v>24</v>
      </c>
      <c r="F1096">
        <v>167</v>
      </c>
      <c r="G1096">
        <v>106</v>
      </c>
      <c r="H1096">
        <v>44</v>
      </c>
      <c r="I1096">
        <v>229</v>
      </c>
      <c r="J1096">
        <v>54</v>
      </c>
      <c r="K1096">
        <v>22183</v>
      </c>
      <c r="L1096">
        <v>5079907</v>
      </c>
      <c r="M1096">
        <f>Inventory_Data[[#This Row],[Opening Stock]]+Inventory_Data[[#This Row],[Purchase Qty]]-Inventory_Data[[#This Row],[Sales Qty]]-Inventory_Data[[#This Row],[Closing Stock]]</f>
        <v>0</v>
      </c>
      <c r="N1096">
        <f>Inventory_Data[[#This Row],[Purchase Qty]]*Inventory_Data[[#This Row],[Unit Cost]]</f>
        <v>2351398</v>
      </c>
      <c r="O1096" t="str">
        <f>IF(Inventory_Data[[#This Row],[Closing Stock]]&lt;=Inventory_Data[[#This Row],[Reorder Level]],"Low Stock","In Stock")</f>
        <v>In Stock</v>
      </c>
      <c r="P1096" t="str">
        <f>TEXT(Inventory_Data[[#This Row],[Date]],"MMM")</f>
        <v>Aug</v>
      </c>
      <c r="Q1096" t="str">
        <f>TEXT(Inventory_Data[[#This Row],[Date]],"YYYY")</f>
        <v>2025</v>
      </c>
    </row>
    <row r="1097" spans="1:17" x14ac:dyDescent="0.3">
      <c r="A1097" s="1">
        <v>45889</v>
      </c>
      <c r="B1097" t="s">
        <v>40</v>
      </c>
      <c r="C1097" t="s">
        <v>28</v>
      </c>
      <c r="D1097" t="s">
        <v>26</v>
      </c>
      <c r="E1097" t="s">
        <v>24</v>
      </c>
      <c r="F1097">
        <v>26</v>
      </c>
      <c r="G1097">
        <v>45</v>
      </c>
      <c r="H1097">
        <v>42</v>
      </c>
      <c r="I1097">
        <v>29</v>
      </c>
      <c r="J1097">
        <v>34</v>
      </c>
      <c r="K1097">
        <v>59119</v>
      </c>
      <c r="L1097">
        <v>1714451</v>
      </c>
      <c r="M1097">
        <f>Inventory_Data[[#This Row],[Opening Stock]]+Inventory_Data[[#This Row],[Purchase Qty]]-Inventory_Data[[#This Row],[Sales Qty]]-Inventory_Data[[#This Row],[Closing Stock]]</f>
        <v>0</v>
      </c>
      <c r="N1097">
        <f>Inventory_Data[[#This Row],[Purchase Qty]]*Inventory_Data[[#This Row],[Unit Cost]]</f>
        <v>2660355</v>
      </c>
      <c r="O1097" t="str">
        <f>IF(Inventory_Data[[#This Row],[Closing Stock]]&lt;=Inventory_Data[[#This Row],[Reorder Level]],"Low Stock","In Stock")</f>
        <v>Low Stock</v>
      </c>
      <c r="P1097" t="str">
        <f>TEXT(Inventory_Data[[#This Row],[Date]],"MMM")</f>
        <v>Aug</v>
      </c>
      <c r="Q1097" t="str">
        <f>TEXT(Inventory_Data[[#This Row],[Date]],"YYYY")</f>
        <v>2025</v>
      </c>
    </row>
    <row r="1098" spans="1:17" x14ac:dyDescent="0.3">
      <c r="A1098" s="1">
        <v>45890</v>
      </c>
      <c r="B1098" t="s">
        <v>16</v>
      </c>
      <c r="C1098" t="s">
        <v>17</v>
      </c>
      <c r="D1098" t="s">
        <v>26</v>
      </c>
      <c r="E1098" t="s">
        <v>18</v>
      </c>
      <c r="F1098">
        <v>19</v>
      </c>
      <c r="G1098">
        <v>57</v>
      </c>
      <c r="H1098">
        <v>10</v>
      </c>
      <c r="I1098">
        <v>66</v>
      </c>
      <c r="J1098">
        <v>29</v>
      </c>
      <c r="K1098">
        <v>1578</v>
      </c>
      <c r="L1098">
        <v>104148</v>
      </c>
      <c r="M1098">
        <f>Inventory_Data[[#This Row],[Opening Stock]]+Inventory_Data[[#This Row],[Purchase Qty]]-Inventory_Data[[#This Row],[Sales Qty]]-Inventory_Data[[#This Row],[Closing Stock]]</f>
        <v>0</v>
      </c>
      <c r="N1098">
        <f>Inventory_Data[[#This Row],[Purchase Qty]]*Inventory_Data[[#This Row],[Unit Cost]]</f>
        <v>89946</v>
      </c>
      <c r="O1098" t="str">
        <f>IF(Inventory_Data[[#This Row],[Closing Stock]]&lt;=Inventory_Data[[#This Row],[Reorder Level]],"Low Stock","In Stock")</f>
        <v>In Stock</v>
      </c>
      <c r="P1098" t="str">
        <f>TEXT(Inventory_Data[[#This Row],[Date]],"MMM")</f>
        <v>Aug</v>
      </c>
      <c r="Q1098" t="str">
        <f>TEXT(Inventory_Data[[#This Row],[Date]],"YYYY")</f>
        <v>2025</v>
      </c>
    </row>
    <row r="1099" spans="1:17" x14ac:dyDescent="0.3">
      <c r="A1099" s="1">
        <v>45890</v>
      </c>
      <c r="B1099" t="s">
        <v>33</v>
      </c>
      <c r="C1099" t="s">
        <v>13</v>
      </c>
      <c r="D1099" t="s">
        <v>14</v>
      </c>
      <c r="E1099" t="s">
        <v>24</v>
      </c>
      <c r="F1099">
        <v>87</v>
      </c>
      <c r="G1099">
        <v>27</v>
      </c>
      <c r="H1099">
        <v>12</v>
      </c>
      <c r="I1099">
        <v>102</v>
      </c>
      <c r="J1099">
        <v>29</v>
      </c>
      <c r="K1099">
        <v>17208</v>
      </c>
      <c r="L1099">
        <v>1755216</v>
      </c>
      <c r="M1099">
        <f>Inventory_Data[[#This Row],[Opening Stock]]+Inventory_Data[[#This Row],[Purchase Qty]]-Inventory_Data[[#This Row],[Sales Qty]]-Inventory_Data[[#This Row],[Closing Stock]]</f>
        <v>0</v>
      </c>
      <c r="N1099">
        <f>Inventory_Data[[#This Row],[Purchase Qty]]*Inventory_Data[[#This Row],[Unit Cost]]</f>
        <v>464616</v>
      </c>
      <c r="O1099" t="str">
        <f>IF(Inventory_Data[[#This Row],[Closing Stock]]&lt;=Inventory_Data[[#This Row],[Reorder Level]],"Low Stock","In Stock")</f>
        <v>In Stock</v>
      </c>
      <c r="P1099" t="str">
        <f>TEXT(Inventory_Data[[#This Row],[Date]],"MMM")</f>
        <v>Aug</v>
      </c>
      <c r="Q1099" t="str">
        <f>TEXT(Inventory_Data[[#This Row],[Date]],"YYYY")</f>
        <v>2025</v>
      </c>
    </row>
    <row r="1100" spans="1:17" x14ac:dyDescent="0.3">
      <c r="A1100" s="1">
        <v>45890</v>
      </c>
      <c r="B1100" t="s">
        <v>38</v>
      </c>
      <c r="C1100" t="s">
        <v>17</v>
      </c>
      <c r="D1100" t="s">
        <v>14</v>
      </c>
      <c r="E1100" t="s">
        <v>18</v>
      </c>
      <c r="F1100">
        <v>39</v>
      </c>
      <c r="G1100">
        <v>57</v>
      </c>
      <c r="H1100">
        <v>14</v>
      </c>
      <c r="I1100">
        <v>82</v>
      </c>
      <c r="J1100">
        <v>28</v>
      </c>
      <c r="K1100">
        <v>3056</v>
      </c>
      <c r="L1100">
        <v>250592</v>
      </c>
      <c r="M1100">
        <f>Inventory_Data[[#This Row],[Opening Stock]]+Inventory_Data[[#This Row],[Purchase Qty]]-Inventory_Data[[#This Row],[Sales Qty]]-Inventory_Data[[#This Row],[Closing Stock]]</f>
        <v>0</v>
      </c>
      <c r="N1100">
        <f>Inventory_Data[[#This Row],[Purchase Qty]]*Inventory_Data[[#This Row],[Unit Cost]]</f>
        <v>174192</v>
      </c>
      <c r="O1100" t="str">
        <f>IF(Inventory_Data[[#This Row],[Closing Stock]]&lt;=Inventory_Data[[#This Row],[Reorder Level]],"Low Stock","In Stock")</f>
        <v>In Stock</v>
      </c>
      <c r="P1100" t="str">
        <f>TEXT(Inventory_Data[[#This Row],[Date]],"MMM")</f>
        <v>Aug</v>
      </c>
      <c r="Q1100" t="str">
        <f>TEXT(Inventory_Data[[#This Row],[Date]],"YYYY")</f>
        <v>2025</v>
      </c>
    </row>
    <row r="1101" spans="1:17" x14ac:dyDescent="0.3">
      <c r="A1101" s="1">
        <v>45890</v>
      </c>
      <c r="B1101" t="s">
        <v>45</v>
      </c>
      <c r="C1101" t="s">
        <v>13</v>
      </c>
      <c r="D1101" t="s">
        <v>26</v>
      </c>
      <c r="E1101" t="s">
        <v>34</v>
      </c>
      <c r="F1101">
        <v>110</v>
      </c>
      <c r="G1101">
        <v>67</v>
      </c>
      <c r="H1101">
        <v>30</v>
      </c>
      <c r="I1101">
        <v>147</v>
      </c>
      <c r="J1101">
        <v>29</v>
      </c>
      <c r="K1101">
        <v>1271</v>
      </c>
      <c r="L1101">
        <v>186837</v>
      </c>
      <c r="M1101">
        <f>Inventory_Data[[#This Row],[Opening Stock]]+Inventory_Data[[#This Row],[Purchase Qty]]-Inventory_Data[[#This Row],[Sales Qty]]-Inventory_Data[[#This Row],[Closing Stock]]</f>
        <v>0</v>
      </c>
      <c r="N1101">
        <f>Inventory_Data[[#This Row],[Purchase Qty]]*Inventory_Data[[#This Row],[Unit Cost]]</f>
        <v>85157</v>
      </c>
      <c r="O1101" t="str">
        <f>IF(Inventory_Data[[#This Row],[Closing Stock]]&lt;=Inventory_Data[[#This Row],[Reorder Level]],"Low Stock","In Stock")</f>
        <v>In Stock</v>
      </c>
      <c r="P1101" t="str">
        <f>TEXT(Inventory_Data[[#This Row],[Date]],"MMM")</f>
        <v>Aug</v>
      </c>
      <c r="Q1101" t="str">
        <f>TEXT(Inventory_Data[[#This Row],[Date]],"YYYY")</f>
        <v>2025</v>
      </c>
    </row>
    <row r="1102" spans="1:17" x14ac:dyDescent="0.3">
      <c r="A1102" s="1">
        <v>45890</v>
      </c>
      <c r="B1102" t="s">
        <v>25</v>
      </c>
      <c r="C1102" t="s">
        <v>17</v>
      </c>
      <c r="D1102" t="s">
        <v>14</v>
      </c>
      <c r="E1102" t="s">
        <v>18</v>
      </c>
      <c r="F1102">
        <v>76</v>
      </c>
      <c r="G1102">
        <v>15</v>
      </c>
      <c r="H1102">
        <v>13</v>
      </c>
      <c r="I1102">
        <v>78</v>
      </c>
      <c r="J1102">
        <v>13</v>
      </c>
      <c r="K1102">
        <v>14822</v>
      </c>
      <c r="L1102">
        <v>1156116</v>
      </c>
      <c r="M1102">
        <f>Inventory_Data[[#This Row],[Opening Stock]]+Inventory_Data[[#This Row],[Purchase Qty]]-Inventory_Data[[#This Row],[Sales Qty]]-Inventory_Data[[#This Row],[Closing Stock]]</f>
        <v>0</v>
      </c>
      <c r="N1102">
        <f>Inventory_Data[[#This Row],[Purchase Qty]]*Inventory_Data[[#This Row],[Unit Cost]]</f>
        <v>222330</v>
      </c>
      <c r="O1102" t="str">
        <f>IF(Inventory_Data[[#This Row],[Closing Stock]]&lt;=Inventory_Data[[#This Row],[Reorder Level]],"Low Stock","In Stock")</f>
        <v>In Stock</v>
      </c>
      <c r="P1102" t="str">
        <f>TEXT(Inventory_Data[[#This Row],[Date]],"MMM")</f>
        <v>Aug</v>
      </c>
      <c r="Q1102" t="str">
        <f>TEXT(Inventory_Data[[#This Row],[Date]],"YYYY")</f>
        <v>2025</v>
      </c>
    </row>
    <row r="1103" spans="1:17" x14ac:dyDescent="0.3">
      <c r="A1103" s="1">
        <v>45890</v>
      </c>
      <c r="B1103" t="s">
        <v>43</v>
      </c>
      <c r="C1103" t="s">
        <v>22</v>
      </c>
      <c r="D1103" t="s">
        <v>37</v>
      </c>
      <c r="E1103" t="s">
        <v>34</v>
      </c>
      <c r="F1103">
        <v>381</v>
      </c>
      <c r="G1103">
        <v>59</v>
      </c>
      <c r="H1103">
        <v>170</v>
      </c>
      <c r="I1103">
        <v>270</v>
      </c>
      <c r="J1103">
        <v>113</v>
      </c>
      <c r="K1103">
        <v>297</v>
      </c>
      <c r="L1103">
        <v>80190</v>
      </c>
      <c r="M1103">
        <f>Inventory_Data[[#This Row],[Opening Stock]]+Inventory_Data[[#This Row],[Purchase Qty]]-Inventory_Data[[#This Row],[Sales Qty]]-Inventory_Data[[#This Row],[Closing Stock]]</f>
        <v>0</v>
      </c>
      <c r="N1103">
        <f>Inventory_Data[[#This Row],[Purchase Qty]]*Inventory_Data[[#This Row],[Unit Cost]]</f>
        <v>17523</v>
      </c>
      <c r="O1103" t="str">
        <f>IF(Inventory_Data[[#This Row],[Closing Stock]]&lt;=Inventory_Data[[#This Row],[Reorder Level]],"Low Stock","In Stock")</f>
        <v>In Stock</v>
      </c>
      <c r="P1103" t="str">
        <f>TEXT(Inventory_Data[[#This Row],[Date]],"MMM")</f>
        <v>Aug</v>
      </c>
      <c r="Q1103" t="str">
        <f>TEXT(Inventory_Data[[#This Row],[Date]],"YYYY")</f>
        <v>2025</v>
      </c>
    </row>
    <row r="1104" spans="1:17" x14ac:dyDescent="0.3">
      <c r="A1104" s="1">
        <v>45890</v>
      </c>
      <c r="B1104" t="s">
        <v>44</v>
      </c>
      <c r="C1104" t="s">
        <v>28</v>
      </c>
      <c r="D1104" t="s">
        <v>37</v>
      </c>
      <c r="E1104" t="s">
        <v>29</v>
      </c>
      <c r="F1104">
        <v>80</v>
      </c>
      <c r="G1104">
        <v>94</v>
      </c>
      <c r="H1104">
        <v>59</v>
      </c>
      <c r="I1104">
        <v>115</v>
      </c>
      <c r="J1104">
        <v>26</v>
      </c>
      <c r="K1104">
        <v>14350</v>
      </c>
      <c r="L1104">
        <v>1650250</v>
      </c>
      <c r="M1104">
        <f>Inventory_Data[[#This Row],[Opening Stock]]+Inventory_Data[[#This Row],[Purchase Qty]]-Inventory_Data[[#This Row],[Sales Qty]]-Inventory_Data[[#This Row],[Closing Stock]]</f>
        <v>0</v>
      </c>
      <c r="N1104">
        <f>Inventory_Data[[#This Row],[Purchase Qty]]*Inventory_Data[[#This Row],[Unit Cost]]</f>
        <v>1348900</v>
      </c>
      <c r="O1104" t="str">
        <f>IF(Inventory_Data[[#This Row],[Closing Stock]]&lt;=Inventory_Data[[#This Row],[Reorder Level]],"Low Stock","In Stock")</f>
        <v>In Stock</v>
      </c>
      <c r="P1104" t="str">
        <f>TEXT(Inventory_Data[[#This Row],[Date]],"MMM")</f>
        <v>Aug</v>
      </c>
      <c r="Q1104" t="str">
        <f>TEXT(Inventory_Data[[#This Row],[Date]],"YYYY")</f>
        <v>2025</v>
      </c>
    </row>
    <row r="1105" spans="1:17" x14ac:dyDescent="0.3">
      <c r="A1105" s="1">
        <v>45890</v>
      </c>
      <c r="B1105" t="s">
        <v>40</v>
      </c>
      <c r="C1105" t="s">
        <v>28</v>
      </c>
      <c r="D1105" t="s">
        <v>26</v>
      </c>
      <c r="E1105" t="s">
        <v>18</v>
      </c>
      <c r="F1105">
        <v>58</v>
      </c>
      <c r="G1105">
        <v>80</v>
      </c>
      <c r="H1105">
        <v>34</v>
      </c>
      <c r="I1105">
        <v>104</v>
      </c>
      <c r="J1105">
        <v>20</v>
      </c>
      <c r="K1105">
        <v>8372</v>
      </c>
      <c r="L1105">
        <v>870688</v>
      </c>
      <c r="M1105">
        <f>Inventory_Data[[#This Row],[Opening Stock]]+Inventory_Data[[#This Row],[Purchase Qty]]-Inventory_Data[[#This Row],[Sales Qty]]-Inventory_Data[[#This Row],[Closing Stock]]</f>
        <v>0</v>
      </c>
      <c r="N1105">
        <f>Inventory_Data[[#This Row],[Purchase Qty]]*Inventory_Data[[#This Row],[Unit Cost]]</f>
        <v>669760</v>
      </c>
      <c r="O1105" t="str">
        <f>IF(Inventory_Data[[#This Row],[Closing Stock]]&lt;=Inventory_Data[[#This Row],[Reorder Level]],"Low Stock","In Stock")</f>
        <v>In Stock</v>
      </c>
      <c r="P1105" t="str">
        <f>TEXT(Inventory_Data[[#This Row],[Date]],"MMM")</f>
        <v>Aug</v>
      </c>
      <c r="Q1105" t="str">
        <f>TEXT(Inventory_Data[[#This Row],[Date]],"YYYY")</f>
        <v>2025</v>
      </c>
    </row>
    <row r="1106" spans="1:17" x14ac:dyDescent="0.3">
      <c r="A1106" s="1">
        <v>45890</v>
      </c>
      <c r="B1106" t="s">
        <v>43</v>
      </c>
      <c r="C1106" t="s">
        <v>22</v>
      </c>
      <c r="D1106" t="s">
        <v>14</v>
      </c>
      <c r="E1106" t="s">
        <v>15</v>
      </c>
      <c r="F1106">
        <v>203</v>
      </c>
      <c r="G1106">
        <v>209</v>
      </c>
      <c r="H1106">
        <v>40</v>
      </c>
      <c r="I1106">
        <v>372</v>
      </c>
      <c r="J1106">
        <v>116</v>
      </c>
      <c r="K1106">
        <v>390</v>
      </c>
      <c r="L1106">
        <v>145080</v>
      </c>
      <c r="M1106">
        <f>Inventory_Data[[#This Row],[Opening Stock]]+Inventory_Data[[#This Row],[Purchase Qty]]-Inventory_Data[[#This Row],[Sales Qty]]-Inventory_Data[[#This Row],[Closing Stock]]</f>
        <v>0</v>
      </c>
      <c r="N1106">
        <f>Inventory_Data[[#This Row],[Purchase Qty]]*Inventory_Data[[#This Row],[Unit Cost]]</f>
        <v>81510</v>
      </c>
      <c r="O1106" t="str">
        <f>IF(Inventory_Data[[#This Row],[Closing Stock]]&lt;=Inventory_Data[[#This Row],[Reorder Level]],"Low Stock","In Stock")</f>
        <v>In Stock</v>
      </c>
      <c r="P1106" t="str">
        <f>TEXT(Inventory_Data[[#This Row],[Date]],"MMM")</f>
        <v>Aug</v>
      </c>
      <c r="Q1106" t="str">
        <f>TEXT(Inventory_Data[[#This Row],[Date]],"YYYY")</f>
        <v>2025</v>
      </c>
    </row>
    <row r="1107" spans="1:17" x14ac:dyDescent="0.3">
      <c r="A1107" s="1">
        <v>45890</v>
      </c>
      <c r="B1107" t="s">
        <v>16</v>
      </c>
      <c r="C1107" t="s">
        <v>17</v>
      </c>
      <c r="D1107" t="s">
        <v>14</v>
      </c>
      <c r="E1107" t="s">
        <v>18</v>
      </c>
      <c r="F1107">
        <v>28</v>
      </c>
      <c r="G1107">
        <v>6</v>
      </c>
      <c r="H1107">
        <v>12</v>
      </c>
      <c r="I1107">
        <v>22</v>
      </c>
      <c r="J1107">
        <v>26</v>
      </c>
      <c r="K1107">
        <v>9918</v>
      </c>
      <c r="L1107">
        <v>218196</v>
      </c>
      <c r="M1107">
        <f>Inventory_Data[[#This Row],[Opening Stock]]+Inventory_Data[[#This Row],[Purchase Qty]]-Inventory_Data[[#This Row],[Sales Qty]]-Inventory_Data[[#This Row],[Closing Stock]]</f>
        <v>0</v>
      </c>
      <c r="N1107">
        <f>Inventory_Data[[#This Row],[Purchase Qty]]*Inventory_Data[[#This Row],[Unit Cost]]</f>
        <v>59508</v>
      </c>
      <c r="O1107" t="str">
        <f>IF(Inventory_Data[[#This Row],[Closing Stock]]&lt;=Inventory_Data[[#This Row],[Reorder Level]],"Low Stock","In Stock")</f>
        <v>Low Stock</v>
      </c>
      <c r="P1107" t="str">
        <f>TEXT(Inventory_Data[[#This Row],[Date]],"MMM")</f>
        <v>Aug</v>
      </c>
      <c r="Q1107" t="str">
        <f>TEXT(Inventory_Data[[#This Row],[Date]],"YYYY")</f>
        <v>2025</v>
      </c>
    </row>
    <row r="1108" spans="1:17" x14ac:dyDescent="0.3">
      <c r="A1108" s="1">
        <v>45890</v>
      </c>
      <c r="B1108" t="s">
        <v>30</v>
      </c>
      <c r="C1108" t="s">
        <v>28</v>
      </c>
      <c r="D1108" t="s">
        <v>14</v>
      </c>
      <c r="E1108" t="s">
        <v>15</v>
      </c>
      <c r="F1108">
        <v>29</v>
      </c>
      <c r="G1108">
        <v>95</v>
      </c>
      <c r="H1108">
        <v>61</v>
      </c>
      <c r="I1108">
        <v>63</v>
      </c>
      <c r="J1108">
        <v>41</v>
      </c>
      <c r="K1108">
        <v>62720</v>
      </c>
      <c r="L1108">
        <v>3951360</v>
      </c>
      <c r="M1108">
        <f>Inventory_Data[[#This Row],[Opening Stock]]+Inventory_Data[[#This Row],[Purchase Qty]]-Inventory_Data[[#This Row],[Sales Qty]]-Inventory_Data[[#This Row],[Closing Stock]]</f>
        <v>0</v>
      </c>
      <c r="N1108">
        <f>Inventory_Data[[#This Row],[Purchase Qty]]*Inventory_Data[[#This Row],[Unit Cost]]</f>
        <v>5958400</v>
      </c>
      <c r="O1108" t="str">
        <f>IF(Inventory_Data[[#This Row],[Closing Stock]]&lt;=Inventory_Data[[#This Row],[Reorder Level]],"Low Stock","In Stock")</f>
        <v>In Stock</v>
      </c>
      <c r="P1108" t="str">
        <f>TEXT(Inventory_Data[[#This Row],[Date]],"MMM")</f>
        <v>Aug</v>
      </c>
      <c r="Q1108" t="str">
        <f>TEXT(Inventory_Data[[#This Row],[Date]],"YYYY")</f>
        <v>2025</v>
      </c>
    </row>
    <row r="1109" spans="1:17" x14ac:dyDescent="0.3">
      <c r="A1109" s="1">
        <v>45890</v>
      </c>
      <c r="B1109" t="s">
        <v>27</v>
      </c>
      <c r="C1109" t="s">
        <v>28</v>
      </c>
      <c r="D1109" t="s">
        <v>37</v>
      </c>
      <c r="E1109" t="s">
        <v>24</v>
      </c>
      <c r="F1109">
        <v>63</v>
      </c>
      <c r="G1109">
        <v>100</v>
      </c>
      <c r="H1109">
        <v>37</v>
      </c>
      <c r="I1109">
        <v>126</v>
      </c>
      <c r="J1109">
        <v>41</v>
      </c>
      <c r="K1109">
        <v>43611</v>
      </c>
      <c r="L1109">
        <v>5494986</v>
      </c>
      <c r="M1109">
        <f>Inventory_Data[[#This Row],[Opening Stock]]+Inventory_Data[[#This Row],[Purchase Qty]]-Inventory_Data[[#This Row],[Sales Qty]]-Inventory_Data[[#This Row],[Closing Stock]]</f>
        <v>0</v>
      </c>
      <c r="N1109">
        <f>Inventory_Data[[#This Row],[Purchase Qty]]*Inventory_Data[[#This Row],[Unit Cost]]</f>
        <v>4361100</v>
      </c>
      <c r="O1109" t="str">
        <f>IF(Inventory_Data[[#This Row],[Closing Stock]]&lt;=Inventory_Data[[#This Row],[Reorder Level]],"Low Stock","In Stock")</f>
        <v>In Stock</v>
      </c>
      <c r="P1109" t="str">
        <f>TEXT(Inventory_Data[[#This Row],[Date]],"MMM")</f>
        <v>Aug</v>
      </c>
      <c r="Q1109" t="str">
        <f>TEXT(Inventory_Data[[#This Row],[Date]],"YYYY")</f>
        <v>2025</v>
      </c>
    </row>
    <row r="1110" spans="1:17" x14ac:dyDescent="0.3">
      <c r="A1110" s="1">
        <v>45891</v>
      </c>
      <c r="B1110" t="s">
        <v>38</v>
      </c>
      <c r="C1110" t="s">
        <v>17</v>
      </c>
      <c r="D1110" t="s">
        <v>37</v>
      </c>
      <c r="E1110" t="s">
        <v>29</v>
      </c>
      <c r="F1110">
        <v>66</v>
      </c>
      <c r="G1110">
        <v>49</v>
      </c>
      <c r="H1110">
        <v>10</v>
      </c>
      <c r="I1110">
        <v>105</v>
      </c>
      <c r="J1110">
        <v>16</v>
      </c>
      <c r="K1110">
        <v>15610</v>
      </c>
      <c r="L1110">
        <v>1639050</v>
      </c>
      <c r="M1110">
        <f>Inventory_Data[[#This Row],[Opening Stock]]+Inventory_Data[[#This Row],[Purchase Qty]]-Inventory_Data[[#This Row],[Sales Qty]]-Inventory_Data[[#This Row],[Closing Stock]]</f>
        <v>0</v>
      </c>
      <c r="N1110">
        <f>Inventory_Data[[#This Row],[Purchase Qty]]*Inventory_Data[[#This Row],[Unit Cost]]</f>
        <v>764890</v>
      </c>
      <c r="O1110" t="str">
        <f>IF(Inventory_Data[[#This Row],[Closing Stock]]&lt;=Inventory_Data[[#This Row],[Reorder Level]],"Low Stock","In Stock")</f>
        <v>In Stock</v>
      </c>
      <c r="P1110" t="str">
        <f>TEXT(Inventory_Data[[#This Row],[Date]],"MMM")</f>
        <v>Aug</v>
      </c>
      <c r="Q1110" t="str">
        <f>TEXT(Inventory_Data[[#This Row],[Date]],"YYYY")</f>
        <v>2025</v>
      </c>
    </row>
    <row r="1111" spans="1:17" x14ac:dyDescent="0.3">
      <c r="A1111" s="1">
        <v>45891</v>
      </c>
      <c r="B1111" t="s">
        <v>19</v>
      </c>
      <c r="C1111" t="s">
        <v>13</v>
      </c>
      <c r="D1111" t="s">
        <v>23</v>
      </c>
      <c r="E1111" t="s">
        <v>15</v>
      </c>
      <c r="F1111">
        <v>38</v>
      </c>
      <c r="G1111">
        <v>30</v>
      </c>
      <c r="H1111">
        <v>63</v>
      </c>
      <c r="I1111">
        <v>5</v>
      </c>
      <c r="J1111">
        <v>24</v>
      </c>
      <c r="K1111">
        <v>5801</v>
      </c>
      <c r="L1111">
        <v>29005</v>
      </c>
      <c r="M1111">
        <f>Inventory_Data[[#This Row],[Opening Stock]]+Inventory_Data[[#This Row],[Purchase Qty]]-Inventory_Data[[#This Row],[Sales Qty]]-Inventory_Data[[#This Row],[Closing Stock]]</f>
        <v>0</v>
      </c>
      <c r="N1111">
        <f>Inventory_Data[[#This Row],[Purchase Qty]]*Inventory_Data[[#This Row],[Unit Cost]]</f>
        <v>174030</v>
      </c>
      <c r="O1111" t="str">
        <f>IF(Inventory_Data[[#This Row],[Closing Stock]]&lt;=Inventory_Data[[#This Row],[Reorder Level]],"Low Stock","In Stock")</f>
        <v>Low Stock</v>
      </c>
      <c r="P1111" t="str">
        <f>TEXT(Inventory_Data[[#This Row],[Date]],"MMM")</f>
        <v>Aug</v>
      </c>
      <c r="Q1111" t="str">
        <f>TEXT(Inventory_Data[[#This Row],[Date]],"YYYY")</f>
        <v>2025</v>
      </c>
    </row>
    <row r="1112" spans="1:17" x14ac:dyDescent="0.3">
      <c r="A1112" s="1">
        <v>45891</v>
      </c>
      <c r="B1112" t="s">
        <v>36</v>
      </c>
      <c r="C1112" t="s">
        <v>22</v>
      </c>
      <c r="D1112" t="s">
        <v>14</v>
      </c>
      <c r="E1112" t="s">
        <v>34</v>
      </c>
      <c r="F1112">
        <v>417</v>
      </c>
      <c r="G1112">
        <v>212</v>
      </c>
      <c r="H1112">
        <v>241</v>
      </c>
      <c r="I1112">
        <v>388</v>
      </c>
      <c r="J1112">
        <v>144</v>
      </c>
      <c r="K1112">
        <v>510</v>
      </c>
      <c r="L1112">
        <v>197880</v>
      </c>
      <c r="M1112">
        <f>Inventory_Data[[#This Row],[Opening Stock]]+Inventory_Data[[#This Row],[Purchase Qty]]-Inventory_Data[[#This Row],[Sales Qty]]-Inventory_Data[[#This Row],[Closing Stock]]</f>
        <v>0</v>
      </c>
      <c r="N1112">
        <f>Inventory_Data[[#This Row],[Purchase Qty]]*Inventory_Data[[#This Row],[Unit Cost]]</f>
        <v>108120</v>
      </c>
      <c r="O1112" t="str">
        <f>IF(Inventory_Data[[#This Row],[Closing Stock]]&lt;=Inventory_Data[[#This Row],[Reorder Level]],"Low Stock","In Stock")</f>
        <v>In Stock</v>
      </c>
      <c r="P1112" t="str">
        <f>TEXT(Inventory_Data[[#This Row],[Date]],"MMM")</f>
        <v>Aug</v>
      </c>
      <c r="Q1112" t="str">
        <f>TEXT(Inventory_Data[[#This Row],[Date]],"YYYY")</f>
        <v>2025</v>
      </c>
    </row>
    <row r="1113" spans="1:17" x14ac:dyDescent="0.3">
      <c r="A1113" s="1">
        <v>45891</v>
      </c>
      <c r="B1113" t="s">
        <v>25</v>
      </c>
      <c r="C1113" t="s">
        <v>17</v>
      </c>
      <c r="D1113" t="s">
        <v>26</v>
      </c>
      <c r="E1113" t="s">
        <v>29</v>
      </c>
      <c r="F1113">
        <v>58</v>
      </c>
      <c r="G1113">
        <v>5</v>
      </c>
      <c r="H1113">
        <v>15</v>
      </c>
      <c r="I1113">
        <v>48</v>
      </c>
      <c r="J1113">
        <v>11</v>
      </c>
      <c r="K1113">
        <v>3327</v>
      </c>
      <c r="L1113">
        <v>159696</v>
      </c>
      <c r="M1113">
        <f>Inventory_Data[[#This Row],[Opening Stock]]+Inventory_Data[[#This Row],[Purchase Qty]]-Inventory_Data[[#This Row],[Sales Qty]]-Inventory_Data[[#This Row],[Closing Stock]]</f>
        <v>0</v>
      </c>
      <c r="N1113">
        <f>Inventory_Data[[#This Row],[Purchase Qty]]*Inventory_Data[[#This Row],[Unit Cost]]</f>
        <v>16635</v>
      </c>
      <c r="O1113" t="str">
        <f>IF(Inventory_Data[[#This Row],[Closing Stock]]&lt;=Inventory_Data[[#This Row],[Reorder Level]],"Low Stock","In Stock")</f>
        <v>In Stock</v>
      </c>
      <c r="P1113" t="str">
        <f>TEXT(Inventory_Data[[#This Row],[Date]],"MMM")</f>
        <v>Aug</v>
      </c>
      <c r="Q1113" t="str">
        <f>TEXT(Inventory_Data[[#This Row],[Date]],"YYYY")</f>
        <v>2025</v>
      </c>
    </row>
    <row r="1114" spans="1:17" x14ac:dyDescent="0.3">
      <c r="A1114" s="1">
        <v>45891</v>
      </c>
      <c r="B1114" t="s">
        <v>31</v>
      </c>
      <c r="C1114" t="s">
        <v>22</v>
      </c>
      <c r="D1114" t="s">
        <v>14</v>
      </c>
      <c r="E1114" t="s">
        <v>18</v>
      </c>
      <c r="F1114">
        <v>424</v>
      </c>
      <c r="G1114">
        <v>64</v>
      </c>
      <c r="H1114">
        <v>206</v>
      </c>
      <c r="I1114">
        <v>282</v>
      </c>
      <c r="J1114">
        <v>60</v>
      </c>
      <c r="K1114">
        <v>44</v>
      </c>
      <c r="L1114">
        <v>12408</v>
      </c>
      <c r="M1114">
        <f>Inventory_Data[[#This Row],[Opening Stock]]+Inventory_Data[[#This Row],[Purchase Qty]]-Inventory_Data[[#This Row],[Sales Qty]]-Inventory_Data[[#This Row],[Closing Stock]]</f>
        <v>0</v>
      </c>
      <c r="N1114">
        <f>Inventory_Data[[#This Row],[Purchase Qty]]*Inventory_Data[[#This Row],[Unit Cost]]</f>
        <v>2816</v>
      </c>
      <c r="O1114" t="str">
        <f>IF(Inventory_Data[[#This Row],[Closing Stock]]&lt;=Inventory_Data[[#This Row],[Reorder Level]],"Low Stock","In Stock")</f>
        <v>In Stock</v>
      </c>
      <c r="P1114" t="str">
        <f>TEXT(Inventory_Data[[#This Row],[Date]],"MMM")</f>
        <v>Aug</v>
      </c>
      <c r="Q1114" t="str">
        <f>TEXT(Inventory_Data[[#This Row],[Date]],"YYYY")</f>
        <v>2025</v>
      </c>
    </row>
    <row r="1115" spans="1:17" x14ac:dyDescent="0.3">
      <c r="A1115" s="1">
        <v>45891</v>
      </c>
      <c r="B1115" t="s">
        <v>45</v>
      </c>
      <c r="C1115" t="s">
        <v>13</v>
      </c>
      <c r="D1115" t="s">
        <v>23</v>
      </c>
      <c r="E1115" t="s">
        <v>20</v>
      </c>
      <c r="F1115">
        <v>95</v>
      </c>
      <c r="G1115">
        <v>61</v>
      </c>
      <c r="H1115">
        <v>10</v>
      </c>
      <c r="I1115">
        <v>146</v>
      </c>
      <c r="J1115">
        <v>35</v>
      </c>
      <c r="K1115">
        <v>1930</v>
      </c>
      <c r="L1115">
        <v>281780</v>
      </c>
      <c r="M1115">
        <f>Inventory_Data[[#This Row],[Opening Stock]]+Inventory_Data[[#This Row],[Purchase Qty]]-Inventory_Data[[#This Row],[Sales Qty]]-Inventory_Data[[#This Row],[Closing Stock]]</f>
        <v>0</v>
      </c>
      <c r="N1115">
        <f>Inventory_Data[[#This Row],[Purchase Qty]]*Inventory_Data[[#This Row],[Unit Cost]]</f>
        <v>117730</v>
      </c>
      <c r="O1115" t="str">
        <f>IF(Inventory_Data[[#This Row],[Closing Stock]]&lt;=Inventory_Data[[#This Row],[Reorder Level]],"Low Stock","In Stock")</f>
        <v>In Stock</v>
      </c>
      <c r="P1115" t="str">
        <f>TEXT(Inventory_Data[[#This Row],[Date]],"MMM")</f>
        <v>Aug</v>
      </c>
      <c r="Q1115" t="str">
        <f>TEXT(Inventory_Data[[#This Row],[Date]],"YYYY")</f>
        <v>2025</v>
      </c>
    </row>
    <row r="1116" spans="1:17" x14ac:dyDescent="0.3">
      <c r="A1116" s="1">
        <v>45892</v>
      </c>
      <c r="B1116" t="s">
        <v>44</v>
      </c>
      <c r="C1116" t="s">
        <v>28</v>
      </c>
      <c r="D1116" t="s">
        <v>37</v>
      </c>
      <c r="E1116" t="s">
        <v>20</v>
      </c>
      <c r="F1116">
        <v>126</v>
      </c>
      <c r="G1116">
        <v>72</v>
      </c>
      <c r="H1116">
        <v>22</v>
      </c>
      <c r="I1116">
        <v>176</v>
      </c>
      <c r="J1116">
        <v>53</v>
      </c>
      <c r="K1116">
        <v>55984</v>
      </c>
      <c r="L1116">
        <v>9853184</v>
      </c>
      <c r="M1116">
        <f>Inventory_Data[[#This Row],[Opening Stock]]+Inventory_Data[[#This Row],[Purchase Qty]]-Inventory_Data[[#This Row],[Sales Qty]]-Inventory_Data[[#This Row],[Closing Stock]]</f>
        <v>0</v>
      </c>
      <c r="N1116">
        <f>Inventory_Data[[#This Row],[Purchase Qty]]*Inventory_Data[[#This Row],[Unit Cost]]</f>
        <v>4030848</v>
      </c>
      <c r="O1116" t="str">
        <f>IF(Inventory_Data[[#This Row],[Closing Stock]]&lt;=Inventory_Data[[#This Row],[Reorder Level]],"Low Stock","In Stock")</f>
        <v>In Stock</v>
      </c>
      <c r="P1116" t="str">
        <f>TEXT(Inventory_Data[[#This Row],[Date]],"MMM")</f>
        <v>Aug</v>
      </c>
      <c r="Q1116" t="str">
        <f>TEXT(Inventory_Data[[#This Row],[Date]],"YYYY")</f>
        <v>2025</v>
      </c>
    </row>
    <row r="1117" spans="1:17" x14ac:dyDescent="0.3">
      <c r="A1117" s="1">
        <v>45892</v>
      </c>
      <c r="B1117" t="s">
        <v>36</v>
      </c>
      <c r="C1117" t="s">
        <v>22</v>
      </c>
      <c r="D1117" t="s">
        <v>23</v>
      </c>
      <c r="E1117" t="s">
        <v>29</v>
      </c>
      <c r="F1117">
        <v>394</v>
      </c>
      <c r="G1117">
        <v>51</v>
      </c>
      <c r="H1117">
        <v>278</v>
      </c>
      <c r="I1117">
        <v>167</v>
      </c>
      <c r="J1117">
        <v>78</v>
      </c>
      <c r="K1117">
        <v>789</v>
      </c>
      <c r="L1117">
        <v>131763</v>
      </c>
      <c r="M1117">
        <f>Inventory_Data[[#This Row],[Opening Stock]]+Inventory_Data[[#This Row],[Purchase Qty]]-Inventory_Data[[#This Row],[Sales Qty]]-Inventory_Data[[#This Row],[Closing Stock]]</f>
        <v>0</v>
      </c>
      <c r="N1117">
        <f>Inventory_Data[[#This Row],[Purchase Qty]]*Inventory_Data[[#This Row],[Unit Cost]]</f>
        <v>40239</v>
      </c>
      <c r="O1117" t="str">
        <f>IF(Inventory_Data[[#This Row],[Closing Stock]]&lt;=Inventory_Data[[#This Row],[Reorder Level]],"Low Stock","In Stock")</f>
        <v>In Stock</v>
      </c>
      <c r="P1117" t="str">
        <f>TEXT(Inventory_Data[[#This Row],[Date]],"MMM")</f>
        <v>Aug</v>
      </c>
      <c r="Q1117" t="str">
        <f>TEXT(Inventory_Data[[#This Row],[Date]],"YYYY")</f>
        <v>2025</v>
      </c>
    </row>
    <row r="1118" spans="1:17" x14ac:dyDescent="0.3">
      <c r="A1118" s="1">
        <v>45892</v>
      </c>
      <c r="B1118" t="s">
        <v>25</v>
      </c>
      <c r="C1118" t="s">
        <v>17</v>
      </c>
      <c r="D1118" t="s">
        <v>26</v>
      </c>
      <c r="E1118" t="s">
        <v>15</v>
      </c>
      <c r="F1118">
        <v>31</v>
      </c>
      <c r="G1118">
        <v>7</v>
      </c>
      <c r="H1118">
        <v>16</v>
      </c>
      <c r="I1118">
        <v>22</v>
      </c>
      <c r="J1118">
        <v>24</v>
      </c>
      <c r="K1118">
        <v>3134</v>
      </c>
      <c r="L1118">
        <v>68948</v>
      </c>
      <c r="M1118">
        <f>Inventory_Data[[#This Row],[Opening Stock]]+Inventory_Data[[#This Row],[Purchase Qty]]-Inventory_Data[[#This Row],[Sales Qty]]-Inventory_Data[[#This Row],[Closing Stock]]</f>
        <v>0</v>
      </c>
      <c r="N1118">
        <f>Inventory_Data[[#This Row],[Purchase Qty]]*Inventory_Data[[#This Row],[Unit Cost]]</f>
        <v>21938</v>
      </c>
      <c r="O1118" t="str">
        <f>IF(Inventory_Data[[#This Row],[Closing Stock]]&lt;=Inventory_Data[[#This Row],[Reorder Level]],"Low Stock","In Stock")</f>
        <v>Low Stock</v>
      </c>
      <c r="P1118" t="str">
        <f>TEXT(Inventory_Data[[#This Row],[Date]],"MMM")</f>
        <v>Aug</v>
      </c>
      <c r="Q1118" t="str">
        <f>TEXT(Inventory_Data[[#This Row],[Date]],"YYYY")</f>
        <v>2025</v>
      </c>
    </row>
    <row r="1119" spans="1:17" x14ac:dyDescent="0.3">
      <c r="A1119" s="1">
        <v>45892</v>
      </c>
      <c r="B1119" t="s">
        <v>41</v>
      </c>
      <c r="C1119" t="s">
        <v>22</v>
      </c>
      <c r="D1119" t="s">
        <v>23</v>
      </c>
      <c r="E1119" t="s">
        <v>18</v>
      </c>
      <c r="F1119">
        <v>395</v>
      </c>
      <c r="G1119">
        <v>228</v>
      </c>
      <c r="H1119">
        <v>42</v>
      </c>
      <c r="I1119">
        <v>581</v>
      </c>
      <c r="J1119">
        <v>138</v>
      </c>
      <c r="K1119">
        <v>427</v>
      </c>
      <c r="L1119">
        <v>248087</v>
      </c>
      <c r="M1119">
        <f>Inventory_Data[[#This Row],[Opening Stock]]+Inventory_Data[[#This Row],[Purchase Qty]]-Inventory_Data[[#This Row],[Sales Qty]]-Inventory_Data[[#This Row],[Closing Stock]]</f>
        <v>0</v>
      </c>
      <c r="N1119">
        <f>Inventory_Data[[#This Row],[Purchase Qty]]*Inventory_Data[[#This Row],[Unit Cost]]</f>
        <v>97356</v>
      </c>
      <c r="O1119" t="str">
        <f>IF(Inventory_Data[[#This Row],[Closing Stock]]&lt;=Inventory_Data[[#This Row],[Reorder Level]],"Low Stock","In Stock")</f>
        <v>In Stock</v>
      </c>
      <c r="P1119" t="str">
        <f>TEXT(Inventory_Data[[#This Row],[Date]],"MMM")</f>
        <v>Aug</v>
      </c>
      <c r="Q1119" t="str">
        <f>TEXT(Inventory_Data[[#This Row],[Date]],"YYYY")</f>
        <v>2025</v>
      </c>
    </row>
    <row r="1120" spans="1:17" x14ac:dyDescent="0.3">
      <c r="A1120" s="1">
        <v>45892</v>
      </c>
      <c r="B1120" t="s">
        <v>41</v>
      </c>
      <c r="C1120" t="s">
        <v>22</v>
      </c>
      <c r="D1120" t="s">
        <v>23</v>
      </c>
      <c r="E1120" t="s">
        <v>29</v>
      </c>
      <c r="F1120">
        <v>90</v>
      </c>
      <c r="G1120">
        <v>210</v>
      </c>
      <c r="H1120">
        <v>166</v>
      </c>
      <c r="I1120">
        <v>134</v>
      </c>
      <c r="J1120">
        <v>138</v>
      </c>
      <c r="K1120">
        <v>590</v>
      </c>
      <c r="L1120">
        <v>79060</v>
      </c>
      <c r="M1120">
        <f>Inventory_Data[[#This Row],[Opening Stock]]+Inventory_Data[[#This Row],[Purchase Qty]]-Inventory_Data[[#This Row],[Sales Qty]]-Inventory_Data[[#This Row],[Closing Stock]]</f>
        <v>0</v>
      </c>
      <c r="N1120">
        <f>Inventory_Data[[#This Row],[Purchase Qty]]*Inventory_Data[[#This Row],[Unit Cost]]</f>
        <v>123900</v>
      </c>
      <c r="O1120" t="str">
        <f>IF(Inventory_Data[[#This Row],[Closing Stock]]&lt;=Inventory_Data[[#This Row],[Reorder Level]],"Low Stock","In Stock")</f>
        <v>Low Stock</v>
      </c>
      <c r="P1120" t="str">
        <f>TEXT(Inventory_Data[[#This Row],[Date]],"MMM")</f>
        <v>Aug</v>
      </c>
      <c r="Q1120" t="str">
        <f>TEXT(Inventory_Data[[#This Row],[Date]],"YYYY")</f>
        <v>2025</v>
      </c>
    </row>
    <row r="1121" spans="1:17" x14ac:dyDescent="0.3">
      <c r="A1121" s="1">
        <v>45892</v>
      </c>
      <c r="B1121" t="s">
        <v>25</v>
      </c>
      <c r="C1121" t="s">
        <v>17</v>
      </c>
      <c r="D1121" t="s">
        <v>37</v>
      </c>
      <c r="E1121" t="s">
        <v>20</v>
      </c>
      <c r="F1121">
        <v>22</v>
      </c>
      <c r="G1121">
        <v>41</v>
      </c>
      <c r="H1121">
        <v>34</v>
      </c>
      <c r="I1121">
        <v>29</v>
      </c>
      <c r="J1121">
        <v>21</v>
      </c>
      <c r="K1121">
        <v>21491</v>
      </c>
      <c r="L1121">
        <v>623239</v>
      </c>
      <c r="M1121">
        <f>Inventory_Data[[#This Row],[Opening Stock]]+Inventory_Data[[#This Row],[Purchase Qty]]-Inventory_Data[[#This Row],[Sales Qty]]-Inventory_Data[[#This Row],[Closing Stock]]</f>
        <v>0</v>
      </c>
      <c r="N1121">
        <f>Inventory_Data[[#This Row],[Purchase Qty]]*Inventory_Data[[#This Row],[Unit Cost]]</f>
        <v>881131</v>
      </c>
      <c r="O1121" t="str">
        <f>IF(Inventory_Data[[#This Row],[Closing Stock]]&lt;=Inventory_Data[[#This Row],[Reorder Level]],"Low Stock","In Stock")</f>
        <v>In Stock</v>
      </c>
      <c r="P1121" t="str">
        <f>TEXT(Inventory_Data[[#This Row],[Date]],"MMM")</f>
        <v>Aug</v>
      </c>
      <c r="Q1121" t="str">
        <f>TEXT(Inventory_Data[[#This Row],[Date]],"YYYY")</f>
        <v>2025</v>
      </c>
    </row>
    <row r="1122" spans="1:17" x14ac:dyDescent="0.3">
      <c r="A1122" s="1">
        <v>45893</v>
      </c>
      <c r="B1122" t="s">
        <v>42</v>
      </c>
      <c r="C1122" t="s">
        <v>17</v>
      </c>
      <c r="D1122" t="s">
        <v>14</v>
      </c>
      <c r="E1122" t="s">
        <v>20</v>
      </c>
      <c r="F1122">
        <v>43</v>
      </c>
      <c r="G1122">
        <v>46</v>
      </c>
      <c r="H1122">
        <v>21</v>
      </c>
      <c r="I1122">
        <v>68</v>
      </c>
      <c r="J1122">
        <v>13</v>
      </c>
      <c r="K1122">
        <v>21308</v>
      </c>
      <c r="L1122">
        <v>1448944</v>
      </c>
      <c r="M1122">
        <f>Inventory_Data[[#This Row],[Opening Stock]]+Inventory_Data[[#This Row],[Purchase Qty]]-Inventory_Data[[#This Row],[Sales Qty]]-Inventory_Data[[#This Row],[Closing Stock]]</f>
        <v>0</v>
      </c>
      <c r="N1122">
        <f>Inventory_Data[[#This Row],[Purchase Qty]]*Inventory_Data[[#This Row],[Unit Cost]]</f>
        <v>980168</v>
      </c>
      <c r="O1122" t="str">
        <f>IF(Inventory_Data[[#This Row],[Closing Stock]]&lt;=Inventory_Data[[#This Row],[Reorder Level]],"Low Stock","In Stock")</f>
        <v>In Stock</v>
      </c>
      <c r="P1122" t="str">
        <f>TEXT(Inventory_Data[[#This Row],[Date]],"MMM")</f>
        <v>Aug</v>
      </c>
      <c r="Q1122" t="str">
        <f>TEXT(Inventory_Data[[#This Row],[Date]],"YYYY")</f>
        <v>2025</v>
      </c>
    </row>
    <row r="1123" spans="1:17" x14ac:dyDescent="0.3">
      <c r="A1123" s="1">
        <v>45893</v>
      </c>
      <c r="B1123" t="s">
        <v>31</v>
      </c>
      <c r="C1123" t="s">
        <v>22</v>
      </c>
      <c r="D1123" t="s">
        <v>23</v>
      </c>
      <c r="E1123" t="s">
        <v>18</v>
      </c>
      <c r="F1123">
        <v>177</v>
      </c>
      <c r="G1123">
        <v>229</v>
      </c>
      <c r="H1123">
        <v>40</v>
      </c>
      <c r="I1123">
        <v>366</v>
      </c>
      <c r="J1123">
        <v>70</v>
      </c>
      <c r="K1123">
        <v>511</v>
      </c>
      <c r="L1123">
        <v>187026</v>
      </c>
      <c r="M1123">
        <f>Inventory_Data[[#This Row],[Opening Stock]]+Inventory_Data[[#This Row],[Purchase Qty]]-Inventory_Data[[#This Row],[Sales Qty]]-Inventory_Data[[#This Row],[Closing Stock]]</f>
        <v>0</v>
      </c>
      <c r="N1123">
        <f>Inventory_Data[[#This Row],[Purchase Qty]]*Inventory_Data[[#This Row],[Unit Cost]]</f>
        <v>117019</v>
      </c>
      <c r="O1123" t="str">
        <f>IF(Inventory_Data[[#This Row],[Closing Stock]]&lt;=Inventory_Data[[#This Row],[Reorder Level]],"Low Stock","In Stock")</f>
        <v>In Stock</v>
      </c>
      <c r="P1123" t="str">
        <f>TEXT(Inventory_Data[[#This Row],[Date]],"MMM")</f>
        <v>Aug</v>
      </c>
      <c r="Q1123" t="str">
        <f>TEXT(Inventory_Data[[#This Row],[Date]],"YYYY")</f>
        <v>2025</v>
      </c>
    </row>
    <row r="1124" spans="1:17" x14ac:dyDescent="0.3">
      <c r="A1124" s="1">
        <v>45893</v>
      </c>
      <c r="B1124" t="s">
        <v>42</v>
      </c>
      <c r="C1124" t="s">
        <v>17</v>
      </c>
      <c r="D1124" t="s">
        <v>26</v>
      </c>
      <c r="E1124" t="s">
        <v>34</v>
      </c>
      <c r="F1124">
        <v>24</v>
      </c>
      <c r="G1124">
        <v>16</v>
      </c>
      <c r="H1124">
        <v>30</v>
      </c>
      <c r="I1124">
        <v>10</v>
      </c>
      <c r="J1124">
        <v>16</v>
      </c>
      <c r="K1124">
        <v>8755</v>
      </c>
      <c r="L1124">
        <v>87550</v>
      </c>
      <c r="M1124">
        <f>Inventory_Data[[#This Row],[Opening Stock]]+Inventory_Data[[#This Row],[Purchase Qty]]-Inventory_Data[[#This Row],[Sales Qty]]-Inventory_Data[[#This Row],[Closing Stock]]</f>
        <v>0</v>
      </c>
      <c r="N1124">
        <f>Inventory_Data[[#This Row],[Purchase Qty]]*Inventory_Data[[#This Row],[Unit Cost]]</f>
        <v>140080</v>
      </c>
      <c r="O1124" t="str">
        <f>IF(Inventory_Data[[#This Row],[Closing Stock]]&lt;=Inventory_Data[[#This Row],[Reorder Level]],"Low Stock","In Stock")</f>
        <v>Low Stock</v>
      </c>
      <c r="P1124" t="str">
        <f>TEXT(Inventory_Data[[#This Row],[Date]],"MMM")</f>
        <v>Aug</v>
      </c>
      <c r="Q1124" t="str">
        <f>TEXT(Inventory_Data[[#This Row],[Date]],"YYYY")</f>
        <v>2025</v>
      </c>
    </row>
    <row r="1125" spans="1:17" x14ac:dyDescent="0.3">
      <c r="A1125" s="1">
        <v>45893</v>
      </c>
      <c r="B1125" t="s">
        <v>44</v>
      </c>
      <c r="C1125" t="s">
        <v>28</v>
      </c>
      <c r="D1125" t="s">
        <v>26</v>
      </c>
      <c r="E1125" t="s">
        <v>34</v>
      </c>
      <c r="F1125">
        <v>120</v>
      </c>
      <c r="G1125">
        <v>69</v>
      </c>
      <c r="H1125">
        <v>10</v>
      </c>
      <c r="I1125">
        <v>179</v>
      </c>
      <c r="J1125">
        <v>59</v>
      </c>
      <c r="K1125">
        <v>51211</v>
      </c>
      <c r="L1125">
        <v>9166769</v>
      </c>
      <c r="M1125">
        <f>Inventory_Data[[#This Row],[Opening Stock]]+Inventory_Data[[#This Row],[Purchase Qty]]-Inventory_Data[[#This Row],[Sales Qty]]-Inventory_Data[[#This Row],[Closing Stock]]</f>
        <v>0</v>
      </c>
      <c r="N1125">
        <f>Inventory_Data[[#This Row],[Purchase Qty]]*Inventory_Data[[#This Row],[Unit Cost]]</f>
        <v>3533559</v>
      </c>
      <c r="O1125" t="str">
        <f>IF(Inventory_Data[[#This Row],[Closing Stock]]&lt;=Inventory_Data[[#This Row],[Reorder Level]],"Low Stock","In Stock")</f>
        <v>In Stock</v>
      </c>
      <c r="P1125" t="str">
        <f>TEXT(Inventory_Data[[#This Row],[Date]],"MMM")</f>
        <v>Aug</v>
      </c>
      <c r="Q1125" t="str">
        <f>TEXT(Inventory_Data[[#This Row],[Date]],"YYYY")</f>
        <v>2025</v>
      </c>
    </row>
    <row r="1126" spans="1:17" x14ac:dyDescent="0.3">
      <c r="A1126" s="1">
        <v>45893</v>
      </c>
      <c r="B1126" t="s">
        <v>31</v>
      </c>
      <c r="C1126" t="s">
        <v>22</v>
      </c>
      <c r="D1126" t="s">
        <v>37</v>
      </c>
      <c r="E1126" t="s">
        <v>18</v>
      </c>
      <c r="F1126">
        <v>389</v>
      </c>
      <c r="G1126">
        <v>257</v>
      </c>
      <c r="H1126">
        <v>18</v>
      </c>
      <c r="I1126">
        <v>628</v>
      </c>
      <c r="J1126">
        <v>109</v>
      </c>
      <c r="K1126">
        <v>1036</v>
      </c>
      <c r="L1126">
        <v>650608</v>
      </c>
      <c r="M1126">
        <f>Inventory_Data[[#This Row],[Opening Stock]]+Inventory_Data[[#This Row],[Purchase Qty]]-Inventory_Data[[#This Row],[Sales Qty]]-Inventory_Data[[#This Row],[Closing Stock]]</f>
        <v>0</v>
      </c>
      <c r="N1126">
        <f>Inventory_Data[[#This Row],[Purchase Qty]]*Inventory_Data[[#This Row],[Unit Cost]]</f>
        <v>266252</v>
      </c>
      <c r="O1126" t="str">
        <f>IF(Inventory_Data[[#This Row],[Closing Stock]]&lt;=Inventory_Data[[#This Row],[Reorder Level]],"Low Stock","In Stock")</f>
        <v>In Stock</v>
      </c>
      <c r="P1126" t="str">
        <f>TEXT(Inventory_Data[[#This Row],[Date]],"MMM")</f>
        <v>Aug</v>
      </c>
      <c r="Q1126" t="str">
        <f>TEXT(Inventory_Data[[#This Row],[Date]],"YYYY")</f>
        <v>2025</v>
      </c>
    </row>
    <row r="1127" spans="1:17" x14ac:dyDescent="0.3">
      <c r="A1127" s="1">
        <v>45894</v>
      </c>
      <c r="B1127" t="s">
        <v>40</v>
      </c>
      <c r="C1127" t="s">
        <v>28</v>
      </c>
      <c r="D1127" t="s">
        <v>14</v>
      </c>
      <c r="E1127" t="s">
        <v>15</v>
      </c>
      <c r="F1127">
        <v>151</v>
      </c>
      <c r="G1127">
        <v>83</v>
      </c>
      <c r="H1127">
        <v>69</v>
      </c>
      <c r="I1127">
        <v>165</v>
      </c>
      <c r="J1127">
        <v>59</v>
      </c>
      <c r="K1127">
        <v>49396</v>
      </c>
      <c r="L1127">
        <v>8150340</v>
      </c>
      <c r="M1127">
        <f>Inventory_Data[[#This Row],[Opening Stock]]+Inventory_Data[[#This Row],[Purchase Qty]]-Inventory_Data[[#This Row],[Sales Qty]]-Inventory_Data[[#This Row],[Closing Stock]]</f>
        <v>0</v>
      </c>
      <c r="N1127">
        <f>Inventory_Data[[#This Row],[Purchase Qty]]*Inventory_Data[[#This Row],[Unit Cost]]</f>
        <v>4099868</v>
      </c>
      <c r="O1127" t="str">
        <f>IF(Inventory_Data[[#This Row],[Closing Stock]]&lt;=Inventory_Data[[#This Row],[Reorder Level]],"Low Stock","In Stock")</f>
        <v>In Stock</v>
      </c>
      <c r="P1127" t="str">
        <f>TEXT(Inventory_Data[[#This Row],[Date]],"MMM")</f>
        <v>Aug</v>
      </c>
      <c r="Q1127" t="str">
        <f>TEXT(Inventory_Data[[#This Row],[Date]],"YYYY")</f>
        <v>2025</v>
      </c>
    </row>
    <row r="1128" spans="1:17" x14ac:dyDescent="0.3">
      <c r="A1128" s="1">
        <v>45894</v>
      </c>
      <c r="B1128" t="s">
        <v>32</v>
      </c>
      <c r="C1128" t="s">
        <v>28</v>
      </c>
      <c r="D1128" t="s">
        <v>23</v>
      </c>
      <c r="E1128" t="s">
        <v>24</v>
      </c>
      <c r="F1128">
        <v>121</v>
      </c>
      <c r="G1128">
        <v>102</v>
      </c>
      <c r="H1128">
        <v>73</v>
      </c>
      <c r="I1128">
        <v>150</v>
      </c>
      <c r="J1128">
        <v>21</v>
      </c>
      <c r="K1128">
        <v>17768</v>
      </c>
      <c r="L1128">
        <v>2665200</v>
      </c>
      <c r="M1128">
        <f>Inventory_Data[[#This Row],[Opening Stock]]+Inventory_Data[[#This Row],[Purchase Qty]]-Inventory_Data[[#This Row],[Sales Qty]]-Inventory_Data[[#This Row],[Closing Stock]]</f>
        <v>0</v>
      </c>
      <c r="N1128">
        <f>Inventory_Data[[#This Row],[Purchase Qty]]*Inventory_Data[[#This Row],[Unit Cost]]</f>
        <v>1812336</v>
      </c>
      <c r="O1128" t="str">
        <f>IF(Inventory_Data[[#This Row],[Closing Stock]]&lt;=Inventory_Data[[#This Row],[Reorder Level]],"Low Stock","In Stock")</f>
        <v>In Stock</v>
      </c>
      <c r="P1128" t="str">
        <f>TEXT(Inventory_Data[[#This Row],[Date]],"MMM")</f>
        <v>Aug</v>
      </c>
      <c r="Q1128" t="str">
        <f>TEXT(Inventory_Data[[#This Row],[Date]],"YYYY")</f>
        <v>2025</v>
      </c>
    </row>
    <row r="1129" spans="1:17" x14ac:dyDescent="0.3">
      <c r="A1129" s="1">
        <v>45894</v>
      </c>
      <c r="B1129" t="s">
        <v>42</v>
      </c>
      <c r="C1129" t="s">
        <v>17</v>
      </c>
      <c r="D1129" t="s">
        <v>14</v>
      </c>
      <c r="E1129" t="s">
        <v>34</v>
      </c>
      <c r="F1129">
        <v>14</v>
      </c>
      <c r="G1129">
        <v>33</v>
      </c>
      <c r="H1129">
        <v>23</v>
      </c>
      <c r="I1129">
        <v>24</v>
      </c>
      <c r="J1129">
        <v>12</v>
      </c>
      <c r="K1129">
        <v>19084</v>
      </c>
      <c r="L1129">
        <v>458016</v>
      </c>
      <c r="M1129">
        <f>Inventory_Data[[#This Row],[Opening Stock]]+Inventory_Data[[#This Row],[Purchase Qty]]-Inventory_Data[[#This Row],[Sales Qty]]-Inventory_Data[[#This Row],[Closing Stock]]</f>
        <v>0</v>
      </c>
      <c r="N1129">
        <f>Inventory_Data[[#This Row],[Purchase Qty]]*Inventory_Data[[#This Row],[Unit Cost]]</f>
        <v>629772</v>
      </c>
      <c r="O1129" t="str">
        <f>IF(Inventory_Data[[#This Row],[Closing Stock]]&lt;=Inventory_Data[[#This Row],[Reorder Level]],"Low Stock","In Stock")</f>
        <v>In Stock</v>
      </c>
      <c r="P1129" t="str">
        <f>TEXT(Inventory_Data[[#This Row],[Date]],"MMM")</f>
        <v>Aug</v>
      </c>
      <c r="Q1129" t="str">
        <f>TEXT(Inventory_Data[[#This Row],[Date]],"YYYY")</f>
        <v>2025</v>
      </c>
    </row>
    <row r="1130" spans="1:17" x14ac:dyDescent="0.3">
      <c r="A1130" s="1">
        <v>45894</v>
      </c>
      <c r="B1130" t="s">
        <v>38</v>
      </c>
      <c r="C1130" t="s">
        <v>17</v>
      </c>
      <c r="D1130" t="s">
        <v>23</v>
      </c>
      <c r="E1130" t="s">
        <v>34</v>
      </c>
      <c r="F1130">
        <v>21</v>
      </c>
      <c r="G1130">
        <v>19</v>
      </c>
      <c r="H1130">
        <v>33</v>
      </c>
      <c r="I1130">
        <v>7</v>
      </c>
      <c r="J1130">
        <v>28</v>
      </c>
      <c r="K1130">
        <v>9339</v>
      </c>
      <c r="L1130">
        <v>65373</v>
      </c>
      <c r="M1130">
        <f>Inventory_Data[[#This Row],[Opening Stock]]+Inventory_Data[[#This Row],[Purchase Qty]]-Inventory_Data[[#This Row],[Sales Qty]]-Inventory_Data[[#This Row],[Closing Stock]]</f>
        <v>0</v>
      </c>
      <c r="N1130">
        <f>Inventory_Data[[#This Row],[Purchase Qty]]*Inventory_Data[[#This Row],[Unit Cost]]</f>
        <v>177441</v>
      </c>
      <c r="O1130" t="str">
        <f>IF(Inventory_Data[[#This Row],[Closing Stock]]&lt;=Inventory_Data[[#This Row],[Reorder Level]],"Low Stock","In Stock")</f>
        <v>Low Stock</v>
      </c>
      <c r="P1130" t="str">
        <f>TEXT(Inventory_Data[[#This Row],[Date]],"MMM")</f>
        <v>Aug</v>
      </c>
      <c r="Q1130" t="str">
        <f>TEXT(Inventory_Data[[#This Row],[Date]],"YYYY")</f>
        <v>2025</v>
      </c>
    </row>
    <row r="1131" spans="1:17" x14ac:dyDescent="0.3">
      <c r="A1131" s="1">
        <v>45895</v>
      </c>
      <c r="B1131" t="s">
        <v>31</v>
      </c>
      <c r="C1131" t="s">
        <v>22</v>
      </c>
      <c r="D1131" t="s">
        <v>23</v>
      </c>
      <c r="E1131" t="s">
        <v>18</v>
      </c>
      <c r="F1131">
        <v>59</v>
      </c>
      <c r="G1131">
        <v>181</v>
      </c>
      <c r="H1131">
        <v>70</v>
      </c>
      <c r="I1131">
        <v>170</v>
      </c>
      <c r="J1131">
        <v>66</v>
      </c>
      <c r="K1131">
        <v>668</v>
      </c>
      <c r="L1131">
        <v>113560</v>
      </c>
      <c r="M1131">
        <f>Inventory_Data[[#This Row],[Opening Stock]]+Inventory_Data[[#This Row],[Purchase Qty]]-Inventory_Data[[#This Row],[Sales Qty]]-Inventory_Data[[#This Row],[Closing Stock]]</f>
        <v>0</v>
      </c>
      <c r="N1131">
        <f>Inventory_Data[[#This Row],[Purchase Qty]]*Inventory_Data[[#This Row],[Unit Cost]]</f>
        <v>120908</v>
      </c>
      <c r="O1131" t="str">
        <f>IF(Inventory_Data[[#This Row],[Closing Stock]]&lt;=Inventory_Data[[#This Row],[Reorder Level]],"Low Stock","In Stock")</f>
        <v>In Stock</v>
      </c>
      <c r="P1131" t="str">
        <f>TEXT(Inventory_Data[[#This Row],[Date]],"MMM")</f>
        <v>Aug</v>
      </c>
      <c r="Q1131" t="str">
        <f>TEXT(Inventory_Data[[#This Row],[Date]],"YYYY")</f>
        <v>2025</v>
      </c>
    </row>
    <row r="1132" spans="1:17" x14ac:dyDescent="0.3">
      <c r="A1132" s="1">
        <v>45895</v>
      </c>
      <c r="B1132" t="s">
        <v>31</v>
      </c>
      <c r="C1132" t="s">
        <v>22</v>
      </c>
      <c r="D1132" t="s">
        <v>26</v>
      </c>
      <c r="E1132" t="s">
        <v>29</v>
      </c>
      <c r="F1132">
        <v>71</v>
      </c>
      <c r="G1132">
        <v>209</v>
      </c>
      <c r="H1132">
        <v>56</v>
      </c>
      <c r="I1132">
        <v>224</v>
      </c>
      <c r="J1132">
        <v>145</v>
      </c>
      <c r="K1132">
        <v>810</v>
      </c>
      <c r="L1132">
        <v>181440</v>
      </c>
      <c r="M1132">
        <f>Inventory_Data[[#This Row],[Opening Stock]]+Inventory_Data[[#This Row],[Purchase Qty]]-Inventory_Data[[#This Row],[Sales Qty]]-Inventory_Data[[#This Row],[Closing Stock]]</f>
        <v>0</v>
      </c>
      <c r="N1132">
        <f>Inventory_Data[[#This Row],[Purchase Qty]]*Inventory_Data[[#This Row],[Unit Cost]]</f>
        <v>169290</v>
      </c>
      <c r="O1132" t="str">
        <f>IF(Inventory_Data[[#This Row],[Closing Stock]]&lt;=Inventory_Data[[#This Row],[Reorder Level]],"Low Stock","In Stock")</f>
        <v>In Stock</v>
      </c>
      <c r="P1132" t="str">
        <f>TEXT(Inventory_Data[[#This Row],[Date]],"MMM")</f>
        <v>Aug</v>
      </c>
      <c r="Q1132" t="str">
        <f>TEXT(Inventory_Data[[#This Row],[Date]],"YYYY")</f>
        <v>2025</v>
      </c>
    </row>
    <row r="1133" spans="1:17" x14ac:dyDescent="0.3">
      <c r="A1133" s="1">
        <v>45895</v>
      </c>
      <c r="B1133" t="s">
        <v>38</v>
      </c>
      <c r="C1133" t="s">
        <v>17</v>
      </c>
      <c r="D1133" t="s">
        <v>37</v>
      </c>
      <c r="E1133" t="s">
        <v>24</v>
      </c>
      <c r="F1133">
        <v>82</v>
      </c>
      <c r="G1133">
        <v>9</v>
      </c>
      <c r="H1133">
        <v>5</v>
      </c>
      <c r="I1133">
        <v>86</v>
      </c>
      <c r="J1133">
        <v>10</v>
      </c>
      <c r="K1133">
        <v>19783</v>
      </c>
      <c r="L1133">
        <v>1701338</v>
      </c>
      <c r="M1133">
        <f>Inventory_Data[[#This Row],[Opening Stock]]+Inventory_Data[[#This Row],[Purchase Qty]]-Inventory_Data[[#This Row],[Sales Qty]]-Inventory_Data[[#This Row],[Closing Stock]]</f>
        <v>0</v>
      </c>
      <c r="N1133">
        <f>Inventory_Data[[#This Row],[Purchase Qty]]*Inventory_Data[[#This Row],[Unit Cost]]</f>
        <v>178047</v>
      </c>
      <c r="O1133" t="str">
        <f>IF(Inventory_Data[[#This Row],[Closing Stock]]&lt;=Inventory_Data[[#This Row],[Reorder Level]],"Low Stock","In Stock")</f>
        <v>In Stock</v>
      </c>
      <c r="P1133" t="str">
        <f>TEXT(Inventory_Data[[#This Row],[Date]],"MMM")</f>
        <v>Aug</v>
      </c>
      <c r="Q1133" t="str">
        <f>TEXT(Inventory_Data[[#This Row],[Date]],"YYYY")</f>
        <v>2025</v>
      </c>
    </row>
    <row r="1134" spans="1:17" x14ac:dyDescent="0.3">
      <c r="A1134" s="1">
        <v>45896</v>
      </c>
      <c r="B1134" t="s">
        <v>25</v>
      </c>
      <c r="C1134" t="s">
        <v>17</v>
      </c>
      <c r="D1134" t="s">
        <v>26</v>
      </c>
      <c r="E1134" t="s">
        <v>34</v>
      </c>
      <c r="F1134">
        <v>57</v>
      </c>
      <c r="G1134">
        <v>34</v>
      </c>
      <c r="H1134">
        <v>8</v>
      </c>
      <c r="I1134">
        <v>83</v>
      </c>
      <c r="J1134">
        <v>21</v>
      </c>
      <c r="K1134">
        <v>1940</v>
      </c>
      <c r="L1134">
        <v>161020</v>
      </c>
      <c r="M1134">
        <f>Inventory_Data[[#This Row],[Opening Stock]]+Inventory_Data[[#This Row],[Purchase Qty]]-Inventory_Data[[#This Row],[Sales Qty]]-Inventory_Data[[#This Row],[Closing Stock]]</f>
        <v>0</v>
      </c>
      <c r="N1134">
        <f>Inventory_Data[[#This Row],[Purchase Qty]]*Inventory_Data[[#This Row],[Unit Cost]]</f>
        <v>65960</v>
      </c>
      <c r="O1134" t="str">
        <f>IF(Inventory_Data[[#This Row],[Closing Stock]]&lt;=Inventory_Data[[#This Row],[Reorder Level]],"Low Stock","In Stock")</f>
        <v>In Stock</v>
      </c>
      <c r="P1134" t="str">
        <f>TEXT(Inventory_Data[[#This Row],[Date]],"MMM")</f>
        <v>Aug</v>
      </c>
      <c r="Q1134" t="str">
        <f>TEXT(Inventory_Data[[#This Row],[Date]],"YYYY")</f>
        <v>2025</v>
      </c>
    </row>
    <row r="1135" spans="1:17" x14ac:dyDescent="0.3">
      <c r="A1135" s="1">
        <v>45896</v>
      </c>
      <c r="B1135" t="s">
        <v>16</v>
      </c>
      <c r="C1135" t="s">
        <v>17</v>
      </c>
      <c r="D1135" t="s">
        <v>26</v>
      </c>
      <c r="E1135" t="s">
        <v>18</v>
      </c>
      <c r="F1135">
        <v>76</v>
      </c>
      <c r="G1135">
        <v>55</v>
      </c>
      <c r="H1135">
        <v>34</v>
      </c>
      <c r="I1135">
        <v>97</v>
      </c>
      <c r="J1135">
        <v>24</v>
      </c>
      <c r="K1135">
        <v>21559</v>
      </c>
      <c r="L1135">
        <v>2091223</v>
      </c>
      <c r="M1135">
        <f>Inventory_Data[[#This Row],[Opening Stock]]+Inventory_Data[[#This Row],[Purchase Qty]]-Inventory_Data[[#This Row],[Sales Qty]]-Inventory_Data[[#This Row],[Closing Stock]]</f>
        <v>0</v>
      </c>
      <c r="N1135">
        <f>Inventory_Data[[#This Row],[Purchase Qty]]*Inventory_Data[[#This Row],[Unit Cost]]</f>
        <v>1185745</v>
      </c>
      <c r="O1135" t="str">
        <f>IF(Inventory_Data[[#This Row],[Closing Stock]]&lt;=Inventory_Data[[#This Row],[Reorder Level]],"Low Stock","In Stock")</f>
        <v>In Stock</v>
      </c>
      <c r="P1135" t="str">
        <f>TEXT(Inventory_Data[[#This Row],[Date]],"MMM")</f>
        <v>Aug</v>
      </c>
      <c r="Q1135" t="str">
        <f>TEXT(Inventory_Data[[#This Row],[Date]],"YYYY")</f>
        <v>2025</v>
      </c>
    </row>
    <row r="1136" spans="1:17" x14ac:dyDescent="0.3">
      <c r="A1136" s="1">
        <v>45896</v>
      </c>
      <c r="B1136" t="s">
        <v>33</v>
      </c>
      <c r="C1136" t="s">
        <v>13</v>
      </c>
      <c r="D1136" t="s">
        <v>26</v>
      </c>
      <c r="E1136" t="s">
        <v>15</v>
      </c>
      <c r="F1136">
        <v>75</v>
      </c>
      <c r="G1136">
        <v>20</v>
      </c>
      <c r="H1136">
        <v>17</v>
      </c>
      <c r="I1136">
        <v>78</v>
      </c>
      <c r="J1136">
        <v>35</v>
      </c>
      <c r="K1136">
        <v>2951</v>
      </c>
      <c r="L1136">
        <v>230178</v>
      </c>
      <c r="M1136">
        <f>Inventory_Data[[#This Row],[Opening Stock]]+Inventory_Data[[#This Row],[Purchase Qty]]-Inventory_Data[[#This Row],[Sales Qty]]-Inventory_Data[[#This Row],[Closing Stock]]</f>
        <v>0</v>
      </c>
      <c r="N1136">
        <f>Inventory_Data[[#This Row],[Purchase Qty]]*Inventory_Data[[#This Row],[Unit Cost]]</f>
        <v>59020</v>
      </c>
      <c r="O1136" t="str">
        <f>IF(Inventory_Data[[#This Row],[Closing Stock]]&lt;=Inventory_Data[[#This Row],[Reorder Level]],"Low Stock","In Stock")</f>
        <v>In Stock</v>
      </c>
      <c r="P1136" t="str">
        <f>TEXT(Inventory_Data[[#This Row],[Date]],"MMM")</f>
        <v>Aug</v>
      </c>
      <c r="Q1136" t="str">
        <f>TEXT(Inventory_Data[[#This Row],[Date]],"YYYY")</f>
        <v>2025</v>
      </c>
    </row>
    <row r="1137" spans="1:17" x14ac:dyDescent="0.3">
      <c r="A1137" s="1">
        <v>45896</v>
      </c>
      <c r="B1137" t="s">
        <v>31</v>
      </c>
      <c r="C1137" t="s">
        <v>22</v>
      </c>
      <c r="D1137" t="s">
        <v>26</v>
      </c>
      <c r="E1137" t="s">
        <v>24</v>
      </c>
      <c r="F1137">
        <v>187</v>
      </c>
      <c r="G1137">
        <v>283</v>
      </c>
      <c r="H1137">
        <v>14</v>
      </c>
      <c r="I1137">
        <v>456</v>
      </c>
      <c r="J1137">
        <v>97</v>
      </c>
      <c r="K1137">
        <v>903</v>
      </c>
      <c r="L1137">
        <v>411768</v>
      </c>
      <c r="M1137">
        <f>Inventory_Data[[#This Row],[Opening Stock]]+Inventory_Data[[#This Row],[Purchase Qty]]-Inventory_Data[[#This Row],[Sales Qty]]-Inventory_Data[[#This Row],[Closing Stock]]</f>
        <v>0</v>
      </c>
      <c r="N1137">
        <f>Inventory_Data[[#This Row],[Purchase Qty]]*Inventory_Data[[#This Row],[Unit Cost]]</f>
        <v>255549</v>
      </c>
      <c r="O1137" t="str">
        <f>IF(Inventory_Data[[#This Row],[Closing Stock]]&lt;=Inventory_Data[[#This Row],[Reorder Level]],"Low Stock","In Stock")</f>
        <v>In Stock</v>
      </c>
      <c r="P1137" t="str">
        <f>TEXT(Inventory_Data[[#This Row],[Date]],"MMM")</f>
        <v>Aug</v>
      </c>
      <c r="Q1137" t="str">
        <f>TEXT(Inventory_Data[[#This Row],[Date]],"YYYY")</f>
        <v>2025</v>
      </c>
    </row>
    <row r="1138" spans="1:17" x14ac:dyDescent="0.3">
      <c r="A1138" s="1">
        <v>45896</v>
      </c>
      <c r="B1138" t="s">
        <v>43</v>
      </c>
      <c r="C1138" t="s">
        <v>22</v>
      </c>
      <c r="D1138" t="s">
        <v>23</v>
      </c>
      <c r="E1138" t="s">
        <v>15</v>
      </c>
      <c r="F1138">
        <v>426</v>
      </c>
      <c r="G1138">
        <v>295</v>
      </c>
      <c r="H1138">
        <v>74</v>
      </c>
      <c r="I1138">
        <v>647</v>
      </c>
      <c r="J1138">
        <v>94</v>
      </c>
      <c r="K1138">
        <v>22</v>
      </c>
      <c r="L1138">
        <v>14234</v>
      </c>
      <c r="M1138">
        <f>Inventory_Data[[#This Row],[Opening Stock]]+Inventory_Data[[#This Row],[Purchase Qty]]-Inventory_Data[[#This Row],[Sales Qty]]-Inventory_Data[[#This Row],[Closing Stock]]</f>
        <v>0</v>
      </c>
      <c r="N1138">
        <f>Inventory_Data[[#This Row],[Purchase Qty]]*Inventory_Data[[#This Row],[Unit Cost]]</f>
        <v>6490</v>
      </c>
      <c r="O1138" t="str">
        <f>IF(Inventory_Data[[#This Row],[Closing Stock]]&lt;=Inventory_Data[[#This Row],[Reorder Level]],"Low Stock","In Stock")</f>
        <v>In Stock</v>
      </c>
      <c r="P1138" t="str">
        <f>TEXT(Inventory_Data[[#This Row],[Date]],"MMM")</f>
        <v>Aug</v>
      </c>
      <c r="Q1138" t="str">
        <f>TEXT(Inventory_Data[[#This Row],[Date]],"YYYY")</f>
        <v>2025</v>
      </c>
    </row>
    <row r="1139" spans="1:17" x14ac:dyDescent="0.3">
      <c r="A1139" s="1">
        <v>45896</v>
      </c>
      <c r="B1139" t="s">
        <v>32</v>
      </c>
      <c r="C1139" t="s">
        <v>28</v>
      </c>
      <c r="D1139" t="s">
        <v>26</v>
      </c>
      <c r="E1139" t="s">
        <v>24</v>
      </c>
      <c r="F1139">
        <v>97</v>
      </c>
      <c r="G1139">
        <v>30</v>
      </c>
      <c r="H1139">
        <v>28</v>
      </c>
      <c r="I1139">
        <v>99</v>
      </c>
      <c r="J1139">
        <v>37</v>
      </c>
      <c r="K1139">
        <v>29488</v>
      </c>
      <c r="L1139">
        <v>2919312</v>
      </c>
      <c r="M1139">
        <f>Inventory_Data[[#This Row],[Opening Stock]]+Inventory_Data[[#This Row],[Purchase Qty]]-Inventory_Data[[#This Row],[Sales Qty]]-Inventory_Data[[#This Row],[Closing Stock]]</f>
        <v>0</v>
      </c>
      <c r="N1139">
        <f>Inventory_Data[[#This Row],[Purchase Qty]]*Inventory_Data[[#This Row],[Unit Cost]]</f>
        <v>884640</v>
      </c>
      <c r="O1139" t="str">
        <f>IF(Inventory_Data[[#This Row],[Closing Stock]]&lt;=Inventory_Data[[#This Row],[Reorder Level]],"Low Stock","In Stock")</f>
        <v>In Stock</v>
      </c>
      <c r="P1139" t="str">
        <f>TEXT(Inventory_Data[[#This Row],[Date]],"MMM")</f>
        <v>Aug</v>
      </c>
      <c r="Q1139" t="str">
        <f>TEXT(Inventory_Data[[#This Row],[Date]],"YYYY")</f>
        <v>2025</v>
      </c>
    </row>
    <row r="1140" spans="1:17" x14ac:dyDescent="0.3">
      <c r="A1140" s="1">
        <v>45896</v>
      </c>
      <c r="B1140" t="s">
        <v>43</v>
      </c>
      <c r="C1140" t="s">
        <v>22</v>
      </c>
      <c r="D1140" t="s">
        <v>14</v>
      </c>
      <c r="E1140" t="s">
        <v>29</v>
      </c>
      <c r="F1140">
        <v>289</v>
      </c>
      <c r="G1140">
        <v>141</v>
      </c>
      <c r="H1140">
        <v>97</v>
      </c>
      <c r="I1140">
        <v>333</v>
      </c>
      <c r="J1140">
        <v>97</v>
      </c>
      <c r="K1140">
        <v>495</v>
      </c>
      <c r="L1140">
        <v>164835</v>
      </c>
      <c r="M1140">
        <f>Inventory_Data[[#This Row],[Opening Stock]]+Inventory_Data[[#This Row],[Purchase Qty]]-Inventory_Data[[#This Row],[Sales Qty]]-Inventory_Data[[#This Row],[Closing Stock]]</f>
        <v>0</v>
      </c>
      <c r="N1140">
        <f>Inventory_Data[[#This Row],[Purchase Qty]]*Inventory_Data[[#This Row],[Unit Cost]]</f>
        <v>69795</v>
      </c>
      <c r="O1140" t="str">
        <f>IF(Inventory_Data[[#This Row],[Closing Stock]]&lt;=Inventory_Data[[#This Row],[Reorder Level]],"Low Stock","In Stock")</f>
        <v>In Stock</v>
      </c>
      <c r="P1140" t="str">
        <f>TEXT(Inventory_Data[[#This Row],[Date]],"MMM")</f>
        <v>Aug</v>
      </c>
      <c r="Q1140" t="str">
        <f>TEXT(Inventory_Data[[#This Row],[Date]],"YYYY")</f>
        <v>2025</v>
      </c>
    </row>
    <row r="1141" spans="1:17" x14ac:dyDescent="0.3">
      <c r="A1141" s="1">
        <v>45896</v>
      </c>
      <c r="B1141" t="s">
        <v>32</v>
      </c>
      <c r="C1141" t="s">
        <v>28</v>
      </c>
      <c r="D1141" t="s">
        <v>26</v>
      </c>
      <c r="E1141" t="s">
        <v>29</v>
      </c>
      <c r="F1141">
        <v>156</v>
      </c>
      <c r="G1141">
        <v>92</v>
      </c>
      <c r="H1141">
        <v>46</v>
      </c>
      <c r="I1141">
        <v>202</v>
      </c>
      <c r="J1141">
        <v>55</v>
      </c>
      <c r="K1141">
        <v>42271</v>
      </c>
      <c r="L1141">
        <v>8538742</v>
      </c>
      <c r="M1141">
        <f>Inventory_Data[[#This Row],[Opening Stock]]+Inventory_Data[[#This Row],[Purchase Qty]]-Inventory_Data[[#This Row],[Sales Qty]]-Inventory_Data[[#This Row],[Closing Stock]]</f>
        <v>0</v>
      </c>
      <c r="N1141">
        <f>Inventory_Data[[#This Row],[Purchase Qty]]*Inventory_Data[[#This Row],[Unit Cost]]</f>
        <v>3888932</v>
      </c>
      <c r="O1141" t="str">
        <f>IF(Inventory_Data[[#This Row],[Closing Stock]]&lt;=Inventory_Data[[#This Row],[Reorder Level]],"Low Stock","In Stock")</f>
        <v>In Stock</v>
      </c>
      <c r="P1141" t="str">
        <f>TEXT(Inventory_Data[[#This Row],[Date]],"MMM")</f>
        <v>Aug</v>
      </c>
      <c r="Q1141" t="str">
        <f>TEXT(Inventory_Data[[#This Row],[Date]],"YYYY")</f>
        <v>2025</v>
      </c>
    </row>
    <row r="1142" spans="1:17" x14ac:dyDescent="0.3">
      <c r="A1142" s="1">
        <v>45896</v>
      </c>
      <c r="B1142" t="s">
        <v>43</v>
      </c>
      <c r="C1142" t="s">
        <v>22</v>
      </c>
      <c r="D1142" t="s">
        <v>37</v>
      </c>
      <c r="E1142" t="s">
        <v>20</v>
      </c>
      <c r="F1142">
        <v>264</v>
      </c>
      <c r="G1142">
        <v>253</v>
      </c>
      <c r="H1142">
        <v>97</v>
      </c>
      <c r="I1142">
        <v>420</v>
      </c>
      <c r="J1142">
        <v>56</v>
      </c>
      <c r="K1142">
        <v>294</v>
      </c>
      <c r="L1142">
        <v>123480</v>
      </c>
      <c r="M1142">
        <f>Inventory_Data[[#This Row],[Opening Stock]]+Inventory_Data[[#This Row],[Purchase Qty]]-Inventory_Data[[#This Row],[Sales Qty]]-Inventory_Data[[#This Row],[Closing Stock]]</f>
        <v>0</v>
      </c>
      <c r="N1142">
        <f>Inventory_Data[[#This Row],[Purchase Qty]]*Inventory_Data[[#This Row],[Unit Cost]]</f>
        <v>74382</v>
      </c>
      <c r="O1142" t="str">
        <f>IF(Inventory_Data[[#This Row],[Closing Stock]]&lt;=Inventory_Data[[#This Row],[Reorder Level]],"Low Stock","In Stock")</f>
        <v>In Stock</v>
      </c>
      <c r="P1142" t="str">
        <f>TEXT(Inventory_Data[[#This Row],[Date]],"MMM")</f>
        <v>Aug</v>
      </c>
      <c r="Q1142" t="str">
        <f>TEXT(Inventory_Data[[#This Row],[Date]],"YYYY")</f>
        <v>2025</v>
      </c>
    </row>
    <row r="1143" spans="1:17" x14ac:dyDescent="0.3">
      <c r="A1143" s="1">
        <v>45896</v>
      </c>
      <c r="B1143" t="s">
        <v>43</v>
      </c>
      <c r="C1143" t="s">
        <v>22</v>
      </c>
      <c r="D1143" t="s">
        <v>37</v>
      </c>
      <c r="E1143" t="s">
        <v>20</v>
      </c>
      <c r="F1143">
        <v>117</v>
      </c>
      <c r="G1143">
        <v>61</v>
      </c>
      <c r="H1143">
        <v>132</v>
      </c>
      <c r="I1143">
        <v>46</v>
      </c>
      <c r="J1143">
        <v>64</v>
      </c>
      <c r="K1143">
        <v>129</v>
      </c>
      <c r="L1143">
        <v>5934</v>
      </c>
      <c r="M1143">
        <f>Inventory_Data[[#This Row],[Opening Stock]]+Inventory_Data[[#This Row],[Purchase Qty]]-Inventory_Data[[#This Row],[Sales Qty]]-Inventory_Data[[#This Row],[Closing Stock]]</f>
        <v>0</v>
      </c>
      <c r="N1143">
        <f>Inventory_Data[[#This Row],[Purchase Qty]]*Inventory_Data[[#This Row],[Unit Cost]]</f>
        <v>7869</v>
      </c>
      <c r="O1143" t="str">
        <f>IF(Inventory_Data[[#This Row],[Closing Stock]]&lt;=Inventory_Data[[#This Row],[Reorder Level]],"Low Stock","In Stock")</f>
        <v>Low Stock</v>
      </c>
      <c r="P1143" t="str">
        <f>TEXT(Inventory_Data[[#This Row],[Date]],"MMM")</f>
        <v>Aug</v>
      </c>
      <c r="Q1143" t="str">
        <f>TEXT(Inventory_Data[[#This Row],[Date]],"YYYY")</f>
        <v>2025</v>
      </c>
    </row>
    <row r="1144" spans="1:17" x14ac:dyDescent="0.3">
      <c r="A1144" s="1">
        <v>45896</v>
      </c>
      <c r="B1144" t="s">
        <v>19</v>
      </c>
      <c r="C1144" t="s">
        <v>13</v>
      </c>
      <c r="D1144" t="s">
        <v>26</v>
      </c>
      <c r="E1144" t="s">
        <v>15</v>
      </c>
      <c r="F1144">
        <v>63</v>
      </c>
      <c r="G1144">
        <v>46</v>
      </c>
      <c r="H1144">
        <v>40</v>
      </c>
      <c r="I1144">
        <v>69</v>
      </c>
      <c r="J1144">
        <v>38</v>
      </c>
      <c r="K1144">
        <v>2526</v>
      </c>
      <c r="L1144">
        <v>174294</v>
      </c>
      <c r="M1144">
        <f>Inventory_Data[[#This Row],[Opening Stock]]+Inventory_Data[[#This Row],[Purchase Qty]]-Inventory_Data[[#This Row],[Sales Qty]]-Inventory_Data[[#This Row],[Closing Stock]]</f>
        <v>0</v>
      </c>
      <c r="N1144">
        <f>Inventory_Data[[#This Row],[Purchase Qty]]*Inventory_Data[[#This Row],[Unit Cost]]</f>
        <v>116196</v>
      </c>
      <c r="O1144" t="str">
        <f>IF(Inventory_Data[[#This Row],[Closing Stock]]&lt;=Inventory_Data[[#This Row],[Reorder Level]],"Low Stock","In Stock")</f>
        <v>In Stock</v>
      </c>
      <c r="P1144" t="str">
        <f>TEXT(Inventory_Data[[#This Row],[Date]],"MMM")</f>
        <v>Aug</v>
      </c>
      <c r="Q1144" t="str">
        <f>TEXT(Inventory_Data[[#This Row],[Date]],"YYYY")</f>
        <v>2025</v>
      </c>
    </row>
    <row r="1145" spans="1:17" x14ac:dyDescent="0.3">
      <c r="A1145" s="1">
        <v>45896</v>
      </c>
      <c r="B1145" t="s">
        <v>38</v>
      </c>
      <c r="C1145" t="s">
        <v>17</v>
      </c>
      <c r="D1145" t="s">
        <v>37</v>
      </c>
      <c r="E1145" t="s">
        <v>29</v>
      </c>
      <c r="F1145">
        <v>14</v>
      </c>
      <c r="G1145">
        <v>57</v>
      </c>
      <c r="H1145">
        <v>25</v>
      </c>
      <c r="I1145">
        <v>46</v>
      </c>
      <c r="J1145">
        <v>18</v>
      </c>
      <c r="K1145">
        <v>24634</v>
      </c>
      <c r="L1145">
        <v>1133164</v>
      </c>
      <c r="M1145">
        <f>Inventory_Data[[#This Row],[Opening Stock]]+Inventory_Data[[#This Row],[Purchase Qty]]-Inventory_Data[[#This Row],[Sales Qty]]-Inventory_Data[[#This Row],[Closing Stock]]</f>
        <v>0</v>
      </c>
      <c r="N1145">
        <f>Inventory_Data[[#This Row],[Purchase Qty]]*Inventory_Data[[#This Row],[Unit Cost]]</f>
        <v>1404138</v>
      </c>
      <c r="O1145" t="str">
        <f>IF(Inventory_Data[[#This Row],[Closing Stock]]&lt;=Inventory_Data[[#This Row],[Reorder Level]],"Low Stock","In Stock")</f>
        <v>In Stock</v>
      </c>
      <c r="P1145" t="str">
        <f>TEXT(Inventory_Data[[#This Row],[Date]],"MMM")</f>
        <v>Aug</v>
      </c>
      <c r="Q1145" t="str">
        <f>TEXT(Inventory_Data[[#This Row],[Date]],"YYYY")</f>
        <v>2025</v>
      </c>
    </row>
    <row r="1146" spans="1:17" x14ac:dyDescent="0.3">
      <c r="A1146" s="1">
        <v>45896</v>
      </c>
      <c r="B1146" t="s">
        <v>12</v>
      </c>
      <c r="C1146" t="s">
        <v>13</v>
      </c>
      <c r="D1146" t="s">
        <v>23</v>
      </c>
      <c r="E1146" t="s">
        <v>34</v>
      </c>
      <c r="F1146">
        <v>61</v>
      </c>
      <c r="G1146">
        <v>41</v>
      </c>
      <c r="H1146">
        <v>36</v>
      </c>
      <c r="I1146">
        <v>66</v>
      </c>
      <c r="J1146">
        <v>19</v>
      </c>
      <c r="K1146">
        <v>9944</v>
      </c>
      <c r="L1146">
        <v>656304</v>
      </c>
      <c r="M1146">
        <f>Inventory_Data[[#This Row],[Opening Stock]]+Inventory_Data[[#This Row],[Purchase Qty]]-Inventory_Data[[#This Row],[Sales Qty]]-Inventory_Data[[#This Row],[Closing Stock]]</f>
        <v>0</v>
      </c>
      <c r="N1146">
        <f>Inventory_Data[[#This Row],[Purchase Qty]]*Inventory_Data[[#This Row],[Unit Cost]]</f>
        <v>407704</v>
      </c>
      <c r="O1146" t="str">
        <f>IF(Inventory_Data[[#This Row],[Closing Stock]]&lt;=Inventory_Data[[#This Row],[Reorder Level]],"Low Stock","In Stock")</f>
        <v>In Stock</v>
      </c>
      <c r="P1146" t="str">
        <f>TEXT(Inventory_Data[[#This Row],[Date]],"MMM")</f>
        <v>Aug</v>
      </c>
      <c r="Q1146" t="str">
        <f>TEXT(Inventory_Data[[#This Row],[Date]],"YYYY")</f>
        <v>2025</v>
      </c>
    </row>
    <row r="1147" spans="1:17" x14ac:dyDescent="0.3">
      <c r="A1147" s="1">
        <v>45897</v>
      </c>
      <c r="B1147" t="s">
        <v>44</v>
      </c>
      <c r="C1147" t="s">
        <v>28</v>
      </c>
      <c r="D1147" t="s">
        <v>26</v>
      </c>
      <c r="E1147" t="s">
        <v>15</v>
      </c>
      <c r="F1147">
        <v>77</v>
      </c>
      <c r="G1147">
        <v>88</v>
      </c>
      <c r="H1147">
        <v>59</v>
      </c>
      <c r="I1147">
        <v>106</v>
      </c>
      <c r="J1147">
        <v>45</v>
      </c>
      <c r="K1147">
        <v>32880</v>
      </c>
      <c r="L1147">
        <v>3485280</v>
      </c>
      <c r="M1147">
        <f>Inventory_Data[[#This Row],[Opening Stock]]+Inventory_Data[[#This Row],[Purchase Qty]]-Inventory_Data[[#This Row],[Sales Qty]]-Inventory_Data[[#This Row],[Closing Stock]]</f>
        <v>0</v>
      </c>
      <c r="N1147">
        <f>Inventory_Data[[#This Row],[Purchase Qty]]*Inventory_Data[[#This Row],[Unit Cost]]</f>
        <v>2893440</v>
      </c>
      <c r="O1147" t="str">
        <f>IF(Inventory_Data[[#This Row],[Closing Stock]]&lt;=Inventory_Data[[#This Row],[Reorder Level]],"Low Stock","In Stock")</f>
        <v>In Stock</v>
      </c>
      <c r="P1147" t="str">
        <f>TEXT(Inventory_Data[[#This Row],[Date]],"MMM")</f>
        <v>Aug</v>
      </c>
      <c r="Q1147" t="str">
        <f>TEXT(Inventory_Data[[#This Row],[Date]],"YYYY")</f>
        <v>2025</v>
      </c>
    </row>
    <row r="1148" spans="1:17" x14ac:dyDescent="0.3">
      <c r="A1148" s="1">
        <v>45897</v>
      </c>
      <c r="B1148" t="s">
        <v>12</v>
      </c>
      <c r="C1148" t="s">
        <v>13</v>
      </c>
      <c r="D1148" t="s">
        <v>37</v>
      </c>
      <c r="E1148" t="s">
        <v>24</v>
      </c>
      <c r="F1148">
        <v>73</v>
      </c>
      <c r="G1148">
        <v>19</v>
      </c>
      <c r="H1148">
        <v>31</v>
      </c>
      <c r="I1148">
        <v>61</v>
      </c>
      <c r="J1148">
        <v>32</v>
      </c>
      <c r="K1148">
        <v>14760</v>
      </c>
      <c r="L1148">
        <v>900360</v>
      </c>
      <c r="M1148">
        <f>Inventory_Data[[#This Row],[Opening Stock]]+Inventory_Data[[#This Row],[Purchase Qty]]-Inventory_Data[[#This Row],[Sales Qty]]-Inventory_Data[[#This Row],[Closing Stock]]</f>
        <v>0</v>
      </c>
      <c r="N1148">
        <f>Inventory_Data[[#This Row],[Purchase Qty]]*Inventory_Data[[#This Row],[Unit Cost]]</f>
        <v>280440</v>
      </c>
      <c r="O1148" t="str">
        <f>IF(Inventory_Data[[#This Row],[Closing Stock]]&lt;=Inventory_Data[[#This Row],[Reorder Level]],"Low Stock","In Stock")</f>
        <v>In Stock</v>
      </c>
      <c r="P1148" t="str">
        <f>TEXT(Inventory_Data[[#This Row],[Date]],"MMM")</f>
        <v>Aug</v>
      </c>
      <c r="Q1148" t="str">
        <f>TEXT(Inventory_Data[[#This Row],[Date]],"YYYY")</f>
        <v>2025</v>
      </c>
    </row>
    <row r="1149" spans="1:17" x14ac:dyDescent="0.3">
      <c r="A1149" s="1">
        <v>45897</v>
      </c>
      <c r="B1149" t="s">
        <v>39</v>
      </c>
      <c r="C1149" t="s">
        <v>28</v>
      </c>
      <c r="D1149" t="s">
        <v>14</v>
      </c>
      <c r="E1149" t="s">
        <v>29</v>
      </c>
      <c r="F1149">
        <v>26</v>
      </c>
      <c r="G1149">
        <v>113</v>
      </c>
      <c r="H1149">
        <v>10</v>
      </c>
      <c r="I1149">
        <v>129</v>
      </c>
      <c r="J1149">
        <v>58</v>
      </c>
      <c r="K1149">
        <v>49879</v>
      </c>
      <c r="L1149">
        <v>6434391</v>
      </c>
      <c r="M1149">
        <f>Inventory_Data[[#This Row],[Opening Stock]]+Inventory_Data[[#This Row],[Purchase Qty]]-Inventory_Data[[#This Row],[Sales Qty]]-Inventory_Data[[#This Row],[Closing Stock]]</f>
        <v>0</v>
      </c>
      <c r="N1149">
        <f>Inventory_Data[[#This Row],[Purchase Qty]]*Inventory_Data[[#This Row],[Unit Cost]]</f>
        <v>5636327</v>
      </c>
      <c r="O1149" t="str">
        <f>IF(Inventory_Data[[#This Row],[Closing Stock]]&lt;=Inventory_Data[[#This Row],[Reorder Level]],"Low Stock","In Stock")</f>
        <v>In Stock</v>
      </c>
      <c r="P1149" t="str">
        <f>TEXT(Inventory_Data[[#This Row],[Date]],"MMM")</f>
        <v>Aug</v>
      </c>
      <c r="Q1149" t="str">
        <f>TEXT(Inventory_Data[[#This Row],[Date]],"YYYY")</f>
        <v>2025</v>
      </c>
    </row>
    <row r="1150" spans="1:17" x14ac:dyDescent="0.3">
      <c r="A1150" s="1">
        <v>45897</v>
      </c>
      <c r="B1150" t="s">
        <v>41</v>
      </c>
      <c r="C1150" t="s">
        <v>22</v>
      </c>
      <c r="D1150" t="s">
        <v>37</v>
      </c>
      <c r="E1150" t="s">
        <v>15</v>
      </c>
      <c r="F1150">
        <v>265</v>
      </c>
      <c r="G1150">
        <v>206</v>
      </c>
      <c r="H1150">
        <v>62</v>
      </c>
      <c r="I1150">
        <v>409</v>
      </c>
      <c r="J1150">
        <v>115</v>
      </c>
      <c r="K1150">
        <v>580</v>
      </c>
      <c r="L1150">
        <v>237220</v>
      </c>
      <c r="M1150">
        <f>Inventory_Data[[#This Row],[Opening Stock]]+Inventory_Data[[#This Row],[Purchase Qty]]-Inventory_Data[[#This Row],[Sales Qty]]-Inventory_Data[[#This Row],[Closing Stock]]</f>
        <v>0</v>
      </c>
      <c r="N1150">
        <f>Inventory_Data[[#This Row],[Purchase Qty]]*Inventory_Data[[#This Row],[Unit Cost]]</f>
        <v>119480</v>
      </c>
      <c r="O1150" t="str">
        <f>IF(Inventory_Data[[#This Row],[Closing Stock]]&lt;=Inventory_Data[[#This Row],[Reorder Level]],"Low Stock","In Stock")</f>
        <v>In Stock</v>
      </c>
      <c r="P1150" t="str">
        <f>TEXT(Inventory_Data[[#This Row],[Date]],"MMM")</f>
        <v>Aug</v>
      </c>
      <c r="Q1150" t="str">
        <f>TEXT(Inventory_Data[[#This Row],[Date]],"YYYY")</f>
        <v>2025</v>
      </c>
    </row>
    <row r="1151" spans="1:17" x14ac:dyDescent="0.3">
      <c r="A1151" s="1">
        <v>45897</v>
      </c>
      <c r="B1151" t="s">
        <v>33</v>
      </c>
      <c r="C1151" t="s">
        <v>13</v>
      </c>
      <c r="D1151" t="s">
        <v>26</v>
      </c>
      <c r="E1151" t="s">
        <v>18</v>
      </c>
      <c r="F1151">
        <v>92</v>
      </c>
      <c r="G1151">
        <v>29</v>
      </c>
      <c r="H1151">
        <v>36</v>
      </c>
      <c r="I1151">
        <v>85</v>
      </c>
      <c r="J1151">
        <v>20</v>
      </c>
      <c r="K1151">
        <v>9747</v>
      </c>
      <c r="L1151">
        <v>828495</v>
      </c>
      <c r="M1151">
        <f>Inventory_Data[[#This Row],[Opening Stock]]+Inventory_Data[[#This Row],[Purchase Qty]]-Inventory_Data[[#This Row],[Sales Qty]]-Inventory_Data[[#This Row],[Closing Stock]]</f>
        <v>0</v>
      </c>
      <c r="N1151">
        <f>Inventory_Data[[#This Row],[Purchase Qty]]*Inventory_Data[[#This Row],[Unit Cost]]</f>
        <v>282663</v>
      </c>
      <c r="O1151" t="str">
        <f>IF(Inventory_Data[[#This Row],[Closing Stock]]&lt;=Inventory_Data[[#This Row],[Reorder Level]],"Low Stock","In Stock")</f>
        <v>In Stock</v>
      </c>
      <c r="P1151" t="str">
        <f>TEXT(Inventory_Data[[#This Row],[Date]],"MMM")</f>
        <v>Aug</v>
      </c>
      <c r="Q1151" t="str">
        <f>TEXT(Inventory_Data[[#This Row],[Date]],"YYYY")</f>
        <v>2025</v>
      </c>
    </row>
    <row r="1152" spans="1:17" x14ac:dyDescent="0.3">
      <c r="A1152" s="1">
        <v>45897</v>
      </c>
      <c r="B1152" t="s">
        <v>43</v>
      </c>
      <c r="C1152" t="s">
        <v>22</v>
      </c>
      <c r="D1152" t="s">
        <v>23</v>
      </c>
      <c r="E1152" t="s">
        <v>15</v>
      </c>
      <c r="F1152">
        <v>484</v>
      </c>
      <c r="G1152">
        <v>241</v>
      </c>
      <c r="H1152">
        <v>107</v>
      </c>
      <c r="I1152">
        <v>618</v>
      </c>
      <c r="J1152">
        <v>139</v>
      </c>
      <c r="K1152">
        <v>545</v>
      </c>
      <c r="L1152">
        <v>336810</v>
      </c>
      <c r="M1152">
        <f>Inventory_Data[[#This Row],[Opening Stock]]+Inventory_Data[[#This Row],[Purchase Qty]]-Inventory_Data[[#This Row],[Sales Qty]]-Inventory_Data[[#This Row],[Closing Stock]]</f>
        <v>0</v>
      </c>
      <c r="N1152">
        <f>Inventory_Data[[#This Row],[Purchase Qty]]*Inventory_Data[[#This Row],[Unit Cost]]</f>
        <v>131345</v>
      </c>
      <c r="O1152" t="str">
        <f>IF(Inventory_Data[[#This Row],[Closing Stock]]&lt;=Inventory_Data[[#This Row],[Reorder Level]],"Low Stock","In Stock")</f>
        <v>In Stock</v>
      </c>
      <c r="P1152" t="str">
        <f>TEXT(Inventory_Data[[#This Row],[Date]],"MMM")</f>
        <v>Aug</v>
      </c>
      <c r="Q1152" t="str">
        <f>TEXT(Inventory_Data[[#This Row],[Date]],"YYYY")</f>
        <v>2025</v>
      </c>
    </row>
    <row r="1153" spans="1:17" x14ac:dyDescent="0.3">
      <c r="A1153" s="1">
        <v>45897</v>
      </c>
      <c r="B1153" t="s">
        <v>38</v>
      </c>
      <c r="C1153" t="s">
        <v>17</v>
      </c>
      <c r="D1153" t="s">
        <v>26</v>
      </c>
      <c r="E1153" t="s">
        <v>29</v>
      </c>
      <c r="F1153">
        <v>99</v>
      </c>
      <c r="G1153">
        <v>44</v>
      </c>
      <c r="H1153">
        <v>10</v>
      </c>
      <c r="I1153">
        <v>133</v>
      </c>
      <c r="J1153">
        <v>22</v>
      </c>
      <c r="K1153">
        <v>14141</v>
      </c>
      <c r="L1153">
        <v>1880753</v>
      </c>
      <c r="M1153">
        <f>Inventory_Data[[#This Row],[Opening Stock]]+Inventory_Data[[#This Row],[Purchase Qty]]-Inventory_Data[[#This Row],[Sales Qty]]-Inventory_Data[[#This Row],[Closing Stock]]</f>
        <v>0</v>
      </c>
      <c r="N1153">
        <f>Inventory_Data[[#This Row],[Purchase Qty]]*Inventory_Data[[#This Row],[Unit Cost]]</f>
        <v>622204</v>
      </c>
      <c r="O1153" t="str">
        <f>IF(Inventory_Data[[#This Row],[Closing Stock]]&lt;=Inventory_Data[[#This Row],[Reorder Level]],"Low Stock","In Stock")</f>
        <v>In Stock</v>
      </c>
      <c r="P1153" t="str">
        <f>TEXT(Inventory_Data[[#This Row],[Date]],"MMM")</f>
        <v>Aug</v>
      </c>
      <c r="Q1153" t="str">
        <f>TEXT(Inventory_Data[[#This Row],[Date]],"YYYY")</f>
        <v>2025</v>
      </c>
    </row>
    <row r="1154" spans="1:17" x14ac:dyDescent="0.3">
      <c r="A1154" s="1">
        <v>45897</v>
      </c>
      <c r="B1154" t="s">
        <v>40</v>
      </c>
      <c r="C1154" t="s">
        <v>28</v>
      </c>
      <c r="D1154" t="s">
        <v>23</v>
      </c>
      <c r="E1154" t="s">
        <v>20</v>
      </c>
      <c r="F1154">
        <v>83</v>
      </c>
      <c r="G1154">
        <v>71</v>
      </c>
      <c r="H1154">
        <v>23</v>
      </c>
      <c r="I1154">
        <v>131</v>
      </c>
      <c r="J1154">
        <v>35</v>
      </c>
      <c r="K1154">
        <v>36331</v>
      </c>
      <c r="L1154">
        <v>4759361</v>
      </c>
      <c r="M1154">
        <f>Inventory_Data[[#This Row],[Opening Stock]]+Inventory_Data[[#This Row],[Purchase Qty]]-Inventory_Data[[#This Row],[Sales Qty]]-Inventory_Data[[#This Row],[Closing Stock]]</f>
        <v>0</v>
      </c>
      <c r="N1154">
        <f>Inventory_Data[[#This Row],[Purchase Qty]]*Inventory_Data[[#This Row],[Unit Cost]]</f>
        <v>2579501</v>
      </c>
      <c r="O1154" t="str">
        <f>IF(Inventory_Data[[#This Row],[Closing Stock]]&lt;=Inventory_Data[[#This Row],[Reorder Level]],"Low Stock","In Stock")</f>
        <v>In Stock</v>
      </c>
      <c r="P1154" t="str">
        <f>TEXT(Inventory_Data[[#This Row],[Date]],"MMM")</f>
        <v>Aug</v>
      </c>
      <c r="Q1154" t="str">
        <f>TEXT(Inventory_Data[[#This Row],[Date]],"YYYY")</f>
        <v>2025</v>
      </c>
    </row>
    <row r="1155" spans="1:17" x14ac:dyDescent="0.3">
      <c r="A1155" s="1">
        <v>45898</v>
      </c>
      <c r="B1155" t="s">
        <v>40</v>
      </c>
      <c r="C1155" t="s">
        <v>28</v>
      </c>
      <c r="D1155" t="s">
        <v>23</v>
      </c>
      <c r="E1155" t="s">
        <v>18</v>
      </c>
      <c r="F1155">
        <v>132</v>
      </c>
      <c r="G1155">
        <v>33</v>
      </c>
      <c r="H1155">
        <v>51</v>
      </c>
      <c r="I1155">
        <v>114</v>
      </c>
      <c r="J1155">
        <v>38</v>
      </c>
      <c r="K1155">
        <v>62182</v>
      </c>
      <c r="L1155">
        <v>7088748</v>
      </c>
      <c r="M1155">
        <f>Inventory_Data[[#This Row],[Opening Stock]]+Inventory_Data[[#This Row],[Purchase Qty]]-Inventory_Data[[#This Row],[Sales Qty]]-Inventory_Data[[#This Row],[Closing Stock]]</f>
        <v>0</v>
      </c>
      <c r="N1155">
        <f>Inventory_Data[[#This Row],[Purchase Qty]]*Inventory_Data[[#This Row],[Unit Cost]]</f>
        <v>2052006</v>
      </c>
      <c r="O1155" t="str">
        <f>IF(Inventory_Data[[#This Row],[Closing Stock]]&lt;=Inventory_Data[[#This Row],[Reorder Level]],"Low Stock","In Stock")</f>
        <v>In Stock</v>
      </c>
      <c r="P1155" t="str">
        <f>TEXT(Inventory_Data[[#This Row],[Date]],"MMM")</f>
        <v>Aug</v>
      </c>
      <c r="Q1155" t="str">
        <f>TEXT(Inventory_Data[[#This Row],[Date]],"YYYY")</f>
        <v>2025</v>
      </c>
    </row>
    <row r="1156" spans="1:17" x14ac:dyDescent="0.3">
      <c r="A1156" s="1">
        <v>45898</v>
      </c>
      <c r="B1156" t="s">
        <v>12</v>
      </c>
      <c r="C1156" t="s">
        <v>13</v>
      </c>
      <c r="D1156" t="s">
        <v>23</v>
      </c>
      <c r="E1156" t="s">
        <v>18</v>
      </c>
      <c r="F1156">
        <v>102</v>
      </c>
      <c r="G1156">
        <v>62</v>
      </c>
      <c r="H1156">
        <v>62</v>
      </c>
      <c r="I1156">
        <v>102</v>
      </c>
      <c r="J1156">
        <v>18</v>
      </c>
      <c r="K1156">
        <v>7277</v>
      </c>
      <c r="L1156">
        <v>742254</v>
      </c>
      <c r="M1156">
        <f>Inventory_Data[[#This Row],[Opening Stock]]+Inventory_Data[[#This Row],[Purchase Qty]]-Inventory_Data[[#This Row],[Sales Qty]]-Inventory_Data[[#This Row],[Closing Stock]]</f>
        <v>0</v>
      </c>
      <c r="N1156">
        <f>Inventory_Data[[#This Row],[Purchase Qty]]*Inventory_Data[[#This Row],[Unit Cost]]</f>
        <v>451174</v>
      </c>
      <c r="O1156" t="str">
        <f>IF(Inventory_Data[[#This Row],[Closing Stock]]&lt;=Inventory_Data[[#This Row],[Reorder Level]],"Low Stock","In Stock")</f>
        <v>In Stock</v>
      </c>
      <c r="P1156" t="str">
        <f>TEXT(Inventory_Data[[#This Row],[Date]],"MMM")</f>
        <v>Aug</v>
      </c>
      <c r="Q1156" t="str">
        <f>TEXT(Inventory_Data[[#This Row],[Date]],"YYYY")</f>
        <v>2025</v>
      </c>
    </row>
    <row r="1157" spans="1:17" x14ac:dyDescent="0.3">
      <c r="A1157" s="1">
        <v>45898</v>
      </c>
      <c r="B1157" t="s">
        <v>43</v>
      </c>
      <c r="C1157" t="s">
        <v>22</v>
      </c>
      <c r="D1157" t="s">
        <v>23</v>
      </c>
      <c r="E1157" t="s">
        <v>34</v>
      </c>
      <c r="F1157">
        <v>279</v>
      </c>
      <c r="G1157">
        <v>47</v>
      </c>
      <c r="H1157">
        <v>156</v>
      </c>
      <c r="I1157">
        <v>170</v>
      </c>
      <c r="J1157">
        <v>100</v>
      </c>
      <c r="K1157">
        <v>263</v>
      </c>
      <c r="L1157">
        <v>44710</v>
      </c>
      <c r="M1157">
        <f>Inventory_Data[[#This Row],[Opening Stock]]+Inventory_Data[[#This Row],[Purchase Qty]]-Inventory_Data[[#This Row],[Sales Qty]]-Inventory_Data[[#This Row],[Closing Stock]]</f>
        <v>0</v>
      </c>
      <c r="N1157">
        <f>Inventory_Data[[#This Row],[Purchase Qty]]*Inventory_Data[[#This Row],[Unit Cost]]</f>
        <v>12361</v>
      </c>
      <c r="O1157" t="str">
        <f>IF(Inventory_Data[[#This Row],[Closing Stock]]&lt;=Inventory_Data[[#This Row],[Reorder Level]],"Low Stock","In Stock")</f>
        <v>In Stock</v>
      </c>
      <c r="P1157" t="str">
        <f>TEXT(Inventory_Data[[#This Row],[Date]],"MMM")</f>
        <v>Aug</v>
      </c>
      <c r="Q1157" t="str">
        <f>TEXT(Inventory_Data[[#This Row],[Date]],"YYYY")</f>
        <v>2025</v>
      </c>
    </row>
    <row r="1158" spans="1:17" x14ac:dyDescent="0.3">
      <c r="A1158" s="1">
        <v>45899</v>
      </c>
      <c r="B1158" t="s">
        <v>19</v>
      </c>
      <c r="C1158" t="s">
        <v>13</v>
      </c>
      <c r="D1158" t="s">
        <v>14</v>
      </c>
      <c r="E1158" t="s">
        <v>34</v>
      </c>
      <c r="F1158">
        <v>111</v>
      </c>
      <c r="G1158">
        <v>6</v>
      </c>
      <c r="H1158">
        <v>35</v>
      </c>
      <c r="I1158">
        <v>82</v>
      </c>
      <c r="J1158">
        <v>27</v>
      </c>
      <c r="K1158">
        <v>14756</v>
      </c>
      <c r="L1158">
        <v>1209992</v>
      </c>
      <c r="M1158">
        <f>Inventory_Data[[#This Row],[Opening Stock]]+Inventory_Data[[#This Row],[Purchase Qty]]-Inventory_Data[[#This Row],[Sales Qty]]-Inventory_Data[[#This Row],[Closing Stock]]</f>
        <v>0</v>
      </c>
      <c r="N1158">
        <f>Inventory_Data[[#This Row],[Purchase Qty]]*Inventory_Data[[#This Row],[Unit Cost]]</f>
        <v>88536</v>
      </c>
      <c r="O1158" t="str">
        <f>IF(Inventory_Data[[#This Row],[Closing Stock]]&lt;=Inventory_Data[[#This Row],[Reorder Level]],"Low Stock","In Stock")</f>
        <v>In Stock</v>
      </c>
      <c r="P1158" t="str">
        <f>TEXT(Inventory_Data[[#This Row],[Date]],"MMM")</f>
        <v>Aug</v>
      </c>
      <c r="Q1158" t="str">
        <f>TEXT(Inventory_Data[[#This Row],[Date]],"YYYY")</f>
        <v>2025</v>
      </c>
    </row>
    <row r="1159" spans="1:17" x14ac:dyDescent="0.3">
      <c r="A1159" s="1">
        <v>45899</v>
      </c>
      <c r="B1159" t="s">
        <v>36</v>
      </c>
      <c r="C1159" t="s">
        <v>22</v>
      </c>
      <c r="D1159" t="s">
        <v>26</v>
      </c>
      <c r="E1159" t="s">
        <v>15</v>
      </c>
      <c r="F1159">
        <v>200</v>
      </c>
      <c r="G1159">
        <v>92</v>
      </c>
      <c r="H1159">
        <v>163</v>
      </c>
      <c r="I1159">
        <v>129</v>
      </c>
      <c r="J1159">
        <v>109</v>
      </c>
      <c r="K1159">
        <v>528</v>
      </c>
      <c r="L1159">
        <v>68112</v>
      </c>
      <c r="M1159">
        <f>Inventory_Data[[#This Row],[Opening Stock]]+Inventory_Data[[#This Row],[Purchase Qty]]-Inventory_Data[[#This Row],[Sales Qty]]-Inventory_Data[[#This Row],[Closing Stock]]</f>
        <v>0</v>
      </c>
      <c r="N1159">
        <f>Inventory_Data[[#This Row],[Purchase Qty]]*Inventory_Data[[#This Row],[Unit Cost]]</f>
        <v>48576</v>
      </c>
      <c r="O1159" t="str">
        <f>IF(Inventory_Data[[#This Row],[Closing Stock]]&lt;=Inventory_Data[[#This Row],[Reorder Level]],"Low Stock","In Stock")</f>
        <v>In Stock</v>
      </c>
      <c r="P1159" t="str">
        <f>TEXT(Inventory_Data[[#This Row],[Date]],"MMM")</f>
        <v>Aug</v>
      </c>
      <c r="Q1159" t="str">
        <f>TEXT(Inventory_Data[[#This Row],[Date]],"YYYY")</f>
        <v>2025</v>
      </c>
    </row>
    <row r="1160" spans="1:17" x14ac:dyDescent="0.3">
      <c r="A1160" s="1">
        <v>45899</v>
      </c>
      <c r="B1160" t="s">
        <v>41</v>
      </c>
      <c r="C1160" t="s">
        <v>22</v>
      </c>
      <c r="D1160" t="s">
        <v>26</v>
      </c>
      <c r="E1160" t="s">
        <v>15</v>
      </c>
      <c r="F1160">
        <v>265</v>
      </c>
      <c r="G1160">
        <v>280</v>
      </c>
      <c r="H1160">
        <v>135</v>
      </c>
      <c r="I1160">
        <v>410</v>
      </c>
      <c r="J1160">
        <v>99</v>
      </c>
      <c r="K1160">
        <v>236</v>
      </c>
      <c r="L1160">
        <v>96760</v>
      </c>
      <c r="M1160">
        <f>Inventory_Data[[#This Row],[Opening Stock]]+Inventory_Data[[#This Row],[Purchase Qty]]-Inventory_Data[[#This Row],[Sales Qty]]-Inventory_Data[[#This Row],[Closing Stock]]</f>
        <v>0</v>
      </c>
      <c r="N1160">
        <f>Inventory_Data[[#This Row],[Purchase Qty]]*Inventory_Data[[#This Row],[Unit Cost]]</f>
        <v>66080</v>
      </c>
      <c r="O1160" t="str">
        <f>IF(Inventory_Data[[#This Row],[Closing Stock]]&lt;=Inventory_Data[[#This Row],[Reorder Level]],"Low Stock","In Stock")</f>
        <v>In Stock</v>
      </c>
      <c r="P1160" t="str">
        <f>TEXT(Inventory_Data[[#This Row],[Date]],"MMM")</f>
        <v>Aug</v>
      </c>
      <c r="Q1160" t="str">
        <f>TEXT(Inventory_Data[[#This Row],[Date]],"YYYY")</f>
        <v>2025</v>
      </c>
    </row>
    <row r="1161" spans="1:17" x14ac:dyDescent="0.3">
      <c r="A1161" s="1">
        <v>45899</v>
      </c>
      <c r="B1161" t="s">
        <v>35</v>
      </c>
      <c r="C1161" t="s">
        <v>22</v>
      </c>
      <c r="D1161" t="s">
        <v>37</v>
      </c>
      <c r="E1161" t="s">
        <v>18</v>
      </c>
      <c r="F1161">
        <v>331</v>
      </c>
      <c r="G1161">
        <v>270</v>
      </c>
      <c r="H1161">
        <v>14</v>
      </c>
      <c r="I1161">
        <v>587</v>
      </c>
      <c r="J1161">
        <v>124</v>
      </c>
      <c r="K1161">
        <v>380</v>
      </c>
      <c r="L1161">
        <v>223060</v>
      </c>
      <c r="M1161">
        <f>Inventory_Data[[#This Row],[Opening Stock]]+Inventory_Data[[#This Row],[Purchase Qty]]-Inventory_Data[[#This Row],[Sales Qty]]-Inventory_Data[[#This Row],[Closing Stock]]</f>
        <v>0</v>
      </c>
      <c r="N1161">
        <f>Inventory_Data[[#This Row],[Purchase Qty]]*Inventory_Data[[#This Row],[Unit Cost]]</f>
        <v>102600</v>
      </c>
      <c r="O1161" t="str">
        <f>IF(Inventory_Data[[#This Row],[Closing Stock]]&lt;=Inventory_Data[[#This Row],[Reorder Level]],"Low Stock","In Stock")</f>
        <v>In Stock</v>
      </c>
      <c r="P1161" t="str">
        <f>TEXT(Inventory_Data[[#This Row],[Date]],"MMM")</f>
        <v>Aug</v>
      </c>
      <c r="Q1161" t="str">
        <f>TEXT(Inventory_Data[[#This Row],[Date]],"YYYY")</f>
        <v>2025</v>
      </c>
    </row>
    <row r="1162" spans="1:17" x14ac:dyDescent="0.3">
      <c r="A1162" s="1">
        <v>45899</v>
      </c>
      <c r="B1162" t="s">
        <v>44</v>
      </c>
      <c r="C1162" t="s">
        <v>28</v>
      </c>
      <c r="D1162" t="s">
        <v>37</v>
      </c>
      <c r="E1162" t="s">
        <v>29</v>
      </c>
      <c r="F1162">
        <v>150</v>
      </c>
      <c r="G1162">
        <v>102</v>
      </c>
      <c r="H1162">
        <v>95</v>
      </c>
      <c r="I1162">
        <v>157</v>
      </c>
      <c r="J1162">
        <v>50</v>
      </c>
      <c r="K1162">
        <v>37284</v>
      </c>
      <c r="L1162">
        <v>5853588</v>
      </c>
      <c r="M1162">
        <f>Inventory_Data[[#This Row],[Opening Stock]]+Inventory_Data[[#This Row],[Purchase Qty]]-Inventory_Data[[#This Row],[Sales Qty]]-Inventory_Data[[#This Row],[Closing Stock]]</f>
        <v>0</v>
      </c>
      <c r="N1162">
        <f>Inventory_Data[[#This Row],[Purchase Qty]]*Inventory_Data[[#This Row],[Unit Cost]]</f>
        <v>3802968</v>
      </c>
      <c r="O1162" t="str">
        <f>IF(Inventory_Data[[#This Row],[Closing Stock]]&lt;=Inventory_Data[[#This Row],[Reorder Level]],"Low Stock","In Stock")</f>
        <v>In Stock</v>
      </c>
      <c r="P1162" t="str">
        <f>TEXT(Inventory_Data[[#This Row],[Date]],"MMM")</f>
        <v>Aug</v>
      </c>
      <c r="Q1162" t="str">
        <f>TEXT(Inventory_Data[[#This Row],[Date]],"YYYY")</f>
        <v>2025</v>
      </c>
    </row>
    <row r="1163" spans="1:17" x14ac:dyDescent="0.3">
      <c r="A1163" s="1">
        <v>45899</v>
      </c>
      <c r="B1163" t="s">
        <v>43</v>
      </c>
      <c r="C1163" t="s">
        <v>22</v>
      </c>
      <c r="D1163" t="s">
        <v>37</v>
      </c>
      <c r="E1163" t="s">
        <v>15</v>
      </c>
      <c r="F1163">
        <v>239</v>
      </c>
      <c r="G1163">
        <v>258</v>
      </c>
      <c r="H1163">
        <v>75</v>
      </c>
      <c r="I1163">
        <v>422</v>
      </c>
      <c r="J1163">
        <v>53</v>
      </c>
      <c r="K1163">
        <v>991</v>
      </c>
      <c r="L1163">
        <v>418202</v>
      </c>
      <c r="M1163">
        <f>Inventory_Data[[#This Row],[Opening Stock]]+Inventory_Data[[#This Row],[Purchase Qty]]-Inventory_Data[[#This Row],[Sales Qty]]-Inventory_Data[[#This Row],[Closing Stock]]</f>
        <v>0</v>
      </c>
      <c r="N1163">
        <f>Inventory_Data[[#This Row],[Purchase Qty]]*Inventory_Data[[#This Row],[Unit Cost]]</f>
        <v>255678</v>
      </c>
      <c r="O1163" t="str">
        <f>IF(Inventory_Data[[#This Row],[Closing Stock]]&lt;=Inventory_Data[[#This Row],[Reorder Level]],"Low Stock","In Stock")</f>
        <v>In Stock</v>
      </c>
      <c r="P1163" t="str">
        <f>TEXT(Inventory_Data[[#This Row],[Date]],"MMM")</f>
        <v>Aug</v>
      </c>
      <c r="Q1163" t="str">
        <f>TEXT(Inventory_Data[[#This Row],[Date]],"YYYY")</f>
        <v>2025</v>
      </c>
    </row>
    <row r="1164" spans="1:17" x14ac:dyDescent="0.3">
      <c r="A1164" s="1">
        <v>45900</v>
      </c>
      <c r="B1164" t="s">
        <v>39</v>
      </c>
      <c r="C1164" t="s">
        <v>28</v>
      </c>
      <c r="D1164" t="s">
        <v>26</v>
      </c>
      <c r="E1164" t="s">
        <v>15</v>
      </c>
      <c r="F1164">
        <v>25</v>
      </c>
      <c r="G1164">
        <v>83</v>
      </c>
      <c r="H1164">
        <v>99</v>
      </c>
      <c r="I1164">
        <v>9</v>
      </c>
      <c r="J1164">
        <v>21</v>
      </c>
      <c r="K1164">
        <v>22200</v>
      </c>
      <c r="L1164">
        <v>199800</v>
      </c>
      <c r="M1164">
        <f>Inventory_Data[[#This Row],[Opening Stock]]+Inventory_Data[[#This Row],[Purchase Qty]]-Inventory_Data[[#This Row],[Sales Qty]]-Inventory_Data[[#This Row],[Closing Stock]]</f>
        <v>0</v>
      </c>
      <c r="N1164">
        <f>Inventory_Data[[#This Row],[Purchase Qty]]*Inventory_Data[[#This Row],[Unit Cost]]</f>
        <v>1842600</v>
      </c>
      <c r="O1164" t="str">
        <f>IF(Inventory_Data[[#This Row],[Closing Stock]]&lt;=Inventory_Data[[#This Row],[Reorder Level]],"Low Stock","In Stock")</f>
        <v>Low Stock</v>
      </c>
      <c r="P1164" t="str">
        <f>TEXT(Inventory_Data[[#This Row],[Date]],"MMM")</f>
        <v>Aug</v>
      </c>
      <c r="Q1164" t="str">
        <f>TEXT(Inventory_Data[[#This Row],[Date]],"YYYY")</f>
        <v>2025</v>
      </c>
    </row>
    <row r="1165" spans="1:17" x14ac:dyDescent="0.3">
      <c r="A1165" s="1">
        <v>45900</v>
      </c>
      <c r="B1165" t="s">
        <v>21</v>
      </c>
      <c r="C1165" t="s">
        <v>22</v>
      </c>
      <c r="D1165" t="s">
        <v>37</v>
      </c>
      <c r="E1165" t="s">
        <v>29</v>
      </c>
      <c r="F1165">
        <v>200</v>
      </c>
      <c r="G1165">
        <v>276</v>
      </c>
      <c r="H1165">
        <v>228</v>
      </c>
      <c r="I1165">
        <v>248</v>
      </c>
      <c r="J1165">
        <v>95</v>
      </c>
      <c r="K1165">
        <v>28</v>
      </c>
      <c r="L1165">
        <v>6944</v>
      </c>
      <c r="M1165">
        <f>Inventory_Data[[#This Row],[Opening Stock]]+Inventory_Data[[#This Row],[Purchase Qty]]-Inventory_Data[[#This Row],[Sales Qty]]-Inventory_Data[[#This Row],[Closing Stock]]</f>
        <v>0</v>
      </c>
      <c r="N1165">
        <f>Inventory_Data[[#This Row],[Purchase Qty]]*Inventory_Data[[#This Row],[Unit Cost]]</f>
        <v>7728</v>
      </c>
      <c r="O1165" t="str">
        <f>IF(Inventory_Data[[#This Row],[Closing Stock]]&lt;=Inventory_Data[[#This Row],[Reorder Level]],"Low Stock","In Stock")</f>
        <v>In Stock</v>
      </c>
      <c r="P1165" t="str">
        <f>TEXT(Inventory_Data[[#This Row],[Date]],"MMM")</f>
        <v>Aug</v>
      </c>
      <c r="Q1165" t="str">
        <f>TEXT(Inventory_Data[[#This Row],[Date]],"YYYY")</f>
        <v>2025</v>
      </c>
    </row>
    <row r="1166" spans="1:17" x14ac:dyDescent="0.3">
      <c r="A1166" s="1">
        <v>45900</v>
      </c>
      <c r="B1166" t="s">
        <v>39</v>
      </c>
      <c r="C1166" t="s">
        <v>28</v>
      </c>
      <c r="D1166" t="s">
        <v>23</v>
      </c>
      <c r="E1166" t="s">
        <v>34</v>
      </c>
      <c r="F1166">
        <v>161</v>
      </c>
      <c r="G1166">
        <v>29</v>
      </c>
      <c r="H1166">
        <v>93</v>
      </c>
      <c r="I1166">
        <v>97</v>
      </c>
      <c r="J1166">
        <v>27</v>
      </c>
      <c r="K1166">
        <v>19209</v>
      </c>
      <c r="L1166">
        <v>1863273</v>
      </c>
      <c r="M1166">
        <f>Inventory_Data[[#This Row],[Opening Stock]]+Inventory_Data[[#This Row],[Purchase Qty]]-Inventory_Data[[#This Row],[Sales Qty]]-Inventory_Data[[#This Row],[Closing Stock]]</f>
        <v>0</v>
      </c>
      <c r="N1166">
        <f>Inventory_Data[[#This Row],[Purchase Qty]]*Inventory_Data[[#This Row],[Unit Cost]]</f>
        <v>557061</v>
      </c>
      <c r="O1166" t="str">
        <f>IF(Inventory_Data[[#This Row],[Closing Stock]]&lt;=Inventory_Data[[#This Row],[Reorder Level]],"Low Stock","In Stock")</f>
        <v>In Stock</v>
      </c>
      <c r="P1166" t="str">
        <f>TEXT(Inventory_Data[[#This Row],[Date]],"MMM")</f>
        <v>Aug</v>
      </c>
      <c r="Q1166" t="str">
        <f>TEXT(Inventory_Data[[#This Row],[Date]],"YYYY")</f>
        <v>2025</v>
      </c>
    </row>
    <row r="1167" spans="1:17" x14ac:dyDescent="0.3">
      <c r="A1167" s="1">
        <v>45900</v>
      </c>
      <c r="B1167" t="s">
        <v>43</v>
      </c>
      <c r="C1167" t="s">
        <v>22</v>
      </c>
      <c r="D1167" t="s">
        <v>23</v>
      </c>
      <c r="E1167" t="s">
        <v>24</v>
      </c>
      <c r="F1167">
        <v>487</v>
      </c>
      <c r="G1167">
        <v>236</v>
      </c>
      <c r="H1167">
        <v>258</v>
      </c>
      <c r="I1167">
        <v>465</v>
      </c>
      <c r="J1167">
        <v>128</v>
      </c>
      <c r="K1167">
        <v>724</v>
      </c>
      <c r="L1167">
        <v>336660</v>
      </c>
      <c r="M1167">
        <f>Inventory_Data[[#This Row],[Opening Stock]]+Inventory_Data[[#This Row],[Purchase Qty]]-Inventory_Data[[#This Row],[Sales Qty]]-Inventory_Data[[#This Row],[Closing Stock]]</f>
        <v>0</v>
      </c>
      <c r="N1167">
        <f>Inventory_Data[[#This Row],[Purchase Qty]]*Inventory_Data[[#This Row],[Unit Cost]]</f>
        <v>170864</v>
      </c>
      <c r="O1167" t="str">
        <f>IF(Inventory_Data[[#This Row],[Closing Stock]]&lt;=Inventory_Data[[#This Row],[Reorder Level]],"Low Stock","In Stock")</f>
        <v>In Stock</v>
      </c>
      <c r="P1167" t="str">
        <f>TEXT(Inventory_Data[[#This Row],[Date]],"MMM")</f>
        <v>Aug</v>
      </c>
      <c r="Q1167" t="str">
        <f>TEXT(Inventory_Data[[#This Row],[Date]],"YYYY")</f>
        <v>2025</v>
      </c>
    </row>
    <row r="1168" spans="1:17" x14ac:dyDescent="0.3">
      <c r="A1168" s="1">
        <v>45900</v>
      </c>
      <c r="B1168" t="s">
        <v>30</v>
      </c>
      <c r="C1168" t="s">
        <v>28</v>
      </c>
      <c r="D1168" t="s">
        <v>26</v>
      </c>
      <c r="E1168" t="s">
        <v>34</v>
      </c>
      <c r="F1168">
        <v>177</v>
      </c>
      <c r="G1168">
        <v>53</v>
      </c>
      <c r="H1168">
        <v>59</v>
      </c>
      <c r="I1168">
        <v>171</v>
      </c>
      <c r="J1168">
        <v>37</v>
      </c>
      <c r="K1168">
        <v>51302</v>
      </c>
      <c r="L1168">
        <v>8772642</v>
      </c>
      <c r="M1168">
        <f>Inventory_Data[[#This Row],[Opening Stock]]+Inventory_Data[[#This Row],[Purchase Qty]]-Inventory_Data[[#This Row],[Sales Qty]]-Inventory_Data[[#This Row],[Closing Stock]]</f>
        <v>0</v>
      </c>
      <c r="N1168">
        <f>Inventory_Data[[#This Row],[Purchase Qty]]*Inventory_Data[[#This Row],[Unit Cost]]</f>
        <v>2719006</v>
      </c>
      <c r="O1168" t="str">
        <f>IF(Inventory_Data[[#This Row],[Closing Stock]]&lt;=Inventory_Data[[#This Row],[Reorder Level]],"Low Stock","In Stock")</f>
        <v>In Stock</v>
      </c>
      <c r="P1168" t="str">
        <f>TEXT(Inventory_Data[[#This Row],[Date]],"MMM")</f>
        <v>Aug</v>
      </c>
      <c r="Q1168" t="str">
        <f>TEXT(Inventory_Data[[#This Row],[Date]],"YYYY")</f>
        <v>2025</v>
      </c>
    </row>
    <row r="1169" spans="1:17" x14ac:dyDescent="0.3">
      <c r="A1169" s="1">
        <v>45901</v>
      </c>
      <c r="B1169" t="s">
        <v>21</v>
      </c>
      <c r="C1169" t="s">
        <v>22</v>
      </c>
      <c r="D1169" t="s">
        <v>23</v>
      </c>
      <c r="E1169" t="s">
        <v>29</v>
      </c>
      <c r="F1169">
        <v>390</v>
      </c>
      <c r="G1169">
        <v>220</v>
      </c>
      <c r="H1169">
        <v>106</v>
      </c>
      <c r="I1169">
        <v>504</v>
      </c>
      <c r="J1169">
        <v>83</v>
      </c>
      <c r="K1169">
        <v>468</v>
      </c>
      <c r="L1169">
        <v>235872</v>
      </c>
      <c r="M1169">
        <f>Inventory_Data[[#This Row],[Opening Stock]]+Inventory_Data[[#This Row],[Purchase Qty]]-Inventory_Data[[#This Row],[Sales Qty]]-Inventory_Data[[#This Row],[Closing Stock]]</f>
        <v>0</v>
      </c>
      <c r="N1169">
        <f>Inventory_Data[[#This Row],[Purchase Qty]]*Inventory_Data[[#This Row],[Unit Cost]]</f>
        <v>102960</v>
      </c>
      <c r="O1169" t="str">
        <f>IF(Inventory_Data[[#This Row],[Closing Stock]]&lt;=Inventory_Data[[#This Row],[Reorder Level]],"Low Stock","In Stock")</f>
        <v>In Stock</v>
      </c>
      <c r="P1169" t="str">
        <f>TEXT(Inventory_Data[[#This Row],[Date]],"MMM")</f>
        <v>Sep</v>
      </c>
      <c r="Q1169" t="str">
        <f>TEXT(Inventory_Data[[#This Row],[Date]],"YYYY")</f>
        <v>2025</v>
      </c>
    </row>
    <row r="1170" spans="1:17" x14ac:dyDescent="0.3">
      <c r="A1170" s="1">
        <v>45901</v>
      </c>
      <c r="B1170" t="s">
        <v>44</v>
      </c>
      <c r="C1170" t="s">
        <v>28</v>
      </c>
      <c r="D1170" t="s">
        <v>14</v>
      </c>
      <c r="E1170" t="s">
        <v>20</v>
      </c>
      <c r="F1170">
        <v>113</v>
      </c>
      <c r="G1170">
        <v>30</v>
      </c>
      <c r="H1170">
        <v>59</v>
      </c>
      <c r="I1170">
        <v>84</v>
      </c>
      <c r="J1170">
        <v>41</v>
      </c>
      <c r="K1170">
        <v>43481</v>
      </c>
      <c r="L1170">
        <v>3652404</v>
      </c>
      <c r="M1170">
        <f>Inventory_Data[[#This Row],[Opening Stock]]+Inventory_Data[[#This Row],[Purchase Qty]]-Inventory_Data[[#This Row],[Sales Qty]]-Inventory_Data[[#This Row],[Closing Stock]]</f>
        <v>0</v>
      </c>
      <c r="N1170">
        <f>Inventory_Data[[#This Row],[Purchase Qty]]*Inventory_Data[[#This Row],[Unit Cost]]</f>
        <v>1304430</v>
      </c>
      <c r="O1170" t="str">
        <f>IF(Inventory_Data[[#This Row],[Closing Stock]]&lt;=Inventory_Data[[#This Row],[Reorder Level]],"Low Stock","In Stock")</f>
        <v>In Stock</v>
      </c>
      <c r="P1170" t="str">
        <f>TEXT(Inventory_Data[[#This Row],[Date]],"MMM")</f>
        <v>Sep</v>
      </c>
      <c r="Q1170" t="str">
        <f>TEXT(Inventory_Data[[#This Row],[Date]],"YYYY")</f>
        <v>2025</v>
      </c>
    </row>
    <row r="1171" spans="1:17" x14ac:dyDescent="0.3">
      <c r="A1171" s="1">
        <v>45902</v>
      </c>
      <c r="B1171" t="s">
        <v>31</v>
      </c>
      <c r="C1171" t="s">
        <v>22</v>
      </c>
      <c r="D1171" t="s">
        <v>14</v>
      </c>
      <c r="E1171" t="s">
        <v>29</v>
      </c>
      <c r="F1171">
        <v>268</v>
      </c>
      <c r="G1171">
        <v>131</v>
      </c>
      <c r="H1171">
        <v>213</v>
      </c>
      <c r="I1171">
        <v>186</v>
      </c>
      <c r="J1171">
        <v>147</v>
      </c>
      <c r="K1171">
        <v>585</v>
      </c>
      <c r="L1171">
        <v>108810</v>
      </c>
      <c r="M1171">
        <f>Inventory_Data[[#This Row],[Opening Stock]]+Inventory_Data[[#This Row],[Purchase Qty]]-Inventory_Data[[#This Row],[Sales Qty]]-Inventory_Data[[#This Row],[Closing Stock]]</f>
        <v>0</v>
      </c>
      <c r="N1171">
        <f>Inventory_Data[[#This Row],[Purchase Qty]]*Inventory_Data[[#This Row],[Unit Cost]]</f>
        <v>76635</v>
      </c>
      <c r="O1171" t="str">
        <f>IF(Inventory_Data[[#This Row],[Closing Stock]]&lt;=Inventory_Data[[#This Row],[Reorder Level]],"Low Stock","In Stock")</f>
        <v>In Stock</v>
      </c>
      <c r="P1171" t="str">
        <f>TEXT(Inventory_Data[[#This Row],[Date]],"MMM")</f>
        <v>Sep</v>
      </c>
      <c r="Q1171" t="str">
        <f>TEXT(Inventory_Data[[#This Row],[Date]],"YYYY")</f>
        <v>2025</v>
      </c>
    </row>
    <row r="1172" spans="1:17" x14ac:dyDescent="0.3">
      <c r="A1172" s="1">
        <v>45902</v>
      </c>
      <c r="B1172" t="s">
        <v>21</v>
      </c>
      <c r="C1172" t="s">
        <v>22</v>
      </c>
      <c r="D1172" t="s">
        <v>23</v>
      </c>
      <c r="E1172" t="s">
        <v>18</v>
      </c>
      <c r="F1172">
        <v>369</v>
      </c>
      <c r="G1172">
        <v>157</v>
      </c>
      <c r="H1172">
        <v>26</v>
      </c>
      <c r="I1172">
        <v>500</v>
      </c>
      <c r="J1172">
        <v>62</v>
      </c>
      <c r="K1172">
        <v>90</v>
      </c>
      <c r="L1172">
        <v>45000</v>
      </c>
      <c r="M1172">
        <f>Inventory_Data[[#This Row],[Opening Stock]]+Inventory_Data[[#This Row],[Purchase Qty]]-Inventory_Data[[#This Row],[Sales Qty]]-Inventory_Data[[#This Row],[Closing Stock]]</f>
        <v>0</v>
      </c>
      <c r="N1172">
        <f>Inventory_Data[[#This Row],[Purchase Qty]]*Inventory_Data[[#This Row],[Unit Cost]]</f>
        <v>14130</v>
      </c>
      <c r="O1172" t="str">
        <f>IF(Inventory_Data[[#This Row],[Closing Stock]]&lt;=Inventory_Data[[#This Row],[Reorder Level]],"Low Stock","In Stock")</f>
        <v>In Stock</v>
      </c>
      <c r="P1172" t="str">
        <f>TEXT(Inventory_Data[[#This Row],[Date]],"MMM")</f>
        <v>Sep</v>
      </c>
      <c r="Q1172" t="str">
        <f>TEXT(Inventory_Data[[#This Row],[Date]],"YYYY")</f>
        <v>2025</v>
      </c>
    </row>
    <row r="1173" spans="1:17" x14ac:dyDescent="0.3">
      <c r="A1173" s="1">
        <v>45902</v>
      </c>
      <c r="B1173" t="s">
        <v>41</v>
      </c>
      <c r="C1173" t="s">
        <v>22</v>
      </c>
      <c r="D1173" t="s">
        <v>23</v>
      </c>
      <c r="E1173" t="s">
        <v>18</v>
      </c>
      <c r="F1173">
        <v>385</v>
      </c>
      <c r="G1173">
        <v>220</v>
      </c>
      <c r="H1173">
        <v>191</v>
      </c>
      <c r="I1173">
        <v>414</v>
      </c>
      <c r="J1173">
        <v>126</v>
      </c>
      <c r="K1173">
        <v>353</v>
      </c>
      <c r="L1173">
        <v>146142</v>
      </c>
      <c r="M1173">
        <f>Inventory_Data[[#This Row],[Opening Stock]]+Inventory_Data[[#This Row],[Purchase Qty]]-Inventory_Data[[#This Row],[Sales Qty]]-Inventory_Data[[#This Row],[Closing Stock]]</f>
        <v>0</v>
      </c>
      <c r="N1173">
        <f>Inventory_Data[[#This Row],[Purchase Qty]]*Inventory_Data[[#This Row],[Unit Cost]]</f>
        <v>77660</v>
      </c>
      <c r="O1173" t="str">
        <f>IF(Inventory_Data[[#This Row],[Closing Stock]]&lt;=Inventory_Data[[#This Row],[Reorder Level]],"Low Stock","In Stock")</f>
        <v>In Stock</v>
      </c>
      <c r="P1173" t="str">
        <f>TEXT(Inventory_Data[[#This Row],[Date]],"MMM")</f>
        <v>Sep</v>
      </c>
      <c r="Q1173" t="str">
        <f>TEXT(Inventory_Data[[#This Row],[Date]],"YYYY")</f>
        <v>2025</v>
      </c>
    </row>
    <row r="1174" spans="1:17" x14ac:dyDescent="0.3">
      <c r="A1174" s="1">
        <v>45902</v>
      </c>
      <c r="B1174" t="s">
        <v>21</v>
      </c>
      <c r="C1174" t="s">
        <v>22</v>
      </c>
      <c r="D1174" t="s">
        <v>26</v>
      </c>
      <c r="E1174" t="s">
        <v>15</v>
      </c>
      <c r="F1174">
        <v>115</v>
      </c>
      <c r="G1174">
        <v>295</v>
      </c>
      <c r="H1174">
        <v>214</v>
      </c>
      <c r="I1174">
        <v>196</v>
      </c>
      <c r="J1174">
        <v>133</v>
      </c>
      <c r="K1174">
        <v>161</v>
      </c>
      <c r="L1174">
        <v>31556</v>
      </c>
      <c r="M1174">
        <f>Inventory_Data[[#This Row],[Opening Stock]]+Inventory_Data[[#This Row],[Purchase Qty]]-Inventory_Data[[#This Row],[Sales Qty]]-Inventory_Data[[#This Row],[Closing Stock]]</f>
        <v>0</v>
      </c>
      <c r="N1174">
        <f>Inventory_Data[[#This Row],[Purchase Qty]]*Inventory_Data[[#This Row],[Unit Cost]]</f>
        <v>47495</v>
      </c>
      <c r="O1174" t="str">
        <f>IF(Inventory_Data[[#This Row],[Closing Stock]]&lt;=Inventory_Data[[#This Row],[Reorder Level]],"Low Stock","In Stock")</f>
        <v>In Stock</v>
      </c>
      <c r="P1174" t="str">
        <f>TEXT(Inventory_Data[[#This Row],[Date]],"MMM")</f>
        <v>Sep</v>
      </c>
      <c r="Q1174" t="str">
        <f>TEXT(Inventory_Data[[#This Row],[Date]],"YYYY")</f>
        <v>2025</v>
      </c>
    </row>
    <row r="1175" spans="1:17" x14ac:dyDescent="0.3">
      <c r="A1175" s="1">
        <v>45902</v>
      </c>
      <c r="B1175" t="s">
        <v>21</v>
      </c>
      <c r="C1175" t="s">
        <v>22</v>
      </c>
      <c r="D1175" t="s">
        <v>23</v>
      </c>
      <c r="E1175" t="s">
        <v>20</v>
      </c>
      <c r="F1175">
        <v>409</v>
      </c>
      <c r="G1175">
        <v>202</v>
      </c>
      <c r="H1175">
        <v>221</v>
      </c>
      <c r="I1175">
        <v>390</v>
      </c>
      <c r="J1175">
        <v>94</v>
      </c>
      <c r="K1175">
        <v>615</v>
      </c>
      <c r="L1175">
        <v>239850</v>
      </c>
      <c r="M1175">
        <f>Inventory_Data[[#This Row],[Opening Stock]]+Inventory_Data[[#This Row],[Purchase Qty]]-Inventory_Data[[#This Row],[Sales Qty]]-Inventory_Data[[#This Row],[Closing Stock]]</f>
        <v>0</v>
      </c>
      <c r="N1175">
        <f>Inventory_Data[[#This Row],[Purchase Qty]]*Inventory_Data[[#This Row],[Unit Cost]]</f>
        <v>124230</v>
      </c>
      <c r="O1175" t="str">
        <f>IF(Inventory_Data[[#This Row],[Closing Stock]]&lt;=Inventory_Data[[#This Row],[Reorder Level]],"Low Stock","In Stock")</f>
        <v>In Stock</v>
      </c>
      <c r="P1175" t="str">
        <f>TEXT(Inventory_Data[[#This Row],[Date]],"MMM")</f>
        <v>Sep</v>
      </c>
      <c r="Q1175" t="str">
        <f>TEXT(Inventory_Data[[#This Row],[Date]],"YYYY")</f>
        <v>2025</v>
      </c>
    </row>
    <row r="1176" spans="1:17" x14ac:dyDescent="0.3">
      <c r="A1176" s="1">
        <v>45902</v>
      </c>
      <c r="B1176" t="s">
        <v>39</v>
      </c>
      <c r="C1176" t="s">
        <v>28</v>
      </c>
      <c r="D1176" t="s">
        <v>14</v>
      </c>
      <c r="E1176" t="s">
        <v>24</v>
      </c>
      <c r="F1176">
        <v>99</v>
      </c>
      <c r="G1176">
        <v>75</v>
      </c>
      <c r="H1176">
        <v>38</v>
      </c>
      <c r="I1176">
        <v>136</v>
      </c>
      <c r="J1176">
        <v>27</v>
      </c>
      <c r="K1176">
        <v>6166</v>
      </c>
      <c r="L1176">
        <v>838576</v>
      </c>
      <c r="M1176">
        <f>Inventory_Data[[#This Row],[Opening Stock]]+Inventory_Data[[#This Row],[Purchase Qty]]-Inventory_Data[[#This Row],[Sales Qty]]-Inventory_Data[[#This Row],[Closing Stock]]</f>
        <v>0</v>
      </c>
      <c r="N1176">
        <f>Inventory_Data[[#This Row],[Purchase Qty]]*Inventory_Data[[#This Row],[Unit Cost]]</f>
        <v>462450</v>
      </c>
      <c r="O1176" t="str">
        <f>IF(Inventory_Data[[#This Row],[Closing Stock]]&lt;=Inventory_Data[[#This Row],[Reorder Level]],"Low Stock","In Stock")</f>
        <v>In Stock</v>
      </c>
      <c r="P1176" t="str">
        <f>TEXT(Inventory_Data[[#This Row],[Date]],"MMM")</f>
        <v>Sep</v>
      </c>
      <c r="Q1176" t="str">
        <f>TEXT(Inventory_Data[[#This Row],[Date]],"YYYY")</f>
        <v>2025</v>
      </c>
    </row>
    <row r="1177" spans="1:17" x14ac:dyDescent="0.3">
      <c r="A1177" s="1">
        <v>45903</v>
      </c>
      <c r="B1177" t="s">
        <v>38</v>
      </c>
      <c r="C1177" t="s">
        <v>17</v>
      </c>
      <c r="D1177" t="s">
        <v>14</v>
      </c>
      <c r="E1177" t="s">
        <v>24</v>
      </c>
      <c r="F1177">
        <v>44</v>
      </c>
      <c r="G1177">
        <v>52</v>
      </c>
      <c r="H1177">
        <v>12</v>
      </c>
      <c r="I1177">
        <v>84</v>
      </c>
      <c r="J1177">
        <v>11</v>
      </c>
      <c r="K1177">
        <v>6789</v>
      </c>
      <c r="L1177">
        <v>570276</v>
      </c>
      <c r="M1177">
        <f>Inventory_Data[[#This Row],[Opening Stock]]+Inventory_Data[[#This Row],[Purchase Qty]]-Inventory_Data[[#This Row],[Sales Qty]]-Inventory_Data[[#This Row],[Closing Stock]]</f>
        <v>0</v>
      </c>
      <c r="N1177">
        <f>Inventory_Data[[#This Row],[Purchase Qty]]*Inventory_Data[[#This Row],[Unit Cost]]</f>
        <v>353028</v>
      </c>
      <c r="O1177" t="str">
        <f>IF(Inventory_Data[[#This Row],[Closing Stock]]&lt;=Inventory_Data[[#This Row],[Reorder Level]],"Low Stock","In Stock")</f>
        <v>In Stock</v>
      </c>
      <c r="P1177" t="str">
        <f>TEXT(Inventory_Data[[#This Row],[Date]],"MMM")</f>
        <v>Sep</v>
      </c>
      <c r="Q1177" t="str">
        <f>TEXT(Inventory_Data[[#This Row],[Date]],"YYYY")</f>
        <v>2025</v>
      </c>
    </row>
    <row r="1178" spans="1:17" x14ac:dyDescent="0.3">
      <c r="A1178" s="1">
        <v>45903</v>
      </c>
      <c r="B1178" t="s">
        <v>39</v>
      </c>
      <c r="C1178" t="s">
        <v>28</v>
      </c>
      <c r="D1178" t="s">
        <v>14</v>
      </c>
      <c r="E1178" t="s">
        <v>24</v>
      </c>
      <c r="F1178">
        <v>77</v>
      </c>
      <c r="G1178">
        <v>99</v>
      </c>
      <c r="H1178">
        <v>76</v>
      </c>
      <c r="I1178">
        <v>100</v>
      </c>
      <c r="J1178">
        <v>40</v>
      </c>
      <c r="K1178">
        <v>17567</v>
      </c>
      <c r="L1178">
        <v>1756700</v>
      </c>
      <c r="M1178">
        <f>Inventory_Data[[#This Row],[Opening Stock]]+Inventory_Data[[#This Row],[Purchase Qty]]-Inventory_Data[[#This Row],[Sales Qty]]-Inventory_Data[[#This Row],[Closing Stock]]</f>
        <v>0</v>
      </c>
      <c r="N1178">
        <f>Inventory_Data[[#This Row],[Purchase Qty]]*Inventory_Data[[#This Row],[Unit Cost]]</f>
        <v>1739133</v>
      </c>
      <c r="O1178" t="str">
        <f>IF(Inventory_Data[[#This Row],[Closing Stock]]&lt;=Inventory_Data[[#This Row],[Reorder Level]],"Low Stock","In Stock")</f>
        <v>In Stock</v>
      </c>
      <c r="P1178" t="str">
        <f>TEXT(Inventory_Data[[#This Row],[Date]],"MMM")</f>
        <v>Sep</v>
      </c>
      <c r="Q1178" t="str">
        <f>TEXT(Inventory_Data[[#This Row],[Date]],"YYYY")</f>
        <v>2025</v>
      </c>
    </row>
    <row r="1179" spans="1:17" x14ac:dyDescent="0.3">
      <c r="A1179" s="1">
        <v>45903</v>
      </c>
      <c r="B1179" t="s">
        <v>39</v>
      </c>
      <c r="C1179" t="s">
        <v>28</v>
      </c>
      <c r="D1179" t="s">
        <v>37</v>
      </c>
      <c r="E1179" t="s">
        <v>29</v>
      </c>
      <c r="F1179">
        <v>108</v>
      </c>
      <c r="G1179">
        <v>109</v>
      </c>
      <c r="H1179">
        <v>58</v>
      </c>
      <c r="I1179">
        <v>159</v>
      </c>
      <c r="J1179">
        <v>47</v>
      </c>
      <c r="K1179">
        <v>51536</v>
      </c>
      <c r="L1179">
        <v>8194224</v>
      </c>
      <c r="M1179">
        <f>Inventory_Data[[#This Row],[Opening Stock]]+Inventory_Data[[#This Row],[Purchase Qty]]-Inventory_Data[[#This Row],[Sales Qty]]-Inventory_Data[[#This Row],[Closing Stock]]</f>
        <v>0</v>
      </c>
      <c r="N1179">
        <f>Inventory_Data[[#This Row],[Purchase Qty]]*Inventory_Data[[#This Row],[Unit Cost]]</f>
        <v>5617424</v>
      </c>
      <c r="O1179" t="str">
        <f>IF(Inventory_Data[[#This Row],[Closing Stock]]&lt;=Inventory_Data[[#This Row],[Reorder Level]],"Low Stock","In Stock")</f>
        <v>In Stock</v>
      </c>
      <c r="P1179" t="str">
        <f>TEXT(Inventory_Data[[#This Row],[Date]],"MMM")</f>
        <v>Sep</v>
      </c>
      <c r="Q1179" t="str">
        <f>TEXT(Inventory_Data[[#This Row],[Date]],"YYYY")</f>
        <v>2025</v>
      </c>
    </row>
    <row r="1180" spans="1:17" x14ac:dyDescent="0.3">
      <c r="A1180" s="1">
        <v>45903</v>
      </c>
      <c r="B1180" t="s">
        <v>42</v>
      </c>
      <c r="C1180" t="s">
        <v>17</v>
      </c>
      <c r="D1180" t="s">
        <v>23</v>
      </c>
      <c r="E1180" t="s">
        <v>20</v>
      </c>
      <c r="F1180">
        <v>99</v>
      </c>
      <c r="G1180">
        <v>12</v>
      </c>
      <c r="H1180">
        <v>25</v>
      </c>
      <c r="I1180">
        <v>86</v>
      </c>
      <c r="J1180">
        <v>28</v>
      </c>
      <c r="K1180">
        <v>15203</v>
      </c>
      <c r="L1180">
        <v>1307458</v>
      </c>
      <c r="M1180">
        <f>Inventory_Data[[#This Row],[Opening Stock]]+Inventory_Data[[#This Row],[Purchase Qty]]-Inventory_Data[[#This Row],[Sales Qty]]-Inventory_Data[[#This Row],[Closing Stock]]</f>
        <v>0</v>
      </c>
      <c r="N1180">
        <f>Inventory_Data[[#This Row],[Purchase Qty]]*Inventory_Data[[#This Row],[Unit Cost]]</f>
        <v>182436</v>
      </c>
      <c r="O1180" t="str">
        <f>IF(Inventory_Data[[#This Row],[Closing Stock]]&lt;=Inventory_Data[[#This Row],[Reorder Level]],"Low Stock","In Stock")</f>
        <v>In Stock</v>
      </c>
      <c r="P1180" t="str">
        <f>TEXT(Inventory_Data[[#This Row],[Date]],"MMM")</f>
        <v>Sep</v>
      </c>
      <c r="Q1180" t="str">
        <f>TEXT(Inventory_Data[[#This Row],[Date]],"YYYY")</f>
        <v>2025</v>
      </c>
    </row>
    <row r="1181" spans="1:17" x14ac:dyDescent="0.3">
      <c r="A1181" s="1">
        <v>45903</v>
      </c>
      <c r="B1181" t="s">
        <v>27</v>
      </c>
      <c r="C1181" t="s">
        <v>28</v>
      </c>
      <c r="D1181" t="s">
        <v>26</v>
      </c>
      <c r="E1181" t="s">
        <v>15</v>
      </c>
      <c r="F1181">
        <v>92</v>
      </c>
      <c r="G1181">
        <v>31</v>
      </c>
      <c r="H1181">
        <v>5</v>
      </c>
      <c r="I1181">
        <v>118</v>
      </c>
      <c r="J1181">
        <v>28</v>
      </c>
      <c r="K1181">
        <v>12132</v>
      </c>
      <c r="L1181">
        <v>1431576</v>
      </c>
      <c r="M1181">
        <f>Inventory_Data[[#This Row],[Opening Stock]]+Inventory_Data[[#This Row],[Purchase Qty]]-Inventory_Data[[#This Row],[Sales Qty]]-Inventory_Data[[#This Row],[Closing Stock]]</f>
        <v>0</v>
      </c>
      <c r="N1181">
        <f>Inventory_Data[[#This Row],[Purchase Qty]]*Inventory_Data[[#This Row],[Unit Cost]]</f>
        <v>376092</v>
      </c>
      <c r="O1181" t="str">
        <f>IF(Inventory_Data[[#This Row],[Closing Stock]]&lt;=Inventory_Data[[#This Row],[Reorder Level]],"Low Stock","In Stock")</f>
        <v>In Stock</v>
      </c>
      <c r="P1181" t="str">
        <f>TEXT(Inventory_Data[[#This Row],[Date]],"MMM")</f>
        <v>Sep</v>
      </c>
      <c r="Q1181" t="str">
        <f>TEXT(Inventory_Data[[#This Row],[Date]],"YYYY")</f>
        <v>2025</v>
      </c>
    </row>
    <row r="1182" spans="1:17" x14ac:dyDescent="0.3">
      <c r="A1182" s="1">
        <v>45903</v>
      </c>
      <c r="B1182" t="s">
        <v>38</v>
      </c>
      <c r="C1182" t="s">
        <v>17</v>
      </c>
      <c r="D1182" t="s">
        <v>23</v>
      </c>
      <c r="E1182" t="s">
        <v>24</v>
      </c>
      <c r="F1182">
        <v>31</v>
      </c>
      <c r="G1182">
        <v>33</v>
      </c>
      <c r="H1182">
        <v>34</v>
      </c>
      <c r="I1182">
        <v>30</v>
      </c>
      <c r="J1182">
        <v>22</v>
      </c>
      <c r="K1182">
        <v>6747</v>
      </c>
      <c r="L1182">
        <v>202410</v>
      </c>
      <c r="M1182">
        <f>Inventory_Data[[#This Row],[Opening Stock]]+Inventory_Data[[#This Row],[Purchase Qty]]-Inventory_Data[[#This Row],[Sales Qty]]-Inventory_Data[[#This Row],[Closing Stock]]</f>
        <v>0</v>
      </c>
      <c r="N1182">
        <f>Inventory_Data[[#This Row],[Purchase Qty]]*Inventory_Data[[#This Row],[Unit Cost]]</f>
        <v>222651</v>
      </c>
      <c r="O1182" t="str">
        <f>IF(Inventory_Data[[#This Row],[Closing Stock]]&lt;=Inventory_Data[[#This Row],[Reorder Level]],"Low Stock","In Stock")</f>
        <v>In Stock</v>
      </c>
      <c r="P1182" t="str">
        <f>TEXT(Inventory_Data[[#This Row],[Date]],"MMM")</f>
        <v>Sep</v>
      </c>
      <c r="Q1182" t="str">
        <f>TEXT(Inventory_Data[[#This Row],[Date]],"YYYY")</f>
        <v>2025</v>
      </c>
    </row>
    <row r="1183" spans="1:17" x14ac:dyDescent="0.3">
      <c r="A1183" s="1">
        <v>45903</v>
      </c>
      <c r="B1183" t="s">
        <v>25</v>
      </c>
      <c r="C1183" t="s">
        <v>17</v>
      </c>
      <c r="D1183" t="s">
        <v>14</v>
      </c>
      <c r="E1183" t="s">
        <v>29</v>
      </c>
      <c r="F1183">
        <v>25</v>
      </c>
      <c r="G1183">
        <v>51</v>
      </c>
      <c r="H1183">
        <v>20</v>
      </c>
      <c r="I1183">
        <v>56</v>
      </c>
      <c r="J1183">
        <v>27</v>
      </c>
      <c r="K1183">
        <v>13198</v>
      </c>
      <c r="L1183">
        <v>739088</v>
      </c>
      <c r="M1183">
        <f>Inventory_Data[[#This Row],[Opening Stock]]+Inventory_Data[[#This Row],[Purchase Qty]]-Inventory_Data[[#This Row],[Sales Qty]]-Inventory_Data[[#This Row],[Closing Stock]]</f>
        <v>0</v>
      </c>
      <c r="N1183">
        <f>Inventory_Data[[#This Row],[Purchase Qty]]*Inventory_Data[[#This Row],[Unit Cost]]</f>
        <v>673098</v>
      </c>
      <c r="O1183" t="str">
        <f>IF(Inventory_Data[[#This Row],[Closing Stock]]&lt;=Inventory_Data[[#This Row],[Reorder Level]],"Low Stock","In Stock")</f>
        <v>In Stock</v>
      </c>
      <c r="P1183" t="str">
        <f>TEXT(Inventory_Data[[#This Row],[Date]],"MMM")</f>
        <v>Sep</v>
      </c>
      <c r="Q1183" t="str">
        <f>TEXT(Inventory_Data[[#This Row],[Date]],"YYYY")</f>
        <v>2025</v>
      </c>
    </row>
    <row r="1184" spans="1:17" x14ac:dyDescent="0.3">
      <c r="A1184" s="1">
        <v>45903</v>
      </c>
      <c r="B1184" t="s">
        <v>33</v>
      </c>
      <c r="C1184" t="s">
        <v>13</v>
      </c>
      <c r="D1184" t="s">
        <v>26</v>
      </c>
      <c r="E1184" t="s">
        <v>29</v>
      </c>
      <c r="F1184">
        <v>73</v>
      </c>
      <c r="G1184">
        <v>7</v>
      </c>
      <c r="H1184">
        <v>36</v>
      </c>
      <c r="I1184">
        <v>44</v>
      </c>
      <c r="J1184">
        <v>16</v>
      </c>
      <c r="K1184">
        <v>1300</v>
      </c>
      <c r="L1184">
        <v>57200</v>
      </c>
      <c r="M1184">
        <f>Inventory_Data[[#This Row],[Opening Stock]]+Inventory_Data[[#This Row],[Purchase Qty]]-Inventory_Data[[#This Row],[Sales Qty]]-Inventory_Data[[#This Row],[Closing Stock]]</f>
        <v>0</v>
      </c>
      <c r="N1184">
        <f>Inventory_Data[[#This Row],[Purchase Qty]]*Inventory_Data[[#This Row],[Unit Cost]]</f>
        <v>9100</v>
      </c>
      <c r="O1184" t="str">
        <f>IF(Inventory_Data[[#This Row],[Closing Stock]]&lt;=Inventory_Data[[#This Row],[Reorder Level]],"Low Stock","In Stock")</f>
        <v>In Stock</v>
      </c>
      <c r="P1184" t="str">
        <f>TEXT(Inventory_Data[[#This Row],[Date]],"MMM")</f>
        <v>Sep</v>
      </c>
      <c r="Q1184" t="str">
        <f>TEXT(Inventory_Data[[#This Row],[Date]],"YYYY")</f>
        <v>2025</v>
      </c>
    </row>
    <row r="1185" spans="1:17" x14ac:dyDescent="0.3">
      <c r="A1185" s="1">
        <v>45903</v>
      </c>
      <c r="B1185" t="s">
        <v>39</v>
      </c>
      <c r="C1185" t="s">
        <v>28</v>
      </c>
      <c r="D1185" t="s">
        <v>37</v>
      </c>
      <c r="E1185" t="s">
        <v>15</v>
      </c>
      <c r="F1185">
        <v>152</v>
      </c>
      <c r="G1185">
        <v>19</v>
      </c>
      <c r="H1185">
        <v>56</v>
      </c>
      <c r="I1185">
        <v>115</v>
      </c>
      <c r="J1185">
        <v>51</v>
      </c>
      <c r="K1185">
        <v>62140</v>
      </c>
      <c r="L1185">
        <v>7146100</v>
      </c>
      <c r="M1185">
        <f>Inventory_Data[[#This Row],[Opening Stock]]+Inventory_Data[[#This Row],[Purchase Qty]]-Inventory_Data[[#This Row],[Sales Qty]]-Inventory_Data[[#This Row],[Closing Stock]]</f>
        <v>0</v>
      </c>
      <c r="N1185">
        <f>Inventory_Data[[#This Row],[Purchase Qty]]*Inventory_Data[[#This Row],[Unit Cost]]</f>
        <v>1180660</v>
      </c>
      <c r="O1185" t="str">
        <f>IF(Inventory_Data[[#This Row],[Closing Stock]]&lt;=Inventory_Data[[#This Row],[Reorder Level]],"Low Stock","In Stock")</f>
        <v>In Stock</v>
      </c>
      <c r="P1185" t="str">
        <f>TEXT(Inventory_Data[[#This Row],[Date]],"MMM")</f>
        <v>Sep</v>
      </c>
      <c r="Q1185" t="str">
        <f>TEXT(Inventory_Data[[#This Row],[Date]],"YYYY")</f>
        <v>2025</v>
      </c>
    </row>
    <row r="1186" spans="1:17" x14ac:dyDescent="0.3">
      <c r="A1186" s="1">
        <v>45905</v>
      </c>
      <c r="B1186" t="s">
        <v>31</v>
      </c>
      <c r="C1186" t="s">
        <v>22</v>
      </c>
      <c r="D1186" t="s">
        <v>26</v>
      </c>
      <c r="E1186" t="s">
        <v>18</v>
      </c>
      <c r="F1186">
        <v>260</v>
      </c>
      <c r="G1186">
        <v>68</v>
      </c>
      <c r="H1186">
        <v>261</v>
      </c>
      <c r="I1186">
        <v>67</v>
      </c>
      <c r="J1186">
        <v>84</v>
      </c>
      <c r="K1186">
        <v>945</v>
      </c>
      <c r="L1186">
        <v>63315</v>
      </c>
      <c r="M1186">
        <f>Inventory_Data[[#This Row],[Opening Stock]]+Inventory_Data[[#This Row],[Purchase Qty]]-Inventory_Data[[#This Row],[Sales Qty]]-Inventory_Data[[#This Row],[Closing Stock]]</f>
        <v>0</v>
      </c>
      <c r="N1186">
        <f>Inventory_Data[[#This Row],[Purchase Qty]]*Inventory_Data[[#This Row],[Unit Cost]]</f>
        <v>64260</v>
      </c>
      <c r="O1186" t="str">
        <f>IF(Inventory_Data[[#This Row],[Closing Stock]]&lt;=Inventory_Data[[#This Row],[Reorder Level]],"Low Stock","In Stock")</f>
        <v>Low Stock</v>
      </c>
      <c r="P1186" t="str">
        <f>TEXT(Inventory_Data[[#This Row],[Date]],"MMM")</f>
        <v>Sep</v>
      </c>
      <c r="Q1186" t="str">
        <f>TEXT(Inventory_Data[[#This Row],[Date]],"YYYY")</f>
        <v>2025</v>
      </c>
    </row>
    <row r="1187" spans="1:17" x14ac:dyDescent="0.3">
      <c r="A1187" s="1">
        <v>45906</v>
      </c>
      <c r="B1187" t="s">
        <v>43</v>
      </c>
      <c r="C1187" t="s">
        <v>22</v>
      </c>
      <c r="D1187" t="s">
        <v>37</v>
      </c>
      <c r="E1187" t="s">
        <v>15</v>
      </c>
      <c r="F1187">
        <v>261</v>
      </c>
      <c r="G1187">
        <v>182</v>
      </c>
      <c r="H1187">
        <v>167</v>
      </c>
      <c r="I1187">
        <v>276</v>
      </c>
      <c r="J1187">
        <v>66</v>
      </c>
      <c r="K1187">
        <v>240</v>
      </c>
      <c r="L1187">
        <v>66240</v>
      </c>
      <c r="M1187">
        <f>Inventory_Data[[#This Row],[Opening Stock]]+Inventory_Data[[#This Row],[Purchase Qty]]-Inventory_Data[[#This Row],[Sales Qty]]-Inventory_Data[[#This Row],[Closing Stock]]</f>
        <v>0</v>
      </c>
      <c r="N1187">
        <f>Inventory_Data[[#This Row],[Purchase Qty]]*Inventory_Data[[#This Row],[Unit Cost]]</f>
        <v>43680</v>
      </c>
      <c r="O1187" t="str">
        <f>IF(Inventory_Data[[#This Row],[Closing Stock]]&lt;=Inventory_Data[[#This Row],[Reorder Level]],"Low Stock","In Stock")</f>
        <v>In Stock</v>
      </c>
      <c r="P1187" t="str">
        <f>TEXT(Inventory_Data[[#This Row],[Date]],"MMM")</f>
        <v>Sep</v>
      </c>
      <c r="Q1187" t="str">
        <f>TEXT(Inventory_Data[[#This Row],[Date]],"YYYY")</f>
        <v>2025</v>
      </c>
    </row>
    <row r="1188" spans="1:17" x14ac:dyDescent="0.3">
      <c r="A1188" s="1">
        <v>45906</v>
      </c>
      <c r="B1188" t="s">
        <v>35</v>
      </c>
      <c r="C1188" t="s">
        <v>22</v>
      </c>
      <c r="D1188" t="s">
        <v>26</v>
      </c>
      <c r="E1188" t="s">
        <v>18</v>
      </c>
      <c r="F1188">
        <v>176</v>
      </c>
      <c r="G1188">
        <v>59</v>
      </c>
      <c r="H1188">
        <v>33</v>
      </c>
      <c r="I1188">
        <v>202</v>
      </c>
      <c r="J1188">
        <v>149</v>
      </c>
      <c r="K1188">
        <v>150</v>
      </c>
      <c r="L1188">
        <v>30300</v>
      </c>
      <c r="M1188">
        <f>Inventory_Data[[#This Row],[Opening Stock]]+Inventory_Data[[#This Row],[Purchase Qty]]-Inventory_Data[[#This Row],[Sales Qty]]-Inventory_Data[[#This Row],[Closing Stock]]</f>
        <v>0</v>
      </c>
      <c r="N1188">
        <f>Inventory_Data[[#This Row],[Purchase Qty]]*Inventory_Data[[#This Row],[Unit Cost]]</f>
        <v>8850</v>
      </c>
      <c r="O1188" t="str">
        <f>IF(Inventory_Data[[#This Row],[Closing Stock]]&lt;=Inventory_Data[[#This Row],[Reorder Level]],"Low Stock","In Stock")</f>
        <v>In Stock</v>
      </c>
      <c r="P1188" t="str">
        <f>TEXT(Inventory_Data[[#This Row],[Date]],"MMM")</f>
        <v>Sep</v>
      </c>
      <c r="Q1188" t="str">
        <f>TEXT(Inventory_Data[[#This Row],[Date]],"YYYY")</f>
        <v>2025</v>
      </c>
    </row>
    <row r="1189" spans="1:17" x14ac:dyDescent="0.3">
      <c r="A1189" s="1">
        <v>45906</v>
      </c>
      <c r="B1189" t="s">
        <v>41</v>
      </c>
      <c r="C1189" t="s">
        <v>22</v>
      </c>
      <c r="D1189" t="s">
        <v>37</v>
      </c>
      <c r="E1189" t="s">
        <v>29</v>
      </c>
      <c r="F1189">
        <v>58</v>
      </c>
      <c r="G1189">
        <v>63</v>
      </c>
      <c r="H1189">
        <v>121</v>
      </c>
      <c r="I1189">
        <v>0</v>
      </c>
      <c r="J1189">
        <v>64</v>
      </c>
      <c r="K1189">
        <v>604</v>
      </c>
      <c r="L1189">
        <v>0</v>
      </c>
      <c r="M1189">
        <f>Inventory_Data[[#This Row],[Opening Stock]]+Inventory_Data[[#This Row],[Purchase Qty]]-Inventory_Data[[#This Row],[Sales Qty]]-Inventory_Data[[#This Row],[Closing Stock]]</f>
        <v>0</v>
      </c>
      <c r="N1189">
        <f>Inventory_Data[[#This Row],[Purchase Qty]]*Inventory_Data[[#This Row],[Unit Cost]]</f>
        <v>38052</v>
      </c>
      <c r="O1189" t="str">
        <f>IF(Inventory_Data[[#This Row],[Closing Stock]]&lt;=Inventory_Data[[#This Row],[Reorder Level]],"Low Stock","In Stock")</f>
        <v>Low Stock</v>
      </c>
      <c r="P1189" t="str">
        <f>TEXT(Inventory_Data[[#This Row],[Date]],"MMM")</f>
        <v>Sep</v>
      </c>
      <c r="Q1189" t="str">
        <f>TEXT(Inventory_Data[[#This Row],[Date]],"YYYY")</f>
        <v>2025</v>
      </c>
    </row>
    <row r="1190" spans="1:17" x14ac:dyDescent="0.3">
      <c r="A1190" s="1">
        <v>45906</v>
      </c>
      <c r="B1190" t="s">
        <v>25</v>
      </c>
      <c r="C1190" t="s">
        <v>17</v>
      </c>
      <c r="D1190" t="s">
        <v>23</v>
      </c>
      <c r="E1190" t="s">
        <v>24</v>
      </c>
      <c r="F1190">
        <v>62</v>
      </c>
      <c r="G1190">
        <v>43</v>
      </c>
      <c r="H1190">
        <v>12</v>
      </c>
      <c r="I1190">
        <v>93</v>
      </c>
      <c r="J1190">
        <v>25</v>
      </c>
      <c r="K1190">
        <v>11817</v>
      </c>
      <c r="L1190">
        <v>1098981</v>
      </c>
      <c r="M1190">
        <f>Inventory_Data[[#This Row],[Opening Stock]]+Inventory_Data[[#This Row],[Purchase Qty]]-Inventory_Data[[#This Row],[Sales Qty]]-Inventory_Data[[#This Row],[Closing Stock]]</f>
        <v>0</v>
      </c>
      <c r="N1190">
        <f>Inventory_Data[[#This Row],[Purchase Qty]]*Inventory_Data[[#This Row],[Unit Cost]]</f>
        <v>508131</v>
      </c>
      <c r="O1190" t="str">
        <f>IF(Inventory_Data[[#This Row],[Closing Stock]]&lt;=Inventory_Data[[#This Row],[Reorder Level]],"Low Stock","In Stock")</f>
        <v>In Stock</v>
      </c>
      <c r="P1190" t="str">
        <f>TEXT(Inventory_Data[[#This Row],[Date]],"MMM")</f>
        <v>Sep</v>
      </c>
      <c r="Q1190" t="str">
        <f>TEXT(Inventory_Data[[#This Row],[Date]],"YYYY")</f>
        <v>2025</v>
      </c>
    </row>
    <row r="1191" spans="1:17" x14ac:dyDescent="0.3">
      <c r="A1191" s="1">
        <v>45907</v>
      </c>
      <c r="B1191" t="s">
        <v>43</v>
      </c>
      <c r="C1191" t="s">
        <v>22</v>
      </c>
      <c r="D1191" t="s">
        <v>37</v>
      </c>
      <c r="E1191" t="s">
        <v>34</v>
      </c>
      <c r="F1191">
        <v>271</v>
      </c>
      <c r="G1191">
        <v>167</v>
      </c>
      <c r="H1191">
        <v>150</v>
      </c>
      <c r="I1191">
        <v>288</v>
      </c>
      <c r="J1191">
        <v>105</v>
      </c>
      <c r="K1191">
        <v>901</v>
      </c>
      <c r="L1191">
        <v>259488</v>
      </c>
      <c r="M1191">
        <f>Inventory_Data[[#This Row],[Opening Stock]]+Inventory_Data[[#This Row],[Purchase Qty]]-Inventory_Data[[#This Row],[Sales Qty]]-Inventory_Data[[#This Row],[Closing Stock]]</f>
        <v>0</v>
      </c>
      <c r="N1191">
        <f>Inventory_Data[[#This Row],[Purchase Qty]]*Inventory_Data[[#This Row],[Unit Cost]]</f>
        <v>150467</v>
      </c>
      <c r="O1191" t="str">
        <f>IF(Inventory_Data[[#This Row],[Closing Stock]]&lt;=Inventory_Data[[#This Row],[Reorder Level]],"Low Stock","In Stock")</f>
        <v>In Stock</v>
      </c>
      <c r="P1191" t="str">
        <f>TEXT(Inventory_Data[[#This Row],[Date]],"MMM")</f>
        <v>Sep</v>
      </c>
      <c r="Q1191" t="str">
        <f>TEXT(Inventory_Data[[#This Row],[Date]],"YYYY")</f>
        <v>2025</v>
      </c>
    </row>
    <row r="1192" spans="1:17" x14ac:dyDescent="0.3">
      <c r="A1192" s="1">
        <v>45907</v>
      </c>
      <c r="B1192" t="s">
        <v>38</v>
      </c>
      <c r="C1192" t="s">
        <v>17</v>
      </c>
      <c r="D1192" t="s">
        <v>14</v>
      </c>
      <c r="E1192" t="s">
        <v>15</v>
      </c>
      <c r="F1192">
        <v>21</v>
      </c>
      <c r="G1192">
        <v>25</v>
      </c>
      <c r="H1192">
        <v>12</v>
      </c>
      <c r="I1192">
        <v>34</v>
      </c>
      <c r="J1192">
        <v>21</v>
      </c>
      <c r="K1192">
        <v>3406</v>
      </c>
      <c r="L1192">
        <v>115804</v>
      </c>
      <c r="M1192">
        <f>Inventory_Data[[#This Row],[Opening Stock]]+Inventory_Data[[#This Row],[Purchase Qty]]-Inventory_Data[[#This Row],[Sales Qty]]-Inventory_Data[[#This Row],[Closing Stock]]</f>
        <v>0</v>
      </c>
      <c r="N1192">
        <f>Inventory_Data[[#This Row],[Purchase Qty]]*Inventory_Data[[#This Row],[Unit Cost]]</f>
        <v>85150</v>
      </c>
      <c r="O1192" t="str">
        <f>IF(Inventory_Data[[#This Row],[Closing Stock]]&lt;=Inventory_Data[[#This Row],[Reorder Level]],"Low Stock","In Stock")</f>
        <v>In Stock</v>
      </c>
      <c r="P1192" t="str">
        <f>TEXT(Inventory_Data[[#This Row],[Date]],"MMM")</f>
        <v>Sep</v>
      </c>
      <c r="Q1192" t="str">
        <f>TEXT(Inventory_Data[[#This Row],[Date]],"YYYY")</f>
        <v>2025</v>
      </c>
    </row>
    <row r="1193" spans="1:17" x14ac:dyDescent="0.3">
      <c r="A1193" s="1">
        <v>45907</v>
      </c>
      <c r="B1193" t="s">
        <v>31</v>
      </c>
      <c r="C1193" t="s">
        <v>22</v>
      </c>
      <c r="D1193" t="s">
        <v>26</v>
      </c>
      <c r="E1193" t="s">
        <v>18</v>
      </c>
      <c r="F1193">
        <v>300</v>
      </c>
      <c r="G1193">
        <v>200</v>
      </c>
      <c r="H1193">
        <v>192</v>
      </c>
      <c r="I1193">
        <v>308</v>
      </c>
      <c r="J1193">
        <v>115</v>
      </c>
      <c r="K1193">
        <v>1045</v>
      </c>
      <c r="L1193">
        <v>321860</v>
      </c>
      <c r="M1193">
        <f>Inventory_Data[[#This Row],[Opening Stock]]+Inventory_Data[[#This Row],[Purchase Qty]]-Inventory_Data[[#This Row],[Sales Qty]]-Inventory_Data[[#This Row],[Closing Stock]]</f>
        <v>0</v>
      </c>
      <c r="N1193">
        <f>Inventory_Data[[#This Row],[Purchase Qty]]*Inventory_Data[[#This Row],[Unit Cost]]</f>
        <v>209000</v>
      </c>
      <c r="O1193" t="str">
        <f>IF(Inventory_Data[[#This Row],[Closing Stock]]&lt;=Inventory_Data[[#This Row],[Reorder Level]],"Low Stock","In Stock")</f>
        <v>In Stock</v>
      </c>
      <c r="P1193" t="str">
        <f>TEXT(Inventory_Data[[#This Row],[Date]],"MMM")</f>
        <v>Sep</v>
      </c>
      <c r="Q1193" t="str">
        <f>TEXT(Inventory_Data[[#This Row],[Date]],"YYYY")</f>
        <v>2025</v>
      </c>
    </row>
    <row r="1194" spans="1:17" x14ac:dyDescent="0.3">
      <c r="A1194" s="1">
        <v>45907</v>
      </c>
      <c r="B1194" t="s">
        <v>21</v>
      </c>
      <c r="C1194" t="s">
        <v>22</v>
      </c>
      <c r="D1194" t="s">
        <v>26</v>
      </c>
      <c r="E1194" t="s">
        <v>15</v>
      </c>
      <c r="F1194">
        <v>57</v>
      </c>
      <c r="G1194">
        <v>182</v>
      </c>
      <c r="H1194">
        <v>183</v>
      </c>
      <c r="I1194">
        <v>56</v>
      </c>
      <c r="J1194">
        <v>96</v>
      </c>
      <c r="K1194">
        <v>1024</v>
      </c>
      <c r="L1194">
        <v>57344</v>
      </c>
      <c r="M1194">
        <f>Inventory_Data[[#This Row],[Opening Stock]]+Inventory_Data[[#This Row],[Purchase Qty]]-Inventory_Data[[#This Row],[Sales Qty]]-Inventory_Data[[#This Row],[Closing Stock]]</f>
        <v>0</v>
      </c>
      <c r="N1194">
        <f>Inventory_Data[[#This Row],[Purchase Qty]]*Inventory_Data[[#This Row],[Unit Cost]]</f>
        <v>186368</v>
      </c>
      <c r="O1194" t="str">
        <f>IF(Inventory_Data[[#This Row],[Closing Stock]]&lt;=Inventory_Data[[#This Row],[Reorder Level]],"Low Stock","In Stock")</f>
        <v>Low Stock</v>
      </c>
      <c r="P1194" t="str">
        <f>TEXT(Inventory_Data[[#This Row],[Date]],"MMM")</f>
        <v>Sep</v>
      </c>
      <c r="Q1194" t="str">
        <f>TEXT(Inventory_Data[[#This Row],[Date]],"YYYY")</f>
        <v>2025</v>
      </c>
    </row>
    <row r="1195" spans="1:17" x14ac:dyDescent="0.3">
      <c r="A1195" s="1">
        <v>45908</v>
      </c>
      <c r="B1195" t="s">
        <v>41</v>
      </c>
      <c r="C1195" t="s">
        <v>22</v>
      </c>
      <c r="D1195" t="s">
        <v>23</v>
      </c>
      <c r="E1195" t="s">
        <v>18</v>
      </c>
      <c r="F1195">
        <v>184</v>
      </c>
      <c r="G1195">
        <v>119</v>
      </c>
      <c r="H1195">
        <v>88</v>
      </c>
      <c r="I1195">
        <v>215</v>
      </c>
      <c r="J1195">
        <v>91</v>
      </c>
      <c r="K1195">
        <v>708</v>
      </c>
      <c r="L1195">
        <v>152220</v>
      </c>
      <c r="M1195">
        <f>Inventory_Data[[#This Row],[Opening Stock]]+Inventory_Data[[#This Row],[Purchase Qty]]-Inventory_Data[[#This Row],[Sales Qty]]-Inventory_Data[[#This Row],[Closing Stock]]</f>
        <v>0</v>
      </c>
      <c r="N1195">
        <f>Inventory_Data[[#This Row],[Purchase Qty]]*Inventory_Data[[#This Row],[Unit Cost]]</f>
        <v>84252</v>
      </c>
      <c r="O1195" t="str">
        <f>IF(Inventory_Data[[#This Row],[Closing Stock]]&lt;=Inventory_Data[[#This Row],[Reorder Level]],"Low Stock","In Stock")</f>
        <v>In Stock</v>
      </c>
      <c r="P1195" t="str">
        <f>TEXT(Inventory_Data[[#This Row],[Date]],"MMM")</f>
        <v>Sep</v>
      </c>
      <c r="Q1195" t="str">
        <f>TEXT(Inventory_Data[[#This Row],[Date]],"YYYY")</f>
        <v>2025</v>
      </c>
    </row>
    <row r="1196" spans="1:17" x14ac:dyDescent="0.3">
      <c r="A1196" s="1">
        <v>45908</v>
      </c>
      <c r="B1196" t="s">
        <v>27</v>
      </c>
      <c r="C1196" t="s">
        <v>28</v>
      </c>
      <c r="D1196" t="s">
        <v>14</v>
      </c>
      <c r="E1196" t="s">
        <v>20</v>
      </c>
      <c r="F1196">
        <v>67</v>
      </c>
      <c r="G1196">
        <v>51</v>
      </c>
      <c r="H1196">
        <v>51</v>
      </c>
      <c r="I1196">
        <v>67</v>
      </c>
      <c r="J1196">
        <v>21</v>
      </c>
      <c r="K1196">
        <v>28794</v>
      </c>
      <c r="L1196">
        <v>1929198</v>
      </c>
      <c r="M1196">
        <f>Inventory_Data[[#This Row],[Opening Stock]]+Inventory_Data[[#This Row],[Purchase Qty]]-Inventory_Data[[#This Row],[Sales Qty]]-Inventory_Data[[#This Row],[Closing Stock]]</f>
        <v>0</v>
      </c>
      <c r="N1196">
        <f>Inventory_Data[[#This Row],[Purchase Qty]]*Inventory_Data[[#This Row],[Unit Cost]]</f>
        <v>1468494</v>
      </c>
      <c r="O1196" t="str">
        <f>IF(Inventory_Data[[#This Row],[Closing Stock]]&lt;=Inventory_Data[[#This Row],[Reorder Level]],"Low Stock","In Stock")</f>
        <v>In Stock</v>
      </c>
      <c r="P1196" t="str">
        <f>TEXT(Inventory_Data[[#This Row],[Date]],"MMM")</f>
        <v>Sep</v>
      </c>
      <c r="Q1196" t="str">
        <f>TEXT(Inventory_Data[[#This Row],[Date]],"YYYY")</f>
        <v>2025</v>
      </c>
    </row>
    <row r="1197" spans="1:17" x14ac:dyDescent="0.3">
      <c r="A1197" s="1">
        <v>45908</v>
      </c>
      <c r="B1197" t="s">
        <v>44</v>
      </c>
      <c r="C1197" t="s">
        <v>28</v>
      </c>
      <c r="D1197" t="s">
        <v>14</v>
      </c>
      <c r="E1197" t="s">
        <v>15</v>
      </c>
      <c r="F1197">
        <v>87</v>
      </c>
      <c r="G1197">
        <v>38</v>
      </c>
      <c r="H1197">
        <v>66</v>
      </c>
      <c r="I1197">
        <v>59</v>
      </c>
      <c r="J1197">
        <v>39</v>
      </c>
      <c r="K1197">
        <v>31323</v>
      </c>
      <c r="L1197">
        <v>1848057</v>
      </c>
      <c r="M1197">
        <f>Inventory_Data[[#This Row],[Opening Stock]]+Inventory_Data[[#This Row],[Purchase Qty]]-Inventory_Data[[#This Row],[Sales Qty]]-Inventory_Data[[#This Row],[Closing Stock]]</f>
        <v>0</v>
      </c>
      <c r="N1197">
        <f>Inventory_Data[[#This Row],[Purchase Qty]]*Inventory_Data[[#This Row],[Unit Cost]]</f>
        <v>1190274</v>
      </c>
      <c r="O1197" t="str">
        <f>IF(Inventory_Data[[#This Row],[Closing Stock]]&lt;=Inventory_Data[[#This Row],[Reorder Level]],"Low Stock","In Stock")</f>
        <v>In Stock</v>
      </c>
      <c r="P1197" t="str">
        <f>TEXT(Inventory_Data[[#This Row],[Date]],"MMM")</f>
        <v>Sep</v>
      </c>
      <c r="Q1197" t="str">
        <f>TEXT(Inventory_Data[[#This Row],[Date]],"YYYY")</f>
        <v>2025</v>
      </c>
    </row>
    <row r="1198" spans="1:17" x14ac:dyDescent="0.3">
      <c r="A1198" s="1">
        <v>45908</v>
      </c>
      <c r="B1198" t="s">
        <v>45</v>
      </c>
      <c r="C1198" t="s">
        <v>13</v>
      </c>
      <c r="D1198" t="s">
        <v>14</v>
      </c>
      <c r="E1198" t="s">
        <v>29</v>
      </c>
      <c r="F1198">
        <v>105</v>
      </c>
      <c r="G1198">
        <v>27</v>
      </c>
      <c r="H1198">
        <v>61</v>
      </c>
      <c r="I1198">
        <v>71</v>
      </c>
      <c r="J1198">
        <v>28</v>
      </c>
      <c r="K1198">
        <v>15923</v>
      </c>
      <c r="L1198">
        <v>1130533</v>
      </c>
      <c r="M1198">
        <f>Inventory_Data[[#This Row],[Opening Stock]]+Inventory_Data[[#This Row],[Purchase Qty]]-Inventory_Data[[#This Row],[Sales Qty]]-Inventory_Data[[#This Row],[Closing Stock]]</f>
        <v>0</v>
      </c>
      <c r="N1198">
        <f>Inventory_Data[[#This Row],[Purchase Qty]]*Inventory_Data[[#This Row],[Unit Cost]]</f>
        <v>429921</v>
      </c>
      <c r="O1198" t="str">
        <f>IF(Inventory_Data[[#This Row],[Closing Stock]]&lt;=Inventory_Data[[#This Row],[Reorder Level]],"Low Stock","In Stock")</f>
        <v>In Stock</v>
      </c>
      <c r="P1198" t="str">
        <f>TEXT(Inventory_Data[[#This Row],[Date]],"MMM")</f>
        <v>Sep</v>
      </c>
      <c r="Q1198" t="str">
        <f>TEXT(Inventory_Data[[#This Row],[Date]],"YYYY")</f>
        <v>2025</v>
      </c>
    </row>
    <row r="1199" spans="1:17" x14ac:dyDescent="0.3">
      <c r="A1199" s="1">
        <v>45908</v>
      </c>
      <c r="B1199" t="s">
        <v>39</v>
      </c>
      <c r="C1199" t="s">
        <v>28</v>
      </c>
      <c r="D1199" t="s">
        <v>26</v>
      </c>
      <c r="E1199" t="s">
        <v>29</v>
      </c>
      <c r="F1199">
        <v>57</v>
      </c>
      <c r="G1199">
        <v>107</v>
      </c>
      <c r="H1199">
        <v>12</v>
      </c>
      <c r="I1199">
        <v>152</v>
      </c>
      <c r="J1199">
        <v>40</v>
      </c>
      <c r="K1199">
        <v>27907</v>
      </c>
      <c r="L1199">
        <v>4241864</v>
      </c>
      <c r="M1199">
        <f>Inventory_Data[[#This Row],[Opening Stock]]+Inventory_Data[[#This Row],[Purchase Qty]]-Inventory_Data[[#This Row],[Sales Qty]]-Inventory_Data[[#This Row],[Closing Stock]]</f>
        <v>0</v>
      </c>
      <c r="N1199">
        <f>Inventory_Data[[#This Row],[Purchase Qty]]*Inventory_Data[[#This Row],[Unit Cost]]</f>
        <v>2986049</v>
      </c>
      <c r="O1199" t="str">
        <f>IF(Inventory_Data[[#This Row],[Closing Stock]]&lt;=Inventory_Data[[#This Row],[Reorder Level]],"Low Stock","In Stock")</f>
        <v>In Stock</v>
      </c>
      <c r="P1199" t="str">
        <f>TEXT(Inventory_Data[[#This Row],[Date]],"MMM")</f>
        <v>Sep</v>
      </c>
      <c r="Q1199" t="str">
        <f>TEXT(Inventory_Data[[#This Row],[Date]],"YYYY")</f>
        <v>2025</v>
      </c>
    </row>
    <row r="1200" spans="1:17" x14ac:dyDescent="0.3">
      <c r="A1200" s="1">
        <v>45909</v>
      </c>
      <c r="B1200" t="s">
        <v>16</v>
      </c>
      <c r="C1200" t="s">
        <v>17</v>
      </c>
      <c r="D1200" t="s">
        <v>23</v>
      </c>
      <c r="E1200" t="s">
        <v>34</v>
      </c>
      <c r="F1200">
        <v>46</v>
      </c>
      <c r="G1200">
        <v>19</v>
      </c>
      <c r="H1200">
        <v>29</v>
      </c>
      <c r="I1200">
        <v>36</v>
      </c>
      <c r="J1200">
        <v>11</v>
      </c>
      <c r="K1200">
        <v>9197</v>
      </c>
      <c r="L1200">
        <v>331092</v>
      </c>
      <c r="M1200">
        <f>Inventory_Data[[#This Row],[Opening Stock]]+Inventory_Data[[#This Row],[Purchase Qty]]-Inventory_Data[[#This Row],[Sales Qty]]-Inventory_Data[[#This Row],[Closing Stock]]</f>
        <v>0</v>
      </c>
      <c r="N1200">
        <f>Inventory_Data[[#This Row],[Purchase Qty]]*Inventory_Data[[#This Row],[Unit Cost]]</f>
        <v>174743</v>
      </c>
      <c r="O1200" t="str">
        <f>IF(Inventory_Data[[#This Row],[Closing Stock]]&lt;=Inventory_Data[[#This Row],[Reorder Level]],"Low Stock","In Stock")</f>
        <v>In Stock</v>
      </c>
      <c r="P1200" t="str">
        <f>TEXT(Inventory_Data[[#This Row],[Date]],"MMM")</f>
        <v>Sep</v>
      </c>
      <c r="Q1200" t="str">
        <f>TEXT(Inventory_Data[[#This Row],[Date]],"YYYY")</f>
        <v>2025</v>
      </c>
    </row>
    <row r="1201" spans="1:17" x14ac:dyDescent="0.3">
      <c r="A1201" s="1">
        <v>45909</v>
      </c>
      <c r="B1201" t="s">
        <v>43</v>
      </c>
      <c r="C1201" t="s">
        <v>22</v>
      </c>
      <c r="D1201" t="s">
        <v>14</v>
      </c>
      <c r="E1201" t="s">
        <v>20</v>
      </c>
      <c r="F1201">
        <v>61</v>
      </c>
      <c r="G1201">
        <v>241</v>
      </c>
      <c r="H1201">
        <v>121</v>
      </c>
      <c r="I1201">
        <v>181</v>
      </c>
      <c r="J1201">
        <v>61</v>
      </c>
      <c r="K1201">
        <v>742</v>
      </c>
      <c r="L1201">
        <v>134302</v>
      </c>
      <c r="M1201">
        <f>Inventory_Data[[#This Row],[Opening Stock]]+Inventory_Data[[#This Row],[Purchase Qty]]-Inventory_Data[[#This Row],[Sales Qty]]-Inventory_Data[[#This Row],[Closing Stock]]</f>
        <v>0</v>
      </c>
      <c r="N1201">
        <f>Inventory_Data[[#This Row],[Purchase Qty]]*Inventory_Data[[#This Row],[Unit Cost]]</f>
        <v>178822</v>
      </c>
      <c r="O1201" t="str">
        <f>IF(Inventory_Data[[#This Row],[Closing Stock]]&lt;=Inventory_Data[[#This Row],[Reorder Level]],"Low Stock","In Stock")</f>
        <v>In Stock</v>
      </c>
      <c r="P1201" t="str">
        <f>TEXT(Inventory_Data[[#This Row],[Date]],"MMM")</f>
        <v>Sep</v>
      </c>
      <c r="Q1201" t="str">
        <f>TEXT(Inventory_Data[[#This Row],[Date]],"YYYY")</f>
        <v>2025</v>
      </c>
    </row>
    <row r="1202" spans="1:17" x14ac:dyDescent="0.3">
      <c r="A1202" s="1">
        <v>45910</v>
      </c>
      <c r="B1202" t="s">
        <v>12</v>
      </c>
      <c r="C1202" t="s">
        <v>13</v>
      </c>
      <c r="D1202" t="s">
        <v>23</v>
      </c>
      <c r="E1202" t="s">
        <v>18</v>
      </c>
      <c r="F1202">
        <v>71</v>
      </c>
      <c r="G1202">
        <v>62</v>
      </c>
      <c r="H1202">
        <v>29</v>
      </c>
      <c r="I1202">
        <v>104</v>
      </c>
      <c r="J1202">
        <v>30</v>
      </c>
      <c r="K1202">
        <v>926</v>
      </c>
      <c r="L1202">
        <v>96304</v>
      </c>
      <c r="M1202">
        <f>Inventory_Data[[#This Row],[Opening Stock]]+Inventory_Data[[#This Row],[Purchase Qty]]-Inventory_Data[[#This Row],[Sales Qty]]-Inventory_Data[[#This Row],[Closing Stock]]</f>
        <v>0</v>
      </c>
      <c r="N1202">
        <f>Inventory_Data[[#This Row],[Purchase Qty]]*Inventory_Data[[#This Row],[Unit Cost]]</f>
        <v>57412</v>
      </c>
      <c r="O1202" t="str">
        <f>IF(Inventory_Data[[#This Row],[Closing Stock]]&lt;=Inventory_Data[[#This Row],[Reorder Level]],"Low Stock","In Stock")</f>
        <v>In Stock</v>
      </c>
      <c r="P1202" t="str">
        <f>TEXT(Inventory_Data[[#This Row],[Date]],"MMM")</f>
        <v>Sep</v>
      </c>
      <c r="Q1202" t="str">
        <f>TEXT(Inventory_Data[[#This Row],[Date]],"YYYY")</f>
        <v>2025</v>
      </c>
    </row>
    <row r="1203" spans="1:17" x14ac:dyDescent="0.3">
      <c r="A1203" s="1">
        <v>45910</v>
      </c>
      <c r="B1203" t="s">
        <v>16</v>
      </c>
      <c r="C1203" t="s">
        <v>17</v>
      </c>
      <c r="D1203" t="s">
        <v>37</v>
      </c>
      <c r="E1203" t="s">
        <v>29</v>
      </c>
      <c r="F1203">
        <v>79</v>
      </c>
      <c r="G1203">
        <v>58</v>
      </c>
      <c r="H1203">
        <v>36</v>
      </c>
      <c r="I1203">
        <v>101</v>
      </c>
      <c r="J1203">
        <v>10</v>
      </c>
      <c r="K1203">
        <v>10821</v>
      </c>
      <c r="L1203">
        <v>1092921</v>
      </c>
      <c r="M1203">
        <f>Inventory_Data[[#This Row],[Opening Stock]]+Inventory_Data[[#This Row],[Purchase Qty]]-Inventory_Data[[#This Row],[Sales Qty]]-Inventory_Data[[#This Row],[Closing Stock]]</f>
        <v>0</v>
      </c>
      <c r="N1203">
        <f>Inventory_Data[[#This Row],[Purchase Qty]]*Inventory_Data[[#This Row],[Unit Cost]]</f>
        <v>627618</v>
      </c>
      <c r="O1203" t="str">
        <f>IF(Inventory_Data[[#This Row],[Closing Stock]]&lt;=Inventory_Data[[#This Row],[Reorder Level]],"Low Stock","In Stock")</f>
        <v>In Stock</v>
      </c>
      <c r="P1203" t="str">
        <f>TEXT(Inventory_Data[[#This Row],[Date]],"MMM")</f>
        <v>Sep</v>
      </c>
      <c r="Q1203" t="str">
        <f>TEXT(Inventory_Data[[#This Row],[Date]],"YYYY")</f>
        <v>2025</v>
      </c>
    </row>
    <row r="1204" spans="1:17" x14ac:dyDescent="0.3">
      <c r="A1204" s="1">
        <v>45910</v>
      </c>
      <c r="B1204" t="s">
        <v>31</v>
      </c>
      <c r="C1204" t="s">
        <v>22</v>
      </c>
      <c r="D1204" t="s">
        <v>23</v>
      </c>
      <c r="E1204" t="s">
        <v>34</v>
      </c>
      <c r="F1204">
        <v>62</v>
      </c>
      <c r="G1204">
        <v>105</v>
      </c>
      <c r="H1204">
        <v>60</v>
      </c>
      <c r="I1204">
        <v>107</v>
      </c>
      <c r="J1204">
        <v>70</v>
      </c>
      <c r="K1204">
        <v>806</v>
      </c>
      <c r="L1204">
        <v>86242</v>
      </c>
      <c r="M1204">
        <f>Inventory_Data[[#This Row],[Opening Stock]]+Inventory_Data[[#This Row],[Purchase Qty]]-Inventory_Data[[#This Row],[Sales Qty]]-Inventory_Data[[#This Row],[Closing Stock]]</f>
        <v>0</v>
      </c>
      <c r="N1204">
        <f>Inventory_Data[[#This Row],[Purchase Qty]]*Inventory_Data[[#This Row],[Unit Cost]]</f>
        <v>84630</v>
      </c>
      <c r="O1204" t="str">
        <f>IF(Inventory_Data[[#This Row],[Closing Stock]]&lt;=Inventory_Data[[#This Row],[Reorder Level]],"Low Stock","In Stock")</f>
        <v>In Stock</v>
      </c>
      <c r="P1204" t="str">
        <f>TEXT(Inventory_Data[[#This Row],[Date]],"MMM")</f>
        <v>Sep</v>
      </c>
      <c r="Q1204" t="str">
        <f>TEXT(Inventory_Data[[#This Row],[Date]],"YYYY")</f>
        <v>2025</v>
      </c>
    </row>
    <row r="1205" spans="1:17" x14ac:dyDescent="0.3">
      <c r="A1205" s="1">
        <v>45910</v>
      </c>
      <c r="B1205" t="s">
        <v>27</v>
      </c>
      <c r="C1205" t="s">
        <v>28</v>
      </c>
      <c r="D1205" t="s">
        <v>26</v>
      </c>
      <c r="E1205" t="s">
        <v>29</v>
      </c>
      <c r="F1205">
        <v>79</v>
      </c>
      <c r="G1205">
        <v>86</v>
      </c>
      <c r="H1205">
        <v>12</v>
      </c>
      <c r="I1205">
        <v>153</v>
      </c>
      <c r="J1205">
        <v>36</v>
      </c>
      <c r="K1205">
        <v>63142</v>
      </c>
      <c r="L1205">
        <v>9660726</v>
      </c>
      <c r="M1205">
        <f>Inventory_Data[[#This Row],[Opening Stock]]+Inventory_Data[[#This Row],[Purchase Qty]]-Inventory_Data[[#This Row],[Sales Qty]]-Inventory_Data[[#This Row],[Closing Stock]]</f>
        <v>0</v>
      </c>
      <c r="N1205">
        <f>Inventory_Data[[#This Row],[Purchase Qty]]*Inventory_Data[[#This Row],[Unit Cost]]</f>
        <v>5430212</v>
      </c>
      <c r="O1205" t="str">
        <f>IF(Inventory_Data[[#This Row],[Closing Stock]]&lt;=Inventory_Data[[#This Row],[Reorder Level]],"Low Stock","In Stock")</f>
        <v>In Stock</v>
      </c>
      <c r="P1205" t="str">
        <f>TEXT(Inventory_Data[[#This Row],[Date]],"MMM")</f>
        <v>Sep</v>
      </c>
      <c r="Q1205" t="str">
        <f>TEXT(Inventory_Data[[#This Row],[Date]],"YYYY")</f>
        <v>2025</v>
      </c>
    </row>
    <row r="1206" spans="1:17" x14ac:dyDescent="0.3">
      <c r="A1206" s="1">
        <v>45910</v>
      </c>
      <c r="B1206" t="s">
        <v>42</v>
      </c>
      <c r="C1206" t="s">
        <v>17</v>
      </c>
      <c r="D1206" t="s">
        <v>23</v>
      </c>
      <c r="E1206" t="s">
        <v>24</v>
      </c>
      <c r="F1206">
        <v>47</v>
      </c>
      <c r="G1206">
        <v>47</v>
      </c>
      <c r="H1206">
        <v>22</v>
      </c>
      <c r="I1206">
        <v>72</v>
      </c>
      <c r="J1206">
        <v>23</v>
      </c>
      <c r="K1206">
        <v>10678</v>
      </c>
      <c r="L1206">
        <v>768816</v>
      </c>
      <c r="M1206">
        <f>Inventory_Data[[#This Row],[Opening Stock]]+Inventory_Data[[#This Row],[Purchase Qty]]-Inventory_Data[[#This Row],[Sales Qty]]-Inventory_Data[[#This Row],[Closing Stock]]</f>
        <v>0</v>
      </c>
      <c r="N1206">
        <f>Inventory_Data[[#This Row],[Purchase Qty]]*Inventory_Data[[#This Row],[Unit Cost]]</f>
        <v>501866</v>
      </c>
      <c r="O1206" t="str">
        <f>IF(Inventory_Data[[#This Row],[Closing Stock]]&lt;=Inventory_Data[[#This Row],[Reorder Level]],"Low Stock","In Stock")</f>
        <v>In Stock</v>
      </c>
      <c r="P1206" t="str">
        <f>TEXT(Inventory_Data[[#This Row],[Date]],"MMM")</f>
        <v>Sep</v>
      </c>
      <c r="Q1206" t="str">
        <f>TEXT(Inventory_Data[[#This Row],[Date]],"YYYY")</f>
        <v>2025</v>
      </c>
    </row>
    <row r="1207" spans="1:17" x14ac:dyDescent="0.3">
      <c r="A1207" s="1">
        <v>45910</v>
      </c>
      <c r="B1207" t="s">
        <v>27</v>
      </c>
      <c r="C1207" t="s">
        <v>28</v>
      </c>
      <c r="D1207" t="s">
        <v>14</v>
      </c>
      <c r="E1207" t="s">
        <v>18</v>
      </c>
      <c r="F1207">
        <v>66</v>
      </c>
      <c r="G1207">
        <v>65</v>
      </c>
      <c r="H1207">
        <v>90</v>
      </c>
      <c r="I1207">
        <v>41</v>
      </c>
      <c r="J1207">
        <v>45</v>
      </c>
      <c r="K1207">
        <v>9517</v>
      </c>
      <c r="L1207">
        <v>390197</v>
      </c>
      <c r="M1207">
        <f>Inventory_Data[[#This Row],[Opening Stock]]+Inventory_Data[[#This Row],[Purchase Qty]]-Inventory_Data[[#This Row],[Sales Qty]]-Inventory_Data[[#This Row],[Closing Stock]]</f>
        <v>0</v>
      </c>
      <c r="N1207">
        <f>Inventory_Data[[#This Row],[Purchase Qty]]*Inventory_Data[[#This Row],[Unit Cost]]</f>
        <v>618605</v>
      </c>
      <c r="O1207" t="str">
        <f>IF(Inventory_Data[[#This Row],[Closing Stock]]&lt;=Inventory_Data[[#This Row],[Reorder Level]],"Low Stock","In Stock")</f>
        <v>Low Stock</v>
      </c>
      <c r="P1207" t="str">
        <f>TEXT(Inventory_Data[[#This Row],[Date]],"MMM")</f>
        <v>Sep</v>
      </c>
      <c r="Q1207" t="str">
        <f>TEXT(Inventory_Data[[#This Row],[Date]],"YYYY")</f>
        <v>2025</v>
      </c>
    </row>
    <row r="1208" spans="1:17" x14ac:dyDescent="0.3">
      <c r="A1208" s="1">
        <v>45910</v>
      </c>
      <c r="B1208" t="s">
        <v>44</v>
      </c>
      <c r="C1208" t="s">
        <v>28</v>
      </c>
      <c r="D1208" t="s">
        <v>37</v>
      </c>
      <c r="E1208" t="s">
        <v>15</v>
      </c>
      <c r="F1208">
        <v>145</v>
      </c>
      <c r="G1208">
        <v>58</v>
      </c>
      <c r="H1208">
        <v>41</v>
      </c>
      <c r="I1208">
        <v>162</v>
      </c>
      <c r="J1208">
        <v>54</v>
      </c>
      <c r="K1208">
        <v>15545</v>
      </c>
      <c r="L1208">
        <v>2518290</v>
      </c>
      <c r="M1208">
        <f>Inventory_Data[[#This Row],[Opening Stock]]+Inventory_Data[[#This Row],[Purchase Qty]]-Inventory_Data[[#This Row],[Sales Qty]]-Inventory_Data[[#This Row],[Closing Stock]]</f>
        <v>0</v>
      </c>
      <c r="N1208">
        <f>Inventory_Data[[#This Row],[Purchase Qty]]*Inventory_Data[[#This Row],[Unit Cost]]</f>
        <v>901610</v>
      </c>
      <c r="O1208" t="str">
        <f>IF(Inventory_Data[[#This Row],[Closing Stock]]&lt;=Inventory_Data[[#This Row],[Reorder Level]],"Low Stock","In Stock")</f>
        <v>In Stock</v>
      </c>
      <c r="P1208" t="str">
        <f>TEXT(Inventory_Data[[#This Row],[Date]],"MMM")</f>
        <v>Sep</v>
      </c>
      <c r="Q1208" t="str">
        <f>TEXT(Inventory_Data[[#This Row],[Date]],"YYYY")</f>
        <v>2025</v>
      </c>
    </row>
    <row r="1209" spans="1:17" x14ac:dyDescent="0.3">
      <c r="A1209" s="1">
        <v>45910</v>
      </c>
      <c r="B1209" t="s">
        <v>33</v>
      </c>
      <c r="C1209" t="s">
        <v>13</v>
      </c>
      <c r="D1209" t="s">
        <v>26</v>
      </c>
      <c r="E1209" t="s">
        <v>34</v>
      </c>
      <c r="F1209">
        <v>66</v>
      </c>
      <c r="G1209">
        <v>69</v>
      </c>
      <c r="H1209">
        <v>41</v>
      </c>
      <c r="I1209">
        <v>94</v>
      </c>
      <c r="J1209">
        <v>17</v>
      </c>
      <c r="K1209">
        <v>10380</v>
      </c>
      <c r="L1209">
        <v>975720</v>
      </c>
      <c r="M1209">
        <f>Inventory_Data[[#This Row],[Opening Stock]]+Inventory_Data[[#This Row],[Purchase Qty]]-Inventory_Data[[#This Row],[Sales Qty]]-Inventory_Data[[#This Row],[Closing Stock]]</f>
        <v>0</v>
      </c>
      <c r="N1209">
        <f>Inventory_Data[[#This Row],[Purchase Qty]]*Inventory_Data[[#This Row],[Unit Cost]]</f>
        <v>716220</v>
      </c>
      <c r="O1209" t="str">
        <f>IF(Inventory_Data[[#This Row],[Closing Stock]]&lt;=Inventory_Data[[#This Row],[Reorder Level]],"Low Stock","In Stock")</f>
        <v>In Stock</v>
      </c>
      <c r="P1209" t="str">
        <f>TEXT(Inventory_Data[[#This Row],[Date]],"MMM")</f>
        <v>Sep</v>
      </c>
      <c r="Q1209" t="str">
        <f>TEXT(Inventory_Data[[#This Row],[Date]],"YYYY")</f>
        <v>2025</v>
      </c>
    </row>
    <row r="1210" spans="1:17" x14ac:dyDescent="0.3">
      <c r="A1210" s="1">
        <v>45910</v>
      </c>
      <c r="B1210" t="s">
        <v>16</v>
      </c>
      <c r="C1210" t="s">
        <v>17</v>
      </c>
      <c r="D1210" t="s">
        <v>14</v>
      </c>
      <c r="E1210" t="s">
        <v>20</v>
      </c>
      <c r="F1210">
        <v>23</v>
      </c>
      <c r="G1210">
        <v>50</v>
      </c>
      <c r="H1210">
        <v>16</v>
      </c>
      <c r="I1210">
        <v>57</v>
      </c>
      <c r="J1210">
        <v>24</v>
      </c>
      <c r="K1210">
        <v>9118</v>
      </c>
      <c r="L1210">
        <v>519726</v>
      </c>
      <c r="M1210">
        <f>Inventory_Data[[#This Row],[Opening Stock]]+Inventory_Data[[#This Row],[Purchase Qty]]-Inventory_Data[[#This Row],[Sales Qty]]-Inventory_Data[[#This Row],[Closing Stock]]</f>
        <v>0</v>
      </c>
      <c r="N1210">
        <f>Inventory_Data[[#This Row],[Purchase Qty]]*Inventory_Data[[#This Row],[Unit Cost]]</f>
        <v>455900</v>
      </c>
      <c r="O1210" t="str">
        <f>IF(Inventory_Data[[#This Row],[Closing Stock]]&lt;=Inventory_Data[[#This Row],[Reorder Level]],"Low Stock","In Stock")</f>
        <v>In Stock</v>
      </c>
      <c r="P1210" t="str">
        <f>TEXT(Inventory_Data[[#This Row],[Date]],"MMM")</f>
        <v>Sep</v>
      </c>
      <c r="Q1210" t="str">
        <f>TEXT(Inventory_Data[[#This Row],[Date]],"YYYY")</f>
        <v>2025</v>
      </c>
    </row>
    <row r="1211" spans="1:17" x14ac:dyDescent="0.3">
      <c r="A1211" s="1">
        <v>45911</v>
      </c>
      <c r="B1211" t="s">
        <v>38</v>
      </c>
      <c r="C1211" t="s">
        <v>17</v>
      </c>
      <c r="D1211" t="s">
        <v>23</v>
      </c>
      <c r="E1211" t="s">
        <v>18</v>
      </c>
      <c r="F1211">
        <v>32</v>
      </c>
      <c r="G1211">
        <v>14</v>
      </c>
      <c r="H1211">
        <v>6</v>
      </c>
      <c r="I1211">
        <v>40</v>
      </c>
      <c r="J1211">
        <v>29</v>
      </c>
      <c r="K1211">
        <v>4349</v>
      </c>
      <c r="L1211">
        <v>173960</v>
      </c>
      <c r="M1211">
        <f>Inventory_Data[[#This Row],[Opening Stock]]+Inventory_Data[[#This Row],[Purchase Qty]]-Inventory_Data[[#This Row],[Sales Qty]]-Inventory_Data[[#This Row],[Closing Stock]]</f>
        <v>0</v>
      </c>
      <c r="N1211">
        <f>Inventory_Data[[#This Row],[Purchase Qty]]*Inventory_Data[[#This Row],[Unit Cost]]</f>
        <v>60886</v>
      </c>
      <c r="O1211" t="str">
        <f>IF(Inventory_Data[[#This Row],[Closing Stock]]&lt;=Inventory_Data[[#This Row],[Reorder Level]],"Low Stock","In Stock")</f>
        <v>In Stock</v>
      </c>
      <c r="P1211" t="str">
        <f>TEXT(Inventory_Data[[#This Row],[Date]],"MMM")</f>
        <v>Sep</v>
      </c>
      <c r="Q1211" t="str">
        <f>TEXT(Inventory_Data[[#This Row],[Date]],"YYYY")</f>
        <v>2025</v>
      </c>
    </row>
    <row r="1212" spans="1:17" x14ac:dyDescent="0.3">
      <c r="A1212" s="1">
        <v>45911</v>
      </c>
      <c r="B1212" t="s">
        <v>30</v>
      </c>
      <c r="C1212" t="s">
        <v>28</v>
      </c>
      <c r="D1212" t="s">
        <v>23</v>
      </c>
      <c r="E1212" t="s">
        <v>34</v>
      </c>
      <c r="F1212">
        <v>84</v>
      </c>
      <c r="G1212">
        <v>61</v>
      </c>
      <c r="H1212">
        <v>94</v>
      </c>
      <c r="I1212">
        <v>51</v>
      </c>
      <c r="J1212">
        <v>31</v>
      </c>
      <c r="K1212">
        <v>49689</v>
      </c>
      <c r="L1212">
        <v>2534139</v>
      </c>
      <c r="M1212">
        <f>Inventory_Data[[#This Row],[Opening Stock]]+Inventory_Data[[#This Row],[Purchase Qty]]-Inventory_Data[[#This Row],[Sales Qty]]-Inventory_Data[[#This Row],[Closing Stock]]</f>
        <v>0</v>
      </c>
      <c r="N1212">
        <f>Inventory_Data[[#This Row],[Purchase Qty]]*Inventory_Data[[#This Row],[Unit Cost]]</f>
        <v>3031029</v>
      </c>
      <c r="O1212" t="str">
        <f>IF(Inventory_Data[[#This Row],[Closing Stock]]&lt;=Inventory_Data[[#This Row],[Reorder Level]],"Low Stock","In Stock")</f>
        <v>In Stock</v>
      </c>
      <c r="P1212" t="str">
        <f>TEXT(Inventory_Data[[#This Row],[Date]],"MMM")</f>
        <v>Sep</v>
      </c>
      <c r="Q1212" t="str">
        <f>TEXT(Inventory_Data[[#This Row],[Date]],"YYYY")</f>
        <v>2025</v>
      </c>
    </row>
    <row r="1213" spans="1:17" x14ac:dyDescent="0.3">
      <c r="A1213" s="1">
        <v>45911</v>
      </c>
      <c r="B1213" t="s">
        <v>32</v>
      </c>
      <c r="C1213" t="s">
        <v>28</v>
      </c>
      <c r="D1213" t="s">
        <v>23</v>
      </c>
      <c r="E1213" t="s">
        <v>24</v>
      </c>
      <c r="F1213">
        <v>93</v>
      </c>
      <c r="G1213">
        <v>113</v>
      </c>
      <c r="H1213">
        <v>42</v>
      </c>
      <c r="I1213">
        <v>164</v>
      </c>
      <c r="J1213">
        <v>27</v>
      </c>
      <c r="K1213">
        <v>44965</v>
      </c>
      <c r="L1213">
        <v>7374260</v>
      </c>
      <c r="M1213">
        <f>Inventory_Data[[#This Row],[Opening Stock]]+Inventory_Data[[#This Row],[Purchase Qty]]-Inventory_Data[[#This Row],[Sales Qty]]-Inventory_Data[[#This Row],[Closing Stock]]</f>
        <v>0</v>
      </c>
      <c r="N1213">
        <f>Inventory_Data[[#This Row],[Purchase Qty]]*Inventory_Data[[#This Row],[Unit Cost]]</f>
        <v>5081045</v>
      </c>
      <c r="O1213" t="str">
        <f>IF(Inventory_Data[[#This Row],[Closing Stock]]&lt;=Inventory_Data[[#This Row],[Reorder Level]],"Low Stock","In Stock")</f>
        <v>In Stock</v>
      </c>
      <c r="P1213" t="str">
        <f>TEXT(Inventory_Data[[#This Row],[Date]],"MMM")</f>
        <v>Sep</v>
      </c>
      <c r="Q1213" t="str">
        <f>TEXT(Inventory_Data[[#This Row],[Date]],"YYYY")</f>
        <v>2025</v>
      </c>
    </row>
    <row r="1214" spans="1:17" x14ac:dyDescent="0.3">
      <c r="A1214" s="1">
        <v>45912</v>
      </c>
      <c r="B1214" t="s">
        <v>16</v>
      </c>
      <c r="C1214" t="s">
        <v>17</v>
      </c>
      <c r="D1214" t="s">
        <v>23</v>
      </c>
      <c r="E1214" t="s">
        <v>24</v>
      </c>
      <c r="F1214">
        <v>24</v>
      </c>
      <c r="G1214">
        <v>52</v>
      </c>
      <c r="H1214">
        <v>37</v>
      </c>
      <c r="I1214">
        <v>39</v>
      </c>
      <c r="J1214">
        <v>15</v>
      </c>
      <c r="K1214">
        <v>19760</v>
      </c>
      <c r="L1214">
        <v>770640</v>
      </c>
      <c r="M1214">
        <f>Inventory_Data[[#This Row],[Opening Stock]]+Inventory_Data[[#This Row],[Purchase Qty]]-Inventory_Data[[#This Row],[Sales Qty]]-Inventory_Data[[#This Row],[Closing Stock]]</f>
        <v>0</v>
      </c>
      <c r="N1214">
        <f>Inventory_Data[[#This Row],[Purchase Qty]]*Inventory_Data[[#This Row],[Unit Cost]]</f>
        <v>1027520</v>
      </c>
      <c r="O1214" t="str">
        <f>IF(Inventory_Data[[#This Row],[Closing Stock]]&lt;=Inventory_Data[[#This Row],[Reorder Level]],"Low Stock","In Stock")</f>
        <v>In Stock</v>
      </c>
      <c r="P1214" t="str">
        <f>TEXT(Inventory_Data[[#This Row],[Date]],"MMM")</f>
        <v>Sep</v>
      </c>
      <c r="Q1214" t="str">
        <f>TEXT(Inventory_Data[[#This Row],[Date]],"YYYY")</f>
        <v>2025</v>
      </c>
    </row>
    <row r="1215" spans="1:17" x14ac:dyDescent="0.3">
      <c r="A1215" s="1">
        <v>45912</v>
      </c>
      <c r="B1215" t="s">
        <v>27</v>
      </c>
      <c r="C1215" t="s">
        <v>28</v>
      </c>
      <c r="D1215" t="s">
        <v>26</v>
      </c>
      <c r="E1215" t="s">
        <v>34</v>
      </c>
      <c r="F1215">
        <v>20</v>
      </c>
      <c r="G1215">
        <v>67</v>
      </c>
      <c r="H1215">
        <v>87</v>
      </c>
      <c r="I1215">
        <v>0</v>
      </c>
      <c r="J1215">
        <v>45</v>
      </c>
      <c r="K1215">
        <v>36214</v>
      </c>
      <c r="L1215">
        <v>0</v>
      </c>
      <c r="M1215">
        <f>Inventory_Data[[#This Row],[Opening Stock]]+Inventory_Data[[#This Row],[Purchase Qty]]-Inventory_Data[[#This Row],[Sales Qty]]-Inventory_Data[[#This Row],[Closing Stock]]</f>
        <v>0</v>
      </c>
      <c r="N1215">
        <f>Inventory_Data[[#This Row],[Purchase Qty]]*Inventory_Data[[#This Row],[Unit Cost]]</f>
        <v>2426338</v>
      </c>
      <c r="O1215" t="str">
        <f>IF(Inventory_Data[[#This Row],[Closing Stock]]&lt;=Inventory_Data[[#This Row],[Reorder Level]],"Low Stock","In Stock")</f>
        <v>Low Stock</v>
      </c>
      <c r="P1215" t="str">
        <f>TEXT(Inventory_Data[[#This Row],[Date]],"MMM")</f>
        <v>Sep</v>
      </c>
      <c r="Q1215" t="str">
        <f>TEXT(Inventory_Data[[#This Row],[Date]],"YYYY")</f>
        <v>2025</v>
      </c>
    </row>
    <row r="1216" spans="1:17" x14ac:dyDescent="0.3">
      <c r="A1216" s="1">
        <v>45912</v>
      </c>
      <c r="B1216" t="s">
        <v>21</v>
      </c>
      <c r="C1216" t="s">
        <v>22</v>
      </c>
      <c r="D1216" t="s">
        <v>26</v>
      </c>
      <c r="E1216" t="s">
        <v>34</v>
      </c>
      <c r="F1216">
        <v>69</v>
      </c>
      <c r="G1216">
        <v>87</v>
      </c>
      <c r="H1216">
        <v>121</v>
      </c>
      <c r="I1216">
        <v>35</v>
      </c>
      <c r="J1216">
        <v>106</v>
      </c>
      <c r="K1216">
        <v>1004</v>
      </c>
      <c r="L1216">
        <v>35140</v>
      </c>
      <c r="M1216">
        <f>Inventory_Data[[#This Row],[Opening Stock]]+Inventory_Data[[#This Row],[Purchase Qty]]-Inventory_Data[[#This Row],[Sales Qty]]-Inventory_Data[[#This Row],[Closing Stock]]</f>
        <v>0</v>
      </c>
      <c r="N1216">
        <f>Inventory_Data[[#This Row],[Purchase Qty]]*Inventory_Data[[#This Row],[Unit Cost]]</f>
        <v>87348</v>
      </c>
      <c r="O1216" t="str">
        <f>IF(Inventory_Data[[#This Row],[Closing Stock]]&lt;=Inventory_Data[[#This Row],[Reorder Level]],"Low Stock","In Stock")</f>
        <v>Low Stock</v>
      </c>
      <c r="P1216" t="str">
        <f>TEXT(Inventory_Data[[#This Row],[Date]],"MMM")</f>
        <v>Sep</v>
      </c>
      <c r="Q1216" t="str">
        <f>TEXT(Inventory_Data[[#This Row],[Date]],"YYYY")</f>
        <v>2025</v>
      </c>
    </row>
    <row r="1217" spans="1:17" x14ac:dyDescent="0.3">
      <c r="A1217" s="1">
        <v>45912</v>
      </c>
      <c r="B1217" t="s">
        <v>25</v>
      </c>
      <c r="C1217" t="s">
        <v>17</v>
      </c>
      <c r="D1217" t="s">
        <v>23</v>
      </c>
      <c r="E1217" t="s">
        <v>20</v>
      </c>
      <c r="F1217">
        <v>89</v>
      </c>
      <c r="G1217">
        <v>45</v>
      </c>
      <c r="H1217">
        <v>31</v>
      </c>
      <c r="I1217">
        <v>103</v>
      </c>
      <c r="J1217">
        <v>11</v>
      </c>
      <c r="K1217">
        <v>8543</v>
      </c>
      <c r="L1217">
        <v>879929</v>
      </c>
      <c r="M1217">
        <f>Inventory_Data[[#This Row],[Opening Stock]]+Inventory_Data[[#This Row],[Purchase Qty]]-Inventory_Data[[#This Row],[Sales Qty]]-Inventory_Data[[#This Row],[Closing Stock]]</f>
        <v>0</v>
      </c>
      <c r="N1217">
        <f>Inventory_Data[[#This Row],[Purchase Qty]]*Inventory_Data[[#This Row],[Unit Cost]]</f>
        <v>384435</v>
      </c>
      <c r="O1217" t="str">
        <f>IF(Inventory_Data[[#This Row],[Closing Stock]]&lt;=Inventory_Data[[#This Row],[Reorder Level]],"Low Stock","In Stock")</f>
        <v>In Stock</v>
      </c>
      <c r="P1217" t="str">
        <f>TEXT(Inventory_Data[[#This Row],[Date]],"MMM")</f>
        <v>Sep</v>
      </c>
      <c r="Q1217" t="str">
        <f>TEXT(Inventory_Data[[#This Row],[Date]],"YYYY")</f>
        <v>2025</v>
      </c>
    </row>
    <row r="1218" spans="1:17" x14ac:dyDescent="0.3">
      <c r="A1218" s="1">
        <v>45912</v>
      </c>
      <c r="B1218" t="s">
        <v>21</v>
      </c>
      <c r="C1218" t="s">
        <v>22</v>
      </c>
      <c r="D1218" t="s">
        <v>26</v>
      </c>
      <c r="E1218" t="s">
        <v>29</v>
      </c>
      <c r="F1218">
        <v>285</v>
      </c>
      <c r="G1218">
        <v>55</v>
      </c>
      <c r="H1218">
        <v>81</v>
      </c>
      <c r="I1218">
        <v>259</v>
      </c>
      <c r="J1218">
        <v>65</v>
      </c>
      <c r="K1218">
        <v>290</v>
      </c>
      <c r="L1218">
        <v>75110</v>
      </c>
      <c r="M1218">
        <f>Inventory_Data[[#This Row],[Opening Stock]]+Inventory_Data[[#This Row],[Purchase Qty]]-Inventory_Data[[#This Row],[Sales Qty]]-Inventory_Data[[#This Row],[Closing Stock]]</f>
        <v>0</v>
      </c>
      <c r="N1218">
        <f>Inventory_Data[[#This Row],[Purchase Qty]]*Inventory_Data[[#This Row],[Unit Cost]]</f>
        <v>15950</v>
      </c>
      <c r="O1218" t="str">
        <f>IF(Inventory_Data[[#This Row],[Closing Stock]]&lt;=Inventory_Data[[#This Row],[Reorder Level]],"Low Stock","In Stock")</f>
        <v>In Stock</v>
      </c>
      <c r="P1218" t="str">
        <f>TEXT(Inventory_Data[[#This Row],[Date]],"MMM")</f>
        <v>Sep</v>
      </c>
      <c r="Q1218" t="str">
        <f>TEXT(Inventory_Data[[#This Row],[Date]],"YYYY")</f>
        <v>2025</v>
      </c>
    </row>
    <row r="1219" spans="1:17" x14ac:dyDescent="0.3">
      <c r="A1219" s="1">
        <v>45912</v>
      </c>
      <c r="B1219" t="s">
        <v>21</v>
      </c>
      <c r="C1219" t="s">
        <v>22</v>
      </c>
      <c r="D1219" t="s">
        <v>14</v>
      </c>
      <c r="E1219" t="s">
        <v>29</v>
      </c>
      <c r="F1219">
        <v>466</v>
      </c>
      <c r="G1219">
        <v>98</v>
      </c>
      <c r="H1219">
        <v>239</v>
      </c>
      <c r="I1219">
        <v>325</v>
      </c>
      <c r="J1219">
        <v>97</v>
      </c>
      <c r="K1219">
        <v>86</v>
      </c>
      <c r="L1219">
        <v>27950</v>
      </c>
      <c r="M1219">
        <f>Inventory_Data[[#This Row],[Opening Stock]]+Inventory_Data[[#This Row],[Purchase Qty]]-Inventory_Data[[#This Row],[Sales Qty]]-Inventory_Data[[#This Row],[Closing Stock]]</f>
        <v>0</v>
      </c>
      <c r="N1219">
        <f>Inventory_Data[[#This Row],[Purchase Qty]]*Inventory_Data[[#This Row],[Unit Cost]]</f>
        <v>8428</v>
      </c>
      <c r="O1219" t="str">
        <f>IF(Inventory_Data[[#This Row],[Closing Stock]]&lt;=Inventory_Data[[#This Row],[Reorder Level]],"Low Stock","In Stock")</f>
        <v>In Stock</v>
      </c>
      <c r="P1219" t="str">
        <f>TEXT(Inventory_Data[[#This Row],[Date]],"MMM")</f>
        <v>Sep</v>
      </c>
      <c r="Q1219" t="str">
        <f>TEXT(Inventory_Data[[#This Row],[Date]],"YYYY")</f>
        <v>2025</v>
      </c>
    </row>
    <row r="1220" spans="1:17" x14ac:dyDescent="0.3">
      <c r="A1220" s="1">
        <v>45912</v>
      </c>
      <c r="B1220" t="s">
        <v>30</v>
      </c>
      <c r="C1220" t="s">
        <v>28</v>
      </c>
      <c r="D1220" t="s">
        <v>37</v>
      </c>
      <c r="E1220" t="s">
        <v>29</v>
      </c>
      <c r="F1220">
        <v>42</v>
      </c>
      <c r="G1220">
        <v>116</v>
      </c>
      <c r="H1220">
        <v>7</v>
      </c>
      <c r="I1220">
        <v>151</v>
      </c>
      <c r="J1220">
        <v>36</v>
      </c>
      <c r="K1220">
        <v>16829</v>
      </c>
      <c r="L1220">
        <v>2541179</v>
      </c>
      <c r="M1220">
        <f>Inventory_Data[[#This Row],[Opening Stock]]+Inventory_Data[[#This Row],[Purchase Qty]]-Inventory_Data[[#This Row],[Sales Qty]]-Inventory_Data[[#This Row],[Closing Stock]]</f>
        <v>0</v>
      </c>
      <c r="N1220">
        <f>Inventory_Data[[#This Row],[Purchase Qty]]*Inventory_Data[[#This Row],[Unit Cost]]</f>
        <v>1952164</v>
      </c>
      <c r="O1220" t="str">
        <f>IF(Inventory_Data[[#This Row],[Closing Stock]]&lt;=Inventory_Data[[#This Row],[Reorder Level]],"Low Stock","In Stock")</f>
        <v>In Stock</v>
      </c>
      <c r="P1220" t="str">
        <f>TEXT(Inventory_Data[[#This Row],[Date]],"MMM")</f>
        <v>Sep</v>
      </c>
      <c r="Q1220" t="str">
        <f>TEXT(Inventory_Data[[#This Row],[Date]],"YYYY")</f>
        <v>2025</v>
      </c>
    </row>
    <row r="1221" spans="1:17" x14ac:dyDescent="0.3">
      <c r="A1221" s="1">
        <v>45912</v>
      </c>
      <c r="B1221" t="s">
        <v>41</v>
      </c>
      <c r="C1221" t="s">
        <v>22</v>
      </c>
      <c r="D1221" t="s">
        <v>14</v>
      </c>
      <c r="E1221" t="s">
        <v>15</v>
      </c>
      <c r="F1221">
        <v>343</v>
      </c>
      <c r="G1221">
        <v>199</v>
      </c>
      <c r="H1221">
        <v>183</v>
      </c>
      <c r="I1221">
        <v>359</v>
      </c>
      <c r="J1221">
        <v>138</v>
      </c>
      <c r="K1221">
        <v>489</v>
      </c>
      <c r="L1221">
        <v>175551</v>
      </c>
      <c r="M1221">
        <f>Inventory_Data[[#This Row],[Opening Stock]]+Inventory_Data[[#This Row],[Purchase Qty]]-Inventory_Data[[#This Row],[Sales Qty]]-Inventory_Data[[#This Row],[Closing Stock]]</f>
        <v>0</v>
      </c>
      <c r="N1221">
        <f>Inventory_Data[[#This Row],[Purchase Qty]]*Inventory_Data[[#This Row],[Unit Cost]]</f>
        <v>97311</v>
      </c>
      <c r="O1221" t="str">
        <f>IF(Inventory_Data[[#This Row],[Closing Stock]]&lt;=Inventory_Data[[#This Row],[Reorder Level]],"Low Stock","In Stock")</f>
        <v>In Stock</v>
      </c>
      <c r="P1221" t="str">
        <f>TEXT(Inventory_Data[[#This Row],[Date]],"MMM")</f>
        <v>Sep</v>
      </c>
      <c r="Q1221" t="str">
        <f>TEXT(Inventory_Data[[#This Row],[Date]],"YYYY")</f>
        <v>2025</v>
      </c>
    </row>
    <row r="1222" spans="1:17" x14ac:dyDescent="0.3">
      <c r="A1222" s="1">
        <v>45912</v>
      </c>
      <c r="B1222" t="s">
        <v>25</v>
      </c>
      <c r="C1222" t="s">
        <v>17</v>
      </c>
      <c r="D1222" t="s">
        <v>37</v>
      </c>
      <c r="E1222" t="s">
        <v>34</v>
      </c>
      <c r="F1222">
        <v>80</v>
      </c>
      <c r="G1222">
        <v>53</v>
      </c>
      <c r="H1222">
        <v>31</v>
      </c>
      <c r="I1222">
        <v>102</v>
      </c>
      <c r="J1222">
        <v>26</v>
      </c>
      <c r="K1222">
        <v>8167</v>
      </c>
      <c r="L1222">
        <v>833034</v>
      </c>
      <c r="M1222">
        <f>Inventory_Data[[#This Row],[Opening Stock]]+Inventory_Data[[#This Row],[Purchase Qty]]-Inventory_Data[[#This Row],[Sales Qty]]-Inventory_Data[[#This Row],[Closing Stock]]</f>
        <v>0</v>
      </c>
      <c r="N1222">
        <f>Inventory_Data[[#This Row],[Purchase Qty]]*Inventory_Data[[#This Row],[Unit Cost]]</f>
        <v>432851</v>
      </c>
      <c r="O1222" t="str">
        <f>IF(Inventory_Data[[#This Row],[Closing Stock]]&lt;=Inventory_Data[[#This Row],[Reorder Level]],"Low Stock","In Stock")</f>
        <v>In Stock</v>
      </c>
      <c r="P1222" t="str">
        <f>TEXT(Inventory_Data[[#This Row],[Date]],"MMM")</f>
        <v>Sep</v>
      </c>
      <c r="Q1222" t="str">
        <f>TEXT(Inventory_Data[[#This Row],[Date]],"YYYY")</f>
        <v>2025</v>
      </c>
    </row>
    <row r="1223" spans="1:17" x14ac:dyDescent="0.3">
      <c r="A1223" s="1">
        <v>45913</v>
      </c>
      <c r="B1223" t="s">
        <v>19</v>
      </c>
      <c r="C1223" t="s">
        <v>13</v>
      </c>
      <c r="D1223" t="s">
        <v>14</v>
      </c>
      <c r="E1223" t="s">
        <v>20</v>
      </c>
      <c r="F1223">
        <v>108</v>
      </c>
      <c r="G1223">
        <v>13</v>
      </c>
      <c r="H1223">
        <v>36</v>
      </c>
      <c r="I1223">
        <v>85</v>
      </c>
      <c r="J1223">
        <v>17</v>
      </c>
      <c r="K1223">
        <v>7783</v>
      </c>
      <c r="L1223">
        <v>661555</v>
      </c>
      <c r="M1223">
        <f>Inventory_Data[[#This Row],[Opening Stock]]+Inventory_Data[[#This Row],[Purchase Qty]]-Inventory_Data[[#This Row],[Sales Qty]]-Inventory_Data[[#This Row],[Closing Stock]]</f>
        <v>0</v>
      </c>
      <c r="N1223">
        <f>Inventory_Data[[#This Row],[Purchase Qty]]*Inventory_Data[[#This Row],[Unit Cost]]</f>
        <v>101179</v>
      </c>
      <c r="O1223" t="str">
        <f>IF(Inventory_Data[[#This Row],[Closing Stock]]&lt;=Inventory_Data[[#This Row],[Reorder Level]],"Low Stock","In Stock")</f>
        <v>In Stock</v>
      </c>
      <c r="P1223" t="str">
        <f>TEXT(Inventory_Data[[#This Row],[Date]],"MMM")</f>
        <v>Sep</v>
      </c>
      <c r="Q1223" t="str">
        <f>TEXT(Inventory_Data[[#This Row],[Date]],"YYYY")</f>
        <v>2025</v>
      </c>
    </row>
    <row r="1224" spans="1:17" x14ac:dyDescent="0.3">
      <c r="A1224" s="1">
        <v>45913</v>
      </c>
      <c r="B1224" t="s">
        <v>30</v>
      </c>
      <c r="C1224" t="s">
        <v>28</v>
      </c>
      <c r="D1224" t="s">
        <v>26</v>
      </c>
      <c r="E1224" t="s">
        <v>18</v>
      </c>
      <c r="F1224">
        <v>166</v>
      </c>
      <c r="G1224">
        <v>49</v>
      </c>
      <c r="H1224">
        <v>6</v>
      </c>
      <c r="I1224">
        <v>209</v>
      </c>
      <c r="J1224">
        <v>20</v>
      </c>
      <c r="K1224">
        <v>58098</v>
      </c>
      <c r="L1224">
        <v>12142482</v>
      </c>
      <c r="M1224">
        <f>Inventory_Data[[#This Row],[Opening Stock]]+Inventory_Data[[#This Row],[Purchase Qty]]-Inventory_Data[[#This Row],[Sales Qty]]-Inventory_Data[[#This Row],[Closing Stock]]</f>
        <v>0</v>
      </c>
      <c r="N1224">
        <f>Inventory_Data[[#This Row],[Purchase Qty]]*Inventory_Data[[#This Row],[Unit Cost]]</f>
        <v>2846802</v>
      </c>
      <c r="O1224" t="str">
        <f>IF(Inventory_Data[[#This Row],[Closing Stock]]&lt;=Inventory_Data[[#This Row],[Reorder Level]],"Low Stock","In Stock")</f>
        <v>In Stock</v>
      </c>
      <c r="P1224" t="str">
        <f>TEXT(Inventory_Data[[#This Row],[Date]],"MMM")</f>
        <v>Sep</v>
      </c>
      <c r="Q1224" t="str">
        <f>TEXT(Inventory_Data[[#This Row],[Date]],"YYYY")</f>
        <v>2025</v>
      </c>
    </row>
    <row r="1225" spans="1:17" x14ac:dyDescent="0.3">
      <c r="A1225" s="1">
        <v>45913</v>
      </c>
      <c r="B1225" t="s">
        <v>32</v>
      </c>
      <c r="C1225" t="s">
        <v>28</v>
      </c>
      <c r="D1225" t="s">
        <v>37</v>
      </c>
      <c r="E1225" t="s">
        <v>15</v>
      </c>
      <c r="F1225">
        <v>49</v>
      </c>
      <c r="G1225">
        <v>34</v>
      </c>
      <c r="H1225">
        <v>32</v>
      </c>
      <c r="I1225">
        <v>51</v>
      </c>
      <c r="J1225">
        <v>44</v>
      </c>
      <c r="K1225">
        <v>35585</v>
      </c>
      <c r="L1225">
        <v>1814835</v>
      </c>
      <c r="M1225">
        <f>Inventory_Data[[#This Row],[Opening Stock]]+Inventory_Data[[#This Row],[Purchase Qty]]-Inventory_Data[[#This Row],[Sales Qty]]-Inventory_Data[[#This Row],[Closing Stock]]</f>
        <v>0</v>
      </c>
      <c r="N1225">
        <f>Inventory_Data[[#This Row],[Purchase Qty]]*Inventory_Data[[#This Row],[Unit Cost]]</f>
        <v>1209890</v>
      </c>
      <c r="O1225" t="str">
        <f>IF(Inventory_Data[[#This Row],[Closing Stock]]&lt;=Inventory_Data[[#This Row],[Reorder Level]],"Low Stock","In Stock")</f>
        <v>In Stock</v>
      </c>
      <c r="P1225" t="str">
        <f>TEXT(Inventory_Data[[#This Row],[Date]],"MMM")</f>
        <v>Sep</v>
      </c>
      <c r="Q1225" t="str">
        <f>TEXT(Inventory_Data[[#This Row],[Date]],"YYYY")</f>
        <v>2025</v>
      </c>
    </row>
    <row r="1226" spans="1:17" x14ac:dyDescent="0.3">
      <c r="A1226" s="1">
        <v>45913</v>
      </c>
      <c r="B1226" t="s">
        <v>32</v>
      </c>
      <c r="C1226" t="s">
        <v>28</v>
      </c>
      <c r="D1226" t="s">
        <v>26</v>
      </c>
      <c r="E1226" t="s">
        <v>20</v>
      </c>
      <c r="F1226">
        <v>81</v>
      </c>
      <c r="G1226">
        <v>62</v>
      </c>
      <c r="H1226">
        <v>52</v>
      </c>
      <c r="I1226">
        <v>91</v>
      </c>
      <c r="J1226">
        <v>46</v>
      </c>
      <c r="K1226">
        <v>5123</v>
      </c>
      <c r="L1226">
        <v>466193</v>
      </c>
      <c r="M1226">
        <f>Inventory_Data[[#This Row],[Opening Stock]]+Inventory_Data[[#This Row],[Purchase Qty]]-Inventory_Data[[#This Row],[Sales Qty]]-Inventory_Data[[#This Row],[Closing Stock]]</f>
        <v>0</v>
      </c>
      <c r="N1226">
        <f>Inventory_Data[[#This Row],[Purchase Qty]]*Inventory_Data[[#This Row],[Unit Cost]]</f>
        <v>317626</v>
      </c>
      <c r="O1226" t="str">
        <f>IF(Inventory_Data[[#This Row],[Closing Stock]]&lt;=Inventory_Data[[#This Row],[Reorder Level]],"Low Stock","In Stock")</f>
        <v>In Stock</v>
      </c>
      <c r="P1226" t="str">
        <f>TEXT(Inventory_Data[[#This Row],[Date]],"MMM")</f>
        <v>Sep</v>
      </c>
      <c r="Q1226" t="str">
        <f>TEXT(Inventory_Data[[#This Row],[Date]],"YYYY")</f>
        <v>2025</v>
      </c>
    </row>
    <row r="1227" spans="1:17" x14ac:dyDescent="0.3">
      <c r="A1227" s="1">
        <v>45913</v>
      </c>
      <c r="B1227" t="s">
        <v>40</v>
      </c>
      <c r="C1227" t="s">
        <v>28</v>
      </c>
      <c r="D1227" t="s">
        <v>26</v>
      </c>
      <c r="E1227" t="s">
        <v>24</v>
      </c>
      <c r="F1227">
        <v>66</v>
      </c>
      <c r="G1227">
        <v>34</v>
      </c>
      <c r="H1227">
        <v>70</v>
      </c>
      <c r="I1227">
        <v>30</v>
      </c>
      <c r="J1227">
        <v>49</v>
      </c>
      <c r="K1227">
        <v>809</v>
      </c>
      <c r="L1227">
        <v>24270</v>
      </c>
      <c r="M1227">
        <f>Inventory_Data[[#This Row],[Opening Stock]]+Inventory_Data[[#This Row],[Purchase Qty]]-Inventory_Data[[#This Row],[Sales Qty]]-Inventory_Data[[#This Row],[Closing Stock]]</f>
        <v>0</v>
      </c>
      <c r="N1227">
        <f>Inventory_Data[[#This Row],[Purchase Qty]]*Inventory_Data[[#This Row],[Unit Cost]]</f>
        <v>27506</v>
      </c>
      <c r="O1227" t="str">
        <f>IF(Inventory_Data[[#This Row],[Closing Stock]]&lt;=Inventory_Data[[#This Row],[Reorder Level]],"Low Stock","In Stock")</f>
        <v>Low Stock</v>
      </c>
      <c r="P1227" t="str">
        <f>TEXT(Inventory_Data[[#This Row],[Date]],"MMM")</f>
        <v>Sep</v>
      </c>
      <c r="Q1227" t="str">
        <f>TEXT(Inventory_Data[[#This Row],[Date]],"YYYY")</f>
        <v>2025</v>
      </c>
    </row>
    <row r="1228" spans="1:17" x14ac:dyDescent="0.3">
      <c r="A1228" s="1">
        <v>45914</v>
      </c>
      <c r="B1228" t="s">
        <v>21</v>
      </c>
      <c r="C1228" t="s">
        <v>22</v>
      </c>
      <c r="D1228" t="s">
        <v>37</v>
      </c>
      <c r="E1228" t="s">
        <v>24</v>
      </c>
      <c r="F1228">
        <v>284</v>
      </c>
      <c r="G1228">
        <v>69</v>
      </c>
      <c r="H1228">
        <v>206</v>
      </c>
      <c r="I1228">
        <v>147</v>
      </c>
      <c r="J1228">
        <v>57</v>
      </c>
      <c r="K1228">
        <v>804</v>
      </c>
      <c r="L1228">
        <v>118188</v>
      </c>
      <c r="M1228">
        <f>Inventory_Data[[#This Row],[Opening Stock]]+Inventory_Data[[#This Row],[Purchase Qty]]-Inventory_Data[[#This Row],[Sales Qty]]-Inventory_Data[[#This Row],[Closing Stock]]</f>
        <v>0</v>
      </c>
      <c r="N1228">
        <f>Inventory_Data[[#This Row],[Purchase Qty]]*Inventory_Data[[#This Row],[Unit Cost]]</f>
        <v>55476</v>
      </c>
      <c r="O1228" t="str">
        <f>IF(Inventory_Data[[#This Row],[Closing Stock]]&lt;=Inventory_Data[[#This Row],[Reorder Level]],"Low Stock","In Stock")</f>
        <v>In Stock</v>
      </c>
      <c r="P1228" t="str">
        <f>TEXT(Inventory_Data[[#This Row],[Date]],"MMM")</f>
        <v>Sep</v>
      </c>
      <c r="Q1228" t="str">
        <f>TEXT(Inventory_Data[[#This Row],[Date]],"YYYY")</f>
        <v>2025</v>
      </c>
    </row>
    <row r="1229" spans="1:17" x14ac:dyDescent="0.3">
      <c r="A1229" s="1">
        <v>45914</v>
      </c>
      <c r="B1229" t="s">
        <v>12</v>
      </c>
      <c r="C1229" t="s">
        <v>13</v>
      </c>
      <c r="D1229" t="s">
        <v>14</v>
      </c>
      <c r="E1229" t="s">
        <v>29</v>
      </c>
      <c r="F1229">
        <v>54</v>
      </c>
      <c r="G1229">
        <v>25</v>
      </c>
      <c r="H1229">
        <v>24</v>
      </c>
      <c r="I1229">
        <v>55</v>
      </c>
      <c r="J1229">
        <v>32</v>
      </c>
      <c r="K1229">
        <v>10954</v>
      </c>
      <c r="L1229">
        <v>602470</v>
      </c>
      <c r="M1229">
        <f>Inventory_Data[[#This Row],[Opening Stock]]+Inventory_Data[[#This Row],[Purchase Qty]]-Inventory_Data[[#This Row],[Sales Qty]]-Inventory_Data[[#This Row],[Closing Stock]]</f>
        <v>0</v>
      </c>
      <c r="N1229">
        <f>Inventory_Data[[#This Row],[Purchase Qty]]*Inventory_Data[[#This Row],[Unit Cost]]</f>
        <v>273850</v>
      </c>
      <c r="O1229" t="str">
        <f>IF(Inventory_Data[[#This Row],[Closing Stock]]&lt;=Inventory_Data[[#This Row],[Reorder Level]],"Low Stock","In Stock")</f>
        <v>In Stock</v>
      </c>
      <c r="P1229" t="str">
        <f>TEXT(Inventory_Data[[#This Row],[Date]],"MMM")</f>
        <v>Sep</v>
      </c>
      <c r="Q1229" t="str">
        <f>TEXT(Inventory_Data[[#This Row],[Date]],"YYYY")</f>
        <v>2025</v>
      </c>
    </row>
    <row r="1230" spans="1:17" x14ac:dyDescent="0.3">
      <c r="A1230" s="1">
        <v>45914</v>
      </c>
      <c r="B1230" t="s">
        <v>44</v>
      </c>
      <c r="C1230" t="s">
        <v>28</v>
      </c>
      <c r="D1230" t="s">
        <v>37</v>
      </c>
      <c r="E1230" t="s">
        <v>20</v>
      </c>
      <c r="F1230">
        <v>76</v>
      </c>
      <c r="G1230">
        <v>18</v>
      </c>
      <c r="H1230">
        <v>9</v>
      </c>
      <c r="I1230">
        <v>85</v>
      </c>
      <c r="J1230">
        <v>28</v>
      </c>
      <c r="K1230">
        <v>52846</v>
      </c>
      <c r="L1230">
        <v>4491910</v>
      </c>
      <c r="M1230">
        <f>Inventory_Data[[#This Row],[Opening Stock]]+Inventory_Data[[#This Row],[Purchase Qty]]-Inventory_Data[[#This Row],[Sales Qty]]-Inventory_Data[[#This Row],[Closing Stock]]</f>
        <v>0</v>
      </c>
      <c r="N1230">
        <f>Inventory_Data[[#This Row],[Purchase Qty]]*Inventory_Data[[#This Row],[Unit Cost]]</f>
        <v>951228</v>
      </c>
      <c r="O1230" t="str">
        <f>IF(Inventory_Data[[#This Row],[Closing Stock]]&lt;=Inventory_Data[[#This Row],[Reorder Level]],"Low Stock","In Stock")</f>
        <v>In Stock</v>
      </c>
      <c r="P1230" t="str">
        <f>TEXT(Inventory_Data[[#This Row],[Date]],"MMM")</f>
        <v>Sep</v>
      </c>
      <c r="Q1230" t="str">
        <f>TEXT(Inventory_Data[[#This Row],[Date]],"YYYY")</f>
        <v>2025</v>
      </c>
    </row>
    <row r="1231" spans="1:17" x14ac:dyDescent="0.3">
      <c r="A1231" s="1">
        <v>45914</v>
      </c>
      <c r="B1231" t="s">
        <v>35</v>
      </c>
      <c r="C1231" t="s">
        <v>22</v>
      </c>
      <c r="D1231" t="s">
        <v>14</v>
      </c>
      <c r="E1231" t="s">
        <v>15</v>
      </c>
      <c r="F1231">
        <v>349</v>
      </c>
      <c r="G1231">
        <v>179</v>
      </c>
      <c r="H1231">
        <v>252</v>
      </c>
      <c r="I1231">
        <v>276</v>
      </c>
      <c r="J1231">
        <v>116</v>
      </c>
      <c r="K1231">
        <v>434</v>
      </c>
      <c r="L1231">
        <v>119784</v>
      </c>
      <c r="M1231">
        <f>Inventory_Data[[#This Row],[Opening Stock]]+Inventory_Data[[#This Row],[Purchase Qty]]-Inventory_Data[[#This Row],[Sales Qty]]-Inventory_Data[[#This Row],[Closing Stock]]</f>
        <v>0</v>
      </c>
      <c r="N1231">
        <f>Inventory_Data[[#This Row],[Purchase Qty]]*Inventory_Data[[#This Row],[Unit Cost]]</f>
        <v>77686</v>
      </c>
      <c r="O1231" t="str">
        <f>IF(Inventory_Data[[#This Row],[Closing Stock]]&lt;=Inventory_Data[[#This Row],[Reorder Level]],"Low Stock","In Stock")</f>
        <v>In Stock</v>
      </c>
      <c r="P1231" t="str">
        <f>TEXT(Inventory_Data[[#This Row],[Date]],"MMM")</f>
        <v>Sep</v>
      </c>
      <c r="Q1231" t="str">
        <f>TEXT(Inventory_Data[[#This Row],[Date]],"YYYY")</f>
        <v>2025</v>
      </c>
    </row>
    <row r="1232" spans="1:17" x14ac:dyDescent="0.3">
      <c r="A1232" s="1">
        <v>45914</v>
      </c>
      <c r="B1232" t="s">
        <v>21</v>
      </c>
      <c r="C1232" t="s">
        <v>22</v>
      </c>
      <c r="D1232" t="s">
        <v>26</v>
      </c>
      <c r="E1232" t="s">
        <v>18</v>
      </c>
      <c r="F1232">
        <v>491</v>
      </c>
      <c r="G1232">
        <v>274</v>
      </c>
      <c r="H1232">
        <v>95</v>
      </c>
      <c r="I1232">
        <v>670</v>
      </c>
      <c r="J1232">
        <v>70</v>
      </c>
      <c r="K1232">
        <v>810</v>
      </c>
      <c r="L1232">
        <v>542700</v>
      </c>
      <c r="M1232">
        <f>Inventory_Data[[#This Row],[Opening Stock]]+Inventory_Data[[#This Row],[Purchase Qty]]-Inventory_Data[[#This Row],[Sales Qty]]-Inventory_Data[[#This Row],[Closing Stock]]</f>
        <v>0</v>
      </c>
      <c r="N1232">
        <f>Inventory_Data[[#This Row],[Purchase Qty]]*Inventory_Data[[#This Row],[Unit Cost]]</f>
        <v>221940</v>
      </c>
      <c r="O1232" t="str">
        <f>IF(Inventory_Data[[#This Row],[Closing Stock]]&lt;=Inventory_Data[[#This Row],[Reorder Level]],"Low Stock","In Stock")</f>
        <v>In Stock</v>
      </c>
      <c r="P1232" t="str">
        <f>TEXT(Inventory_Data[[#This Row],[Date]],"MMM")</f>
        <v>Sep</v>
      </c>
      <c r="Q1232" t="str">
        <f>TEXT(Inventory_Data[[#This Row],[Date]],"YYYY")</f>
        <v>2025</v>
      </c>
    </row>
    <row r="1233" spans="1:17" x14ac:dyDescent="0.3">
      <c r="A1233" s="1">
        <v>45914</v>
      </c>
      <c r="B1233" t="s">
        <v>45</v>
      </c>
      <c r="C1233" t="s">
        <v>13</v>
      </c>
      <c r="D1233" t="s">
        <v>14</v>
      </c>
      <c r="E1233" t="s">
        <v>34</v>
      </c>
      <c r="F1233">
        <v>110</v>
      </c>
      <c r="G1233">
        <v>58</v>
      </c>
      <c r="H1233">
        <v>49</v>
      </c>
      <c r="I1233">
        <v>119</v>
      </c>
      <c r="J1233">
        <v>21</v>
      </c>
      <c r="K1233">
        <v>8991</v>
      </c>
      <c r="L1233">
        <v>1069929</v>
      </c>
      <c r="M1233">
        <f>Inventory_Data[[#This Row],[Opening Stock]]+Inventory_Data[[#This Row],[Purchase Qty]]-Inventory_Data[[#This Row],[Sales Qty]]-Inventory_Data[[#This Row],[Closing Stock]]</f>
        <v>0</v>
      </c>
      <c r="N1233">
        <f>Inventory_Data[[#This Row],[Purchase Qty]]*Inventory_Data[[#This Row],[Unit Cost]]</f>
        <v>521478</v>
      </c>
      <c r="O1233" t="str">
        <f>IF(Inventory_Data[[#This Row],[Closing Stock]]&lt;=Inventory_Data[[#This Row],[Reorder Level]],"Low Stock","In Stock")</f>
        <v>In Stock</v>
      </c>
      <c r="P1233" t="str">
        <f>TEXT(Inventory_Data[[#This Row],[Date]],"MMM")</f>
        <v>Sep</v>
      </c>
      <c r="Q1233" t="str">
        <f>TEXT(Inventory_Data[[#This Row],[Date]],"YYYY")</f>
        <v>2025</v>
      </c>
    </row>
    <row r="1234" spans="1:17" x14ac:dyDescent="0.3">
      <c r="A1234" s="1">
        <v>45915</v>
      </c>
      <c r="B1234" t="s">
        <v>27</v>
      </c>
      <c r="C1234" t="s">
        <v>28</v>
      </c>
      <c r="D1234" t="s">
        <v>14</v>
      </c>
      <c r="E1234" t="s">
        <v>18</v>
      </c>
      <c r="F1234">
        <v>139</v>
      </c>
      <c r="G1234">
        <v>59</v>
      </c>
      <c r="H1234">
        <v>90</v>
      </c>
      <c r="I1234">
        <v>108</v>
      </c>
      <c r="J1234">
        <v>32</v>
      </c>
      <c r="K1234">
        <v>28618</v>
      </c>
      <c r="L1234">
        <v>3090744</v>
      </c>
      <c r="M1234">
        <f>Inventory_Data[[#This Row],[Opening Stock]]+Inventory_Data[[#This Row],[Purchase Qty]]-Inventory_Data[[#This Row],[Sales Qty]]-Inventory_Data[[#This Row],[Closing Stock]]</f>
        <v>0</v>
      </c>
      <c r="N1234">
        <f>Inventory_Data[[#This Row],[Purchase Qty]]*Inventory_Data[[#This Row],[Unit Cost]]</f>
        <v>1688462</v>
      </c>
      <c r="O1234" t="str">
        <f>IF(Inventory_Data[[#This Row],[Closing Stock]]&lt;=Inventory_Data[[#This Row],[Reorder Level]],"Low Stock","In Stock")</f>
        <v>In Stock</v>
      </c>
      <c r="P1234" t="str">
        <f>TEXT(Inventory_Data[[#This Row],[Date]],"MMM")</f>
        <v>Sep</v>
      </c>
      <c r="Q1234" t="str">
        <f>TEXT(Inventory_Data[[#This Row],[Date]],"YYYY")</f>
        <v>2025</v>
      </c>
    </row>
    <row r="1235" spans="1:17" x14ac:dyDescent="0.3">
      <c r="A1235" s="1">
        <v>45915</v>
      </c>
      <c r="B1235" t="s">
        <v>41</v>
      </c>
      <c r="C1235" t="s">
        <v>22</v>
      </c>
      <c r="D1235" t="s">
        <v>23</v>
      </c>
      <c r="E1235" t="s">
        <v>20</v>
      </c>
      <c r="F1235">
        <v>487</v>
      </c>
      <c r="G1235">
        <v>45</v>
      </c>
      <c r="H1235">
        <v>175</v>
      </c>
      <c r="I1235">
        <v>357</v>
      </c>
      <c r="J1235">
        <v>100</v>
      </c>
      <c r="K1235">
        <v>913</v>
      </c>
      <c r="L1235">
        <v>325941</v>
      </c>
      <c r="M1235">
        <f>Inventory_Data[[#This Row],[Opening Stock]]+Inventory_Data[[#This Row],[Purchase Qty]]-Inventory_Data[[#This Row],[Sales Qty]]-Inventory_Data[[#This Row],[Closing Stock]]</f>
        <v>0</v>
      </c>
      <c r="N1235">
        <f>Inventory_Data[[#This Row],[Purchase Qty]]*Inventory_Data[[#This Row],[Unit Cost]]</f>
        <v>41085</v>
      </c>
      <c r="O1235" t="str">
        <f>IF(Inventory_Data[[#This Row],[Closing Stock]]&lt;=Inventory_Data[[#This Row],[Reorder Level]],"Low Stock","In Stock")</f>
        <v>In Stock</v>
      </c>
      <c r="P1235" t="str">
        <f>TEXT(Inventory_Data[[#This Row],[Date]],"MMM")</f>
        <v>Sep</v>
      </c>
      <c r="Q1235" t="str">
        <f>TEXT(Inventory_Data[[#This Row],[Date]],"YYYY")</f>
        <v>2025</v>
      </c>
    </row>
    <row r="1236" spans="1:17" x14ac:dyDescent="0.3">
      <c r="A1236" s="1">
        <v>45915</v>
      </c>
      <c r="B1236" t="s">
        <v>16</v>
      </c>
      <c r="C1236" t="s">
        <v>17</v>
      </c>
      <c r="D1236" t="s">
        <v>14</v>
      </c>
      <c r="E1236" t="s">
        <v>20</v>
      </c>
      <c r="F1236">
        <v>27</v>
      </c>
      <c r="G1236">
        <v>51</v>
      </c>
      <c r="H1236">
        <v>34</v>
      </c>
      <c r="I1236">
        <v>44</v>
      </c>
      <c r="J1236">
        <v>11</v>
      </c>
      <c r="K1236">
        <v>20160</v>
      </c>
      <c r="L1236">
        <v>887040</v>
      </c>
      <c r="M1236">
        <f>Inventory_Data[[#This Row],[Opening Stock]]+Inventory_Data[[#This Row],[Purchase Qty]]-Inventory_Data[[#This Row],[Sales Qty]]-Inventory_Data[[#This Row],[Closing Stock]]</f>
        <v>0</v>
      </c>
      <c r="N1236">
        <f>Inventory_Data[[#This Row],[Purchase Qty]]*Inventory_Data[[#This Row],[Unit Cost]]</f>
        <v>1028160</v>
      </c>
      <c r="O1236" t="str">
        <f>IF(Inventory_Data[[#This Row],[Closing Stock]]&lt;=Inventory_Data[[#This Row],[Reorder Level]],"Low Stock","In Stock")</f>
        <v>In Stock</v>
      </c>
      <c r="P1236" t="str">
        <f>TEXT(Inventory_Data[[#This Row],[Date]],"MMM")</f>
        <v>Sep</v>
      </c>
      <c r="Q1236" t="str">
        <f>TEXT(Inventory_Data[[#This Row],[Date]],"YYYY")</f>
        <v>2025</v>
      </c>
    </row>
    <row r="1237" spans="1:17" x14ac:dyDescent="0.3">
      <c r="A1237" s="1">
        <v>45916</v>
      </c>
      <c r="B1237" t="s">
        <v>39</v>
      </c>
      <c r="C1237" t="s">
        <v>28</v>
      </c>
      <c r="D1237" t="s">
        <v>37</v>
      </c>
      <c r="E1237" t="s">
        <v>24</v>
      </c>
      <c r="F1237">
        <v>46</v>
      </c>
      <c r="G1237">
        <v>116</v>
      </c>
      <c r="H1237">
        <v>44</v>
      </c>
      <c r="I1237">
        <v>118</v>
      </c>
      <c r="J1237">
        <v>52</v>
      </c>
      <c r="K1237">
        <v>7429</v>
      </c>
      <c r="L1237">
        <v>876622</v>
      </c>
      <c r="M1237">
        <f>Inventory_Data[[#This Row],[Opening Stock]]+Inventory_Data[[#This Row],[Purchase Qty]]-Inventory_Data[[#This Row],[Sales Qty]]-Inventory_Data[[#This Row],[Closing Stock]]</f>
        <v>0</v>
      </c>
      <c r="N1237">
        <f>Inventory_Data[[#This Row],[Purchase Qty]]*Inventory_Data[[#This Row],[Unit Cost]]</f>
        <v>861764</v>
      </c>
      <c r="O1237" t="str">
        <f>IF(Inventory_Data[[#This Row],[Closing Stock]]&lt;=Inventory_Data[[#This Row],[Reorder Level]],"Low Stock","In Stock")</f>
        <v>In Stock</v>
      </c>
      <c r="P1237" t="str">
        <f>TEXT(Inventory_Data[[#This Row],[Date]],"MMM")</f>
        <v>Sep</v>
      </c>
      <c r="Q1237" t="str">
        <f>TEXT(Inventory_Data[[#This Row],[Date]],"YYYY")</f>
        <v>2025</v>
      </c>
    </row>
    <row r="1238" spans="1:17" x14ac:dyDescent="0.3">
      <c r="A1238" s="1">
        <v>45916</v>
      </c>
      <c r="B1238" t="s">
        <v>16</v>
      </c>
      <c r="C1238" t="s">
        <v>17</v>
      </c>
      <c r="D1238" t="s">
        <v>23</v>
      </c>
      <c r="E1238" t="s">
        <v>24</v>
      </c>
      <c r="F1238">
        <v>64</v>
      </c>
      <c r="G1238">
        <v>19</v>
      </c>
      <c r="H1238">
        <v>37</v>
      </c>
      <c r="I1238">
        <v>46</v>
      </c>
      <c r="J1238">
        <v>19</v>
      </c>
      <c r="K1238">
        <v>6625</v>
      </c>
      <c r="L1238">
        <v>304750</v>
      </c>
      <c r="M1238">
        <f>Inventory_Data[[#This Row],[Opening Stock]]+Inventory_Data[[#This Row],[Purchase Qty]]-Inventory_Data[[#This Row],[Sales Qty]]-Inventory_Data[[#This Row],[Closing Stock]]</f>
        <v>0</v>
      </c>
      <c r="N1238">
        <f>Inventory_Data[[#This Row],[Purchase Qty]]*Inventory_Data[[#This Row],[Unit Cost]]</f>
        <v>125875</v>
      </c>
      <c r="O1238" t="str">
        <f>IF(Inventory_Data[[#This Row],[Closing Stock]]&lt;=Inventory_Data[[#This Row],[Reorder Level]],"Low Stock","In Stock")</f>
        <v>In Stock</v>
      </c>
      <c r="P1238" t="str">
        <f>TEXT(Inventory_Data[[#This Row],[Date]],"MMM")</f>
        <v>Sep</v>
      </c>
      <c r="Q1238" t="str">
        <f>TEXT(Inventory_Data[[#This Row],[Date]],"YYYY")</f>
        <v>2025</v>
      </c>
    </row>
    <row r="1239" spans="1:17" x14ac:dyDescent="0.3">
      <c r="A1239" s="1">
        <v>45916</v>
      </c>
      <c r="B1239" t="s">
        <v>38</v>
      </c>
      <c r="C1239" t="s">
        <v>17</v>
      </c>
      <c r="D1239" t="s">
        <v>14</v>
      </c>
      <c r="E1239" t="s">
        <v>18</v>
      </c>
      <c r="F1239">
        <v>60</v>
      </c>
      <c r="G1239">
        <v>19</v>
      </c>
      <c r="H1239">
        <v>32</v>
      </c>
      <c r="I1239">
        <v>47</v>
      </c>
      <c r="J1239">
        <v>25</v>
      </c>
      <c r="K1239">
        <v>16785</v>
      </c>
      <c r="L1239">
        <v>788895</v>
      </c>
      <c r="M1239">
        <f>Inventory_Data[[#This Row],[Opening Stock]]+Inventory_Data[[#This Row],[Purchase Qty]]-Inventory_Data[[#This Row],[Sales Qty]]-Inventory_Data[[#This Row],[Closing Stock]]</f>
        <v>0</v>
      </c>
      <c r="N1239">
        <f>Inventory_Data[[#This Row],[Purchase Qty]]*Inventory_Data[[#This Row],[Unit Cost]]</f>
        <v>318915</v>
      </c>
      <c r="O1239" t="str">
        <f>IF(Inventory_Data[[#This Row],[Closing Stock]]&lt;=Inventory_Data[[#This Row],[Reorder Level]],"Low Stock","In Stock")</f>
        <v>In Stock</v>
      </c>
      <c r="P1239" t="str">
        <f>TEXT(Inventory_Data[[#This Row],[Date]],"MMM")</f>
        <v>Sep</v>
      </c>
      <c r="Q1239" t="str">
        <f>TEXT(Inventory_Data[[#This Row],[Date]],"YYYY")</f>
        <v>2025</v>
      </c>
    </row>
    <row r="1240" spans="1:17" x14ac:dyDescent="0.3">
      <c r="A1240" s="1">
        <v>45916</v>
      </c>
      <c r="B1240" t="s">
        <v>44</v>
      </c>
      <c r="C1240" t="s">
        <v>28</v>
      </c>
      <c r="D1240" t="s">
        <v>23</v>
      </c>
      <c r="E1240" t="s">
        <v>18</v>
      </c>
      <c r="F1240">
        <v>173</v>
      </c>
      <c r="G1240">
        <v>63</v>
      </c>
      <c r="H1240">
        <v>44</v>
      </c>
      <c r="I1240">
        <v>192</v>
      </c>
      <c r="J1240">
        <v>23</v>
      </c>
      <c r="K1240">
        <v>20961</v>
      </c>
      <c r="L1240">
        <v>4024512</v>
      </c>
      <c r="M1240">
        <f>Inventory_Data[[#This Row],[Opening Stock]]+Inventory_Data[[#This Row],[Purchase Qty]]-Inventory_Data[[#This Row],[Sales Qty]]-Inventory_Data[[#This Row],[Closing Stock]]</f>
        <v>0</v>
      </c>
      <c r="N1240">
        <f>Inventory_Data[[#This Row],[Purchase Qty]]*Inventory_Data[[#This Row],[Unit Cost]]</f>
        <v>1320543</v>
      </c>
      <c r="O1240" t="str">
        <f>IF(Inventory_Data[[#This Row],[Closing Stock]]&lt;=Inventory_Data[[#This Row],[Reorder Level]],"Low Stock","In Stock")</f>
        <v>In Stock</v>
      </c>
      <c r="P1240" t="str">
        <f>TEXT(Inventory_Data[[#This Row],[Date]],"MMM")</f>
        <v>Sep</v>
      </c>
      <c r="Q1240" t="str">
        <f>TEXT(Inventory_Data[[#This Row],[Date]],"YYYY")</f>
        <v>2025</v>
      </c>
    </row>
    <row r="1241" spans="1:17" x14ac:dyDescent="0.3">
      <c r="A1241" s="1">
        <v>45916</v>
      </c>
      <c r="B1241" t="s">
        <v>21</v>
      </c>
      <c r="C1241" t="s">
        <v>22</v>
      </c>
      <c r="D1241" t="s">
        <v>37</v>
      </c>
      <c r="E1241" t="s">
        <v>20</v>
      </c>
      <c r="F1241">
        <v>139</v>
      </c>
      <c r="G1241">
        <v>133</v>
      </c>
      <c r="H1241">
        <v>195</v>
      </c>
      <c r="I1241">
        <v>77</v>
      </c>
      <c r="J1241">
        <v>124</v>
      </c>
      <c r="K1241">
        <v>917</v>
      </c>
      <c r="L1241">
        <v>70609</v>
      </c>
      <c r="M1241">
        <f>Inventory_Data[[#This Row],[Opening Stock]]+Inventory_Data[[#This Row],[Purchase Qty]]-Inventory_Data[[#This Row],[Sales Qty]]-Inventory_Data[[#This Row],[Closing Stock]]</f>
        <v>0</v>
      </c>
      <c r="N1241">
        <f>Inventory_Data[[#This Row],[Purchase Qty]]*Inventory_Data[[#This Row],[Unit Cost]]</f>
        <v>121961</v>
      </c>
      <c r="O1241" t="str">
        <f>IF(Inventory_Data[[#This Row],[Closing Stock]]&lt;=Inventory_Data[[#This Row],[Reorder Level]],"Low Stock","In Stock")</f>
        <v>Low Stock</v>
      </c>
      <c r="P1241" t="str">
        <f>TEXT(Inventory_Data[[#This Row],[Date]],"MMM")</f>
        <v>Sep</v>
      </c>
      <c r="Q1241" t="str">
        <f>TEXT(Inventory_Data[[#This Row],[Date]],"YYYY")</f>
        <v>2025</v>
      </c>
    </row>
    <row r="1242" spans="1:17" x14ac:dyDescent="0.3">
      <c r="A1242" s="1">
        <v>45916</v>
      </c>
      <c r="B1242" t="s">
        <v>32</v>
      </c>
      <c r="C1242" t="s">
        <v>28</v>
      </c>
      <c r="D1242" t="s">
        <v>14</v>
      </c>
      <c r="E1242" t="s">
        <v>29</v>
      </c>
      <c r="F1242">
        <v>130</v>
      </c>
      <c r="G1242">
        <v>113</v>
      </c>
      <c r="H1242">
        <v>37</v>
      </c>
      <c r="I1242">
        <v>206</v>
      </c>
      <c r="J1242">
        <v>26</v>
      </c>
      <c r="K1242">
        <v>11903</v>
      </c>
      <c r="L1242">
        <v>2452018</v>
      </c>
      <c r="M1242">
        <f>Inventory_Data[[#This Row],[Opening Stock]]+Inventory_Data[[#This Row],[Purchase Qty]]-Inventory_Data[[#This Row],[Sales Qty]]-Inventory_Data[[#This Row],[Closing Stock]]</f>
        <v>0</v>
      </c>
      <c r="N1242">
        <f>Inventory_Data[[#This Row],[Purchase Qty]]*Inventory_Data[[#This Row],[Unit Cost]]</f>
        <v>1345039</v>
      </c>
      <c r="O1242" t="str">
        <f>IF(Inventory_Data[[#This Row],[Closing Stock]]&lt;=Inventory_Data[[#This Row],[Reorder Level]],"Low Stock","In Stock")</f>
        <v>In Stock</v>
      </c>
      <c r="P1242" t="str">
        <f>TEXT(Inventory_Data[[#This Row],[Date]],"MMM")</f>
        <v>Sep</v>
      </c>
      <c r="Q1242" t="str">
        <f>TEXT(Inventory_Data[[#This Row],[Date]],"YYYY")</f>
        <v>2025</v>
      </c>
    </row>
    <row r="1243" spans="1:17" x14ac:dyDescent="0.3">
      <c r="A1243" s="1">
        <v>45916</v>
      </c>
      <c r="B1243" t="s">
        <v>45</v>
      </c>
      <c r="C1243" t="s">
        <v>13</v>
      </c>
      <c r="D1243" t="s">
        <v>14</v>
      </c>
      <c r="E1243" t="s">
        <v>29</v>
      </c>
      <c r="F1243">
        <v>57</v>
      </c>
      <c r="G1243">
        <v>11</v>
      </c>
      <c r="H1243">
        <v>63</v>
      </c>
      <c r="I1243">
        <v>5</v>
      </c>
      <c r="J1243">
        <v>39</v>
      </c>
      <c r="K1243">
        <v>17644</v>
      </c>
      <c r="L1243">
        <v>88220</v>
      </c>
      <c r="M1243">
        <f>Inventory_Data[[#This Row],[Opening Stock]]+Inventory_Data[[#This Row],[Purchase Qty]]-Inventory_Data[[#This Row],[Sales Qty]]-Inventory_Data[[#This Row],[Closing Stock]]</f>
        <v>0</v>
      </c>
      <c r="N1243">
        <f>Inventory_Data[[#This Row],[Purchase Qty]]*Inventory_Data[[#This Row],[Unit Cost]]</f>
        <v>194084</v>
      </c>
      <c r="O1243" t="str">
        <f>IF(Inventory_Data[[#This Row],[Closing Stock]]&lt;=Inventory_Data[[#This Row],[Reorder Level]],"Low Stock","In Stock")</f>
        <v>Low Stock</v>
      </c>
      <c r="P1243" t="str">
        <f>TEXT(Inventory_Data[[#This Row],[Date]],"MMM")</f>
        <v>Sep</v>
      </c>
      <c r="Q1243" t="str">
        <f>TEXT(Inventory_Data[[#This Row],[Date]],"YYYY")</f>
        <v>2025</v>
      </c>
    </row>
    <row r="1244" spans="1:17" x14ac:dyDescent="0.3">
      <c r="A1244" s="1">
        <v>45916</v>
      </c>
      <c r="B1244" t="s">
        <v>44</v>
      </c>
      <c r="C1244" t="s">
        <v>28</v>
      </c>
      <c r="D1244" t="s">
        <v>23</v>
      </c>
      <c r="E1244" t="s">
        <v>20</v>
      </c>
      <c r="F1244">
        <v>66</v>
      </c>
      <c r="G1244">
        <v>104</v>
      </c>
      <c r="H1244">
        <v>17</v>
      </c>
      <c r="I1244">
        <v>153</v>
      </c>
      <c r="J1244">
        <v>35</v>
      </c>
      <c r="K1244">
        <v>9879</v>
      </c>
      <c r="L1244">
        <v>1511487</v>
      </c>
      <c r="M1244">
        <f>Inventory_Data[[#This Row],[Opening Stock]]+Inventory_Data[[#This Row],[Purchase Qty]]-Inventory_Data[[#This Row],[Sales Qty]]-Inventory_Data[[#This Row],[Closing Stock]]</f>
        <v>0</v>
      </c>
      <c r="N1244">
        <f>Inventory_Data[[#This Row],[Purchase Qty]]*Inventory_Data[[#This Row],[Unit Cost]]</f>
        <v>1027416</v>
      </c>
      <c r="O1244" t="str">
        <f>IF(Inventory_Data[[#This Row],[Closing Stock]]&lt;=Inventory_Data[[#This Row],[Reorder Level]],"Low Stock","In Stock")</f>
        <v>In Stock</v>
      </c>
      <c r="P1244" t="str">
        <f>TEXT(Inventory_Data[[#This Row],[Date]],"MMM")</f>
        <v>Sep</v>
      </c>
      <c r="Q1244" t="str">
        <f>TEXT(Inventory_Data[[#This Row],[Date]],"YYYY")</f>
        <v>2025</v>
      </c>
    </row>
    <row r="1245" spans="1:17" x14ac:dyDescent="0.3">
      <c r="A1245" s="1">
        <v>45917</v>
      </c>
      <c r="B1245" t="s">
        <v>44</v>
      </c>
      <c r="C1245" t="s">
        <v>28</v>
      </c>
      <c r="D1245" t="s">
        <v>14</v>
      </c>
      <c r="E1245" t="s">
        <v>15</v>
      </c>
      <c r="F1245">
        <v>144</v>
      </c>
      <c r="G1245">
        <v>91</v>
      </c>
      <c r="H1245">
        <v>31</v>
      </c>
      <c r="I1245">
        <v>204</v>
      </c>
      <c r="J1245">
        <v>51</v>
      </c>
      <c r="K1245">
        <v>35274</v>
      </c>
      <c r="L1245">
        <v>7195896</v>
      </c>
      <c r="M1245">
        <f>Inventory_Data[[#This Row],[Opening Stock]]+Inventory_Data[[#This Row],[Purchase Qty]]-Inventory_Data[[#This Row],[Sales Qty]]-Inventory_Data[[#This Row],[Closing Stock]]</f>
        <v>0</v>
      </c>
      <c r="N1245">
        <f>Inventory_Data[[#This Row],[Purchase Qty]]*Inventory_Data[[#This Row],[Unit Cost]]</f>
        <v>3209934</v>
      </c>
      <c r="O1245" t="str">
        <f>IF(Inventory_Data[[#This Row],[Closing Stock]]&lt;=Inventory_Data[[#This Row],[Reorder Level]],"Low Stock","In Stock")</f>
        <v>In Stock</v>
      </c>
      <c r="P1245" t="str">
        <f>TEXT(Inventory_Data[[#This Row],[Date]],"MMM")</f>
        <v>Sep</v>
      </c>
      <c r="Q1245" t="str">
        <f>TEXT(Inventory_Data[[#This Row],[Date]],"YYYY")</f>
        <v>2025</v>
      </c>
    </row>
    <row r="1246" spans="1:17" x14ac:dyDescent="0.3">
      <c r="A1246" s="1">
        <v>45917</v>
      </c>
      <c r="B1246" t="s">
        <v>21</v>
      </c>
      <c r="C1246" t="s">
        <v>22</v>
      </c>
      <c r="D1246" t="s">
        <v>14</v>
      </c>
      <c r="E1246" t="s">
        <v>24</v>
      </c>
      <c r="F1246">
        <v>265</v>
      </c>
      <c r="G1246">
        <v>127</v>
      </c>
      <c r="H1246">
        <v>39</v>
      </c>
      <c r="I1246">
        <v>353</v>
      </c>
      <c r="J1246">
        <v>65</v>
      </c>
      <c r="K1246">
        <v>167</v>
      </c>
      <c r="L1246">
        <v>58951</v>
      </c>
      <c r="M1246">
        <f>Inventory_Data[[#This Row],[Opening Stock]]+Inventory_Data[[#This Row],[Purchase Qty]]-Inventory_Data[[#This Row],[Sales Qty]]-Inventory_Data[[#This Row],[Closing Stock]]</f>
        <v>0</v>
      </c>
      <c r="N1246">
        <f>Inventory_Data[[#This Row],[Purchase Qty]]*Inventory_Data[[#This Row],[Unit Cost]]</f>
        <v>21209</v>
      </c>
      <c r="O1246" t="str">
        <f>IF(Inventory_Data[[#This Row],[Closing Stock]]&lt;=Inventory_Data[[#This Row],[Reorder Level]],"Low Stock","In Stock")</f>
        <v>In Stock</v>
      </c>
      <c r="P1246" t="str">
        <f>TEXT(Inventory_Data[[#This Row],[Date]],"MMM")</f>
        <v>Sep</v>
      </c>
      <c r="Q1246" t="str">
        <f>TEXT(Inventory_Data[[#This Row],[Date]],"YYYY")</f>
        <v>2025</v>
      </c>
    </row>
    <row r="1247" spans="1:17" x14ac:dyDescent="0.3">
      <c r="A1247" s="1">
        <v>45917</v>
      </c>
      <c r="B1247" t="s">
        <v>30</v>
      </c>
      <c r="C1247" t="s">
        <v>28</v>
      </c>
      <c r="D1247" t="s">
        <v>14</v>
      </c>
      <c r="E1247" t="s">
        <v>24</v>
      </c>
      <c r="F1247">
        <v>156</v>
      </c>
      <c r="G1247">
        <v>97</v>
      </c>
      <c r="H1247">
        <v>60</v>
      </c>
      <c r="I1247">
        <v>193</v>
      </c>
      <c r="J1247">
        <v>36</v>
      </c>
      <c r="K1247">
        <v>59183</v>
      </c>
      <c r="L1247">
        <v>11422319</v>
      </c>
      <c r="M1247">
        <f>Inventory_Data[[#This Row],[Opening Stock]]+Inventory_Data[[#This Row],[Purchase Qty]]-Inventory_Data[[#This Row],[Sales Qty]]-Inventory_Data[[#This Row],[Closing Stock]]</f>
        <v>0</v>
      </c>
      <c r="N1247">
        <f>Inventory_Data[[#This Row],[Purchase Qty]]*Inventory_Data[[#This Row],[Unit Cost]]</f>
        <v>5740751</v>
      </c>
      <c r="O1247" t="str">
        <f>IF(Inventory_Data[[#This Row],[Closing Stock]]&lt;=Inventory_Data[[#This Row],[Reorder Level]],"Low Stock","In Stock")</f>
        <v>In Stock</v>
      </c>
      <c r="P1247" t="str">
        <f>TEXT(Inventory_Data[[#This Row],[Date]],"MMM")</f>
        <v>Sep</v>
      </c>
      <c r="Q1247" t="str">
        <f>TEXT(Inventory_Data[[#This Row],[Date]],"YYYY")</f>
        <v>2025</v>
      </c>
    </row>
    <row r="1248" spans="1:17" x14ac:dyDescent="0.3">
      <c r="A1248" s="1">
        <v>45917</v>
      </c>
      <c r="B1248" t="s">
        <v>31</v>
      </c>
      <c r="C1248" t="s">
        <v>22</v>
      </c>
      <c r="D1248" t="s">
        <v>23</v>
      </c>
      <c r="E1248" t="s">
        <v>20</v>
      </c>
      <c r="F1248">
        <v>471</v>
      </c>
      <c r="G1248">
        <v>92</v>
      </c>
      <c r="H1248">
        <v>38</v>
      </c>
      <c r="I1248">
        <v>525</v>
      </c>
      <c r="J1248">
        <v>149</v>
      </c>
      <c r="K1248">
        <v>304</v>
      </c>
      <c r="L1248">
        <v>159600</v>
      </c>
      <c r="M1248">
        <f>Inventory_Data[[#This Row],[Opening Stock]]+Inventory_Data[[#This Row],[Purchase Qty]]-Inventory_Data[[#This Row],[Sales Qty]]-Inventory_Data[[#This Row],[Closing Stock]]</f>
        <v>0</v>
      </c>
      <c r="N1248">
        <f>Inventory_Data[[#This Row],[Purchase Qty]]*Inventory_Data[[#This Row],[Unit Cost]]</f>
        <v>27968</v>
      </c>
      <c r="O1248" t="str">
        <f>IF(Inventory_Data[[#This Row],[Closing Stock]]&lt;=Inventory_Data[[#This Row],[Reorder Level]],"Low Stock","In Stock")</f>
        <v>In Stock</v>
      </c>
      <c r="P1248" t="str">
        <f>TEXT(Inventory_Data[[#This Row],[Date]],"MMM")</f>
        <v>Sep</v>
      </c>
      <c r="Q1248" t="str">
        <f>TEXT(Inventory_Data[[#This Row],[Date]],"YYYY")</f>
        <v>2025</v>
      </c>
    </row>
    <row r="1249" spans="1:17" x14ac:dyDescent="0.3">
      <c r="A1249" s="1">
        <v>45917</v>
      </c>
      <c r="B1249" t="s">
        <v>27</v>
      </c>
      <c r="C1249" t="s">
        <v>28</v>
      </c>
      <c r="D1249" t="s">
        <v>26</v>
      </c>
      <c r="E1249" t="s">
        <v>34</v>
      </c>
      <c r="F1249">
        <v>145</v>
      </c>
      <c r="G1249">
        <v>112</v>
      </c>
      <c r="H1249">
        <v>43</v>
      </c>
      <c r="I1249">
        <v>214</v>
      </c>
      <c r="J1249">
        <v>54</v>
      </c>
      <c r="K1249">
        <v>5905</v>
      </c>
      <c r="L1249">
        <v>1263670</v>
      </c>
      <c r="M1249">
        <f>Inventory_Data[[#This Row],[Opening Stock]]+Inventory_Data[[#This Row],[Purchase Qty]]-Inventory_Data[[#This Row],[Sales Qty]]-Inventory_Data[[#This Row],[Closing Stock]]</f>
        <v>0</v>
      </c>
      <c r="N1249">
        <f>Inventory_Data[[#This Row],[Purchase Qty]]*Inventory_Data[[#This Row],[Unit Cost]]</f>
        <v>661360</v>
      </c>
      <c r="O1249" t="str">
        <f>IF(Inventory_Data[[#This Row],[Closing Stock]]&lt;=Inventory_Data[[#This Row],[Reorder Level]],"Low Stock","In Stock")</f>
        <v>In Stock</v>
      </c>
      <c r="P1249" t="str">
        <f>TEXT(Inventory_Data[[#This Row],[Date]],"MMM")</f>
        <v>Sep</v>
      </c>
      <c r="Q1249" t="str">
        <f>TEXT(Inventory_Data[[#This Row],[Date]],"YYYY")</f>
        <v>2025</v>
      </c>
    </row>
    <row r="1250" spans="1:17" x14ac:dyDescent="0.3">
      <c r="A1250" s="1">
        <v>45918</v>
      </c>
      <c r="B1250" t="s">
        <v>39</v>
      </c>
      <c r="C1250" t="s">
        <v>28</v>
      </c>
      <c r="D1250" t="s">
        <v>37</v>
      </c>
      <c r="E1250" t="s">
        <v>20</v>
      </c>
      <c r="F1250">
        <v>64</v>
      </c>
      <c r="G1250">
        <v>32</v>
      </c>
      <c r="H1250">
        <v>51</v>
      </c>
      <c r="I1250">
        <v>45</v>
      </c>
      <c r="J1250">
        <v>30</v>
      </c>
      <c r="K1250">
        <v>39998</v>
      </c>
      <c r="L1250">
        <v>1799910</v>
      </c>
      <c r="M1250">
        <f>Inventory_Data[[#This Row],[Opening Stock]]+Inventory_Data[[#This Row],[Purchase Qty]]-Inventory_Data[[#This Row],[Sales Qty]]-Inventory_Data[[#This Row],[Closing Stock]]</f>
        <v>0</v>
      </c>
      <c r="N1250">
        <f>Inventory_Data[[#This Row],[Purchase Qty]]*Inventory_Data[[#This Row],[Unit Cost]]</f>
        <v>1279936</v>
      </c>
      <c r="O1250" t="str">
        <f>IF(Inventory_Data[[#This Row],[Closing Stock]]&lt;=Inventory_Data[[#This Row],[Reorder Level]],"Low Stock","In Stock")</f>
        <v>In Stock</v>
      </c>
      <c r="P1250" t="str">
        <f>TEXT(Inventory_Data[[#This Row],[Date]],"MMM")</f>
        <v>Sep</v>
      </c>
      <c r="Q1250" t="str">
        <f>TEXT(Inventory_Data[[#This Row],[Date]],"YYYY")</f>
        <v>2025</v>
      </c>
    </row>
    <row r="1251" spans="1:17" x14ac:dyDescent="0.3">
      <c r="A1251" s="1">
        <v>45918</v>
      </c>
      <c r="B1251" t="s">
        <v>40</v>
      </c>
      <c r="C1251" t="s">
        <v>28</v>
      </c>
      <c r="D1251" t="s">
        <v>26</v>
      </c>
      <c r="E1251" t="s">
        <v>18</v>
      </c>
      <c r="F1251">
        <v>50</v>
      </c>
      <c r="G1251">
        <v>46</v>
      </c>
      <c r="H1251">
        <v>83</v>
      </c>
      <c r="I1251">
        <v>13</v>
      </c>
      <c r="J1251">
        <v>24</v>
      </c>
      <c r="K1251">
        <v>60846</v>
      </c>
      <c r="L1251">
        <v>790998</v>
      </c>
      <c r="M1251">
        <f>Inventory_Data[[#This Row],[Opening Stock]]+Inventory_Data[[#This Row],[Purchase Qty]]-Inventory_Data[[#This Row],[Sales Qty]]-Inventory_Data[[#This Row],[Closing Stock]]</f>
        <v>0</v>
      </c>
      <c r="N1251">
        <f>Inventory_Data[[#This Row],[Purchase Qty]]*Inventory_Data[[#This Row],[Unit Cost]]</f>
        <v>2798916</v>
      </c>
      <c r="O1251" t="str">
        <f>IF(Inventory_Data[[#This Row],[Closing Stock]]&lt;=Inventory_Data[[#This Row],[Reorder Level]],"Low Stock","In Stock")</f>
        <v>Low Stock</v>
      </c>
      <c r="P1251" t="str">
        <f>TEXT(Inventory_Data[[#This Row],[Date]],"MMM")</f>
        <v>Sep</v>
      </c>
      <c r="Q1251" t="str">
        <f>TEXT(Inventory_Data[[#This Row],[Date]],"YYYY")</f>
        <v>2025</v>
      </c>
    </row>
    <row r="1252" spans="1:17" x14ac:dyDescent="0.3">
      <c r="A1252" s="1">
        <v>45918</v>
      </c>
      <c r="B1252" t="s">
        <v>36</v>
      </c>
      <c r="C1252" t="s">
        <v>22</v>
      </c>
      <c r="D1252" t="s">
        <v>37</v>
      </c>
      <c r="E1252" t="s">
        <v>24</v>
      </c>
      <c r="F1252">
        <v>183</v>
      </c>
      <c r="G1252">
        <v>116</v>
      </c>
      <c r="H1252">
        <v>65</v>
      </c>
      <c r="I1252">
        <v>234</v>
      </c>
      <c r="J1252">
        <v>117</v>
      </c>
      <c r="K1252">
        <v>897</v>
      </c>
      <c r="L1252">
        <v>209898</v>
      </c>
      <c r="M1252">
        <f>Inventory_Data[[#This Row],[Opening Stock]]+Inventory_Data[[#This Row],[Purchase Qty]]-Inventory_Data[[#This Row],[Sales Qty]]-Inventory_Data[[#This Row],[Closing Stock]]</f>
        <v>0</v>
      </c>
      <c r="N1252">
        <f>Inventory_Data[[#This Row],[Purchase Qty]]*Inventory_Data[[#This Row],[Unit Cost]]</f>
        <v>104052</v>
      </c>
      <c r="O1252" t="str">
        <f>IF(Inventory_Data[[#This Row],[Closing Stock]]&lt;=Inventory_Data[[#This Row],[Reorder Level]],"Low Stock","In Stock")</f>
        <v>In Stock</v>
      </c>
      <c r="P1252" t="str">
        <f>TEXT(Inventory_Data[[#This Row],[Date]],"MMM")</f>
        <v>Sep</v>
      </c>
      <c r="Q1252" t="str">
        <f>TEXT(Inventory_Data[[#This Row],[Date]],"YYYY")</f>
        <v>2025</v>
      </c>
    </row>
    <row r="1253" spans="1:17" x14ac:dyDescent="0.3">
      <c r="A1253" s="1">
        <v>45918</v>
      </c>
      <c r="B1253" t="s">
        <v>30</v>
      </c>
      <c r="C1253" t="s">
        <v>28</v>
      </c>
      <c r="D1253" t="s">
        <v>23</v>
      </c>
      <c r="E1253" t="s">
        <v>34</v>
      </c>
      <c r="F1253">
        <v>35</v>
      </c>
      <c r="G1253">
        <v>26</v>
      </c>
      <c r="H1253">
        <v>36</v>
      </c>
      <c r="I1253">
        <v>25</v>
      </c>
      <c r="J1253">
        <v>51</v>
      </c>
      <c r="K1253">
        <v>56965</v>
      </c>
      <c r="L1253">
        <v>1424125</v>
      </c>
      <c r="M1253">
        <f>Inventory_Data[[#This Row],[Opening Stock]]+Inventory_Data[[#This Row],[Purchase Qty]]-Inventory_Data[[#This Row],[Sales Qty]]-Inventory_Data[[#This Row],[Closing Stock]]</f>
        <v>0</v>
      </c>
      <c r="N1253">
        <f>Inventory_Data[[#This Row],[Purchase Qty]]*Inventory_Data[[#This Row],[Unit Cost]]</f>
        <v>1481090</v>
      </c>
      <c r="O1253" t="str">
        <f>IF(Inventory_Data[[#This Row],[Closing Stock]]&lt;=Inventory_Data[[#This Row],[Reorder Level]],"Low Stock","In Stock")</f>
        <v>Low Stock</v>
      </c>
      <c r="P1253" t="str">
        <f>TEXT(Inventory_Data[[#This Row],[Date]],"MMM")</f>
        <v>Sep</v>
      </c>
      <c r="Q1253" t="str">
        <f>TEXT(Inventory_Data[[#This Row],[Date]],"YYYY")</f>
        <v>2025</v>
      </c>
    </row>
    <row r="1254" spans="1:17" x14ac:dyDescent="0.3">
      <c r="A1254" s="1">
        <v>45918</v>
      </c>
      <c r="B1254" t="s">
        <v>27</v>
      </c>
      <c r="C1254" t="s">
        <v>28</v>
      </c>
      <c r="D1254" t="s">
        <v>37</v>
      </c>
      <c r="E1254" t="s">
        <v>20</v>
      </c>
      <c r="F1254">
        <v>92</v>
      </c>
      <c r="G1254">
        <v>16</v>
      </c>
      <c r="H1254">
        <v>45</v>
      </c>
      <c r="I1254">
        <v>63</v>
      </c>
      <c r="J1254">
        <v>29</v>
      </c>
      <c r="K1254">
        <v>24307</v>
      </c>
      <c r="L1254">
        <v>1531341</v>
      </c>
      <c r="M1254">
        <f>Inventory_Data[[#This Row],[Opening Stock]]+Inventory_Data[[#This Row],[Purchase Qty]]-Inventory_Data[[#This Row],[Sales Qty]]-Inventory_Data[[#This Row],[Closing Stock]]</f>
        <v>0</v>
      </c>
      <c r="N1254">
        <f>Inventory_Data[[#This Row],[Purchase Qty]]*Inventory_Data[[#This Row],[Unit Cost]]</f>
        <v>388912</v>
      </c>
      <c r="O1254" t="str">
        <f>IF(Inventory_Data[[#This Row],[Closing Stock]]&lt;=Inventory_Data[[#This Row],[Reorder Level]],"Low Stock","In Stock")</f>
        <v>In Stock</v>
      </c>
      <c r="P1254" t="str">
        <f>TEXT(Inventory_Data[[#This Row],[Date]],"MMM")</f>
        <v>Sep</v>
      </c>
      <c r="Q1254" t="str">
        <f>TEXT(Inventory_Data[[#This Row],[Date]],"YYYY")</f>
        <v>2025</v>
      </c>
    </row>
    <row r="1255" spans="1:17" x14ac:dyDescent="0.3">
      <c r="A1255" s="1">
        <v>45918</v>
      </c>
      <c r="B1255" t="s">
        <v>33</v>
      </c>
      <c r="C1255" t="s">
        <v>13</v>
      </c>
      <c r="D1255" t="s">
        <v>23</v>
      </c>
      <c r="E1255" t="s">
        <v>34</v>
      </c>
      <c r="F1255">
        <v>37</v>
      </c>
      <c r="G1255">
        <v>14</v>
      </c>
      <c r="H1255">
        <v>46</v>
      </c>
      <c r="I1255">
        <v>5</v>
      </c>
      <c r="J1255">
        <v>27</v>
      </c>
      <c r="K1255">
        <v>7741</v>
      </c>
      <c r="L1255">
        <v>38705</v>
      </c>
      <c r="M1255">
        <f>Inventory_Data[[#This Row],[Opening Stock]]+Inventory_Data[[#This Row],[Purchase Qty]]-Inventory_Data[[#This Row],[Sales Qty]]-Inventory_Data[[#This Row],[Closing Stock]]</f>
        <v>0</v>
      </c>
      <c r="N1255">
        <f>Inventory_Data[[#This Row],[Purchase Qty]]*Inventory_Data[[#This Row],[Unit Cost]]</f>
        <v>108374</v>
      </c>
      <c r="O1255" t="str">
        <f>IF(Inventory_Data[[#This Row],[Closing Stock]]&lt;=Inventory_Data[[#This Row],[Reorder Level]],"Low Stock","In Stock")</f>
        <v>Low Stock</v>
      </c>
      <c r="P1255" t="str">
        <f>TEXT(Inventory_Data[[#This Row],[Date]],"MMM")</f>
        <v>Sep</v>
      </c>
      <c r="Q1255" t="str">
        <f>TEXT(Inventory_Data[[#This Row],[Date]],"YYYY")</f>
        <v>2025</v>
      </c>
    </row>
    <row r="1256" spans="1:17" x14ac:dyDescent="0.3">
      <c r="A1256" s="1">
        <v>45919</v>
      </c>
      <c r="B1256" t="s">
        <v>32</v>
      </c>
      <c r="C1256" t="s">
        <v>28</v>
      </c>
      <c r="D1256" t="s">
        <v>37</v>
      </c>
      <c r="E1256" t="s">
        <v>15</v>
      </c>
      <c r="F1256">
        <v>45</v>
      </c>
      <c r="G1256">
        <v>112</v>
      </c>
      <c r="H1256">
        <v>59</v>
      </c>
      <c r="I1256">
        <v>98</v>
      </c>
      <c r="J1256">
        <v>28</v>
      </c>
      <c r="K1256">
        <v>64710</v>
      </c>
      <c r="L1256">
        <v>6341580</v>
      </c>
      <c r="M1256">
        <f>Inventory_Data[[#This Row],[Opening Stock]]+Inventory_Data[[#This Row],[Purchase Qty]]-Inventory_Data[[#This Row],[Sales Qty]]-Inventory_Data[[#This Row],[Closing Stock]]</f>
        <v>0</v>
      </c>
      <c r="N1256">
        <f>Inventory_Data[[#This Row],[Purchase Qty]]*Inventory_Data[[#This Row],[Unit Cost]]</f>
        <v>7247520</v>
      </c>
      <c r="O1256" t="str">
        <f>IF(Inventory_Data[[#This Row],[Closing Stock]]&lt;=Inventory_Data[[#This Row],[Reorder Level]],"Low Stock","In Stock")</f>
        <v>In Stock</v>
      </c>
      <c r="P1256" t="str">
        <f>TEXT(Inventory_Data[[#This Row],[Date]],"MMM")</f>
        <v>Sep</v>
      </c>
      <c r="Q1256" t="str">
        <f>TEXT(Inventory_Data[[#This Row],[Date]],"YYYY")</f>
        <v>2025</v>
      </c>
    </row>
    <row r="1257" spans="1:17" x14ac:dyDescent="0.3">
      <c r="A1257" s="1">
        <v>45919</v>
      </c>
      <c r="B1257" t="s">
        <v>42</v>
      </c>
      <c r="C1257" t="s">
        <v>17</v>
      </c>
      <c r="D1257" t="s">
        <v>14</v>
      </c>
      <c r="E1257" t="s">
        <v>29</v>
      </c>
      <c r="F1257">
        <v>95</v>
      </c>
      <c r="G1257">
        <v>29</v>
      </c>
      <c r="H1257">
        <v>19</v>
      </c>
      <c r="I1257">
        <v>105</v>
      </c>
      <c r="J1257">
        <v>21</v>
      </c>
      <c r="K1257">
        <v>8216</v>
      </c>
      <c r="L1257">
        <v>862680</v>
      </c>
      <c r="M1257">
        <f>Inventory_Data[[#This Row],[Opening Stock]]+Inventory_Data[[#This Row],[Purchase Qty]]-Inventory_Data[[#This Row],[Sales Qty]]-Inventory_Data[[#This Row],[Closing Stock]]</f>
        <v>0</v>
      </c>
      <c r="N1257">
        <f>Inventory_Data[[#This Row],[Purchase Qty]]*Inventory_Data[[#This Row],[Unit Cost]]</f>
        <v>238264</v>
      </c>
      <c r="O1257" t="str">
        <f>IF(Inventory_Data[[#This Row],[Closing Stock]]&lt;=Inventory_Data[[#This Row],[Reorder Level]],"Low Stock","In Stock")</f>
        <v>In Stock</v>
      </c>
      <c r="P1257" t="str">
        <f>TEXT(Inventory_Data[[#This Row],[Date]],"MMM")</f>
        <v>Sep</v>
      </c>
      <c r="Q1257" t="str">
        <f>TEXT(Inventory_Data[[#This Row],[Date]],"YYYY")</f>
        <v>2025</v>
      </c>
    </row>
    <row r="1258" spans="1:17" x14ac:dyDescent="0.3">
      <c r="A1258" s="1">
        <v>45919</v>
      </c>
      <c r="B1258" t="s">
        <v>39</v>
      </c>
      <c r="C1258" t="s">
        <v>28</v>
      </c>
      <c r="D1258" t="s">
        <v>23</v>
      </c>
      <c r="E1258" t="s">
        <v>24</v>
      </c>
      <c r="F1258">
        <v>25</v>
      </c>
      <c r="G1258">
        <v>40</v>
      </c>
      <c r="H1258">
        <v>65</v>
      </c>
      <c r="I1258">
        <v>0</v>
      </c>
      <c r="J1258">
        <v>40</v>
      </c>
      <c r="K1258">
        <v>26199</v>
      </c>
      <c r="L1258">
        <v>0</v>
      </c>
      <c r="M1258">
        <f>Inventory_Data[[#This Row],[Opening Stock]]+Inventory_Data[[#This Row],[Purchase Qty]]-Inventory_Data[[#This Row],[Sales Qty]]-Inventory_Data[[#This Row],[Closing Stock]]</f>
        <v>0</v>
      </c>
      <c r="N1258">
        <f>Inventory_Data[[#This Row],[Purchase Qty]]*Inventory_Data[[#This Row],[Unit Cost]]</f>
        <v>1047960</v>
      </c>
      <c r="O1258" t="str">
        <f>IF(Inventory_Data[[#This Row],[Closing Stock]]&lt;=Inventory_Data[[#This Row],[Reorder Level]],"Low Stock","In Stock")</f>
        <v>Low Stock</v>
      </c>
      <c r="P1258" t="str">
        <f>TEXT(Inventory_Data[[#This Row],[Date]],"MMM")</f>
        <v>Sep</v>
      </c>
      <c r="Q1258" t="str">
        <f>TEXT(Inventory_Data[[#This Row],[Date]],"YYYY")</f>
        <v>2025</v>
      </c>
    </row>
    <row r="1259" spans="1:17" x14ac:dyDescent="0.3">
      <c r="A1259" s="1">
        <v>45919</v>
      </c>
      <c r="B1259" t="s">
        <v>40</v>
      </c>
      <c r="C1259" t="s">
        <v>28</v>
      </c>
      <c r="D1259" t="s">
        <v>23</v>
      </c>
      <c r="E1259" t="s">
        <v>24</v>
      </c>
      <c r="F1259">
        <v>42</v>
      </c>
      <c r="G1259">
        <v>16</v>
      </c>
      <c r="H1259">
        <v>58</v>
      </c>
      <c r="I1259">
        <v>0</v>
      </c>
      <c r="J1259">
        <v>20</v>
      </c>
      <c r="K1259">
        <v>18563</v>
      </c>
      <c r="L1259">
        <v>0</v>
      </c>
      <c r="M1259">
        <f>Inventory_Data[[#This Row],[Opening Stock]]+Inventory_Data[[#This Row],[Purchase Qty]]-Inventory_Data[[#This Row],[Sales Qty]]-Inventory_Data[[#This Row],[Closing Stock]]</f>
        <v>0</v>
      </c>
      <c r="N1259">
        <f>Inventory_Data[[#This Row],[Purchase Qty]]*Inventory_Data[[#This Row],[Unit Cost]]</f>
        <v>297008</v>
      </c>
      <c r="O1259" t="str">
        <f>IF(Inventory_Data[[#This Row],[Closing Stock]]&lt;=Inventory_Data[[#This Row],[Reorder Level]],"Low Stock","In Stock")</f>
        <v>Low Stock</v>
      </c>
      <c r="P1259" t="str">
        <f>TEXT(Inventory_Data[[#This Row],[Date]],"MMM")</f>
        <v>Sep</v>
      </c>
      <c r="Q1259" t="str">
        <f>TEXT(Inventory_Data[[#This Row],[Date]],"YYYY")</f>
        <v>2025</v>
      </c>
    </row>
    <row r="1260" spans="1:17" x14ac:dyDescent="0.3">
      <c r="A1260" s="1">
        <v>45920</v>
      </c>
      <c r="B1260" t="s">
        <v>21</v>
      </c>
      <c r="C1260" t="s">
        <v>22</v>
      </c>
      <c r="D1260" t="s">
        <v>14</v>
      </c>
      <c r="E1260" t="s">
        <v>34</v>
      </c>
      <c r="F1260">
        <v>341</v>
      </c>
      <c r="G1260">
        <v>32</v>
      </c>
      <c r="H1260">
        <v>37</v>
      </c>
      <c r="I1260">
        <v>336</v>
      </c>
      <c r="J1260">
        <v>93</v>
      </c>
      <c r="K1260">
        <v>345</v>
      </c>
      <c r="L1260">
        <v>115920</v>
      </c>
      <c r="M1260">
        <f>Inventory_Data[[#This Row],[Opening Stock]]+Inventory_Data[[#This Row],[Purchase Qty]]-Inventory_Data[[#This Row],[Sales Qty]]-Inventory_Data[[#This Row],[Closing Stock]]</f>
        <v>0</v>
      </c>
      <c r="N1260">
        <f>Inventory_Data[[#This Row],[Purchase Qty]]*Inventory_Data[[#This Row],[Unit Cost]]</f>
        <v>11040</v>
      </c>
      <c r="O1260" t="str">
        <f>IF(Inventory_Data[[#This Row],[Closing Stock]]&lt;=Inventory_Data[[#This Row],[Reorder Level]],"Low Stock","In Stock")</f>
        <v>In Stock</v>
      </c>
      <c r="P1260" t="str">
        <f>TEXT(Inventory_Data[[#This Row],[Date]],"MMM")</f>
        <v>Sep</v>
      </c>
      <c r="Q1260" t="str">
        <f>TEXT(Inventory_Data[[#This Row],[Date]],"YYYY")</f>
        <v>2025</v>
      </c>
    </row>
    <row r="1261" spans="1:17" x14ac:dyDescent="0.3">
      <c r="A1261" s="1">
        <v>45920</v>
      </c>
      <c r="B1261" t="s">
        <v>35</v>
      </c>
      <c r="C1261" t="s">
        <v>22</v>
      </c>
      <c r="D1261" t="s">
        <v>14</v>
      </c>
      <c r="E1261" t="s">
        <v>15</v>
      </c>
      <c r="F1261">
        <v>417</v>
      </c>
      <c r="G1261">
        <v>162</v>
      </c>
      <c r="H1261">
        <v>234</v>
      </c>
      <c r="I1261">
        <v>345</v>
      </c>
      <c r="J1261">
        <v>110</v>
      </c>
      <c r="K1261">
        <v>329</v>
      </c>
      <c r="L1261">
        <v>113505</v>
      </c>
      <c r="M1261">
        <f>Inventory_Data[[#This Row],[Opening Stock]]+Inventory_Data[[#This Row],[Purchase Qty]]-Inventory_Data[[#This Row],[Sales Qty]]-Inventory_Data[[#This Row],[Closing Stock]]</f>
        <v>0</v>
      </c>
      <c r="N1261">
        <f>Inventory_Data[[#This Row],[Purchase Qty]]*Inventory_Data[[#This Row],[Unit Cost]]</f>
        <v>53298</v>
      </c>
      <c r="O1261" t="str">
        <f>IF(Inventory_Data[[#This Row],[Closing Stock]]&lt;=Inventory_Data[[#This Row],[Reorder Level]],"Low Stock","In Stock")</f>
        <v>In Stock</v>
      </c>
      <c r="P1261" t="str">
        <f>TEXT(Inventory_Data[[#This Row],[Date]],"MMM")</f>
        <v>Sep</v>
      </c>
      <c r="Q1261" t="str">
        <f>TEXT(Inventory_Data[[#This Row],[Date]],"YYYY")</f>
        <v>2025</v>
      </c>
    </row>
    <row r="1262" spans="1:17" x14ac:dyDescent="0.3">
      <c r="A1262" s="1">
        <v>45920</v>
      </c>
      <c r="B1262" t="s">
        <v>45</v>
      </c>
      <c r="C1262" t="s">
        <v>13</v>
      </c>
      <c r="D1262" t="s">
        <v>37</v>
      </c>
      <c r="E1262" t="s">
        <v>15</v>
      </c>
      <c r="F1262">
        <v>17</v>
      </c>
      <c r="G1262">
        <v>51</v>
      </c>
      <c r="H1262">
        <v>35</v>
      </c>
      <c r="I1262">
        <v>33</v>
      </c>
      <c r="J1262">
        <v>24</v>
      </c>
      <c r="K1262">
        <v>13245</v>
      </c>
      <c r="L1262">
        <v>437085</v>
      </c>
      <c r="M1262">
        <f>Inventory_Data[[#This Row],[Opening Stock]]+Inventory_Data[[#This Row],[Purchase Qty]]-Inventory_Data[[#This Row],[Sales Qty]]-Inventory_Data[[#This Row],[Closing Stock]]</f>
        <v>0</v>
      </c>
      <c r="N1262">
        <f>Inventory_Data[[#This Row],[Purchase Qty]]*Inventory_Data[[#This Row],[Unit Cost]]</f>
        <v>675495</v>
      </c>
      <c r="O1262" t="str">
        <f>IF(Inventory_Data[[#This Row],[Closing Stock]]&lt;=Inventory_Data[[#This Row],[Reorder Level]],"Low Stock","In Stock")</f>
        <v>In Stock</v>
      </c>
      <c r="P1262" t="str">
        <f>TEXT(Inventory_Data[[#This Row],[Date]],"MMM")</f>
        <v>Sep</v>
      </c>
      <c r="Q1262" t="str">
        <f>TEXT(Inventory_Data[[#This Row],[Date]],"YYYY")</f>
        <v>2025</v>
      </c>
    </row>
    <row r="1263" spans="1:17" x14ac:dyDescent="0.3">
      <c r="A1263" s="1">
        <v>45921</v>
      </c>
      <c r="B1263" t="s">
        <v>27</v>
      </c>
      <c r="C1263" t="s">
        <v>28</v>
      </c>
      <c r="D1263" t="s">
        <v>26</v>
      </c>
      <c r="E1263" t="s">
        <v>34</v>
      </c>
      <c r="F1263">
        <v>157</v>
      </c>
      <c r="G1263">
        <v>57</v>
      </c>
      <c r="H1263">
        <v>59</v>
      </c>
      <c r="I1263">
        <v>155</v>
      </c>
      <c r="J1263">
        <v>33</v>
      </c>
      <c r="K1263">
        <v>28298</v>
      </c>
      <c r="L1263">
        <v>4386190</v>
      </c>
      <c r="M1263">
        <f>Inventory_Data[[#This Row],[Opening Stock]]+Inventory_Data[[#This Row],[Purchase Qty]]-Inventory_Data[[#This Row],[Sales Qty]]-Inventory_Data[[#This Row],[Closing Stock]]</f>
        <v>0</v>
      </c>
      <c r="N1263">
        <f>Inventory_Data[[#This Row],[Purchase Qty]]*Inventory_Data[[#This Row],[Unit Cost]]</f>
        <v>1612986</v>
      </c>
      <c r="O1263" t="str">
        <f>IF(Inventory_Data[[#This Row],[Closing Stock]]&lt;=Inventory_Data[[#This Row],[Reorder Level]],"Low Stock","In Stock")</f>
        <v>In Stock</v>
      </c>
      <c r="P1263" t="str">
        <f>TEXT(Inventory_Data[[#This Row],[Date]],"MMM")</f>
        <v>Sep</v>
      </c>
      <c r="Q1263" t="str">
        <f>TEXT(Inventory_Data[[#This Row],[Date]],"YYYY")</f>
        <v>2025</v>
      </c>
    </row>
    <row r="1264" spans="1:17" x14ac:dyDescent="0.3">
      <c r="A1264" s="1">
        <v>45921</v>
      </c>
      <c r="B1264" t="s">
        <v>39</v>
      </c>
      <c r="C1264" t="s">
        <v>28</v>
      </c>
      <c r="D1264" t="s">
        <v>14</v>
      </c>
      <c r="E1264" t="s">
        <v>24</v>
      </c>
      <c r="F1264">
        <v>22</v>
      </c>
      <c r="G1264">
        <v>21</v>
      </c>
      <c r="H1264">
        <v>43</v>
      </c>
      <c r="I1264">
        <v>0</v>
      </c>
      <c r="J1264">
        <v>33</v>
      </c>
      <c r="K1264">
        <v>32559</v>
      </c>
      <c r="L1264">
        <v>0</v>
      </c>
      <c r="M1264">
        <f>Inventory_Data[[#This Row],[Opening Stock]]+Inventory_Data[[#This Row],[Purchase Qty]]-Inventory_Data[[#This Row],[Sales Qty]]-Inventory_Data[[#This Row],[Closing Stock]]</f>
        <v>0</v>
      </c>
      <c r="N1264">
        <f>Inventory_Data[[#This Row],[Purchase Qty]]*Inventory_Data[[#This Row],[Unit Cost]]</f>
        <v>683739</v>
      </c>
      <c r="O1264" t="str">
        <f>IF(Inventory_Data[[#This Row],[Closing Stock]]&lt;=Inventory_Data[[#This Row],[Reorder Level]],"Low Stock","In Stock")</f>
        <v>Low Stock</v>
      </c>
      <c r="P1264" t="str">
        <f>TEXT(Inventory_Data[[#This Row],[Date]],"MMM")</f>
        <v>Sep</v>
      </c>
      <c r="Q1264" t="str">
        <f>TEXT(Inventory_Data[[#This Row],[Date]],"YYYY")</f>
        <v>2025</v>
      </c>
    </row>
    <row r="1265" spans="1:17" x14ac:dyDescent="0.3">
      <c r="A1265" s="1">
        <v>45921</v>
      </c>
      <c r="B1265" t="s">
        <v>31</v>
      </c>
      <c r="C1265" t="s">
        <v>22</v>
      </c>
      <c r="D1265" t="s">
        <v>37</v>
      </c>
      <c r="E1265" t="s">
        <v>15</v>
      </c>
      <c r="F1265">
        <v>117</v>
      </c>
      <c r="G1265">
        <v>136</v>
      </c>
      <c r="H1265">
        <v>76</v>
      </c>
      <c r="I1265">
        <v>177</v>
      </c>
      <c r="J1265">
        <v>50</v>
      </c>
      <c r="K1265">
        <v>533</v>
      </c>
      <c r="L1265">
        <v>94341</v>
      </c>
      <c r="M1265">
        <f>Inventory_Data[[#This Row],[Opening Stock]]+Inventory_Data[[#This Row],[Purchase Qty]]-Inventory_Data[[#This Row],[Sales Qty]]-Inventory_Data[[#This Row],[Closing Stock]]</f>
        <v>0</v>
      </c>
      <c r="N1265">
        <f>Inventory_Data[[#This Row],[Purchase Qty]]*Inventory_Data[[#This Row],[Unit Cost]]</f>
        <v>72488</v>
      </c>
      <c r="O1265" t="str">
        <f>IF(Inventory_Data[[#This Row],[Closing Stock]]&lt;=Inventory_Data[[#This Row],[Reorder Level]],"Low Stock","In Stock")</f>
        <v>In Stock</v>
      </c>
      <c r="P1265" t="str">
        <f>TEXT(Inventory_Data[[#This Row],[Date]],"MMM")</f>
        <v>Sep</v>
      </c>
      <c r="Q1265" t="str">
        <f>TEXT(Inventory_Data[[#This Row],[Date]],"YYYY")</f>
        <v>2025</v>
      </c>
    </row>
    <row r="1266" spans="1:17" x14ac:dyDescent="0.3">
      <c r="A1266" s="1">
        <v>45922</v>
      </c>
      <c r="B1266" t="s">
        <v>36</v>
      </c>
      <c r="C1266" t="s">
        <v>22</v>
      </c>
      <c r="D1266" t="s">
        <v>26</v>
      </c>
      <c r="E1266" t="s">
        <v>29</v>
      </c>
      <c r="F1266">
        <v>269</v>
      </c>
      <c r="G1266">
        <v>245</v>
      </c>
      <c r="H1266">
        <v>165</v>
      </c>
      <c r="I1266">
        <v>349</v>
      </c>
      <c r="J1266">
        <v>128</v>
      </c>
      <c r="K1266">
        <v>235</v>
      </c>
      <c r="L1266">
        <v>82015</v>
      </c>
      <c r="M1266">
        <f>Inventory_Data[[#This Row],[Opening Stock]]+Inventory_Data[[#This Row],[Purchase Qty]]-Inventory_Data[[#This Row],[Sales Qty]]-Inventory_Data[[#This Row],[Closing Stock]]</f>
        <v>0</v>
      </c>
      <c r="N1266">
        <f>Inventory_Data[[#This Row],[Purchase Qty]]*Inventory_Data[[#This Row],[Unit Cost]]</f>
        <v>57575</v>
      </c>
      <c r="O1266" t="str">
        <f>IF(Inventory_Data[[#This Row],[Closing Stock]]&lt;=Inventory_Data[[#This Row],[Reorder Level]],"Low Stock","In Stock")</f>
        <v>In Stock</v>
      </c>
      <c r="P1266" t="str">
        <f>TEXT(Inventory_Data[[#This Row],[Date]],"MMM")</f>
        <v>Sep</v>
      </c>
      <c r="Q1266" t="str">
        <f>TEXT(Inventory_Data[[#This Row],[Date]],"YYYY")</f>
        <v>2025</v>
      </c>
    </row>
    <row r="1267" spans="1:17" x14ac:dyDescent="0.3">
      <c r="A1267" s="1">
        <v>45922</v>
      </c>
      <c r="B1267" t="s">
        <v>12</v>
      </c>
      <c r="C1267" t="s">
        <v>13</v>
      </c>
      <c r="D1267" t="s">
        <v>37</v>
      </c>
      <c r="E1267" t="s">
        <v>15</v>
      </c>
      <c r="F1267">
        <v>41</v>
      </c>
      <c r="G1267">
        <v>6</v>
      </c>
      <c r="H1267">
        <v>23</v>
      </c>
      <c r="I1267">
        <v>24</v>
      </c>
      <c r="J1267">
        <v>30</v>
      </c>
      <c r="K1267">
        <v>8336</v>
      </c>
      <c r="L1267">
        <v>200064</v>
      </c>
      <c r="M1267">
        <f>Inventory_Data[[#This Row],[Opening Stock]]+Inventory_Data[[#This Row],[Purchase Qty]]-Inventory_Data[[#This Row],[Sales Qty]]-Inventory_Data[[#This Row],[Closing Stock]]</f>
        <v>0</v>
      </c>
      <c r="N1267">
        <f>Inventory_Data[[#This Row],[Purchase Qty]]*Inventory_Data[[#This Row],[Unit Cost]]</f>
        <v>50016</v>
      </c>
      <c r="O1267" t="str">
        <f>IF(Inventory_Data[[#This Row],[Closing Stock]]&lt;=Inventory_Data[[#This Row],[Reorder Level]],"Low Stock","In Stock")</f>
        <v>Low Stock</v>
      </c>
      <c r="P1267" t="str">
        <f>TEXT(Inventory_Data[[#This Row],[Date]],"MMM")</f>
        <v>Sep</v>
      </c>
      <c r="Q1267" t="str">
        <f>TEXT(Inventory_Data[[#This Row],[Date]],"YYYY")</f>
        <v>2025</v>
      </c>
    </row>
    <row r="1268" spans="1:17" x14ac:dyDescent="0.3">
      <c r="A1268" s="1">
        <v>45922</v>
      </c>
      <c r="B1268" t="s">
        <v>25</v>
      </c>
      <c r="C1268" t="s">
        <v>17</v>
      </c>
      <c r="D1268" t="s">
        <v>26</v>
      </c>
      <c r="E1268" t="s">
        <v>20</v>
      </c>
      <c r="F1268">
        <v>94</v>
      </c>
      <c r="G1268">
        <v>17</v>
      </c>
      <c r="H1268">
        <v>11</v>
      </c>
      <c r="I1268">
        <v>100</v>
      </c>
      <c r="J1268">
        <v>13</v>
      </c>
      <c r="K1268">
        <v>16038</v>
      </c>
      <c r="L1268">
        <v>1603800</v>
      </c>
      <c r="M1268">
        <f>Inventory_Data[[#This Row],[Opening Stock]]+Inventory_Data[[#This Row],[Purchase Qty]]-Inventory_Data[[#This Row],[Sales Qty]]-Inventory_Data[[#This Row],[Closing Stock]]</f>
        <v>0</v>
      </c>
      <c r="N1268">
        <f>Inventory_Data[[#This Row],[Purchase Qty]]*Inventory_Data[[#This Row],[Unit Cost]]</f>
        <v>272646</v>
      </c>
      <c r="O1268" t="str">
        <f>IF(Inventory_Data[[#This Row],[Closing Stock]]&lt;=Inventory_Data[[#This Row],[Reorder Level]],"Low Stock","In Stock")</f>
        <v>In Stock</v>
      </c>
      <c r="P1268" t="str">
        <f>TEXT(Inventory_Data[[#This Row],[Date]],"MMM")</f>
        <v>Sep</v>
      </c>
      <c r="Q1268" t="str">
        <f>TEXT(Inventory_Data[[#This Row],[Date]],"YYYY")</f>
        <v>2025</v>
      </c>
    </row>
    <row r="1269" spans="1:17" x14ac:dyDescent="0.3">
      <c r="A1269" s="1">
        <v>45922</v>
      </c>
      <c r="B1269" t="s">
        <v>43</v>
      </c>
      <c r="C1269" t="s">
        <v>22</v>
      </c>
      <c r="D1269" t="s">
        <v>14</v>
      </c>
      <c r="E1269" t="s">
        <v>20</v>
      </c>
      <c r="F1269">
        <v>188</v>
      </c>
      <c r="G1269">
        <v>99</v>
      </c>
      <c r="H1269">
        <v>127</v>
      </c>
      <c r="I1269">
        <v>160</v>
      </c>
      <c r="J1269">
        <v>126</v>
      </c>
      <c r="K1269">
        <v>217</v>
      </c>
      <c r="L1269">
        <v>34720</v>
      </c>
      <c r="M1269">
        <f>Inventory_Data[[#This Row],[Opening Stock]]+Inventory_Data[[#This Row],[Purchase Qty]]-Inventory_Data[[#This Row],[Sales Qty]]-Inventory_Data[[#This Row],[Closing Stock]]</f>
        <v>0</v>
      </c>
      <c r="N1269">
        <f>Inventory_Data[[#This Row],[Purchase Qty]]*Inventory_Data[[#This Row],[Unit Cost]]</f>
        <v>21483</v>
      </c>
      <c r="O1269" t="str">
        <f>IF(Inventory_Data[[#This Row],[Closing Stock]]&lt;=Inventory_Data[[#This Row],[Reorder Level]],"Low Stock","In Stock")</f>
        <v>In Stock</v>
      </c>
      <c r="P1269" t="str">
        <f>TEXT(Inventory_Data[[#This Row],[Date]],"MMM")</f>
        <v>Sep</v>
      </c>
      <c r="Q1269" t="str">
        <f>TEXT(Inventory_Data[[#This Row],[Date]],"YYYY")</f>
        <v>2025</v>
      </c>
    </row>
    <row r="1270" spans="1:17" x14ac:dyDescent="0.3">
      <c r="A1270" s="1">
        <v>45922</v>
      </c>
      <c r="B1270" t="s">
        <v>44</v>
      </c>
      <c r="C1270" t="s">
        <v>28</v>
      </c>
      <c r="D1270" t="s">
        <v>26</v>
      </c>
      <c r="E1270" t="s">
        <v>20</v>
      </c>
      <c r="F1270">
        <v>154</v>
      </c>
      <c r="G1270">
        <v>25</v>
      </c>
      <c r="H1270">
        <v>23</v>
      </c>
      <c r="I1270">
        <v>156</v>
      </c>
      <c r="J1270">
        <v>25</v>
      </c>
      <c r="K1270">
        <v>8710</v>
      </c>
      <c r="L1270">
        <v>1358760</v>
      </c>
      <c r="M1270">
        <f>Inventory_Data[[#This Row],[Opening Stock]]+Inventory_Data[[#This Row],[Purchase Qty]]-Inventory_Data[[#This Row],[Sales Qty]]-Inventory_Data[[#This Row],[Closing Stock]]</f>
        <v>0</v>
      </c>
      <c r="N1270">
        <f>Inventory_Data[[#This Row],[Purchase Qty]]*Inventory_Data[[#This Row],[Unit Cost]]</f>
        <v>217750</v>
      </c>
      <c r="O1270" t="str">
        <f>IF(Inventory_Data[[#This Row],[Closing Stock]]&lt;=Inventory_Data[[#This Row],[Reorder Level]],"Low Stock","In Stock")</f>
        <v>In Stock</v>
      </c>
      <c r="P1270" t="str">
        <f>TEXT(Inventory_Data[[#This Row],[Date]],"MMM")</f>
        <v>Sep</v>
      </c>
      <c r="Q1270" t="str">
        <f>TEXT(Inventory_Data[[#This Row],[Date]],"YYYY")</f>
        <v>2025</v>
      </c>
    </row>
    <row r="1271" spans="1:17" x14ac:dyDescent="0.3">
      <c r="A1271" s="1">
        <v>45922</v>
      </c>
      <c r="B1271" t="s">
        <v>39</v>
      </c>
      <c r="C1271" t="s">
        <v>28</v>
      </c>
      <c r="D1271" t="s">
        <v>23</v>
      </c>
      <c r="E1271" t="s">
        <v>15</v>
      </c>
      <c r="F1271">
        <v>73</v>
      </c>
      <c r="G1271">
        <v>35</v>
      </c>
      <c r="H1271">
        <v>89</v>
      </c>
      <c r="I1271">
        <v>19</v>
      </c>
      <c r="J1271">
        <v>47</v>
      </c>
      <c r="K1271">
        <v>2685</v>
      </c>
      <c r="L1271">
        <v>51015</v>
      </c>
      <c r="M1271">
        <f>Inventory_Data[[#This Row],[Opening Stock]]+Inventory_Data[[#This Row],[Purchase Qty]]-Inventory_Data[[#This Row],[Sales Qty]]-Inventory_Data[[#This Row],[Closing Stock]]</f>
        <v>0</v>
      </c>
      <c r="N1271">
        <f>Inventory_Data[[#This Row],[Purchase Qty]]*Inventory_Data[[#This Row],[Unit Cost]]</f>
        <v>93975</v>
      </c>
      <c r="O1271" t="str">
        <f>IF(Inventory_Data[[#This Row],[Closing Stock]]&lt;=Inventory_Data[[#This Row],[Reorder Level]],"Low Stock","In Stock")</f>
        <v>Low Stock</v>
      </c>
      <c r="P1271" t="str">
        <f>TEXT(Inventory_Data[[#This Row],[Date]],"MMM")</f>
        <v>Sep</v>
      </c>
      <c r="Q1271" t="str">
        <f>TEXT(Inventory_Data[[#This Row],[Date]],"YYYY")</f>
        <v>2025</v>
      </c>
    </row>
    <row r="1272" spans="1:17" x14ac:dyDescent="0.3">
      <c r="A1272" s="1">
        <v>45922</v>
      </c>
      <c r="B1272" t="s">
        <v>33</v>
      </c>
      <c r="C1272" t="s">
        <v>13</v>
      </c>
      <c r="D1272" t="s">
        <v>23</v>
      </c>
      <c r="E1272" t="s">
        <v>15</v>
      </c>
      <c r="F1272">
        <v>22</v>
      </c>
      <c r="G1272">
        <v>23</v>
      </c>
      <c r="H1272">
        <v>45</v>
      </c>
      <c r="I1272">
        <v>0</v>
      </c>
      <c r="J1272">
        <v>16</v>
      </c>
      <c r="K1272">
        <v>6019</v>
      </c>
      <c r="L1272">
        <v>0</v>
      </c>
      <c r="M1272">
        <f>Inventory_Data[[#This Row],[Opening Stock]]+Inventory_Data[[#This Row],[Purchase Qty]]-Inventory_Data[[#This Row],[Sales Qty]]-Inventory_Data[[#This Row],[Closing Stock]]</f>
        <v>0</v>
      </c>
      <c r="N1272">
        <f>Inventory_Data[[#This Row],[Purchase Qty]]*Inventory_Data[[#This Row],[Unit Cost]]</f>
        <v>138437</v>
      </c>
      <c r="O1272" t="str">
        <f>IF(Inventory_Data[[#This Row],[Closing Stock]]&lt;=Inventory_Data[[#This Row],[Reorder Level]],"Low Stock","In Stock")</f>
        <v>Low Stock</v>
      </c>
      <c r="P1272" t="str">
        <f>TEXT(Inventory_Data[[#This Row],[Date]],"MMM")</f>
        <v>Sep</v>
      </c>
      <c r="Q1272" t="str">
        <f>TEXT(Inventory_Data[[#This Row],[Date]],"YYYY")</f>
        <v>2025</v>
      </c>
    </row>
    <row r="1273" spans="1:17" x14ac:dyDescent="0.3">
      <c r="A1273" s="1">
        <v>45923</v>
      </c>
      <c r="B1273" t="s">
        <v>32</v>
      </c>
      <c r="C1273" t="s">
        <v>28</v>
      </c>
      <c r="D1273" t="s">
        <v>14</v>
      </c>
      <c r="E1273" t="s">
        <v>18</v>
      </c>
      <c r="F1273">
        <v>54</v>
      </c>
      <c r="G1273">
        <v>64</v>
      </c>
      <c r="H1273">
        <v>29</v>
      </c>
      <c r="I1273">
        <v>89</v>
      </c>
      <c r="J1273">
        <v>51</v>
      </c>
      <c r="K1273">
        <v>1018</v>
      </c>
      <c r="L1273">
        <v>90602</v>
      </c>
      <c r="M1273">
        <f>Inventory_Data[[#This Row],[Opening Stock]]+Inventory_Data[[#This Row],[Purchase Qty]]-Inventory_Data[[#This Row],[Sales Qty]]-Inventory_Data[[#This Row],[Closing Stock]]</f>
        <v>0</v>
      </c>
      <c r="N1273">
        <f>Inventory_Data[[#This Row],[Purchase Qty]]*Inventory_Data[[#This Row],[Unit Cost]]</f>
        <v>65152</v>
      </c>
      <c r="O1273" t="str">
        <f>IF(Inventory_Data[[#This Row],[Closing Stock]]&lt;=Inventory_Data[[#This Row],[Reorder Level]],"Low Stock","In Stock")</f>
        <v>In Stock</v>
      </c>
      <c r="P1273" t="str">
        <f>TEXT(Inventory_Data[[#This Row],[Date]],"MMM")</f>
        <v>Sep</v>
      </c>
      <c r="Q1273" t="str">
        <f>TEXT(Inventory_Data[[#This Row],[Date]],"YYYY")</f>
        <v>2025</v>
      </c>
    </row>
    <row r="1274" spans="1:17" x14ac:dyDescent="0.3">
      <c r="A1274" s="1">
        <v>45923</v>
      </c>
      <c r="B1274" t="s">
        <v>41</v>
      </c>
      <c r="C1274" t="s">
        <v>22</v>
      </c>
      <c r="D1274" t="s">
        <v>26</v>
      </c>
      <c r="E1274" t="s">
        <v>18</v>
      </c>
      <c r="F1274">
        <v>439</v>
      </c>
      <c r="G1274">
        <v>164</v>
      </c>
      <c r="H1274">
        <v>254</v>
      </c>
      <c r="I1274">
        <v>349</v>
      </c>
      <c r="J1274">
        <v>140</v>
      </c>
      <c r="K1274">
        <v>1074</v>
      </c>
      <c r="L1274">
        <v>374826</v>
      </c>
      <c r="M1274">
        <f>Inventory_Data[[#This Row],[Opening Stock]]+Inventory_Data[[#This Row],[Purchase Qty]]-Inventory_Data[[#This Row],[Sales Qty]]-Inventory_Data[[#This Row],[Closing Stock]]</f>
        <v>0</v>
      </c>
      <c r="N1274">
        <f>Inventory_Data[[#This Row],[Purchase Qty]]*Inventory_Data[[#This Row],[Unit Cost]]</f>
        <v>176136</v>
      </c>
      <c r="O1274" t="str">
        <f>IF(Inventory_Data[[#This Row],[Closing Stock]]&lt;=Inventory_Data[[#This Row],[Reorder Level]],"Low Stock","In Stock")</f>
        <v>In Stock</v>
      </c>
      <c r="P1274" t="str">
        <f>TEXT(Inventory_Data[[#This Row],[Date]],"MMM")</f>
        <v>Sep</v>
      </c>
      <c r="Q1274" t="str">
        <f>TEXT(Inventory_Data[[#This Row],[Date]],"YYYY")</f>
        <v>2025</v>
      </c>
    </row>
    <row r="1275" spans="1:17" x14ac:dyDescent="0.3">
      <c r="A1275" s="1">
        <v>45923</v>
      </c>
      <c r="B1275" t="s">
        <v>43</v>
      </c>
      <c r="C1275" t="s">
        <v>22</v>
      </c>
      <c r="D1275" t="s">
        <v>14</v>
      </c>
      <c r="E1275" t="s">
        <v>34</v>
      </c>
      <c r="F1275">
        <v>449</v>
      </c>
      <c r="G1275">
        <v>236</v>
      </c>
      <c r="H1275">
        <v>86</v>
      </c>
      <c r="I1275">
        <v>599</v>
      </c>
      <c r="J1275">
        <v>96</v>
      </c>
      <c r="K1275">
        <v>1024</v>
      </c>
      <c r="L1275">
        <v>613376</v>
      </c>
      <c r="M1275">
        <f>Inventory_Data[[#This Row],[Opening Stock]]+Inventory_Data[[#This Row],[Purchase Qty]]-Inventory_Data[[#This Row],[Sales Qty]]-Inventory_Data[[#This Row],[Closing Stock]]</f>
        <v>0</v>
      </c>
      <c r="N1275">
        <f>Inventory_Data[[#This Row],[Purchase Qty]]*Inventory_Data[[#This Row],[Unit Cost]]</f>
        <v>241664</v>
      </c>
      <c r="O1275" t="str">
        <f>IF(Inventory_Data[[#This Row],[Closing Stock]]&lt;=Inventory_Data[[#This Row],[Reorder Level]],"Low Stock","In Stock")</f>
        <v>In Stock</v>
      </c>
      <c r="P1275" t="str">
        <f>TEXT(Inventory_Data[[#This Row],[Date]],"MMM")</f>
        <v>Sep</v>
      </c>
      <c r="Q1275" t="str">
        <f>TEXT(Inventory_Data[[#This Row],[Date]],"YYYY")</f>
        <v>2025</v>
      </c>
    </row>
    <row r="1276" spans="1:17" x14ac:dyDescent="0.3">
      <c r="A1276" s="1">
        <v>45923</v>
      </c>
      <c r="B1276" t="s">
        <v>33</v>
      </c>
      <c r="C1276" t="s">
        <v>13</v>
      </c>
      <c r="D1276" t="s">
        <v>14</v>
      </c>
      <c r="E1276" t="s">
        <v>18</v>
      </c>
      <c r="F1276">
        <v>41</v>
      </c>
      <c r="G1276">
        <v>19</v>
      </c>
      <c r="H1276">
        <v>60</v>
      </c>
      <c r="I1276">
        <v>0</v>
      </c>
      <c r="J1276">
        <v>35</v>
      </c>
      <c r="K1276">
        <v>15271</v>
      </c>
      <c r="L1276">
        <v>0</v>
      </c>
      <c r="M1276">
        <f>Inventory_Data[[#This Row],[Opening Stock]]+Inventory_Data[[#This Row],[Purchase Qty]]-Inventory_Data[[#This Row],[Sales Qty]]-Inventory_Data[[#This Row],[Closing Stock]]</f>
        <v>0</v>
      </c>
      <c r="N1276">
        <f>Inventory_Data[[#This Row],[Purchase Qty]]*Inventory_Data[[#This Row],[Unit Cost]]</f>
        <v>290149</v>
      </c>
      <c r="O1276" t="str">
        <f>IF(Inventory_Data[[#This Row],[Closing Stock]]&lt;=Inventory_Data[[#This Row],[Reorder Level]],"Low Stock","In Stock")</f>
        <v>Low Stock</v>
      </c>
      <c r="P1276" t="str">
        <f>TEXT(Inventory_Data[[#This Row],[Date]],"MMM")</f>
        <v>Sep</v>
      </c>
      <c r="Q1276" t="str">
        <f>TEXT(Inventory_Data[[#This Row],[Date]],"YYYY")</f>
        <v>2025</v>
      </c>
    </row>
    <row r="1277" spans="1:17" x14ac:dyDescent="0.3">
      <c r="A1277" s="1">
        <v>45923</v>
      </c>
      <c r="B1277" t="s">
        <v>32</v>
      </c>
      <c r="C1277" t="s">
        <v>28</v>
      </c>
      <c r="D1277" t="s">
        <v>23</v>
      </c>
      <c r="E1277" t="s">
        <v>29</v>
      </c>
      <c r="F1277">
        <v>147</v>
      </c>
      <c r="G1277">
        <v>119</v>
      </c>
      <c r="H1277">
        <v>28</v>
      </c>
      <c r="I1277">
        <v>238</v>
      </c>
      <c r="J1277">
        <v>42</v>
      </c>
      <c r="K1277">
        <v>24706</v>
      </c>
      <c r="L1277">
        <v>5880028</v>
      </c>
      <c r="M1277">
        <f>Inventory_Data[[#This Row],[Opening Stock]]+Inventory_Data[[#This Row],[Purchase Qty]]-Inventory_Data[[#This Row],[Sales Qty]]-Inventory_Data[[#This Row],[Closing Stock]]</f>
        <v>0</v>
      </c>
      <c r="N1277">
        <f>Inventory_Data[[#This Row],[Purchase Qty]]*Inventory_Data[[#This Row],[Unit Cost]]</f>
        <v>2940014</v>
      </c>
      <c r="O1277" t="str">
        <f>IF(Inventory_Data[[#This Row],[Closing Stock]]&lt;=Inventory_Data[[#This Row],[Reorder Level]],"Low Stock","In Stock")</f>
        <v>In Stock</v>
      </c>
      <c r="P1277" t="str">
        <f>TEXT(Inventory_Data[[#This Row],[Date]],"MMM")</f>
        <v>Sep</v>
      </c>
      <c r="Q1277" t="str">
        <f>TEXT(Inventory_Data[[#This Row],[Date]],"YYYY")</f>
        <v>2025</v>
      </c>
    </row>
    <row r="1278" spans="1:17" x14ac:dyDescent="0.3">
      <c r="A1278" s="1">
        <v>45923</v>
      </c>
      <c r="B1278" t="s">
        <v>25</v>
      </c>
      <c r="C1278" t="s">
        <v>17</v>
      </c>
      <c r="D1278" t="s">
        <v>26</v>
      </c>
      <c r="E1278" t="s">
        <v>24</v>
      </c>
      <c r="F1278">
        <v>23</v>
      </c>
      <c r="G1278">
        <v>22</v>
      </c>
      <c r="H1278">
        <v>10</v>
      </c>
      <c r="I1278">
        <v>35</v>
      </c>
      <c r="J1278">
        <v>16</v>
      </c>
      <c r="K1278">
        <v>9044</v>
      </c>
      <c r="L1278">
        <v>316540</v>
      </c>
      <c r="M1278">
        <f>Inventory_Data[[#This Row],[Opening Stock]]+Inventory_Data[[#This Row],[Purchase Qty]]-Inventory_Data[[#This Row],[Sales Qty]]-Inventory_Data[[#This Row],[Closing Stock]]</f>
        <v>0</v>
      </c>
      <c r="N1278">
        <f>Inventory_Data[[#This Row],[Purchase Qty]]*Inventory_Data[[#This Row],[Unit Cost]]</f>
        <v>198968</v>
      </c>
      <c r="O1278" t="str">
        <f>IF(Inventory_Data[[#This Row],[Closing Stock]]&lt;=Inventory_Data[[#This Row],[Reorder Level]],"Low Stock","In Stock")</f>
        <v>In Stock</v>
      </c>
      <c r="P1278" t="str">
        <f>TEXT(Inventory_Data[[#This Row],[Date]],"MMM")</f>
        <v>Sep</v>
      </c>
      <c r="Q1278" t="str">
        <f>TEXT(Inventory_Data[[#This Row],[Date]],"YYYY")</f>
        <v>2025</v>
      </c>
    </row>
    <row r="1279" spans="1:17" x14ac:dyDescent="0.3">
      <c r="A1279" s="1">
        <v>45923</v>
      </c>
      <c r="B1279" t="s">
        <v>44</v>
      </c>
      <c r="C1279" t="s">
        <v>28</v>
      </c>
      <c r="D1279" t="s">
        <v>37</v>
      </c>
      <c r="E1279" t="s">
        <v>34</v>
      </c>
      <c r="F1279">
        <v>72</v>
      </c>
      <c r="G1279">
        <v>88</v>
      </c>
      <c r="H1279">
        <v>63</v>
      </c>
      <c r="I1279">
        <v>97</v>
      </c>
      <c r="J1279">
        <v>40</v>
      </c>
      <c r="K1279">
        <v>38325</v>
      </c>
      <c r="L1279">
        <v>3717525</v>
      </c>
      <c r="M1279">
        <f>Inventory_Data[[#This Row],[Opening Stock]]+Inventory_Data[[#This Row],[Purchase Qty]]-Inventory_Data[[#This Row],[Sales Qty]]-Inventory_Data[[#This Row],[Closing Stock]]</f>
        <v>0</v>
      </c>
      <c r="N1279">
        <f>Inventory_Data[[#This Row],[Purchase Qty]]*Inventory_Data[[#This Row],[Unit Cost]]</f>
        <v>3372600</v>
      </c>
      <c r="O1279" t="str">
        <f>IF(Inventory_Data[[#This Row],[Closing Stock]]&lt;=Inventory_Data[[#This Row],[Reorder Level]],"Low Stock","In Stock")</f>
        <v>In Stock</v>
      </c>
      <c r="P1279" t="str">
        <f>TEXT(Inventory_Data[[#This Row],[Date]],"MMM")</f>
        <v>Sep</v>
      </c>
      <c r="Q1279" t="str">
        <f>TEXT(Inventory_Data[[#This Row],[Date]],"YYYY")</f>
        <v>2025</v>
      </c>
    </row>
    <row r="1280" spans="1:17" x14ac:dyDescent="0.3">
      <c r="A1280" s="1">
        <v>45924</v>
      </c>
      <c r="B1280" t="s">
        <v>27</v>
      </c>
      <c r="C1280" t="s">
        <v>28</v>
      </c>
      <c r="D1280" t="s">
        <v>37</v>
      </c>
      <c r="E1280" t="s">
        <v>34</v>
      </c>
      <c r="F1280">
        <v>121</v>
      </c>
      <c r="G1280">
        <v>79</v>
      </c>
      <c r="H1280">
        <v>66</v>
      </c>
      <c r="I1280">
        <v>134</v>
      </c>
      <c r="J1280">
        <v>53</v>
      </c>
      <c r="K1280">
        <v>17870</v>
      </c>
      <c r="L1280">
        <v>2394580</v>
      </c>
      <c r="M1280">
        <f>Inventory_Data[[#This Row],[Opening Stock]]+Inventory_Data[[#This Row],[Purchase Qty]]-Inventory_Data[[#This Row],[Sales Qty]]-Inventory_Data[[#This Row],[Closing Stock]]</f>
        <v>0</v>
      </c>
      <c r="N1280">
        <f>Inventory_Data[[#This Row],[Purchase Qty]]*Inventory_Data[[#This Row],[Unit Cost]]</f>
        <v>1411730</v>
      </c>
      <c r="O1280" t="str">
        <f>IF(Inventory_Data[[#This Row],[Closing Stock]]&lt;=Inventory_Data[[#This Row],[Reorder Level]],"Low Stock","In Stock")</f>
        <v>In Stock</v>
      </c>
      <c r="P1280" t="str">
        <f>TEXT(Inventory_Data[[#This Row],[Date]],"MMM")</f>
        <v>Sep</v>
      </c>
      <c r="Q1280" t="str">
        <f>TEXT(Inventory_Data[[#This Row],[Date]],"YYYY")</f>
        <v>2025</v>
      </c>
    </row>
    <row r="1281" spans="1:17" x14ac:dyDescent="0.3">
      <c r="A1281" s="1">
        <v>45924</v>
      </c>
      <c r="B1281" t="s">
        <v>12</v>
      </c>
      <c r="C1281" t="s">
        <v>13</v>
      </c>
      <c r="D1281" t="s">
        <v>23</v>
      </c>
      <c r="E1281" t="s">
        <v>29</v>
      </c>
      <c r="F1281">
        <v>45</v>
      </c>
      <c r="G1281">
        <v>15</v>
      </c>
      <c r="H1281">
        <v>58</v>
      </c>
      <c r="I1281">
        <v>2</v>
      </c>
      <c r="J1281">
        <v>35</v>
      </c>
      <c r="K1281">
        <v>944</v>
      </c>
      <c r="L1281">
        <v>1888</v>
      </c>
      <c r="M1281">
        <f>Inventory_Data[[#This Row],[Opening Stock]]+Inventory_Data[[#This Row],[Purchase Qty]]-Inventory_Data[[#This Row],[Sales Qty]]-Inventory_Data[[#This Row],[Closing Stock]]</f>
        <v>0</v>
      </c>
      <c r="N1281">
        <f>Inventory_Data[[#This Row],[Purchase Qty]]*Inventory_Data[[#This Row],[Unit Cost]]</f>
        <v>14160</v>
      </c>
      <c r="O1281" t="str">
        <f>IF(Inventory_Data[[#This Row],[Closing Stock]]&lt;=Inventory_Data[[#This Row],[Reorder Level]],"Low Stock","In Stock")</f>
        <v>Low Stock</v>
      </c>
      <c r="P1281" t="str">
        <f>TEXT(Inventory_Data[[#This Row],[Date]],"MMM")</f>
        <v>Sep</v>
      </c>
      <c r="Q1281" t="str">
        <f>TEXT(Inventory_Data[[#This Row],[Date]],"YYYY")</f>
        <v>2025</v>
      </c>
    </row>
    <row r="1282" spans="1:17" x14ac:dyDescent="0.3">
      <c r="A1282" s="1">
        <v>45924</v>
      </c>
      <c r="B1282" t="s">
        <v>12</v>
      </c>
      <c r="C1282" t="s">
        <v>13</v>
      </c>
      <c r="D1282" t="s">
        <v>23</v>
      </c>
      <c r="E1282" t="s">
        <v>29</v>
      </c>
      <c r="F1282">
        <v>39</v>
      </c>
      <c r="G1282">
        <v>63</v>
      </c>
      <c r="H1282">
        <v>26</v>
      </c>
      <c r="I1282">
        <v>76</v>
      </c>
      <c r="J1282">
        <v>33</v>
      </c>
      <c r="K1282">
        <v>5757</v>
      </c>
      <c r="L1282">
        <v>437532</v>
      </c>
      <c r="M1282">
        <f>Inventory_Data[[#This Row],[Opening Stock]]+Inventory_Data[[#This Row],[Purchase Qty]]-Inventory_Data[[#This Row],[Sales Qty]]-Inventory_Data[[#This Row],[Closing Stock]]</f>
        <v>0</v>
      </c>
      <c r="N1282">
        <f>Inventory_Data[[#This Row],[Purchase Qty]]*Inventory_Data[[#This Row],[Unit Cost]]</f>
        <v>362691</v>
      </c>
      <c r="O1282" t="str">
        <f>IF(Inventory_Data[[#This Row],[Closing Stock]]&lt;=Inventory_Data[[#This Row],[Reorder Level]],"Low Stock","In Stock")</f>
        <v>In Stock</v>
      </c>
      <c r="P1282" t="str">
        <f>TEXT(Inventory_Data[[#This Row],[Date]],"MMM")</f>
        <v>Sep</v>
      </c>
      <c r="Q1282" t="str">
        <f>TEXT(Inventory_Data[[#This Row],[Date]],"YYYY")</f>
        <v>2025</v>
      </c>
    </row>
    <row r="1283" spans="1:17" x14ac:dyDescent="0.3">
      <c r="A1283" s="1">
        <v>45925</v>
      </c>
      <c r="B1283" t="s">
        <v>41</v>
      </c>
      <c r="C1283" t="s">
        <v>22</v>
      </c>
      <c r="D1283" t="s">
        <v>26</v>
      </c>
      <c r="E1283" t="s">
        <v>24</v>
      </c>
      <c r="F1283">
        <v>446</v>
      </c>
      <c r="G1283">
        <v>37</v>
      </c>
      <c r="H1283">
        <v>274</v>
      </c>
      <c r="I1283">
        <v>209</v>
      </c>
      <c r="J1283">
        <v>127</v>
      </c>
      <c r="K1283">
        <v>917</v>
      </c>
      <c r="L1283">
        <v>191653</v>
      </c>
      <c r="M1283">
        <f>Inventory_Data[[#This Row],[Opening Stock]]+Inventory_Data[[#This Row],[Purchase Qty]]-Inventory_Data[[#This Row],[Sales Qty]]-Inventory_Data[[#This Row],[Closing Stock]]</f>
        <v>0</v>
      </c>
      <c r="N1283">
        <f>Inventory_Data[[#This Row],[Purchase Qty]]*Inventory_Data[[#This Row],[Unit Cost]]</f>
        <v>33929</v>
      </c>
      <c r="O1283" t="str">
        <f>IF(Inventory_Data[[#This Row],[Closing Stock]]&lt;=Inventory_Data[[#This Row],[Reorder Level]],"Low Stock","In Stock")</f>
        <v>In Stock</v>
      </c>
      <c r="P1283" t="str">
        <f>TEXT(Inventory_Data[[#This Row],[Date]],"MMM")</f>
        <v>Sep</v>
      </c>
      <c r="Q1283" t="str">
        <f>TEXT(Inventory_Data[[#This Row],[Date]],"YYYY")</f>
        <v>2025</v>
      </c>
    </row>
    <row r="1284" spans="1:17" x14ac:dyDescent="0.3">
      <c r="A1284" s="1">
        <v>45925</v>
      </c>
      <c r="B1284" t="s">
        <v>16</v>
      </c>
      <c r="C1284" t="s">
        <v>17</v>
      </c>
      <c r="D1284" t="s">
        <v>26</v>
      </c>
      <c r="E1284" t="s">
        <v>18</v>
      </c>
      <c r="F1284">
        <v>44</v>
      </c>
      <c r="G1284">
        <v>47</v>
      </c>
      <c r="H1284">
        <v>2</v>
      </c>
      <c r="I1284">
        <v>89</v>
      </c>
      <c r="J1284">
        <v>22</v>
      </c>
      <c r="K1284">
        <v>17170</v>
      </c>
      <c r="L1284">
        <v>1528130</v>
      </c>
      <c r="M1284">
        <f>Inventory_Data[[#This Row],[Opening Stock]]+Inventory_Data[[#This Row],[Purchase Qty]]-Inventory_Data[[#This Row],[Sales Qty]]-Inventory_Data[[#This Row],[Closing Stock]]</f>
        <v>0</v>
      </c>
      <c r="N1284">
        <f>Inventory_Data[[#This Row],[Purchase Qty]]*Inventory_Data[[#This Row],[Unit Cost]]</f>
        <v>806990</v>
      </c>
      <c r="O1284" t="str">
        <f>IF(Inventory_Data[[#This Row],[Closing Stock]]&lt;=Inventory_Data[[#This Row],[Reorder Level]],"Low Stock","In Stock")</f>
        <v>In Stock</v>
      </c>
      <c r="P1284" t="str">
        <f>TEXT(Inventory_Data[[#This Row],[Date]],"MMM")</f>
        <v>Sep</v>
      </c>
      <c r="Q1284" t="str">
        <f>TEXT(Inventory_Data[[#This Row],[Date]],"YYYY")</f>
        <v>2025</v>
      </c>
    </row>
    <row r="1285" spans="1:17" x14ac:dyDescent="0.3">
      <c r="A1285" s="1">
        <v>45925</v>
      </c>
      <c r="B1285" t="s">
        <v>36</v>
      </c>
      <c r="C1285" t="s">
        <v>22</v>
      </c>
      <c r="D1285" t="s">
        <v>26</v>
      </c>
      <c r="E1285" t="s">
        <v>29</v>
      </c>
      <c r="F1285">
        <v>61</v>
      </c>
      <c r="G1285">
        <v>220</v>
      </c>
      <c r="H1285">
        <v>34</v>
      </c>
      <c r="I1285">
        <v>247</v>
      </c>
      <c r="J1285">
        <v>137</v>
      </c>
      <c r="K1285">
        <v>110</v>
      </c>
      <c r="L1285">
        <v>27170</v>
      </c>
      <c r="M1285">
        <f>Inventory_Data[[#This Row],[Opening Stock]]+Inventory_Data[[#This Row],[Purchase Qty]]-Inventory_Data[[#This Row],[Sales Qty]]-Inventory_Data[[#This Row],[Closing Stock]]</f>
        <v>0</v>
      </c>
      <c r="N1285">
        <f>Inventory_Data[[#This Row],[Purchase Qty]]*Inventory_Data[[#This Row],[Unit Cost]]</f>
        <v>24200</v>
      </c>
      <c r="O1285" t="str">
        <f>IF(Inventory_Data[[#This Row],[Closing Stock]]&lt;=Inventory_Data[[#This Row],[Reorder Level]],"Low Stock","In Stock")</f>
        <v>In Stock</v>
      </c>
      <c r="P1285" t="str">
        <f>TEXT(Inventory_Data[[#This Row],[Date]],"MMM")</f>
        <v>Sep</v>
      </c>
      <c r="Q1285" t="str">
        <f>TEXT(Inventory_Data[[#This Row],[Date]],"YYYY")</f>
        <v>2025</v>
      </c>
    </row>
    <row r="1286" spans="1:17" x14ac:dyDescent="0.3">
      <c r="A1286" s="1">
        <v>45925</v>
      </c>
      <c r="B1286" t="s">
        <v>31</v>
      </c>
      <c r="C1286" t="s">
        <v>22</v>
      </c>
      <c r="D1286" t="s">
        <v>23</v>
      </c>
      <c r="E1286" t="s">
        <v>34</v>
      </c>
      <c r="F1286">
        <v>219</v>
      </c>
      <c r="G1286">
        <v>68</v>
      </c>
      <c r="H1286">
        <v>148</v>
      </c>
      <c r="I1286">
        <v>139</v>
      </c>
      <c r="J1286">
        <v>67</v>
      </c>
      <c r="K1286">
        <v>1184</v>
      </c>
      <c r="L1286">
        <v>164576</v>
      </c>
      <c r="M1286">
        <f>Inventory_Data[[#This Row],[Opening Stock]]+Inventory_Data[[#This Row],[Purchase Qty]]-Inventory_Data[[#This Row],[Sales Qty]]-Inventory_Data[[#This Row],[Closing Stock]]</f>
        <v>0</v>
      </c>
      <c r="N1286">
        <f>Inventory_Data[[#This Row],[Purchase Qty]]*Inventory_Data[[#This Row],[Unit Cost]]</f>
        <v>80512</v>
      </c>
      <c r="O1286" t="str">
        <f>IF(Inventory_Data[[#This Row],[Closing Stock]]&lt;=Inventory_Data[[#This Row],[Reorder Level]],"Low Stock","In Stock")</f>
        <v>In Stock</v>
      </c>
      <c r="P1286" t="str">
        <f>TEXT(Inventory_Data[[#This Row],[Date]],"MMM")</f>
        <v>Sep</v>
      </c>
      <c r="Q1286" t="str">
        <f>TEXT(Inventory_Data[[#This Row],[Date]],"YYYY")</f>
        <v>2025</v>
      </c>
    </row>
    <row r="1287" spans="1:17" x14ac:dyDescent="0.3">
      <c r="A1287" s="1">
        <v>45925</v>
      </c>
      <c r="B1287" t="s">
        <v>30</v>
      </c>
      <c r="C1287" t="s">
        <v>28</v>
      </c>
      <c r="D1287" t="s">
        <v>37</v>
      </c>
      <c r="E1287" t="s">
        <v>34</v>
      </c>
      <c r="F1287">
        <v>73</v>
      </c>
      <c r="G1287">
        <v>117</v>
      </c>
      <c r="H1287">
        <v>9</v>
      </c>
      <c r="I1287">
        <v>181</v>
      </c>
      <c r="J1287">
        <v>49</v>
      </c>
      <c r="K1287">
        <v>61181</v>
      </c>
      <c r="L1287">
        <v>11073761</v>
      </c>
      <c r="M1287">
        <f>Inventory_Data[[#This Row],[Opening Stock]]+Inventory_Data[[#This Row],[Purchase Qty]]-Inventory_Data[[#This Row],[Sales Qty]]-Inventory_Data[[#This Row],[Closing Stock]]</f>
        <v>0</v>
      </c>
      <c r="N1287">
        <f>Inventory_Data[[#This Row],[Purchase Qty]]*Inventory_Data[[#This Row],[Unit Cost]]</f>
        <v>7158177</v>
      </c>
      <c r="O1287" t="str">
        <f>IF(Inventory_Data[[#This Row],[Closing Stock]]&lt;=Inventory_Data[[#This Row],[Reorder Level]],"Low Stock","In Stock")</f>
        <v>In Stock</v>
      </c>
      <c r="P1287" t="str">
        <f>TEXT(Inventory_Data[[#This Row],[Date]],"MMM")</f>
        <v>Sep</v>
      </c>
      <c r="Q1287" t="str">
        <f>TEXT(Inventory_Data[[#This Row],[Date]],"YYYY")</f>
        <v>2025</v>
      </c>
    </row>
    <row r="1288" spans="1:17" x14ac:dyDescent="0.3">
      <c r="A1288" s="1">
        <v>45925</v>
      </c>
      <c r="B1288" t="s">
        <v>40</v>
      </c>
      <c r="C1288" t="s">
        <v>28</v>
      </c>
      <c r="D1288" t="s">
        <v>37</v>
      </c>
      <c r="E1288" t="s">
        <v>34</v>
      </c>
      <c r="F1288">
        <v>72</v>
      </c>
      <c r="G1288">
        <v>80</v>
      </c>
      <c r="H1288">
        <v>14</v>
      </c>
      <c r="I1288">
        <v>138</v>
      </c>
      <c r="J1288">
        <v>36</v>
      </c>
      <c r="K1288">
        <v>59852</v>
      </c>
      <c r="L1288">
        <v>8259576</v>
      </c>
      <c r="M1288">
        <f>Inventory_Data[[#This Row],[Opening Stock]]+Inventory_Data[[#This Row],[Purchase Qty]]-Inventory_Data[[#This Row],[Sales Qty]]-Inventory_Data[[#This Row],[Closing Stock]]</f>
        <v>0</v>
      </c>
      <c r="N1288">
        <f>Inventory_Data[[#This Row],[Purchase Qty]]*Inventory_Data[[#This Row],[Unit Cost]]</f>
        <v>4788160</v>
      </c>
      <c r="O1288" t="str">
        <f>IF(Inventory_Data[[#This Row],[Closing Stock]]&lt;=Inventory_Data[[#This Row],[Reorder Level]],"Low Stock","In Stock")</f>
        <v>In Stock</v>
      </c>
      <c r="P1288" t="str">
        <f>TEXT(Inventory_Data[[#This Row],[Date]],"MMM")</f>
        <v>Sep</v>
      </c>
      <c r="Q1288" t="str">
        <f>TEXT(Inventory_Data[[#This Row],[Date]],"YYYY")</f>
        <v>2025</v>
      </c>
    </row>
    <row r="1289" spans="1:17" x14ac:dyDescent="0.3">
      <c r="A1289" s="1">
        <v>45926</v>
      </c>
      <c r="B1289" t="s">
        <v>35</v>
      </c>
      <c r="C1289" t="s">
        <v>22</v>
      </c>
      <c r="D1289" t="s">
        <v>26</v>
      </c>
      <c r="E1289" t="s">
        <v>20</v>
      </c>
      <c r="F1289">
        <v>290</v>
      </c>
      <c r="G1289">
        <v>274</v>
      </c>
      <c r="H1289">
        <v>172</v>
      </c>
      <c r="I1289">
        <v>392</v>
      </c>
      <c r="J1289">
        <v>55</v>
      </c>
      <c r="K1289">
        <v>1103</v>
      </c>
      <c r="L1289">
        <v>432376</v>
      </c>
      <c r="M1289">
        <f>Inventory_Data[[#This Row],[Opening Stock]]+Inventory_Data[[#This Row],[Purchase Qty]]-Inventory_Data[[#This Row],[Sales Qty]]-Inventory_Data[[#This Row],[Closing Stock]]</f>
        <v>0</v>
      </c>
      <c r="N1289">
        <f>Inventory_Data[[#This Row],[Purchase Qty]]*Inventory_Data[[#This Row],[Unit Cost]]</f>
        <v>302222</v>
      </c>
      <c r="O1289" t="str">
        <f>IF(Inventory_Data[[#This Row],[Closing Stock]]&lt;=Inventory_Data[[#This Row],[Reorder Level]],"Low Stock","In Stock")</f>
        <v>In Stock</v>
      </c>
      <c r="P1289" t="str">
        <f>TEXT(Inventory_Data[[#This Row],[Date]],"MMM")</f>
        <v>Sep</v>
      </c>
      <c r="Q1289" t="str">
        <f>TEXT(Inventory_Data[[#This Row],[Date]],"YYYY")</f>
        <v>2025</v>
      </c>
    </row>
    <row r="1290" spans="1:17" x14ac:dyDescent="0.3">
      <c r="A1290" s="1">
        <v>45927</v>
      </c>
      <c r="B1290" t="s">
        <v>41</v>
      </c>
      <c r="C1290" t="s">
        <v>22</v>
      </c>
      <c r="D1290" t="s">
        <v>26</v>
      </c>
      <c r="E1290" t="s">
        <v>34</v>
      </c>
      <c r="F1290">
        <v>400</v>
      </c>
      <c r="G1290">
        <v>244</v>
      </c>
      <c r="H1290">
        <v>261</v>
      </c>
      <c r="I1290">
        <v>383</v>
      </c>
      <c r="J1290">
        <v>111</v>
      </c>
      <c r="K1290">
        <v>1036</v>
      </c>
      <c r="L1290">
        <v>396788</v>
      </c>
      <c r="M1290">
        <f>Inventory_Data[[#This Row],[Opening Stock]]+Inventory_Data[[#This Row],[Purchase Qty]]-Inventory_Data[[#This Row],[Sales Qty]]-Inventory_Data[[#This Row],[Closing Stock]]</f>
        <v>0</v>
      </c>
      <c r="N1290">
        <f>Inventory_Data[[#This Row],[Purchase Qty]]*Inventory_Data[[#This Row],[Unit Cost]]</f>
        <v>252784</v>
      </c>
      <c r="O1290" t="str">
        <f>IF(Inventory_Data[[#This Row],[Closing Stock]]&lt;=Inventory_Data[[#This Row],[Reorder Level]],"Low Stock","In Stock")</f>
        <v>In Stock</v>
      </c>
      <c r="P1290" t="str">
        <f>TEXT(Inventory_Data[[#This Row],[Date]],"MMM")</f>
        <v>Sep</v>
      </c>
      <c r="Q1290" t="str">
        <f>TEXT(Inventory_Data[[#This Row],[Date]],"YYYY")</f>
        <v>2025</v>
      </c>
    </row>
    <row r="1291" spans="1:17" x14ac:dyDescent="0.3">
      <c r="A1291" s="1">
        <v>45927</v>
      </c>
      <c r="B1291" t="s">
        <v>38</v>
      </c>
      <c r="C1291" t="s">
        <v>17</v>
      </c>
      <c r="D1291" t="s">
        <v>37</v>
      </c>
      <c r="E1291" t="s">
        <v>15</v>
      </c>
      <c r="F1291">
        <v>19</v>
      </c>
      <c r="G1291">
        <v>20</v>
      </c>
      <c r="H1291">
        <v>17</v>
      </c>
      <c r="I1291">
        <v>22</v>
      </c>
      <c r="J1291">
        <v>19</v>
      </c>
      <c r="K1291">
        <v>3514</v>
      </c>
      <c r="L1291">
        <v>77308</v>
      </c>
      <c r="M1291">
        <f>Inventory_Data[[#This Row],[Opening Stock]]+Inventory_Data[[#This Row],[Purchase Qty]]-Inventory_Data[[#This Row],[Sales Qty]]-Inventory_Data[[#This Row],[Closing Stock]]</f>
        <v>0</v>
      </c>
      <c r="N1291">
        <f>Inventory_Data[[#This Row],[Purchase Qty]]*Inventory_Data[[#This Row],[Unit Cost]]</f>
        <v>70280</v>
      </c>
      <c r="O1291" t="str">
        <f>IF(Inventory_Data[[#This Row],[Closing Stock]]&lt;=Inventory_Data[[#This Row],[Reorder Level]],"Low Stock","In Stock")</f>
        <v>In Stock</v>
      </c>
      <c r="P1291" t="str">
        <f>TEXT(Inventory_Data[[#This Row],[Date]],"MMM")</f>
        <v>Sep</v>
      </c>
      <c r="Q1291" t="str">
        <f>TEXT(Inventory_Data[[#This Row],[Date]],"YYYY")</f>
        <v>2025</v>
      </c>
    </row>
    <row r="1292" spans="1:17" x14ac:dyDescent="0.3">
      <c r="A1292" s="1">
        <v>45927</v>
      </c>
      <c r="B1292" t="s">
        <v>25</v>
      </c>
      <c r="C1292" t="s">
        <v>17</v>
      </c>
      <c r="D1292" t="s">
        <v>37</v>
      </c>
      <c r="E1292" t="s">
        <v>29</v>
      </c>
      <c r="F1292">
        <v>89</v>
      </c>
      <c r="G1292">
        <v>14</v>
      </c>
      <c r="H1292">
        <v>30</v>
      </c>
      <c r="I1292">
        <v>73</v>
      </c>
      <c r="J1292">
        <v>21</v>
      </c>
      <c r="K1292">
        <v>23781</v>
      </c>
      <c r="L1292">
        <v>1736013</v>
      </c>
      <c r="M1292">
        <f>Inventory_Data[[#This Row],[Opening Stock]]+Inventory_Data[[#This Row],[Purchase Qty]]-Inventory_Data[[#This Row],[Sales Qty]]-Inventory_Data[[#This Row],[Closing Stock]]</f>
        <v>0</v>
      </c>
      <c r="N1292">
        <f>Inventory_Data[[#This Row],[Purchase Qty]]*Inventory_Data[[#This Row],[Unit Cost]]</f>
        <v>332934</v>
      </c>
      <c r="O1292" t="str">
        <f>IF(Inventory_Data[[#This Row],[Closing Stock]]&lt;=Inventory_Data[[#This Row],[Reorder Level]],"Low Stock","In Stock")</f>
        <v>In Stock</v>
      </c>
      <c r="P1292" t="str">
        <f>TEXT(Inventory_Data[[#This Row],[Date]],"MMM")</f>
        <v>Sep</v>
      </c>
      <c r="Q1292" t="str">
        <f>TEXT(Inventory_Data[[#This Row],[Date]],"YYYY")</f>
        <v>2025</v>
      </c>
    </row>
    <row r="1293" spans="1:17" x14ac:dyDescent="0.3">
      <c r="A1293" s="1">
        <v>45928</v>
      </c>
      <c r="B1293" t="s">
        <v>32</v>
      </c>
      <c r="C1293" t="s">
        <v>28</v>
      </c>
      <c r="D1293" t="s">
        <v>23</v>
      </c>
      <c r="E1293" t="s">
        <v>18</v>
      </c>
      <c r="F1293">
        <v>108</v>
      </c>
      <c r="G1293">
        <v>91</v>
      </c>
      <c r="H1293">
        <v>42</v>
      </c>
      <c r="I1293">
        <v>157</v>
      </c>
      <c r="J1293">
        <v>45</v>
      </c>
      <c r="K1293">
        <v>22473</v>
      </c>
      <c r="L1293">
        <v>3528261</v>
      </c>
      <c r="M1293">
        <f>Inventory_Data[[#This Row],[Opening Stock]]+Inventory_Data[[#This Row],[Purchase Qty]]-Inventory_Data[[#This Row],[Sales Qty]]-Inventory_Data[[#This Row],[Closing Stock]]</f>
        <v>0</v>
      </c>
      <c r="N1293">
        <f>Inventory_Data[[#This Row],[Purchase Qty]]*Inventory_Data[[#This Row],[Unit Cost]]</f>
        <v>2045043</v>
      </c>
      <c r="O1293" t="str">
        <f>IF(Inventory_Data[[#This Row],[Closing Stock]]&lt;=Inventory_Data[[#This Row],[Reorder Level]],"Low Stock","In Stock")</f>
        <v>In Stock</v>
      </c>
      <c r="P1293" t="str">
        <f>TEXT(Inventory_Data[[#This Row],[Date]],"MMM")</f>
        <v>Sep</v>
      </c>
      <c r="Q1293" t="str">
        <f>TEXT(Inventory_Data[[#This Row],[Date]],"YYYY")</f>
        <v>2025</v>
      </c>
    </row>
    <row r="1294" spans="1:17" x14ac:dyDescent="0.3">
      <c r="A1294" s="1">
        <v>45928</v>
      </c>
      <c r="B1294" t="s">
        <v>38</v>
      </c>
      <c r="C1294" t="s">
        <v>17</v>
      </c>
      <c r="D1294" t="s">
        <v>23</v>
      </c>
      <c r="E1294" t="s">
        <v>20</v>
      </c>
      <c r="F1294">
        <v>81</v>
      </c>
      <c r="G1294">
        <v>25</v>
      </c>
      <c r="H1294">
        <v>40</v>
      </c>
      <c r="I1294">
        <v>66</v>
      </c>
      <c r="J1294">
        <v>28</v>
      </c>
      <c r="K1294">
        <v>7765</v>
      </c>
      <c r="L1294">
        <v>512490</v>
      </c>
      <c r="M1294">
        <f>Inventory_Data[[#This Row],[Opening Stock]]+Inventory_Data[[#This Row],[Purchase Qty]]-Inventory_Data[[#This Row],[Sales Qty]]-Inventory_Data[[#This Row],[Closing Stock]]</f>
        <v>0</v>
      </c>
      <c r="N1294">
        <f>Inventory_Data[[#This Row],[Purchase Qty]]*Inventory_Data[[#This Row],[Unit Cost]]</f>
        <v>194125</v>
      </c>
      <c r="O1294" t="str">
        <f>IF(Inventory_Data[[#This Row],[Closing Stock]]&lt;=Inventory_Data[[#This Row],[Reorder Level]],"Low Stock","In Stock")</f>
        <v>In Stock</v>
      </c>
      <c r="P1294" t="str">
        <f>TEXT(Inventory_Data[[#This Row],[Date]],"MMM")</f>
        <v>Sep</v>
      </c>
      <c r="Q1294" t="str">
        <f>TEXT(Inventory_Data[[#This Row],[Date]],"YYYY")</f>
        <v>2025</v>
      </c>
    </row>
    <row r="1295" spans="1:17" x14ac:dyDescent="0.3">
      <c r="A1295" s="1">
        <v>45928</v>
      </c>
      <c r="B1295" t="s">
        <v>33</v>
      </c>
      <c r="C1295" t="s">
        <v>13</v>
      </c>
      <c r="D1295" t="s">
        <v>37</v>
      </c>
      <c r="E1295" t="s">
        <v>20</v>
      </c>
      <c r="F1295">
        <v>103</v>
      </c>
      <c r="G1295">
        <v>64</v>
      </c>
      <c r="H1295">
        <v>24</v>
      </c>
      <c r="I1295">
        <v>143</v>
      </c>
      <c r="J1295">
        <v>15</v>
      </c>
      <c r="K1295">
        <v>16571</v>
      </c>
      <c r="L1295">
        <v>2369653</v>
      </c>
      <c r="M1295">
        <f>Inventory_Data[[#This Row],[Opening Stock]]+Inventory_Data[[#This Row],[Purchase Qty]]-Inventory_Data[[#This Row],[Sales Qty]]-Inventory_Data[[#This Row],[Closing Stock]]</f>
        <v>0</v>
      </c>
      <c r="N1295">
        <f>Inventory_Data[[#This Row],[Purchase Qty]]*Inventory_Data[[#This Row],[Unit Cost]]</f>
        <v>1060544</v>
      </c>
      <c r="O1295" t="str">
        <f>IF(Inventory_Data[[#This Row],[Closing Stock]]&lt;=Inventory_Data[[#This Row],[Reorder Level]],"Low Stock","In Stock")</f>
        <v>In Stock</v>
      </c>
      <c r="P1295" t="str">
        <f>TEXT(Inventory_Data[[#This Row],[Date]],"MMM")</f>
        <v>Sep</v>
      </c>
      <c r="Q1295" t="str">
        <f>TEXT(Inventory_Data[[#This Row],[Date]],"YYYY")</f>
        <v>2025</v>
      </c>
    </row>
    <row r="1296" spans="1:17" x14ac:dyDescent="0.3">
      <c r="A1296" s="1">
        <v>45928</v>
      </c>
      <c r="B1296" t="s">
        <v>30</v>
      </c>
      <c r="C1296" t="s">
        <v>28</v>
      </c>
      <c r="D1296" t="s">
        <v>37</v>
      </c>
      <c r="E1296" t="s">
        <v>15</v>
      </c>
      <c r="F1296">
        <v>27</v>
      </c>
      <c r="G1296">
        <v>47</v>
      </c>
      <c r="H1296">
        <v>74</v>
      </c>
      <c r="I1296">
        <v>0</v>
      </c>
      <c r="J1296">
        <v>45</v>
      </c>
      <c r="K1296">
        <v>62807</v>
      </c>
      <c r="L1296">
        <v>0</v>
      </c>
      <c r="M1296">
        <f>Inventory_Data[[#This Row],[Opening Stock]]+Inventory_Data[[#This Row],[Purchase Qty]]-Inventory_Data[[#This Row],[Sales Qty]]-Inventory_Data[[#This Row],[Closing Stock]]</f>
        <v>0</v>
      </c>
      <c r="N1296">
        <f>Inventory_Data[[#This Row],[Purchase Qty]]*Inventory_Data[[#This Row],[Unit Cost]]</f>
        <v>2951929</v>
      </c>
      <c r="O1296" t="str">
        <f>IF(Inventory_Data[[#This Row],[Closing Stock]]&lt;=Inventory_Data[[#This Row],[Reorder Level]],"Low Stock","In Stock")</f>
        <v>Low Stock</v>
      </c>
      <c r="P1296" t="str">
        <f>TEXT(Inventory_Data[[#This Row],[Date]],"MMM")</f>
        <v>Sep</v>
      </c>
      <c r="Q1296" t="str">
        <f>TEXT(Inventory_Data[[#This Row],[Date]],"YYYY")</f>
        <v>2025</v>
      </c>
    </row>
    <row r="1297" spans="1:17" x14ac:dyDescent="0.3">
      <c r="A1297" s="1">
        <v>45928</v>
      </c>
      <c r="B1297" t="s">
        <v>35</v>
      </c>
      <c r="C1297" t="s">
        <v>22</v>
      </c>
      <c r="D1297" t="s">
        <v>23</v>
      </c>
      <c r="E1297" t="s">
        <v>34</v>
      </c>
      <c r="F1297">
        <v>114</v>
      </c>
      <c r="G1297">
        <v>212</v>
      </c>
      <c r="H1297">
        <v>19</v>
      </c>
      <c r="I1297">
        <v>307</v>
      </c>
      <c r="J1297">
        <v>91</v>
      </c>
      <c r="K1297">
        <v>513</v>
      </c>
      <c r="L1297">
        <v>157491</v>
      </c>
      <c r="M1297">
        <f>Inventory_Data[[#This Row],[Opening Stock]]+Inventory_Data[[#This Row],[Purchase Qty]]-Inventory_Data[[#This Row],[Sales Qty]]-Inventory_Data[[#This Row],[Closing Stock]]</f>
        <v>0</v>
      </c>
      <c r="N1297">
        <f>Inventory_Data[[#This Row],[Purchase Qty]]*Inventory_Data[[#This Row],[Unit Cost]]</f>
        <v>108756</v>
      </c>
      <c r="O1297" t="str">
        <f>IF(Inventory_Data[[#This Row],[Closing Stock]]&lt;=Inventory_Data[[#This Row],[Reorder Level]],"Low Stock","In Stock")</f>
        <v>In Stock</v>
      </c>
      <c r="P1297" t="str">
        <f>TEXT(Inventory_Data[[#This Row],[Date]],"MMM")</f>
        <v>Sep</v>
      </c>
      <c r="Q1297" t="str">
        <f>TEXT(Inventory_Data[[#This Row],[Date]],"YYYY")</f>
        <v>2025</v>
      </c>
    </row>
    <row r="1298" spans="1:17" x14ac:dyDescent="0.3">
      <c r="A1298" s="1">
        <v>45928</v>
      </c>
      <c r="B1298" t="s">
        <v>31</v>
      </c>
      <c r="C1298" t="s">
        <v>22</v>
      </c>
      <c r="D1298" t="s">
        <v>14</v>
      </c>
      <c r="E1298" t="s">
        <v>24</v>
      </c>
      <c r="F1298">
        <v>470</v>
      </c>
      <c r="G1298">
        <v>224</v>
      </c>
      <c r="H1298">
        <v>49</v>
      </c>
      <c r="I1298">
        <v>645</v>
      </c>
      <c r="J1298">
        <v>85</v>
      </c>
      <c r="K1298">
        <v>208</v>
      </c>
      <c r="L1298">
        <v>134160</v>
      </c>
      <c r="M1298">
        <f>Inventory_Data[[#This Row],[Opening Stock]]+Inventory_Data[[#This Row],[Purchase Qty]]-Inventory_Data[[#This Row],[Sales Qty]]-Inventory_Data[[#This Row],[Closing Stock]]</f>
        <v>0</v>
      </c>
      <c r="N1298">
        <f>Inventory_Data[[#This Row],[Purchase Qty]]*Inventory_Data[[#This Row],[Unit Cost]]</f>
        <v>46592</v>
      </c>
      <c r="O1298" t="str">
        <f>IF(Inventory_Data[[#This Row],[Closing Stock]]&lt;=Inventory_Data[[#This Row],[Reorder Level]],"Low Stock","In Stock")</f>
        <v>In Stock</v>
      </c>
      <c r="P1298" t="str">
        <f>TEXT(Inventory_Data[[#This Row],[Date]],"MMM")</f>
        <v>Sep</v>
      </c>
      <c r="Q1298" t="str">
        <f>TEXT(Inventory_Data[[#This Row],[Date]],"YYYY")</f>
        <v>2025</v>
      </c>
    </row>
    <row r="1299" spans="1:17" x14ac:dyDescent="0.3">
      <c r="A1299" s="1">
        <v>45929</v>
      </c>
      <c r="B1299" t="s">
        <v>40</v>
      </c>
      <c r="C1299" t="s">
        <v>28</v>
      </c>
      <c r="D1299" t="s">
        <v>23</v>
      </c>
      <c r="E1299" t="s">
        <v>34</v>
      </c>
      <c r="F1299">
        <v>155</v>
      </c>
      <c r="G1299">
        <v>96</v>
      </c>
      <c r="H1299">
        <v>64</v>
      </c>
      <c r="I1299">
        <v>187</v>
      </c>
      <c r="J1299">
        <v>55</v>
      </c>
      <c r="K1299">
        <v>20765</v>
      </c>
      <c r="L1299">
        <v>3883055</v>
      </c>
      <c r="M1299">
        <f>Inventory_Data[[#This Row],[Opening Stock]]+Inventory_Data[[#This Row],[Purchase Qty]]-Inventory_Data[[#This Row],[Sales Qty]]-Inventory_Data[[#This Row],[Closing Stock]]</f>
        <v>0</v>
      </c>
      <c r="N1299">
        <f>Inventory_Data[[#This Row],[Purchase Qty]]*Inventory_Data[[#This Row],[Unit Cost]]</f>
        <v>1993440</v>
      </c>
      <c r="O1299" t="str">
        <f>IF(Inventory_Data[[#This Row],[Closing Stock]]&lt;=Inventory_Data[[#This Row],[Reorder Level]],"Low Stock","In Stock")</f>
        <v>In Stock</v>
      </c>
      <c r="P1299" t="str">
        <f>TEXT(Inventory_Data[[#This Row],[Date]],"MMM")</f>
        <v>Sep</v>
      </c>
      <c r="Q1299" t="str">
        <f>TEXT(Inventory_Data[[#This Row],[Date]],"YYYY")</f>
        <v>2025</v>
      </c>
    </row>
    <row r="1300" spans="1:17" x14ac:dyDescent="0.3">
      <c r="A1300" s="1">
        <v>45929</v>
      </c>
      <c r="B1300" t="s">
        <v>42</v>
      </c>
      <c r="C1300" t="s">
        <v>17</v>
      </c>
      <c r="D1300" t="s">
        <v>37</v>
      </c>
      <c r="E1300" t="s">
        <v>29</v>
      </c>
      <c r="F1300">
        <v>68</v>
      </c>
      <c r="G1300">
        <v>50</v>
      </c>
      <c r="H1300">
        <v>31</v>
      </c>
      <c r="I1300">
        <v>87</v>
      </c>
      <c r="J1300">
        <v>10</v>
      </c>
      <c r="K1300">
        <v>12260</v>
      </c>
      <c r="L1300">
        <v>1066620</v>
      </c>
      <c r="M1300">
        <f>Inventory_Data[[#This Row],[Opening Stock]]+Inventory_Data[[#This Row],[Purchase Qty]]-Inventory_Data[[#This Row],[Sales Qty]]-Inventory_Data[[#This Row],[Closing Stock]]</f>
        <v>0</v>
      </c>
      <c r="N1300">
        <f>Inventory_Data[[#This Row],[Purchase Qty]]*Inventory_Data[[#This Row],[Unit Cost]]</f>
        <v>613000</v>
      </c>
      <c r="O1300" t="str">
        <f>IF(Inventory_Data[[#This Row],[Closing Stock]]&lt;=Inventory_Data[[#This Row],[Reorder Level]],"Low Stock","In Stock")</f>
        <v>In Stock</v>
      </c>
      <c r="P1300" t="str">
        <f>TEXT(Inventory_Data[[#This Row],[Date]],"MMM")</f>
        <v>Sep</v>
      </c>
      <c r="Q1300" t="str">
        <f>TEXT(Inventory_Data[[#This Row],[Date]],"YYYY")</f>
        <v>2025</v>
      </c>
    </row>
    <row r="1301" spans="1:17" x14ac:dyDescent="0.3">
      <c r="A1301" s="1">
        <v>45929</v>
      </c>
      <c r="B1301" t="s">
        <v>43</v>
      </c>
      <c r="C1301" t="s">
        <v>22</v>
      </c>
      <c r="D1301" t="s">
        <v>14</v>
      </c>
      <c r="E1301" t="s">
        <v>20</v>
      </c>
      <c r="F1301">
        <v>238</v>
      </c>
      <c r="G1301">
        <v>221</v>
      </c>
      <c r="H1301">
        <v>78</v>
      </c>
      <c r="I1301">
        <v>381</v>
      </c>
      <c r="J1301">
        <v>142</v>
      </c>
      <c r="K1301">
        <v>809</v>
      </c>
      <c r="L1301">
        <v>308229</v>
      </c>
      <c r="M1301">
        <f>Inventory_Data[[#This Row],[Opening Stock]]+Inventory_Data[[#This Row],[Purchase Qty]]-Inventory_Data[[#This Row],[Sales Qty]]-Inventory_Data[[#This Row],[Closing Stock]]</f>
        <v>0</v>
      </c>
      <c r="N1301">
        <f>Inventory_Data[[#This Row],[Purchase Qty]]*Inventory_Data[[#This Row],[Unit Cost]]</f>
        <v>178789</v>
      </c>
      <c r="O1301" t="str">
        <f>IF(Inventory_Data[[#This Row],[Closing Stock]]&lt;=Inventory_Data[[#This Row],[Reorder Level]],"Low Stock","In Stock")</f>
        <v>In Stock</v>
      </c>
      <c r="P1301" t="str">
        <f>TEXT(Inventory_Data[[#This Row],[Date]],"MMM")</f>
        <v>Sep</v>
      </c>
      <c r="Q1301" t="str">
        <f>TEXT(Inventory_Data[[#This Row],[Date]],"YYYY")</f>
        <v>2025</v>
      </c>
    </row>
    <row r="1302" spans="1:17" x14ac:dyDescent="0.3">
      <c r="A1302" s="1">
        <v>45929</v>
      </c>
      <c r="B1302" t="s">
        <v>30</v>
      </c>
      <c r="C1302" t="s">
        <v>28</v>
      </c>
      <c r="D1302" t="s">
        <v>14</v>
      </c>
      <c r="E1302" t="s">
        <v>15</v>
      </c>
      <c r="F1302">
        <v>85</v>
      </c>
      <c r="G1302">
        <v>108</v>
      </c>
      <c r="H1302">
        <v>44</v>
      </c>
      <c r="I1302">
        <v>149</v>
      </c>
      <c r="J1302">
        <v>47</v>
      </c>
      <c r="K1302">
        <v>11287</v>
      </c>
      <c r="L1302">
        <v>1681763</v>
      </c>
      <c r="M1302">
        <f>Inventory_Data[[#This Row],[Opening Stock]]+Inventory_Data[[#This Row],[Purchase Qty]]-Inventory_Data[[#This Row],[Sales Qty]]-Inventory_Data[[#This Row],[Closing Stock]]</f>
        <v>0</v>
      </c>
      <c r="N1302">
        <f>Inventory_Data[[#This Row],[Purchase Qty]]*Inventory_Data[[#This Row],[Unit Cost]]</f>
        <v>1218996</v>
      </c>
      <c r="O1302" t="str">
        <f>IF(Inventory_Data[[#This Row],[Closing Stock]]&lt;=Inventory_Data[[#This Row],[Reorder Level]],"Low Stock","In Stock")</f>
        <v>In Stock</v>
      </c>
      <c r="P1302" t="str">
        <f>TEXT(Inventory_Data[[#This Row],[Date]],"MMM")</f>
        <v>Sep</v>
      </c>
      <c r="Q1302" t="str">
        <f>TEXT(Inventory_Data[[#This Row],[Date]],"YYYY")</f>
        <v>2025</v>
      </c>
    </row>
    <row r="1303" spans="1:17" x14ac:dyDescent="0.3">
      <c r="A1303" s="1">
        <v>45929</v>
      </c>
      <c r="B1303" t="s">
        <v>35</v>
      </c>
      <c r="C1303" t="s">
        <v>22</v>
      </c>
      <c r="D1303" t="s">
        <v>14</v>
      </c>
      <c r="E1303" t="s">
        <v>20</v>
      </c>
      <c r="F1303">
        <v>263</v>
      </c>
      <c r="G1303">
        <v>298</v>
      </c>
      <c r="H1303">
        <v>29</v>
      </c>
      <c r="I1303">
        <v>532</v>
      </c>
      <c r="J1303">
        <v>148</v>
      </c>
      <c r="K1303">
        <v>597</v>
      </c>
      <c r="L1303">
        <v>317604</v>
      </c>
      <c r="M1303">
        <f>Inventory_Data[[#This Row],[Opening Stock]]+Inventory_Data[[#This Row],[Purchase Qty]]-Inventory_Data[[#This Row],[Sales Qty]]-Inventory_Data[[#This Row],[Closing Stock]]</f>
        <v>0</v>
      </c>
      <c r="N1303">
        <f>Inventory_Data[[#This Row],[Purchase Qty]]*Inventory_Data[[#This Row],[Unit Cost]]</f>
        <v>177906</v>
      </c>
      <c r="O1303" t="str">
        <f>IF(Inventory_Data[[#This Row],[Closing Stock]]&lt;=Inventory_Data[[#This Row],[Reorder Level]],"Low Stock","In Stock")</f>
        <v>In Stock</v>
      </c>
      <c r="P1303" t="str">
        <f>TEXT(Inventory_Data[[#This Row],[Date]],"MMM")</f>
        <v>Sep</v>
      </c>
      <c r="Q1303" t="str">
        <f>TEXT(Inventory_Data[[#This Row],[Date]],"YYYY")</f>
        <v>2025</v>
      </c>
    </row>
    <row r="1304" spans="1:17" x14ac:dyDescent="0.3">
      <c r="A1304" s="1">
        <v>45930</v>
      </c>
      <c r="B1304" t="s">
        <v>42</v>
      </c>
      <c r="C1304" t="s">
        <v>17</v>
      </c>
      <c r="D1304" t="s">
        <v>14</v>
      </c>
      <c r="E1304" t="s">
        <v>18</v>
      </c>
      <c r="F1304">
        <v>53</v>
      </c>
      <c r="G1304">
        <v>49</v>
      </c>
      <c r="H1304">
        <v>9</v>
      </c>
      <c r="I1304">
        <v>93</v>
      </c>
      <c r="J1304">
        <v>10</v>
      </c>
      <c r="K1304">
        <v>19821</v>
      </c>
      <c r="L1304">
        <v>1843353</v>
      </c>
      <c r="M1304">
        <f>Inventory_Data[[#This Row],[Opening Stock]]+Inventory_Data[[#This Row],[Purchase Qty]]-Inventory_Data[[#This Row],[Sales Qty]]-Inventory_Data[[#This Row],[Closing Stock]]</f>
        <v>0</v>
      </c>
      <c r="N1304">
        <f>Inventory_Data[[#This Row],[Purchase Qty]]*Inventory_Data[[#This Row],[Unit Cost]]</f>
        <v>971229</v>
      </c>
      <c r="O1304" t="str">
        <f>IF(Inventory_Data[[#This Row],[Closing Stock]]&lt;=Inventory_Data[[#This Row],[Reorder Level]],"Low Stock","In Stock")</f>
        <v>In Stock</v>
      </c>
      <c r="P1304" t="str">
        <f>TEXT(Inventory_Data[[#This Row],[Date]],"MMM")</f>
        <v>Sep</v>
      </c>
      <c r="Q1304" t="str">
        <f>TEXT(Inventory_Data[[#This Row],[Date]],"YYYY")</f>
        <v>2025</v>
      </c>
    </row>
    <row r="1305" spans="1:17" x14ac:dyDescent="0.3">
      <c r="A1305" s="1">
        <v>45930</v>
      </c>
      <c r="B1305" t="s">
        <v>39</v>
      </c>
      <c r="C1305" t="s">
        <v>28</v>
      </c>
      <c r="D1305" t="s">
        <v>37</v>
      </c>
      <c r="E1305" t="s">
        <v>34</v>
      </c>
      <c r="F1305">
        <v>165</v>
      </c>
      <c r="G1305">
        <v>64</v>
      </c>
      <c r="H1305">
        <v>77</v>
      </c>
      <c r="I1305">
        <v>152</v>
      </c>
      <c r="J1305">
        <v>59</v>
      </c>
      <c r="K1305">
        <v>22968</v>
      </c>
      <c r="L1305">
        <v>3491136</v>
      </c>
      <c r="M1305">
        <f>Inventory_Data[[#This Row],[Opening Stock]]+Inventory_Data[[#This Row],[Purchase Qty]]-Inventory_Data[[#This Row],[Sales Qty]]-Inventory_Data[[#This Row],[Closing Stock]]</f>
        <v>0</v>
      </c>
      <c r="N1305">
        <f>Inventory_Data[[#This Row],[Purchase Qty]]*Inventory_Data[[#This Row],[Unit Cost]]</f>
        <v>1469952</v>
      </c>
      <c r="O1305" t="str">
        <f>IF(Inventory_Data[[#This Row],[Closing Stock]]&lt;=Inventory_Data[[#This Row],[Reorder Level]],"Low Stock","In Stock")</f>
        <v>In Stock</v>
      </c>
      <c r="P1305" t="str">
        <f>TEXT(Inventory_Data[[#This Row],[Date]],"MMM")</f>
        <v>Sep</v>
      </c>
      <c r="Q1305" t="str">
        <f>TEXT(Inventory_Data[[#This Row],[Date]],"YYYY")</f>
        <v>2025</v>
      </c>
    </row>
    <row r="1306" spans="1:17" x14ac:dyDescent="0.3">
      <c r="A1306" s="1">
        <v>45930</v>
      </c>
      <c r="B1306" t="s">
        <v>38</v>
      </c>
      <c r="C1306" t="s">
        <v>17</v>
      </c>
      <c r="D1306" t="s">
        <v>23</v>
      </c>
      <c r="E1306" t="s">
        <v>24</v>
      </c>
      <c r="F1306">
        <v>15</v>
      </c>
      <c r="G1306">
        <v>23</v>
      </c>
      <c r="H1306">
        <v>38</v>
      </c>
      <c r="I1306">
        <v>0</v>
      </c>
      <c r="J1306">
        <v>11</v>
      </c>
      <c r="K1306">
        <v>2551</v>
      </c>
      <c r="L1306">
        <v>0</v>
      </c>
      <c r="M1306">
        <f>Inventory_Data[[#This Row],[Opening Stock]]+Inventory_Data[[#This Row],[Purchase Qty]]-Inventory_Data[[#This Row],[Sales Qty]]-Inventory_Data[[#This Row],[Closing Stock]]</f>
        <v>0</v>
      </c>
      <c r="N1306">
        <f>Inventory_Data[[#This Row],[Purchase Qty]]*Inventory_Data[[#This Row],[Unit Cost]]</f>
        <v>58673</v>
      </c>
      <c r="O1306" t="str">
        <f>IF(Inventory_Data[[#This Row],[Closing Stock]]&lt;=Inventory_Data[[#This Row],[Reorder Level]],"Low Stock","In Stock")</f>
        <v>Low Stock</v>
      </c>
      <c r="P1306" t="str">
        <f>TEXT(Inventory_Data[[#This Row],[Date]],"MMM")</f>
        <v>Sep</v>
      </c>
      <c r="Q1306" t="str">
        <f>TEXT(Inventory_Data[[#This Row],[Date]],"YYYY")</f>
        <v>2025</v>
      </c>
    </row>
    <row r="1307" spans="1:17" x14ac:dyDescent="0.3">
      <c r="A1307" s="1">
        <v>45930</v>
      </c>
      <c r="B1307" t="s">
        <v>45</v>
      </c>
      <c r="C1307" t="s">
        <v>13</v>
      </c>
      <c r="D1307" t="s">
        <v>37</v>
      </c>
      <c r="E1307" t="s">
        <v>24</v>
      </c>
      <c r="F1307">
        <v>111</v>
      </c>
      <c r="G1307">
        <v>36</v>
      </c>
      <c r="H1307">
        <v>60</v>
      </c>
      <c r="I1307">
        <v>87</v>
      </c>
      <c r="J1307">
        <v>35</v>
      </c>
      <c r="K1307">
        <v>9624</v>
      </c>
      <c r="L1307">
        <v>837288</v>
      </c>
      <c r="M1307">
        <f>Inventory_Data[[#This Row],[Opening Stock]]+Inventory_Data[[#This Row],[Purchase Qty]]-Inventory_Data[[#This Row],[Sales Qty]]-Inventory_Data[[#This Row],[Closing Stock]]</f>
        <v>0</v>
      </c>
      <c r="N1307">
        <f>Inventory_Data[[#This Row],[Purchase Qty]]*Inventory_Data[[#This Row],[Unit Cost]]</f>
        <v>346464</v>
      </c>
      <c r="O1307" t="str">
        <f>IF(Inventory_Data[[#This Row],[Closing Stock]]&lt;=Inventory_Data[[#This Row],[Reorder Level]],"Low Stock","In Stock")</f>
        <v>In Stock</v>
      </c>
      <c r="P1307" t="str">
        <f>TEXT(Inventory_Data[[#This Row],[Date]],"MMM")</f>
        <v>Sep</v>
      </c>
      <c r="Q1307" t="str">
        <f>TEXT(Inventory_Data[[#This Row],[Date]],"YYYY")</f>
        <v>2025</v>
      </c>
    </row>
    <row r="1308" spans="1:17" x14ac:dyDescent="0.3">
      <c r="A1308" s="1">
        <v>45930</v>
      </c>
      <c r="B1308" t="s">
        <v>31</v>
      </c>
      <c r="C1308" t="s">
        <v>22</v>
      </c>
      <c r="D1308" t="s">
        <v>26</v>
      </c>
      <c r="E1308" t="s">
        <v>15</v>
      </c>
      <c r="F1308">
        <v>301</v>
      </c>
      <c r="G1308">
        <v>44</v>
      </c>
      <c r="H1308">
        <v>169</v>
      </c>
      <c r="I1308">
        <v>176</v>
      </c>
      <c r="J1308">
        <v>134</v>
      </c>
      <c r="K1308">
        <v>224</v>
      </c>
      <c r="L1308">
        <v>39424</v>
      </c>
      <c r="M1308">
        <f>Inventory_Data[[#This Row],[Opening Stock]]+Inventory_Data[[#This Row],[Purchase Qty]]-Inventory_Data[[#This Row],[Sales Qty]]-Inventory_Data[[#This Row],[Closing Stock]]</f>
        <v>0</v>
      </c>
      <c r="N1308">
        <f>Inventory_Data[[#This Row],[Purchase Qty]]*Inventory_Data[[#This Row],[Unit Cost]]</f>
        <v>9856</v>
      </c>
      <c r="O1308" t="str">
        <f>IF(Inventory_Data[[#This Row],[Closing Stock]]&lt;=Inventory_Data[[#This Row],[Reorder Level]],"Low Stock","In Stock")</f>
        <v>In Stock</v>
      </c>
      <c r="P1308" t="str">
        <f>TEXT(Inventory_Data[[#This Row],[Date]],"MMM")</f>
        <v>Sep</v>
      </c>
      <c r="Q1308" t="str">
        <f>TEXT(Inventory_Data[[#This Row],[Date]],"YYYY")</f>
        <v>2025</v>
      </c>
    </row>
    <row r="1309" spans="1:17" x14ac:dyDescent="0.3">
      <c r="A1309" s="1">
        <v>45930</v>
      </c>
      <c r="B1309" t="s">
        <v>43</v>
      </c>
      <c r="C1309" t="s">
        <v>22</v>
      </c>
      <c r="D1309" t="s">
        <v>23</v>
      </c>
      <c r="E1309" t="s">
        <v>29</v>
      </c>
      <c r="F1309">
        <v>374</v>
      </c>
      <c r="G1309">
        <v>137</v>
      </c>
      <c r="H1309">
        <v>148</v>
      </c>
      <c r="I1309">
        <v>363</v>
      </c>
      <c r="J1309">
        <v>64</v>
      </c>
      <c r="K1309">
        <v>881</v>
      </c>
      <c r="L1309">
        <v>319803</v>
      </c>
      <c r="M1309">
        <f>Inventory_Data[[#This Row],[Opening Stock]]+Inventory_Data[[#This Row],[Purchase Qty]]-Inventory_Data[[#This Row],[Sales Qty]]-Inventory_Data[[#This Row],[Closing Stock]]</f>
        <v>0</v>
      </c>
      <c r="N1309">
        <f>Inventory_Data[[#This Row],[Purchase Qty]]*Inventory_Data[[#This Row],[Unit Cost]]</f>
        <v>120697</v>
      </c>
      <c r="O1309" t="str">
        <f>IF(Inventory_Data[[#This Row],[Closing Stock]]&lt;=Inventory_Data[[#This Row],[Reorder Level]],"Low Stock","In Stock")</f>
        <v>In Stock</v>
      </c>
      <c r="P1309" t="str">
        <f>TEXT(Inventory_Data[[#This Row],[Date]],"MMM")</f>
        <v>Sep</v>
      </c>
      <c r="Q1309" t="str">
        <f>TEXT(Inventory_Data[[#This Row],[Date]],"YYYY")</f>
        <v>2025</v>
      </c>
    </row>
    <row r="1310" spans="1:17" x14ac:dyDescent="0.3">
      <c r="A1310" s="1">
        <v>45930</v>
      </c>
      <c r="B1310" t="s">
        <v>16</v>
      </c>
      <c r="C1310" t="s">
        <v>17</v>
      </c>
      <c r="D1310" t="s">
        <v>26</v>
      </c>
      <c r="E1310" t="s">
        <v>15</v>
      </c>
      <c r="F1310">
        <v>42</v>
      </c>
      <c r="G1310">
        <v>51</v>
      </c>
      <c r="H1310">
        <v>17</v>
      </c>
      <c r="I1310">
        <v>76</v>
      </c>
      <c r="J1310">
        <v>18</v>
      </c>
      <c r="K1310">
        <v>12472</v>
      </c>
      <c r="L1310">
        <v>947872</v>
      </c>
      <c r="M1310">
        <f>Inventory_Data[[#This Row],[Opening Stock]]+Inventory_Data[[#This Row],[Purchase Qty]]-Inventory_Data[[#This Row],[Sales Qty]]-Inventory_Data[[#This Row],[Closing Stock]]</f>
        <v>0</v>
      </c>
      <c r="N1310">
        <f>Inventory_Data[[#This Row],[Purchase Qty]]*Inventory_Data[[#This Row],[Unit Cost]]</f>
        <v>636072</v>
      </c>
      <c r="O1310" t="str">
        <f>IF(Inventory_Data[[#This Row],[Closing Stock]]&lt;=Inventory_Data[[#This Row],[Reorder Level]],"Low Stock","In Stock")</f>
        <v>In Stock</v>
      </c>
      <c r="P1310" t="str">
        <f>TEXT(Inventory_Data[[#This Row],[Date]],"MMM")</f>
        <v>Sep</v>
      </c>
      <c r="Q1310" t="str">
        <f>TEXT(Inventory_Data[[#This Row],[Date]],"YYYY")</f>
        <v>2025</v>
      </c>
    </row>
    <row r="1311" spans="1:17" x14ac:dyDescent="0.3">
      <c r="A1311" s="1">
        <v>45930</v>
      </c>
      <c r="B1311" t="s">
        <v>30</v>
      </c>
      <c r="C1311" t="s">
        <v>28</v>
      </c>
      <c r="D1311" t="s">
        <v>14</v>
      </c>
      <c r="E1311" t="s">
        <v>29</v>
      </c>
      <c r="F1311">
        <v>132</v>
      </c>
      <c r="G1311">
        <v>71</v>
      </c>
      <c r="H1311">
        <v>88</v>
      </c>
      <c r="I1311">
        <v>115</v>
      </c>
      <c r="J1311">
        <v>44</v>
      </c>
      <c r="K1311">
        <v>47759</v>
      </c>
      <c r="L1311">
        <v>5492285</v>
      </c>
      <c r="M1311">
        <f>Inventory_Data[[#This Row],[Opening Stock]]+Inventory_Data[[#This Row],[Purchase Qty]]-Inventory_Data[[#This Row],[Sales Qty]]-Inventory_Data[[#This Row],[Closing Stock]]</f>
        <v>0</v>
      </c>
      <c r="N1311">
        <f>Inventory_Data[[#This Row],[Purchase Qty]]*Inventory_Data[[#This Row],[Unit Cost]]</f>
        <v>3390889</v>
      </c>
      <c r="O1311" t="str">
        <f>IF(Inventory_Data[[#This Row],[Closing Stock]]&lt;=Inventory_Data[[#This Row],[Reorder Level]],"Low Stock","In Stock")</f>
        <v>In Stock</v>
      </c>
      <c r="P1311" t="str">
        <f>TEXT(Inventory_Data[[#This Row],[Date]],"MMM")</f>
        <v>Sep</v>
      </c>
      <c r="Q1311" t="str">
        <f>TEXT(Inventory_Data[[#This Row],[Date]],"YYYY")</f>
        <v>2025</v>
      </c>
    </row>
    <row r="1312" spans="1:17" x14ac:dyDescent="0.3">
      <c r="A1312" s="1">
        <v>45930</v>
      </c>
      <c r="B1312" t="s">
        <v>30</v>
      </c>
      <c r="C1312" t="s">
        <v>28</v>
      </c>
      <c r="D1312" t="s">
        <v>26</v>
      </c>
      <c r="E1312" t="s">
        <v>18</v>
      </c>
      <c r="F1312">
        <v>95</v>
      </c>
      <c r="G1312">
        <v>58</v>
      </c>
      <c r="H1312">
        <v>60</v>
      </c>
      <c r="I1312">
        <v>93</v>
      </c>
      <c r="J1312">
        <v>22</v>
      </c>
      <c r="K1312">
        <v>28254</v>
      </c>
      <c r="L1312">
        <v>2627622</v>
      </c>
      <c r="M1312">
        <f>Inventory_Data[[#This Row],[Opening Stock]]+Inventory_Data[[#This Row],[Purchase Qty]]-Inventory_Data[[#This Row],[Sales Qty]]-Inventory_Data[[#This Row],[Closing Stock]]</f>
        <v>0</v>
      </c>
      <c r="N1312">
        <f>Inventory_Data[[#This Row],[Purchase Qty]]*Inventory_Data[[#This Row],[Unit Cost]]</f>
        <v>1638732</v>
      </c>
      <c r="O1312" t="str">
        <f>IF(Inventory_Data[[#This Row],[Closing Stock]]&lt;=Inventory_Data[[#This Row],[Reorder Level]],"Low Stock","In Stock")</f>
        <v>In Stock</v>
      </c>
      <c r="P1312" t="str">
        <f>TEXT(Inventory_Data[[#This Row],[Date]],"MMM")</f>
        <v>Sep</v>
      </c>
      <c r="Q1312" t="str">
        <f>TEXT(Inventory_Data[[#This Row],[Date]],"YYYY")</f>
        <v>2025</v>
      </c>
    </row>
    <row r="1313" spans="1:17" x14ac:dyDescent="0.3">
      <c r="A1313" s="1">
        <v>45930</v>
      </c>
      <c r="B1313" t="s">
        <v>16</v>
      </c>
      <c r="C1313" t="s">
        <v>17</v>
      </c>
      <c r="D1313" t="s">
        <v>23</v>
      </c>
      <c r="E1313" t="s">
        <v>29</v>
      </c>
      <c r="F1313">
        <v>95</v>
      </c>
      <c r="G1313">
        <v>43</v>
      </c>
      <c r="H1313">
        <v>42</v>
      </c>
      <c r="I1313">
        <v>96</v>
      </c>
      <c r="J1313">
        <v>19</v>
      </c>
      <c r="K1313">
        <v>3213</v>
      </c>
      <c r="L1313">
        <v>308448</v>
      </c>
      <c r="M1313">
        <f>Inventory_Data[[#This Row],[Opening Stock]]+Inventory_Data[[#This Row],[Purchase Qty]]-Inventory_Data[[#This Row],[Sales Qty]]-Inventory_Data[[#This Row],[Closing Stock]]</f>
        <v>0</v>
      </c>
      <c r="N1313">
        <f>Inventory_Data[[#This Row],[Purchase Qty]]*Inventory_Data[[#This Row],[Unit Cost]]</f>
        <v>138159</v>
      </c>
      <c r="O1313" t="str">
        <f>IF(Inventory_Data[[#This Row],[Closing Stock]]&lt;=Inventory_Data[[#This Row],[Reorder Level]],"Low Stock","In Stock")</f>
        <v>In Stock</v>
      </c>
      <c r="P1313" t="str">
        <f>TEXT(Inventory_Data[[#This Row],[Date]],"MMM")</f>
        <v>Sep</v>
      </c>
      <c r="Q1313" t="str">
        <f>TEXT(Inventory_Data[[#This Row],[Date]],"YYYY")</f>
        <v>2025</v>
      </c>
    </row>
    <row r="1314" spans="1:17" x14ac:dyDescent="0.3">
      <c r="A1314" s="1">
        <v>45930</v>
      </c>
      <c r="B1314" t="s">
        <v>45</v>
      </c>
      <c r="C1314" t="s">
        <v>13</v>
      </c>
      <c r="D1314" t="s">
        <v>14</v>
      </c>
      <c r="E1314" t="s">
        <v>20</v>
      </c>
      <c r="F1314">
        <v>60</v>
      </c>
      <c r="G1314">
        <v>57</v>
      </c>
      <c r="H1314">
        <v>43</v>
      </c>
      <c r="I1314">
        <v>74</v>
      </c>
      <c r="J1314">
        <v>27</v>
      </c>
      <c r="K1314">
        <v>10019</v>
      </c>
      <c r="L1314">
        <v>741406</v>
      </c>
      <c r="M1314">
        <f>Inventory_Data[[#This Row],[Opening Stock]]+Inventory_Data[[#This Row],[Purchase Qty]]-Inventory_Data[[#This Row],[Sales Qty]]-Inventory_Data[[#This Row],[Closing Stock]]</f>
        <v>0</v>
      </c>
      <c r="N1314">
        <f>Inventory_Data[[#This Row],[Purchase Qty]]*Inventory_Data[[#This Row],[Unit Cost]]</f>
        <v>571083</v>
      </c>
      <c r="O1314" t="str">
        <f>IF(Inventory_Data[[#This Row],[Closing Stock]]&lt;=Inventory_Data[[#This Row],[Reorder Level]],"Low Stock","In Stock")</f>
        <v>In Stock</v>
      </c>
      <c r="P1314" t="str">
        <f>TEXT(Inventory_Data[[#This Row],[Date]],"MMM")</f>
        <v>Sep</v>
      </c>
      <c r="Q1314" t="str">
        <f>TEXT(Inventory_Data[[#This Row],[Date]],"YYYY")</f>
        <v>2025</v>
      </c>
    </row>
    <row r="1315" spans="1:17" x14ac:dyDescent="0.3">
      <c r="A1315" s="1">
        <v>45931</v>
      </c>
      <c r="B1315" t="s">
        <v>31</v>
      </c>
      <c r="C1315" t="s">
        <v>22</v>
      </c>
      <c r="D1315" t="s">
        <v>37</v>
      </c>
      <c r="E1315" t="s">
        <v>29</v>
      </c>
      <c r="F1315">
        <v>61</v>
      </c>
      <c r="G1315">
        <v>248</v>
      </c>
      <c r="H1315">
        <v>10</v>
      </c>
      <c r="I1315">
        <v>299</v>
      </c>
      <c r="J1315">
        <v>140</v>
      </c>
      <c r="K1315">
        <v>1154</v>
      </c>
      <c r="L1315">
        <v>345046</v>
      </c>
      <c r="M1315">
        <f>Inventory_Data[[#This Row],[Opening Stock]]+Inventory_Data[[#This Row],[Purchase Qty]]-Inventory_Data[[#This Row],[Sales Qty]]-Inventory_Data[[#This Row],[Closing Stock]]</f>
        <v>0</v>
      </c>
      <c r="N1315">
        <f>Inventory_Data[[#This Row],[Purchase Qty]]*Inventory_Data[[#This Row],[Unit Cost]]</f>
        <v>286192</v>
      </c>
      <c r="O1315" t="str">
        <f>IF(Inventory_Data[[#This Row],[Closing Stock]]&lt;=Inventory_Data[[#This Row],[Reorder Level]],"Low Stock","In Stock")</f>
        <v>In Stock</v>
      </c>
      <c r="P1315" t="str">
        <f>TEXT(Inventory_Data[[#This Row],[Date]],"MMM")</f>
        <v>Oct</v>
      </c>
      <c r="Q1315" t="str">
        <f>TEXT(Inventory_Data[[#This Row],[Date]],"YYYY")</f>
        <v>2025</v>
      </c>
    </row>
    <row r="1316" spans="1:17" x14ac:dyDescent="0.3">
      <c r="A1316" s="1">
        <v>45931</v>
      </c>
      <c r="B1316" t="s">
        <v>31</v>
      </c>
      <c r="C1316" t="s">
        <v>22</v>
      </c>
      <c r="D1316" t="s">
        <v>14</v>
      </c>
      <c r="E1316" t="s">
        <v>15</v>
      </c>
      <c r="F1316">
        <v>459</v>
      </c>
      <c r="G1316">
        <v>164</v>
      </c>
      <c r="H1316">
        <v>107</v>
      </c>
      <c r="I1316">
        <v>516</v>
      </c>
      <c r="J1316">
        <v>94</v>
      </c>
      <c r="K1316">
        <v>1026</v>
      </c>
      <c r="L1316">
        <v>529416</v>
      </c>
      <c r="M1316">
        <f>Inventory_Data[[#This Row],[Opening Stock]]+Inventory_Data[[#This Row],[Purchase Qty]]-Inventory_Data[[#This Row],[Sales Qty]]-Inventory_Data[[#This Row],[Closing Stock]]</f>
        <v>0</v>
      </c>
      <c r="N1316">
        <f>Inventory_Data[[#This Row],[Purchase Qty]]*Inventory_Data[[#This Row],[Unit Cost]]</f>
        <v>168264</v>
      </c>
      <c r="O1316" t="str">
        <f>IF(Inventory_Data[[#This Row],[Closing Stock]]&lt;=Inventory_Data[[#This Row],[Reorder Level]],"Low Stock","In Stock")</f>
        <v>In Stock</v>
      </c>
      <c r="P1316" t="str">
        <f>TEXT(Inventory_Data[[#This Row],[Date]],"MMM")</f>
        <v>Oct</v>
      </c>
      <c r="Q1316" t="str">
        <f>TEXT(Inventory_Data[[#This Row],[Date]],"YYYY")</f>
        <v>2025</v>
      </c>
    </row>
    <row r="1317" spans="1:17" x14ac:dyDescent="0.3">
      <c r="A1317" s="1">
        <v>45932</v>
      </c>
      <c r="B1317" t="s">
        <v>42</v>
      </c>
      <c r="C1317" t="s">
        <v>17</v>
      </c>
      <c r="D1317" t="s">
        <v>14</v>
      </c>
      <c r="E1317" t="s">
        <v>29</v>
      </c>
      <c r="F1317">
        <v>57</v>
      </c>
      <c r="G1317">
        <v>26</v>
      </c>
      <c r="H1317">
        <v>21</v>
      </c>
      <c r="I1317">
        <v>62</v>
      </c>
      <c r="J1317">
        <v>14</v>
      </c>
      <c r="K1317">
        <v>11931</v>
      </c>
      <c r="L1317">
        <v>739722</v>
      </c>
      <c r="M1317">
        <f>Inventory_Data[[#This Row],[Opening Stock]]+Inventory_Data[[#This Row],[Purchase Qty]]-Inventory_Data[[#This Row],[Sales Qty]]-Inventory_Data[[#This Row],[Closing Stock]]</f>
        <v>0</v>
      </c>
      <c r="N1317">
        <f>Inventory_Data[[#This Row],[Purchase Qty]]*Inventory_Data[[#This Row],[Unit Cost]]</f>
        <v>310206</v>
      </c>
      <c r="O1317" t="str">
        <f>IF(Inventory_Data[[#This Row],[Closing Stock]]&lt;=Inventory_Data[[#This Row],[Reorder Level]],"Low Stock","In Stock")</f>
        <v>In Stock</v>
      </c>
      <c r="P1317" t="str">
        <f>TEXT(Inventory_Data[[#This Row],[Date]],"MMM")</f>
        <v>Oct</v>
      </c>
      <c r="Q1317" t="str">
        <f>TEXT(Inventory_Data[[#This Row],[Date]],"YYYY")</f>
        <v>2025</v>
      </c>
    </row>
    <row r="1318" spans="1:17" x14ac:dyDescent="0.3">
      <c r="A1318" s="1">
        <v>45932</v>
      </c>
      <c r="B1318" t="s">
        <v>43</v>
      </c>
      <c r="C1318" t="s">
        <v>22</v>
      </c>
      <c r="D1318" t="s">
        <v>37</v>
      </c>
      <c r="E1318" t="s">
        <v>18</v>
      </c>
      <c r="F1318">
        <v>228</v>
      </c>
      <c r="G1318">
        <v>270</v>
      </c>
      <c r="H1318">
        <v>162</v>
      </c>
      <c r="I1318">
        <v>336</v>
      </c>
      <c r="J1318">
        <v>124</v>
      </c>
      <c r="K1318">
        <v>1147</v>
      </c>
      <c r="L1318">
        <v>385392</v>
      </c>
      <c r="M1318">
        <f>Inventory_Data[[#This Row],[Opening Stock]]+Inventory_Data[[#This Row],[Purchase Qty]]-Inventory_Data[[#This Row],[Sales Qty]]-Inventory_Data[[#This Row],[Closing Stock]]</f>
        <v>0</v>
      </c>
      <c r="N1318">
        <f>Inventory_Data[[#This Row],[Purchase Qty]]*Inventory_Data[[#This Row],[Unit Cost]]</f>
        <v>309690</v>
      </c>
      <c r="O1318" t="str">
        <f>IF(Inventory_Data[[#This Row],[Closing Stock]]&lt;=Inventory_Data[[#This Row],[Reorder Level]],"Low Stock","In Stock")</f>
        <v>In Stock</v>
      </c>
      <c r="P1318" t="str">
        <f>TEXT(Inventory_Data[[#This Row],[Date]],"MMM")</f>
        <v>Oct</v>
      </c>
      <c r="Q1318" t="str">
        <f>TEXT(Inventory_Data[[#This Row],[Date]],"YYYY")</f>
        <v>2025</v>
      </c>
    </row>
    <row r="1319" spans="1:17" x14ac:dyDescent="0.3">
      <c r="A1319" s="1">
        <v>45932</v>
      </c>
      <c r="B1319" t="s">
        <v>44</v>
      </c>
      <c r="C1319" t="s">
        <v>28</v>
      </c>
      <c r="D1319" t="s">
        <v>37</v>
      </c>
      <c r="E1319" t="s">
        <v>34</v>
      </c>
      <c r="F1319">
        <v>71</v>
      </c>
      <c r="G1319">
        <v>39</v>
      </c>
      <c r="H1319">
        <v>59</v>
      </c>
      <c r="I1319">
        <v>51</v>
      </c>
      <c r="J1319">
        <v>32</v>
      </c>
      <c r="K1319">
        <v>50989</v>
      </c>
      <c r="L1319">
        <v>2600439</v>
      </c>
      <c r="M1319">
        <f>Inventory_Data[[#This Row],[Opening Stock]]+Inventory_Data[[#This Row],[Purchase Qty]]-Inventory_Data[[#This Row],[Sales Qty]]-Inventory_Data[[#This Row],[Closing Stock]]</f>
        <v>0</v>
      </c>
      <c r="N1319">
        <f>Inventory_Data[[#This Row],[Purchase Qty]]*Inventory_Data[[#This Row],[Unit Cost]]</f>
        <v>1988571</v>
      </c>
      <c r="O1319" t="str">
        <f>IF(Inventory_Data[[#This Row],[Closing Stock]]&lt;=Inventory_Data[[#This Row],[Reorder Level]],"Low Stock","In Stock")</f>
        <v>In Stock</v>
      </c>
      <c r="P1319" t="str">
        <f>TEXT(Inventory_Data[[#This Row],[Date]],"MMM")</f>
        <v>Oct</v>
      </c>
      <c r="Q1319" t="str">
        <f>TEXT(Inventory_Data[[#This Row],[Date]],"YYYY")</f>
        <v>2025</v>
      </c>
    </row>
    <row r="1320" spans="1:17" x14ac:dyDescent="0.3">
      <c r="A1320" s="1">
        <v>45932</v>
      </c>
      <c r="B1320" t="s">
        <v>36</v>
      </c>
      <c r="C1320" t="s">
        <v>22</v>
      </c>
      <c r="D1320" t="s">
        <v>23</v>
      </c>
      <c r="E1320" t="s">
        <v>29</v>
      </c>
      <c r="F1320">
        <v>407</v>
      </c>
      <c r="G1320">
        <v>49</v>
      </c>
      <c r="H1320">
        <v>223</v>
      </c>
      <c r="I1320">
        <v>233</v>
      </c>
      <c r="J1320">
        <v>60</v>
      </c>
      <c r="K1320">
        <v>98</v>
      </c>
      <c r="L1320">
        <v>22834</v>
      </c>
      <c r="M1320">
        <f>Inventory_Data[[#This Row],[Opening Stock]]+Inventory_Data[[#This Row],[Purchase Qty]]-Inventory_Data[[#This Row],[Sales Qty]]-Inventory_Data[[#This Row],[Closing Stock]]</f>
        <v>0</v>
      </c>
      <c r="N1320">
        <f>Inventory_Data[[#This Row],[Purchase Qty]]*Inventory_Data[[#This Row],[Unit Cost]]</f>
        <v>4802</v>
      </c>
      <c r="O1320" t="str">
        <f>IF(Inventory_Data[[#This Row],[Closing Stock]]&lt;=Inventory_Data[[#This Row],[Reorder Level]],"Low Stock","In Stock")</f>
        <v>In Stock</v>
      </c>
      <c r="P1320" t="str">
        <f>TEXT(Inventory_Data[[#This Row],[Date]],"MMM")</f>
        <v>Oct</v>
      </c>
      <c r="Q1320" t="str">
        <f>TEXT(Inventory_Data[[#This Row],[Date]],"YYYY")</f>
        <v>2025</v>
      </c>
    </row>
    <row r="1321" spans="1:17" x14ac:dyDescent="0.3">
      <c r="A1321" s="1">
        <v>45933</v>
      </c>
      <c r="B1321" t="s">
        <v>32</v>
      </c>
      <c r="C1321" t="s">
        <v>28</v>
      </c>
      <c r="D1321" t="s">
        <v>23</v>
      </c>
      <c r="E1321" t="s">
        <v>24</v>
      </c>
      <c r="F1321">
        <v>54</v>
      </c>
      <c r="G1321">
        <v>62</v>
      </c>
      <c r="H1321">
        <v>51</v>
      </c>
      <c r="I1321">
        <v>65</v>
      </c>
      <c r="J1321">
        <v>30</v>
      </c>
      <c r="K1321">
        <v>28557</v>
      </c>
      <c r="L1321">
        <v>1856205</v>
      </c>
      <c r="M1321">
        <f>Inventory_Data[[#This Row],[Opening Stock]]+Inventory_Data[[#This Row],[Purchase Qty]]-Inventory_Data[[#This Row],[Sales Qty]]-Inventory_Data[[#This Row],[Closing Stock]]</f>
        <v>0</v>
      </c>
      <c r="N1321">
        <f>Inventory_Data[[#This Row],[Purchase Qty]]*Inventory_Data[[#This Row],[Unit Cost]]</f>
        <v>1770534</v>
      </c>
      <c r="O1321" t="str">
        <f>IF(Inventory_Data[[#This Row],[Closing Stock]]&lt;=Inventory_Data[[#This Row],[Reorder Level]],"Low Stock","In Stock")</f>
        <v>In Stock</v>
      </c>
      <c r="P1321" t="str">
        <f>TEXT(Inventory_Data[[#This Row],[Date]],"MMM")</f>
        <v>Oct</v>
      </c>
      <c r="Q1321" t="str">
        <f>TEXT(Inventory_Data[[#This Row],[Date]],"YYYY")</f>
        <v>2025</v>
      </c>
    </row>
    <row r="1322" spans="1:17" x14ac:dyDescent="0.3">
      <c r="A1322" s="1">
        <v>45933</v>
      </c>
      <c r="B1322" t="s">
        <v>40</v>
      </c>
      <c r="C1322" t="s">
        <v>28</v>
      </c>
      <c r="D1322" t="s">
        <v>23</v>
      </c>
      <c r="E1322" t="s">
        <v>24</v>
      </c>
      <c r="F1322">
        <v>159</v>
      </c>
      <c r="G1322">
        <v>52</v>
      </c>
      <c r="H1322">
        <v>65</v>
      </c>
      <c r="I1322">
        <v>146</v>
      </c>
      <c r="J1322">
        <v>51</v>
      </c>
      <c r="K1322">
        <v>10106</v>
      </c>
      <c r="L1322">
        <v>1475476</v>
      </c>
      <c r="M1322">
        <f>Inventory_Data[[#This Row],[Opening Stock]]+Inventory_Data[[#This Row],[Purchase Qty]]-Inventory_Data[[#This Row],[Sales Qty]]-Inventory_Data[[#This Row],[Closing Stock]]</f>
        <v>0</v>
      </c>
      <c r="N1322">
        <f>Inventory_Data[[#This Row],[Purchase Qty]]*Inventory_Data[[#This Row],[Unit Cost]]</f>
        <v>525512</v>
      </c>
      <c r="O1322" t="str">
        <f>IF(Inventory_Data[[#This Row],[Closing Stock]]&lt;=Inventory_Data[[#This Row],[Reorder Level]],"Low Stock","In Stock")</f>
        <v>In Stock</v>
      </c>
      <c r="P1322" t="str">
        <f>TEXT(Inventory_Data[[#This Row],[Date]],"MMM")</f>
        <v>Oct</v>
      </c>
      <c r="Q1322" t="str">
        <f>TEXT(Inventory_Data[[#This Row],[Date]],"YYYY")</f>
        <v>2025</v>
      </c>
    </row>
    <row r="1323" spans="1:17" x14ac:dyDescent="0.3">
      <c r="A1323" s="1">
        <v>45933</v>
      </c>
      <c r="B1323" t="s">
        <v>42</v>
      </c>
      <c r="C1323" t="s">
        <v>17</v>
      </c>
      <c r="D1323" t="s">
        <v>14</v>
      </c>
      <c r="E1323" t="s">
        <v>20</v>
      </c>
      <c r="F1323">
        <v>17</v>
      </c>
      <c r="G1323">
        <v>47</v>
      </c>
      <c r="H1323">
        <v>13</v>
      </c>
      <c r="I1323">
        <v>51</v>
      </c>
      <c r="J1323">
        <v>29</v>
      </c>
      <c r="K1323">
        <v>24540</v>
      </c>
      <c r="L1323">
        <v>1251540</v>
      </c>
      <c r="M1323">
        <f>Inventory_Data[[#This Row],[Opening Stock]]+Inventory_Data[[#This Row],[Purchase Qty]]-Inventory_Data[[#This Row],[Sales Qty]]-Inventory_Data[[#This Row],[Closing Stock]]</f>
        <v>0</v>
      </c>
      <c r="N1323">
        <f>Inventory_Data[[#This Row],[Purchase Qty]]*Inventory_Data[[#This Row],[Unit Cost]]</f>
        <v>1153380</v>
      </c>
      <c r="O1323" t="str">
        <f>IF(Inventory_Data[[#This Row],[Closing Stock]]&lt;=Inventory_Data[[#This Row],[Reorder Level]],"Low Stock","In Stock")</f>
        <v>In Stock</v>
      </c>
      <c r="P1323" t="str">
        <f>TEXT(Inventory_Data[[#This Row],[Date]],"MMM")</f>
        <v>Oct</v>
      </c>
      <c r="Q1323" t="str">
        <f>TEXT(Inventory_Data[[#This Row],[Date]],"YYYY")</f>
        <v>2025</v>
      </c>
    </row>
    <row r="1324" spans="1:17" x14ac:dyDescent="0.3">
      <c r="A1324" s="1">
        <v>45934</v>
      </c>
      <c r="B1324" t="s">
        <v>42</v>
      </c>
      <c r="C1324" t="s">
        <v>17</v>
      </c>
      <c r="D1324" t="s">
        <v>37</v>
      </c>
      <c r="E1324" t="s">
        <v>15</v>
      </c>
      <c r="F1324">
        <v>52</v>
      </c>
      <c r="G1324">
        <v>35</v>
      </c>
      <c r="H1324">
        <v>22</v>
      </c>
      <c r="I1324">
        <v>65</v>
      </c>
      <c r="J1324">
        <v>18</v>
      </c>
      <c r="K1324">
        <v>13045</v>
      </c>
      <c r="L1324">
        <v>847925</v>
      </c>
      <c r="M1324">
        <f>Inventory_Data[[#This Row],[Opening Stock]]+Inventory_Data[[#This Row],[Purchase Qty]]-Inventory_Data[[#This Row],[Sales Qty]]-Inventory_Data[[#This Row],[Closing Stock]]</f>
        <v>0</v>
      </c>
      <c r="N1324">
        <f>Inventory_Data[[#This Row],[Purchase Qty]]*Inventory_Data[[#This Row],[Unit Cost]]</f>
        <v>456575</v>
      </c>
      <c r="O1324" t="str">
        <f>IF(Inventory_Data[[#This Row],[Closing Stock]]&lt;=Inventory_Data[[#This Row],[Reorder Level]],"Low Stock","In Stock")</f>
        <v>In Stock</v>
      </c>
      <c r="P1324" t="str">
        <f>TEXT(Inventory_Data[[#This Row],[Date]],"MMM")</f>
        <v>Oct</v>
      </c>
      <c r="Q1324" t="str">
        <f>TEXT(Inventory_Data[[#This Row],[Date]],"YYYY")</f>
        <v>2025</v>
      </c>
    </row>
    <row r="1325" spans="1:17" x14ac:dyDescent="0.3">
      <c r="A1325" s="1">
        <v>45934</v>
      </c>
      <c r="B1325" t="s">
        <v>42</v>
      </c>
      <c r="C1325" t="s">
        <v>17</v>
      </c>
      <c r="D1325" t="s">
        <v>23</v>
      </c>
      <c r="E1325" t="s">
        <v>18</v>
      </c>
      <c r="F1325">
        <v>31</v>
      </c>
      <c r="G1325">
        <v>58</v>
      </c>
      <c r="H1325">
        <v>5</v>
      </c>
      <c r="I1325">
        <v>84</v>
      </c>
      <c r="J1325">
        <v>28</v>
      </c>
      <c r="K1325">
        <v>15388</v>
      </c>
      <c r="L1325">
        <v>1292592</v>
      </c>
      <c r="M1325">
        <f>Inventory_Data[[#This Row],[Opening Stock]]+Inventory_Data[[#This Row],[Purchase Qty]]-Inventory_Data[[#This Row],[Sales Qty]]-Inventory_Data[[#This Row],[Closing Stock]]</f>
        <v>0</v>
      </c>
      <c r="N1325">
        <f>Inventory_Data[[#This Row],[Purchase Qty]]*Inventory_Data[[#This Row],[Unit Cost]]</f>
        <v>892504</v>
      </c>
      <c r="O1325" t="str">
        <f>IF(Inventory_Data[[#This Row],[Closing Stock]]&lt;=Inventory_Data[[#This Row],[Reorder Level]],"Low Stock","In Stock")</f>
        <v>In Stock</v>
      </c>
      <c r="P1325" t="str">
        <f>TEXT(Inventory_Data[[#This Row],[Date]],"MMM")</f>
        <v>Oct</v>
      </c>
      <c r="Q1325" t="str">
        <f>TEXT(Inventory_Data[[#This Row],[Date]],"YYYY")</f>
        <v>2025</v>
      </c>
    </row>
    <row r="1326" spans="1:17" x14ac:dyDescent="0.3">
      <c r="A1326" s="1">
        <v>45934</v>
      </c>
      <c r="B1326" t="s">
        <v>40</v>
      </c>
      <c r="C1326" t="s">
        <v>28</v>
      </c>
      <c r="D1326" t="s">
        <v>37</v>
      </c>
      <c r="E1326" t="s">
        <v>20</v>
      </c>
      <c r="F1326">
        <v>43</v>
      </c>
      <c r="G1326">
        <v>111</v>
      </c>
      <c r="H1326">
        <v>8</v>
      </c>
      <c r="I1326">
        <v>146</v>
      </c>
      <c r="J1326">
        <v>54</v>
      </c>
      <c r="K1326">
        <v>17335</v>
      </c>
      <c r="L1326">
        <v>2530910</v>
      </c>
      <c r="M1326">
        <f>Inventory_Data[[#This Row],[Opening Stock]]+Inventory_Data[[#This Row],[Purchase Qty]]-Inventory_Data[[#This Row],[Sales Qty]]-Inventory_Data[[#This Row],[Closing Stock]]</f>
        <v>0</v>
      </c>
      <c r="N1326">
        <f>Inventory_Data[[#This Row],[Purchase Qty]]*Inventory_Data[[#This Row],[Unit Cost]]</f>
        <v>1924185</v>
      </c>
      <c r="O1326" t="str">
        <f>IF(Inventory_Data[[#This Row],[Closing Stock]]&lt;=Inventory_Data[[#This Row],[Reorder Level]],"Low Stock","In Stock")</f>
        <v>In Stock</v>
      </c>
      <c r="P1326" t="str">
        <f>TEXT(Inventory_Data[[#This Row],[Date]],"MMM")</f>
        <v>Oct</v>
      </c>
      <c r="Q1326" t="str">
        <f>TEXT(Inventory_Data[[#This Row],[Date]],"YYYY")</f>
        <v>2025</v>
      </c>
    </row>
    <row r="1327" spans="1:17" x14ac:dyDescent="0.3">
      <c r="A1327" s="1">
        <v>45934</v>
      </c>
      <c r="B1327" t="s">
        <v>25</v>
      </c>
      <c r="C1327" t="s">
        <v>17</v>
      </c>
      <c r="D1327" t="s">
        <v>26</v>
      </c>
      <c r="E1327" t="s">
        <v>29</v>
      </c>
      <c r="F1327">
        <v>89</v>
      </c>
      <c r="G1327">
        <v>16</v>
      </c>
      <c r="H1327">
        <v>3</v>
      </c>
      <c r="I1327">
        <v>102</v>
      </c>
      <c r="J1327">
        <v>12</v>
      </c>
      <c r="K1327">
        <v>13444</v>
      </c>
      <c r="L1327">
        <v>1371288</v>
      </c>
      <c r="M1327">
        <f>Inventory_Data[[#This Row],[Opening Stock]]+Inventory_Data[[#This Row],[Purchase Qty]]-Inventory_Data[[#This Row],[Sales Qty]]-Inventory_Data[[#This Row],[Closing Stock]]</f>
        <v>0</v>
      </c>
      <c r="N1327">
        <f>Inventory_Data[[#This Row],[Purchase Qty]]*Inventory_Data[[#This Row],[Unit Cost]]</f>
        <v>215104</v>
      </c>
      <c r="O1327" t="str">
        <f>IF(Inventory_Data[[#This Row],[Closing Stock]]&lt;=Inventory_Data[[#This Row],[Reorder Level]],"Low Stock","In Stock")</f>
        <v>In Stock</v>
      </c>
      <c r="P1327" t="str">
        <f>TEXT(Inventory_Data[[#This Row],[Date]],"MMM")</f>
        <v>Oct</v>
      </c>
      <c r="Q1327" t="str">
        <f>TEXT(Inventory_Data[[#This Row],[Date]],"YYYY")</f>
        <v>2025</v>
      </c>
    </row>
    <row r="1328" spans="1:17" x14ac:dyDescent="0.3">
      <c r="A1328" s="1">
        <v>45934</v>
      </c>
      <c r="B1328" t="s">
        <v>21</v>
      </c>
      <c r="C1328" t="s">
        <v>22</v>
      </c>
      <c r="D1328" t="s">
        <v>23</v>
      </c>
      <c r="E1328" t="s">
        <v>24</v>
      </c>
      <c r="F1328">
        <v>115</v>
      </c>
      <c r="G1328">
        <v>165</v>
      </c>
      <c r="H1328">
        <v>243</v>
      </c>
      <c r="I1328">
        <v>37</v>
      </c>
      <c r="J1328">
        <v>92</v>
      </c>
      <c r="K1328">
        <v>919</v>
      </c>
      <c r="L1328">
        <v>34003</v>
      </c>
      <c r="M1328">
        <f>Inventory_Data[[#This Row],[Opening Stock]]+Inventory_Data[[#This Row],[Purchase Qty]]-Inventory_Data[[#This Row],[Sales Qty]]-Inventory_Data[[#This Row],[Closing Stock]]</f>
        <v>0</v>
      </c>
      <c r="N1328">
        <f>Inventory_Data[[#This Row],[Purchase Qty]]*Inventory_Data[[#This Row],[Unit Cost]]</f>
        <v>151635</v>
      </c>
      <c r="O1328" t="str">
        <f>IF(Inventory_Data[[#This Row],[Closing Stock]]&lt;=Inventory_Data[[#This Row],[Reorder Level]],"Low Stock","In Stock")</f>
        <v>Low Stock</v>
      </c>
      <c r="P1328" t="str">
        <f>TEXT(Inventory_Data[[#This Row],[Date]],"MMM")</f>
        <v>Oct</v>
      </c>
      <c r="Q1328" t="str">
        <f>TEXT(Inventory_Data[[#This Row],[Date]],"YYYY")</f>
        <v>2025</v>
      </c>
    </row>
    <row r="1329" spans="1:17" x14ac:dyDescent="0.3">
      <c r="A1329" s="1">
        <v>45935</v>
      </c>
      <c r="B1329" t="s">
        <v>21</v>
      </c>
      <c r="C1329" t="s">
        <v>22</v>
      </c>
      <c r="D1329" t="s">
        <v>23</v>
      </c>
      <c r="E1329" t="s">
        <v>15</v>
      </c>
      <c r="F1329">
        <v>67</v>
      </c>
      <c r="G1329">
        <v>41</v>
      </c>
      <c r="H1329">
        <v>108</v>
      </c>
      <c r="I1329">
        <v>0</v>
      </c>
      <c r="J1329">
        <v>143</v>
      </c>
      <c r="K1329">
        <v>142</v>
      </c>
      <c r="L1329">
        <v>0</v>
      </c>
      <c r="M1329">
        <f>Inventory_Data[[#This Row],[Opening Stock]]+Inventory_Data[[#This Row],[Purchase Qty]]-Inventory_Data[[#This Row],[Sales Qty]]-Inventory_Data[[#This Row],[Closing Stock]]</f>
        <v>0</v>
      </c>
      <c r="N1329">
        <f>Inventory_Data[[#This Row],[Purchase Qty]]*Inventory_Data[[#This Row],[Unit Cost]]</f>
        <v>5822</v>
      </c>
      <c r="O1329" t="str">
        <f>IF(Inventory_Data[[#This Row],[Closing Stock]]&lt;=Inventory_Data[[#This Row],[Reorder Level]],"Low Stock","In Stock")</f>
        <v>Low Stock</v>
      </c>
      <c r="P1329" t="str">
        <f>TEXT(Inventory_Data[[#This Row],[Date]],"MMM")</f>
        <v>Oct</v>
      </c>
      <c r="Q1329" t="str">
        <f>TEXT(Inventory_Data[[#This Row],[Date]],"YYYY")</f>
        <v>2025</v>
      </c>
    </row>
    <row r="1330" spans="1:17" x14ac:dyDescent="0.3">
      <c r="A1330" s="1">
        <v>45935</v>
      </c>
      <c r="B1330" t="s">
        <v>38</v>
      </c>
      <c r="C1330" t="s">
        <v>17</v>
      </c>
      <c r="D1330" t="s">
        <v>14</v>
      </c>
      <c r="E1330" t="s">
        <v>29</v>
      </c>
      <c r="F1330">
        <v>13</v>
      </c>
      <c r="G1330">
        <v>30</v>
      </c>
      <c r="H1330">
        <v>30</v>
      </c>
      <c r="I1330">
        <v>13</v>
      </c>
      <c r="J1330">
        <v>11</v>
      </c>
      <c r="K1330">
        <v>12872</v>
      </c>
      <c r="L1330">
        <v>167336</v>
      </c>
      <c r="M1330">
        <f>Inventory_Data[[#This Row],[Opening Stock]]+Inventory_Data[[#This Row],[Purchase Qty]]-Inventory_Data[[#This Row],[Sales Qty]]-Inventory_Data[[#This Row],[Closing Stock]]</f>
        <v>0</v>
      </c>
      <c r="N1330">
        <f>Inventory_Data[[#This Row],[Purchase Qty]]*Inventory_Data[[#This Row],[Unit Cost]]</f>
        <v>386160</v>
      </c>
      <c r="O1330" t="str">
        <f>IF(Inventory_Data[[#This Row],[Closing Stock]]&lt;=Inventory_Data[[#This Row],[Reorder Level]],"Low Stock","In Stock")</f>
        <v>In Stock</v>
      </c>
      <c r="P1330" t="str">
        <f>TEXT(Inventory_Data[[#This Row],[Date]],"MMM")</f>
        <v>Oct</v>
      </c>
      <c r="Q1330" t="str">
        <f>TEXT(Inventory_Data[[#This Row],[Date]],"YYYY")</f>
        <v>2025</v>
      </c>
    </row>
    <row r="1331" spans="1:17" x14ac:dyDescent="0.3">
      <c r="A1331" s="1">
        <v>45936</v>
      </c>
      <c r="B1331" t="s">
        <v>27</v>
      </c>
      <c r="C1331" t="s">
        <v>28</v>
      </c>
      <c r="D1331" t="s">
        <v>23</v>
      </c>
      <c r="E1331" t="s">
        <v>20</v>
      </c>
      <c r="F1331">
        <v>46</v>
      </c>
      <c r="G1331">
        <v>104</v>
      </c>
      <c r="H1331">
        <v>11</v>
      </c>
      <c r="I1331">
        <v>139</v>
      </c>
      <c r="J1331">
        <v>23</v>
      </c>
      <c r="K1331">
        <v>7248</v>
      </c>
      <c r="L1331">
        <v>1007472</v>
      </c>
      <c r="M1331">
        <f>Inventory_Data[[#This Row],[Opening Stock]]+Inventory_Data[[#This Row],[Purchase Qty]]-Inventory_Data[[#This Row],[Sales Qty]]-Inventory_Data[[#This Row],[Closing Stock]]</f>
        <v>0</v>
      </c>
      <c r="N1331">
        <f>Inventory_Data[[#This Row],[Purchase Qty]]*Inventory_Data[[#This Row],[Unit Cost]]</f>
        <v>753792</v>
      </c>
      <c r="O1331" t="str">
        <f>IF(Inventory_Data[[#This Row],[Closing Stock]]&lt;=Inventory_Data[[#This Row],[Reorder Level]],"Low Stock","In Stock")</f>
        <v>In Stock</v>
      </c>
      <c r="P1331" t="str">
        <f>TEXT(Inventory_Data[[#This Row],[Date]],"MMM")</f>
        <v>Oct</v>
      </c>
      <c r="Q1331" t="str">
        <f>TEXT(Inventory_Data[[#This Row],[Date]],"YYYY")</f>
        <v>2025</v>
      </c>
    </row>
    <row r="1332" spans="1:17" x14ac:dyDescent="0.3">
      <c r="A1332" s="1">
        <v>45936</v>
      </c>
      <c r="B1332" t="s">
        <v>31</v>
      </c>
      <c r="C1332" t="s">
        <v>22</v>
      </c>
      <c r="D1332" t="s">
        <v>26</v>
      </c>
      <c r="E1332" t="s">
        <v>34</v>
      </c>
      <c r="F1332">
        <v>431</v>
      </c>
      <c r="G1332">
        <v>42</v>
      </c>
      <c r="H1332">
        <v>53</v>
      </c>
      <c r="I1332">
        <v>420</v>
      </c>
      <c r="J1332">
        <v>75</v>
      </c>
      <c r="K1332">
        <v>179</v>
      </c>
      <c r="L1332">
        <v>75180</v>
      </c>
      <c r="M1332">
        <f>Inventory_Data[[#This Row],[Opening Stock]]+Inventory_Data[[#This Row],[Purchase Qty]]-Inventory_Data[[#This Row],[Sales Qty]]-Inventory_Data[[#This Row],[Closing Stock]]</f>
        <v>0</v>
      </c>
      <c r="N1332">
        <f>Inventory_Data[[#This Row],[Purchase Qty]]*Inventory_Data[[#This Row],[Unit Cost]]</f>
        <v>7518</v>
      </c>
      <c r="O1332" t="str">
        <f>IF(Inventory_Data[[#This Row],[Closing Stock]]&lt;=Inventory_Data[[#This Row],[Reorder Level]],"Low Stock","In Stock")</f>
        <v>In Stock</v>
      </c>
      <c r="P1332" t="str">
        <f>TEXT(Inventory_Data[[#This Row],[Date]],"MMM")</f>
        <v>Oct</v>
      </c>
      <c r="Q1332" t="str">
        <f>TEXT(Inventory_Data[[#This Row],[Date]],"YYYY")</f>
        <v>2025</v>
      </c>
    </row>
    <row r="1333" spans="1:17" x14ac:dyDescent="0.3">
      <c r="A1333" s="1">
        <v>45937</v>
      </c>
      <c r="B1333" t="s">
        <v>33</v>
      </c>
      <c r="C1333" t="s">
        <v>13</v>
      </c>
      <c r="D1333" t="s">
        <v>26</v>
      </c>
      <c r="E1333" t="s">
        <v>34</v>
      </c>
      <c r="F1333">
        <v>22</v>
      </c>
      <c r="G1333">
        <v>57</v>
      </c>
      <c r="H1333">
        <v>10</v>
      </c>
      <c r="I1333">
        <v>69</v>
      </c>
      <c r="J1333">
        <v>18</v>
      </c>
      <c r="K1333">
        <v>8342</v>
      </c>
      <c r="L1333">
        <v>575598</v>
      </c>
      <c r="M1333">
        <f>Inventory_Data[[#This Row],[Opening Stock]]+Inventory_Data[[#This Row],[Purchase Qty]]-Inventory_Data[[#This Row],[Sales Qty]]-Inventory_Data[[#This Row],[Closing Stock]]</f>
        <v>0</v>
      </c>
      <c r="N1333">
        <f>Inventory_Data[[#This Row],[Purchase Qty]]*Inventory_Data[[#This Row],[Unit Cost]]</f>
        <v>475494</v>
      </c>
      <c r="O1333" t="str">
        <f>IF(Inventory_Data[[#This Row],[Closing Stock]]&lt;=Inventory_Data[[#This Row],[Reorder Level]],"Low Stock","In Stock")</f>
        <v>In Stock</v>
      </c>
      <c r="P1333" t="str">
        <f>TEXT(Inventory_Data[[#This Row],[Date]],"MMM")</f>
        <v>Oct</v>
      </c>
      <c r="Q1333" t="str">
        <f>TEXT(Inventory_Data[[#This Row],[Date]],"YYYY")</f>
        <v>2025</v>
      </c>
    </row>
    <row r="1334" spans="1:17" x14ac:dyDescent="0.3">
      <c r="A1334" s="1">
        <v>45938</v>
      </c>
      <c r="B1334" t="s">
        <v>45</v>
      </c>
      <c r="C1334" t="s">
        <v>13</v>
      </c>
      <c r="D1334" t="s">
        <v>26</v>
      </c>
      <c r="E1334" t="s">
        <v>34</v>
      </c>
      <c r="F1334">
        <v>58</v>
      </c>
      <c r="G1334">
        <v>62</v>
      </c>
      <c r="H1334">
        <v>27</v>
      </c>
      <c r="I1334">
        <v>93</v>
      </c>
      <c r="J1334">
        <v>38</v>
      </c>
      <c r="K1334">
        <v>5272</v>
      </c>
      <c r="L1334">
        <v>490296</v>
      </c>
      <c r="M1334">
        <f>Inventory_Data[[#This Row],[Opening Stock]]+Inventory_Data[[#This Row],[Purchase Qty]]-Inventory_Data[[#This Row],[Sales Qty]]-Inventory_Data[[#This Row],[Closing Stock]]</f>
        <v>0</v>
      </c>
      <c r="N1334">
        <f>Inventory_Data[[#This Row],[Purchase Qty]]*Inventory_Data[[#This Row],[Unit Cost]]</f>
        <v>326864</v>
      </c>
      <c r="O1334" t="str">
        <f>IF(Inventory_Data[[#This Row],[Closing Stock]]&lt;=Inventory_Data[[#This Row],[Reorder Level]],"Low Stock","In Stock")</f>
        <v>In Stock</v>
      </c>
      <c r="P1334" t="str">
        <f>TEXT(Inventory_Data[[#This Row],[Date]],"MMM")</f>
        <v>Oct</v>
      </c>
      <c r="Q1334" t="str">
        <f>TEXT(Inventory_Data[[#This Row],[Date]],"YYYY")</f>
        <v>2025</v>
      </c>
    </row>
    <row r="1335" spans="1:17" x14ac:dyDescent="0.3">
      <c r="A1335" s="1">
        <v>45938</v>
      </c>
      <c r="B1335" t="s">
        <v>40</v>
      </c>
      <c r="C1335" t="s">
        <v>28</v>
      </c>
      <c r="D1335" t="s">
        <v>23</v>
      </c>
      <c r="E1335" t="s">
        <v>15</v>
      </c>
      <c r="F1335">
        <v>79</v>
      </c>
      <c r="G1335">
        <v>56</v>
      </c>
      <c r="H1335">
        <v>44</v>
      </c>
      <c r="I1335">
        <v>91</v>
      </c>
      <c r="J1335">
        <v>42</v>
      </c>
      <c r="K1335">
        <v>33062</v>
      </c>
      <c r="L1335">
        <v>3008642</v>
      </c>
      <c r="M1335">
        <f>Inventory_Data[[#This Row],[Opening Stock]]+Inventory_Data[[#This Row],[Purchase Qty]]-Inventory_Data[[#This Row],[Sales Qty]]-Inventory_Data[[#This Row],[Closing Stock]]</f>
        <v>0</v>
      </c>
      <c r="N1335">
        <f>Inventory_Data[[#This Row],[Purchase Qty]]*Inventory_Data[[#This Row],[Unit Cost]]</f>
        <v>1851472</v>
      </c>
      <c r="O1335" t="str">
        <f>IF(Inventory_Data[[#This Row],[Closing Stock]]&lt;=Inventory_Data[[#This Row],[Reorder Level]],"Low Stock","In Stock")</f>
        <v>In Stock</v>
      </c>
      <c r="P1335" t="str">
        <f>TEXT(Inventory_Data[[#This Row],[Date]],"MMM")</f>
        <v>Oct</v>
      </c>
      <c r="Q1335" t="str">
        <f>TEXT(Inventory_Data[[#This Row],[Date]],"YYYY")</f>
        <v>2025</v>
      </c>
    </row>
    <row r="1336" spans="1:17" x14ac:dyDescent="0.3">
      <c r="A1336" s="1">
        <v>45938</v>
      </c>
      <c r="B1336" t="s">
        <v>38</v>
      </c>
      <c r="C1336" t="s">
        <v>17</v>
      </c>
      <c r="D1336" t="s">
        <v>23</v>
      </c>
      <c r="E1336" t="s">
        <v>15</v>
      </c>
      <c r="F1336">
        <v>15</v>
      </c>
      <c r="G1336">
        <v>59</v>
      </c>
      <c r="H1336">
        <v>35</v>
      </c>
      <c r="I1336">
        <v>39</v>
      </c>
      <c r="J1336">
        <v>18</v>
      </c>
      <c r="K1336">
        <v>4762</v>
      </c>
      <c r="L1336">
        <v>185718</v>
      </c>
      <c r="M1336">
        <f>Inventory_Data[[#This Row],[Opening Stock]]+Inventory_Data[[#This Row],[Purchase Qty]]-Inventory_Data[[#This Row],[Sales Qty]]-Inventory_Data[[#This Row],[Closing Stock]]</f>
        <v>0</v>
      </c>
      <c r="N1336">
        <f>Inventory_Data[[#This Row],[Purchase Qty]]*Inventory_Data[[#This Row],[Unit Cost]]</f>
        <v>280958</v>
      </c>
      <c r="O1336" t="str">
        <f>IF(Inventory_Data[[#This Row],[Closing Stock]]&lt;=Inventory_Data[[#This Row],[Reorder Level]],"Low Stock","In Stock")</f>
        <v>In Stock</v>
      </c>
      <c r="P1336" t="str">
        <f>TEXT(Inventory_Data[[#This Row],[Date]],"MMM")</f>
        <v>Oct</v>
      </c>
      <c r="Q1336" t="str">
        <f>TEXT(Inventory_Data[[#This Row],[Date]],"YYYY")</f>
        <v>2025</v>
      </c>
    </row>
    <row r="1337" spans="1:17" x14ac:dyDescent="0.3">
      <c r="A1337" s="1">
        <v>45938</v>
      </c>
      <c r="B1337" t="s">
        <v>33</v>
      </c>
      <c r="C1337" t="s">
        <v>13</v>
      </c>
      <c r="D1337" t="s">
        <v>14</v>
      </c>
      <c r="E1337" t="s">
        <v>15</v>
      </c>
      <c r="F1337">
        <v>48</v>
      </c>
      <c r="G1337">
        <v>77</v>
      </c>
      <c r="H1337">
        <v>11</v>
      </c>
      <c r="I1337">
        <v>114</v>
      </c>
      <c r="J1337">
        <v>25</v>
      </c>
      <c r="K1337">
        <v>8717</v>
      </c>
      <c r="L1337">
        <v>993738</v>
      </c>
      <c r="M1337">
        <f>Inventory_Data[[#This Row],[Opening Stock]]+Inventory_Data[[#This Row],[Purchase Qty]]-Inventory_Data[[#This Row],[Sales Qty]]-Inventory_Data[[#This Row],[Closing Stock]]</f>
        <v>0</v>
      </c>
      <c r="N1337">
        <f>Inventory_Data[[#This Row],[Purchase Qty]]*Inventory_Data[[#This Row],[Unit Cost]]</f>
        <v>671209</v>
      </c>
      <c r="O1337" t="str">
        <f>IF(Inventory_Data[[#This Row],[Closing Stock]]&lt;=Inventory_Data[[#This Row],[Reorder Level]],"Low Stock","In Stock")</f>
        <v>In Stock</v>
      </c>
      <c r="P1337" t="str">
        <f>TEXT(Inventory_Data[[#This Row],[Date]],"MMM")</f>
        <v>Oct</v>
      </c>
      <c r="Q1337" t="str">
        <f>TEXT(Inventory_Data[[#This Row],[Date]],"YYYY")</f>
        <v>2025</v>
      </c>
    </row>
    <row r="1338" spans="1:17" x14ac:dyDescent="0.3">
      <c r="A1338" s="1">
        <v>45938</v>
      </c>
      <c r="B1338" t="s">
        <v>19</v>
      </c>
      <c r="C1338" t="s">
        <v>13</v>
      </c>
      <c r="D1338" t="s">
        <v>14</v>
      </c>
      <c r="E1338" t="s">
        <v>15</v>
      </c>
      <c r="F1338">
        <v>84</v>
      </c>
      <c r="G1338">
        <v>67</v>
      </c>
      <c r="H1338">
        <v>38</v>
      </c>
      <c r="I1338">
        <v>113</v>
      </c>
      <c r="J1338">
        <v>36</v>
      </c>
      <c r="K1338">
        <v>4669</v>
      </c>
      <c r="L1338">
        <v>527597</v>
      </c>
      <c r="M1338">
        <f>Inventory_Data[[#This Row],[Opening Stock]]+Inventory_Data[[#This Row],[Purchase Qty]]-Inventory_Data[[#This Row],[Sales Qty]]-Inventory_Data[[#This Row],[Closing Stock]]</f>
        <v>0</v>
      </c>
      <c r="N1338">
        <f>Inventory_Data[[#This Row],[Purchase Qty]]*Inventory_Data[[#This Row],[Unit Cost]]</f>
        <v>312823</v>
      </c>
      <c r="O1338" t="str">
        <f>IF(Inventory_Data[[#This Row],[Closing Stock]]&lt;=Inventory_Data[[#This Row],[Reorder Level]],"Low Stock","In Stock")</f>
        <v>In Stock</v>
      </c>
      <c r="P1338" t="str">
        <f>TEXT(Inventory_Data[[#This Row],[Date]],"MMM")</f>
        <v>Oct</v>
      </c>
      <c r="Q1338" t="str">
        <f>TEXT(Inventory_Data[[#This Row],[Date]],"YYYY")</f>
        <v>2025</v>
      </c>
    </row>
    <row r="1339" spans="1:17" x14ac:dyDescent="0.3">
      <c r="A1339" s="1">
        <v>45938</v>
      </c>
      <c r="B1339" t="s">
        <v>44</v>
      </c>
      <c r="C1339" t="s">
        <v>28</v>
      </c>
      <c r="D1339" t="s">
        <v>14</v>
      </c>
      <c r="E1339" t="s">
        <v>34</v>
      </c>
      <c r="F1339">
        <v>161</v>
      </c>
      <c r="G1339">
        <v>47</v>
      </c>
      <c r="H1339">
        <v>42</v>
      </c>
      <c r="I1339">
        <v>166</v>
      </c>
      <c r="J1339">
        <v>37</v>
      </c>
      <c r="K1339">
        <v>49699</v>
      </c>
      <c r="L1339">
        <v>8250034</v>
      </c>
      <c r="M1339">
        <f>Inventory_Data[[#This Row],[Opening Stock]]+Inventory_Data[[#This Row],[Purchase Qty]]-Inventory_Data[[#This Row],[Sales Qty]]-Inventory_Data[[#This Row],[Closing Stock]]</f>
        <v>0</v>
      </c>
      <c r="N1339">
        <f>Inventory_Data[[#This Row],[Purchase Qty]]*Inventory_Data[[#This Row],[Unit Cost]]</f>
        <v>2335853</v>
      </c>
      <c r="O1339" t="str">
        <f>IF(Inventory_Data[[#This Row],[Closing Stock]]&lt;=Inventory_Data[[#This Row],[Reorder Level]],"Low Stock","In Stock")</f>
        <v>In Stock</v>
      </c>
      <c r="P1339" t="str">
        <f>TEXT(Inventory_Data[[#This Row],[Date]],"MMM")</f>
        <v>Oct</v>
      </c>
      <c r="Q1339" t="str">
        <f>TEXT(Inventory_Data[[#This Row],[Date]],"YYYY")</f>
        <v>2025</v>
      </c>
    </row>
    <row r="1340" spans="1:17" x14ac:dyDescent="0.3">
      <c r="A1340" s="1">
        <v>45938</v>
      </c>
      <c r="B1340" t="s">
        <v>40</v>
      </c>
      <c r="C1340" t="s">
        <v>28</v>
      </c>
      <c r="D1340" t="s">
        <v>37</v>
      </c>
      <c r="E1340" t="s">
        <v>20</v>
      </c>
      <c r="F1340">
        <v>118</v>
      </c>
      <c r="G1340">
        <v>74</v>
      </c>
      <c r="H1340">
        <v>9</v>
      </c>
      <c r="I1340">
        <v>183</v>
      </c>
      <c r="J1340">
        <v>27</v>
      </c>
      <c r="K1340">
        <v>17632</v>
      </c>
      <c r="L1340">
        <v>3226656</v>
      </c>
      <c r="M1340">
        <f>Inventory_Data[[#This Row],[Opening Stock]]+Inventory_Data[[#This Row],[Purchase Qty]]-Inventory_Data[[#This Row],[Sales Qty]]-Inventory_Data[[#This Row],[Closing Stock]]</f>
        <v>0</v>
      </c>
      <c r="N1340">
        <f>Inventory_Data[[#This Row],[Purchase Qty]]*Inventory_Data[[#This Row],[Unit Cost]]</f>
        <v>1304768</v>
      </c>
      <c r="O1340" t="str">
        <f>IF(Inventory_Data[[#This Row],[Closing Stock]]&lt;=Inventory_Data[[#This Row],[Reorder Level]],"Low Stock","In Stock")</f>
        <v>In Stock</v>
      </c>
      <c r="P1340" t="str">
        <f>TEXT(Inventory_Data[[#This Row],[Date]],"MMM")</f>
        <v>Oct</v>
      </c>
      <c r="Q1340" t="str">
        <f>TEXT(Inventory_Data[[#This Row],[Date]],"YYYY")</f>
        <v>2025</v>
      </c>
    </row>
    <row r="1341" spans="1:17" x14ac:dyDescent="0.3">
      <c r="A1341" s="1">
        <v>45938</v>
      </c>
      <c r="B1341" t="s">
        <v>31</v>
      </c>
      <c r="C1341" t="s">
        <v>22</v>
      </c>
      <c r="D1341" t="s">
        <v>37</v>
      </c>
      <c r="E1341" t="s">
        <v>15</v>
      </c>
      <c r="F1341">
        <v>473</v>
      </c>
      <c r="G1341">
        <v>299</v>
      </c>
      <c r="H1341">
        <v>163</v>
      </c>
      <c r="I1341">
        <v>609</v>
      </c>
      <c r="J1341">
        <v>136</v>
      </c>
      <c r="K1341">
        <v>633</v>
      </c>
      <c r="L1341">
        <v>385497</v>
      </c>
      <c r="M1341">
        <f>Inventory_Data[[#This Row],[Opening Stock]]+Inventory_Data[[#This Row],[Purchase Qty]]-Inventory_Data[[#This Row],[Sales Qty]]-Inventory_Data[[#This Row],[Closing Stock]]</f>
        <v>0</v>
      </c>
      <c r="N1341">
        <f>Inventory_Data[[#This Row],[Purchase Qty]]*Inventory_Data[[#This Row],[Unit Cost]]</f>
        <v>189267</v>
      </c>
      <c r="O1341" t="str">
        <f>IF(Inventory_Data[[#This Row],[Closing Stock]]&lt;=Inventory_Data[[#This Row],[Reorder Level]],"Low Stock","In Stock")</f>
        <v>In Stock</v>
      </c>
      <c r="P1341" t="str">
        <f>TEXT(Inventory_Data[[#This Row],[Date]],"MMM")</f>
        <v>Oct</v>
      </c>
      <c r="Q1341" t="str">
        <f>TEXT(Inventory_Data[[#This Row],[Date]],"YYYY")</f>
        <v>2025</v>
      </c>
    </row>
    <row r="1342" spans="1:17" x14ac:dyDescent="0.3">
      <c r="A1342" s="1">
        <v>45939</v>
      </c>
      <c r="B1342" t="s">
        <v>30</v>
      </c>
      <c r="C1342" t="s">
        <v>28</v>
      </c>
      <c r="D1342" t="s">
        <v>26</v>
      </c>
      <c r="E1342" t="s">
        <v>29</v>
      </c>
      <c r="F1342">
        <v>137</v>
      </c>
      <c r="G1342">
        <v>10</v>
      </c>
      <c r="H1342">
        <v>87</v>
      </c>
      <c r="I1342">
        <v>60</v>
      </c>
      <c r="J1342">
        <v>55</v>
      </c>
      <c r="K1342">
        <v>14886</v>
      </c>
      <c r="L1342">
        <v>893160</v>
      </c>
      <c r="M1342">
        <f>Inventory_Data[[#This Row],[Opening Stock]]+Inventory_Data[[#This Row],[Purchase Qty]]-Inventory_Data[[#This Row],[Sales Qty]]-Inventory_Data[[#This Row],[Closing Stock]]</f>
        <v>0</v>
      </c>
      <c r="N1342">
        <f>Inventory_Data[[#This Row],[Purchase Qty]]*Inventory_Data[[#This Row],[Unit Cost]]</f>
        <v>148860</v>
      </c>
      <c r="O1342" t="str">
        <f>IF(Inventory_Data[[#This Row],[Closing Stock]]&lt;=Inventory_Data[[#This Row],[Reorder Level]],"Low Stock","In Stock")</f>
        <v>In Stock</v>
      </c>
      <c r="P1342" t="str">
        <f>TEXT(Inventory_Data[[#This Row],[Date]],"MMM")</f>
        <v>Oct</v>
      </c>
      <c r="Q1342" t="str">
        <f>TEXT(Inventory_Data[[#This Row],[Date]],"YYYY")</f>
        <v>2025</v>
      </c>
    </row>
    <row r="1343" spans="1:17" x14ac:dyDescent="0.3">
      <c r="A1343" s="1">
        <v>45939</v>
      </c>
      <c r="B1343" t="s">
        <v>12</v>
      </c>
      <c r="C1343" t="s">
        <v>13</v>
      </c>
      <c r="D1343" t="s">
        <v>37</v>
      </c>
      <c r="E1343" t="s">
        <v>20</v>
      </c>
      <c r="F1343">
        <v>77</v>
      </c>
      <c r="G1343">
        <v>63</v>
      </c>
      <c r="H1343">
        <v>29</v>
      </c>
      <c r="I1343">
        <v>111</v>
      </c>
      <c r="J1343">
        <v>15</v>
      </c>
      <c r="K1343">
        <v>14472</v>
      </c>
      <c r="L1343">
        <v>1606392</v>
      </c>
      <c r="M1343">
        <f>Inventory_Data[[#This Row],[Opening Stock]]+Inventory_Data[[#This Row],[Purchase Qty]]-Inventory_Data[[#This Row],[Sales Qty]]-Inventory_Data[[#This Row],[Closing Stock]]</f>
        <v>0</v>
      </c>
      <c r="N1343">
        <f>Inventory_Data[[#This Row],[Purchase Qty]]*Inventory_Data[[#This Row],[Unit Cost]]</f>
        <v>911736</v>
      </c>
      <c r="O1343" t="str">
        <f>IF(Inventory_Data[[#This Row],[Closing Stock]]&lt;=Inventory_Data[[#This Row],[Reorder Level]],"Low Stock","In Stock")</f>
        <v>In Stock</v>
      </c>
      <c r="P1343" t="str">
        <f>TEXT(Inventory_Data[[#This Row],[Date]],"MMM")</f>
        <v>Oct</v>
      </c>
      <c r="Q1343" t="str">
        <f>TEXT(Inventory_Data[[#This Row],[Date]],"YYYY")</f>
        <v>2025</v>
      </c>
    </row>
    <row r="1344" spans="1:17" x14ac:dyDescent="0.3">
      <c r="A1344" s="1">
        <v>45940</v>
      </c>
      <c r="B1344" t="s">
        <v>40</v>
      </c>
      <c r="C1344" t="s">
        <v>28</v>
      </c>
      <c r="D1344" t="s">
        <v>37</v>
      </c>
      <c r="E1344" t="s">
        <v>29</v>
      </c>
      <c r="F1344">
        <v>101</v>
      </c>
      <c r="G1344">
        <v>97</v>
      </c>
      <c r="H1344">
        <v>28</v>
      </c>
      <c r="I1344">
        <v>170</v>
      </c>
      <c r="J1344">
        <v>53</v>
      </c>
      <c r="K1344">
        <v>27269</v>
      </c>
      <c r="L1344">
        <v>4635730</v>
      </c>
      <c r="M1344">
        <f>Inventory_Data[[#This Row],[Opening Stock]]+Inventory_Data[[#This Row],[Purchase Qty]]-Inventory_Data[[#This Row],[Sales Qty]]-Inventory_Data[[#This Row],[Closing Stock]]</f>
        <v>0</v>
      </c>
      <c r="N1344">
        <f>Inventory_Data[[#This Row],[Purchase Qty]]*Inventory_Data[[#This Row],[Unit Cost]]</f>
        <v>2645093</v>
      </c>
      <c r="O1344" t="str">
        <f>IF(Inventory_Data[[#This Row],[Closing Stock]]&lt;=Inventory_Data[[#This Row],[Reorder Level]],"Low Stock","In Stock")</f>
        <v>In Stock</v>
      </c>
      <c r="P1344" t="str">
        <f>TEXT(Inventory_Data[[#This Row],[Date]],"MMM")</f>
        <v>Oct</v>
      </c>
      <c r="Q1344" t="str">
        <f>TEXT(Inventory_Data[[#This Row],[Date]],"YYYY")</f>
        <v>2025</v>
      </c>
    </row>
    <row r="1345" spans="1:17" x14ac:dyDescent="0.3">
      <c r="A1345" s="1">
        <v>45940</v>
      </c>
      <c r="B1345" t="s">
        <v>33</v>
      </c>
      <c r="C1345" t="s">
        <v>13</v>
      </c>
      <c r="D1345" t="s">
        <v>23</v>
      </c>
      <c r="E1345" t="s">
        <v>24</v>
      </c>
      <c r="F1345">
        <v>46</v>
      </c>
      <c r="G1345">
        <v>22</v>
      </c>
      <c r="H1345">
        <v>30</v>
      </c>
      <c r="I1345">
        <v>38</v>
      </c>
      <c r="J1345">
        <v>30</v>
      </c>
      <c r="K1345">
        <v>1207</v>
      </c>
      <c r="L1345">
        <v>45866</v>
      </c>
      <c r="M1345">
        <f>Inventory_Data[[#This Row],[Opening Stock]]+Inventory_Data[[#This Row],[Purchase Qty]]-Inventory_Data[[#This Row],[Sales Qty]]-Inventory_Data[[#This Row],[Closing Stock]]</f>
        <v>0</v>
      </c>
      <c r="N1345">
        <f>Inventory_Data[[#This Row],[Purchase Qty]]*Inventory_Data[[#This Row],[Unit Cost]]</f>
        <v>26554</v>
      </c>
      <c r="O1345" t="str">
        <f>IF(Inventory_Data[[#This Row],[Closing Stock]]&lt;=Inventory_Data[[#This Row],[Reorder Level]],"Low Stock","In Stock")</f>
        <v>In Stock</v>
      </c>
      <c r="P1345" t="str">
        <f>TEXT(Inventory_Data[[#This Row],[Date]],"MMM")</f>
        <v>Oct</v>
      </c>
      <c r="Q1345" t="str">
        <f>TEXT(Inventory_Data[[#This Row],[Date]],"YYYY")</f>
        <v>2025</v>
      </c>
    </row>
    <row r="1346" spans="1:17" x14ac:dyDescent="0.3">
      <c r="A1346" s="1">
        <v>45940</v>
      </c>
      <c r="B1346" t="s">
        <v>35</v>
      </c>
      <c r="C1346" t="s">
        <v>22</v>
      </c>
      <c r="D1346" t="s">
        <v>37</v>
      </c>
      <c r="E1346" t="s">
        <v>29</v>
      </c>
      <c r="F1346">
        <v>57</v>
      </c>
      <c r="G1346">
        <v>236</v>
      </c>
      <c r="H1346">
        <v>203</v>
      </c>
      <c r="I1346">
        <v>90</v>
      </c>
      <c r="J1346">
        <v>96</v>
      </c>
      <c r="K1346">
        <v>986</v>
      </c>
      <c r="L1346">
        <v>88740</v>
      </c>
      <c r="M1346">
        <f>Inventory_Data[[#This Row],[Opening Stock]]+Inventory_Data[[#This Row],[Purchase Qty]]-Inventory_Data[[#This Row],[Sales Qty]]-Inventory_Data[[#This Row],[Closing Stock]]</f>
        <v>0</v>
      </c>
      <c r="N1346">
        <f>Inventory_Data[[#This Row],[Purchase Qty]]*Inventory_Data[[#This Row],[Unit Cost]]</f>
        <v>232696</v>
      </c>
      <c r="O1346" t="str">
        <f>IF(Inventory_Data[[#This Row],[Closing Stock]]&lt;=Inventory_Data[[#This Row],[Reorder Level]],"Low Stock","In Stock")</f>
        <v>Low Stock</v>
      </c>
      <c r="P1346" t="str">
        <f>TEXT(Inventory_Data[[#This Row],[Date]],"MMM")</f>
        <v>Oct</v>
      </c>
      <c r="Q1346" t="str">
        <f>TEXT(Inventory_Data[[#This Row],[Date]],"YYYY")</f>
        <v>2025</v>
      </c>
    </row>
    <row r="1347" spans="1:17" x14ac:dyDescent="0.3">
      <c r="A1347" s="1">
        <v>45940</v>
      </c>
      <c r="B1347" t="s">
        <v>31</v>
      </c>
      <c r="C1347" t="s">
        <v>22</v>
      </c>
      <c r="D1347" t="s">
        <v>23</v>
      </c>
      <c r="E1347" t="s">
        <v>29</v>
      </c>
      <c r="F1347">
        <v>103</v>
      </c>
      <c r="G1347">
        <v>41</v>
      </c>
      <c r="H1347">
        <v>144</v>
      </c>
      <c r="I1347">
        <v>0</v>
      </c>
      <c r="J1347">
        <v>65</v>
      </c>
      <c r="K1347">
        <v>349</v>
      </c>
      <c r="L1347">
        <v>0</v>
      </c>
      <c r="M1347">
        <f>Inventory_Data[[#This Row],[Opening Stock]]+Inventory_Data[[#This Row],[Purchase Qty]]-Inventory_Data[[#This Row],[Sales Qty]]-Inventory_Data[[#This Row],[Closing Stock]]</f>
        <v>0</v>
      </c>
      <c r="N1347">
        <f>Inventory_Data[[#This Row],[Purchase Qty]]*Inventory_Data[[#This Row],[Unit Cost]]</f>
        <v>14309</v>
      </c>
      <c r="O1347" t="str">
        <f>IF(Inventory_Data[[#This Row],[Closing Stock]]&lt;=Inventory_Data[[#This Row],[Reorder Level]],"Low Stock","In Stock")</f>
        <v>Low Stock</v>
      </c>
      <c r="P1347" t="str">
        <f>TEXT(Inventory_Data[[#This Row],[Date]],"MMM")</f>
        <v>Oct</v>
      </c>
      <c r="Q1347" t="str">
        <f>TEXT(Inventory_Data[[#This Row],[Date]],"YYYY")</f>
        <v>2025</v>
      </c>
    </row>
    <row r="1348" spans="1:17" x14ac:dyDescent="0.3">
      <c r="A1348" s="1">
        <v>45940</v>
      </c>
      <c r="B1348" t="s">
        <v>33</v>
      </c>
      <c r="C1348" t="s">
        <v>13</v>
      </c>
      <c r="D1348" t="s">
        <v>26</v>
      </c>
      <c r="E1348" t="s">
        <v>20</v>
      </c>
      <c r="F1348">
        <v>84</v>
      </c>
      <c r="G1348">
        <v>66</v>
      </c>
      <c r="H1348">
        <v>34</v>
      </c>
      <c r="I1348">
        <v>116</v>
      </c>
      <c r="J1348">
        <v>38</v>
      </c>
      <c r="K1348">
        <v>5443</v>
      </c>
      <c r="L1348">
        <v>631388</v>
      </c>
      <c r="M1348">
        <f>Inventory_Data[[#This Row],[Opening Stock]]+Inventory_Data[[#This Row],[Purchase Qty]]-Inventory_Data[[#This Row],[Sales Qty]]-Inventory_Data[[#This Row],[Closing Stock]]</f>
        <v>0</v>
      </c>
      <c r="N1348">
        <f>Inventory_Data[[#This Row],[Purchase Qty]]*Inventory_Data[[#This Row],[Unit Cost]]</f>
        <v>359238</v>
      </c>
      <c r="O1348" t="str">
        <f>IF(Inventory_Data[[#This Row],[Closing Stock]]&lt;=Inventory_Data[[#This Row],[Reorder Level]],"Low Stock","In Stock")</f>
        <v>In Stock</v>
      </c>
      <c r="P1348" t="str">
        <f>TEXT(Inventory_Data[[#This Row],[Date]],"MMM")</f>
        <v>Oct</v>
      </c>
      <c r="Q1348" t="str">
        <f>TEXT(Inventory_Data[[#This Row],[Date]],"YYYY")</f>
        <v>2025</v>
      </c>
    </row>
    <row r="1349" spans="1:17" x14ac:dyDescent="0.3">
      <c r="A1349" s="1">
        <v>45940</v>
      </c>
      <c r="B1349" t="s">
        <v>25</v>
      </c>
      <c r="C1349" t="s">
        <v>17</v>
      </c>
      <c r="D1349" t="s">
        <v>37</v>
      </c>
      <c r="E1349" t="s">
        <v>18</v>
      </c>
      <c r="F1349">
        <v>88</v>
      </c>
      <c r="G1349">
        <v>36</v>
      </c>
      <c r="H1349">
        <v>29</v>
      </c>
      <c r="I1349">
        <v>95</v>
      </c>
      <c r="J1349">
        <v>16</v>
      </c>
      <c r="K1349">
        <v>7268</v>
      </c>
      <c r="L1349">
        <v>690460</v>
      </c>
      <c r="M1349">
        <f>Inventory_Data[[#This Row],[Opening Stock]]+Inventory_Data[[#This Row],[Purchase Qty]]-Inventory_Data[[#This Row],[Sales Qty]]-Inventory_Data[[#This Row],[Closing Stock]]</f>
        <v>0</v>
      </c>
      <c r="N1349">
        <f>Inventory_Data[[#This Row],[Purchase Qty]]*Inventory_Data[[#This Row],[Unit Cost]]</f>
        <v>261648</v>
      </c>
      <c r="O1349" t="str">
        <f>IF(Inventory_Data[[#This Row],[Closing Stock]]&lt;=Inventory_Data[[#This Row],[Reorder Level]],"Low Stock","In Stock")</f>
        <v>In Stock</v>
      </c>
      <c r="P1349" t="str">
        <f>TEXT(Inventory_Data[[#This Row],[Date]],"MMM")</f>
        <v>Oct</v>
      </c>
      <c r="Q1349" t="str">
        <f>TEXT(Inventory_Data[[#This Row],[Date]],"YYYY")</f>
        <v>2025</v>
      </c>
    </row>
    <row r="1350" spans="1:17" x14ac:dyDescent="0.3">
      <c r="A1350" s="1">
        <v>45940</v>
      </c>
      <c r="B1350" t="s">
        <v>25</v>
      </c>
      <c r="C1350" t="s">
        <v>17</v>
      </c>
      <c r="D1350" t="s">
        <v>23</v>
      </c>
      <c r="E1350" t="s">
        <v>18</v>
      </c>
      <c r="F1350">
        <v>67</v>
      </c>
      <c r="G1350">
        <v>50</v>
      </c>
      <c r="H1350">
        <v>3</v>
      </c>
      <c r="I1350">
        <v>114</v>
      </c>
      <c r="J1350">
        <v>18</v>
      </c>
      <c r="K1350">
        <v>12276</v>
      </c>
      <c r="L1350">
        <v>1399464</v>
      </c>
      <c r="M1350">
        <f>Inventory_Data[[#This Row],[Opening Stock]]+Inventory_Data[[#This Row],[Purchase Qty]]-Inventory_Data[[#This Row],[Sales Qty]]-Inventory_Data[[#This Row],[Closing Stock]]</f>
        <v>0</v>
      </c>
      <c r="N1350">
        <f>Inventory_Data[[#This Row],[Purchase Qty]]*Inventory_Data[[#This Row],[Unit Cost]]</f>
        <v>613800</v>
      </c>
      <c r="O1350" t="str">
        <f>IF(Inventory_Data[[#This Row],[Closing Stock]]&lt;=Inventory_Data[[#This Row],[Reorder Level]],"Low Stock","In Stock")</f>
        <v>In Stock</v>
      </c>
      <c r="P1350" t="str">
        <f>TEXT(Inventory_Data[[#This Row],[Date]],"MMM")</f>
        <v>Oct</v>
      </c>
      <c r="Q1350" t="str">
        <f>TEXT(Inventory_Data[[#This Row],[Date]],"YYYY")</f>
        <v>2025</v>
      </c>
    </row>
    <row r="1351" spans="1:17" x14ac:dyDescent="0.3">
      <c r="A1351" s="1">
        <v>45941</v>
      </c>
      <c r="B1351" t="s">
        <v>27</v>
      </c>
      <c r="C1351" t="s">
        <v>28</v>
      </c>
      <c r="D1351" t="s">
        <v>37</v>
      </c>
      <c r="E1351" t="s">
        <v>24</v>
      </c>
      <c r="F1351">
        <v>142</v>
      </c>
      <c r="G1351">
        <v>87</v>
      </c>
      <c r="H1351">
        <v>37</v>
      </c>
      <c r="I1351">
        <v>192</v>
      </c>
      <c r="J1351">
        <v>29</v>
      </c>
      <c r="K1351">
        <v>46607</v>
      </c>
      <c r="L1351">
        <v>8948544</v>
      </c>
      <c r="M1351">
        <f>Inventory_Data[[#This Row],[Opening Stock]]+Inventory_Data[[#This Row],[Purchase Qty]]-Inventory_Data[[#This Row],[Sales Qty]]-Inventory_Data[[#This Row],[Closing Stock]]</f>
        <v>0</v>
      </c>
      <c r="N1351">
        <f>Inventory_Data[[#This Row],[Purchase Qty]]*Inventory_Data[[#This Row],[Unit Cost]]</f>
        <v>4054809</v>
      </c>
      <c r="O1351" t="str">
        <f>IF(Inventory_Data[[#This Row],[Closing Stock]]&lt;=Inventory_Data[[#This Row],[Reorder Level]],"Low Stock","In Stock")</f>
        <v>In Stock</v>
      </c>
      <c r="P1351" t="str">
        <f>TEXT(Inventory_Data[[#This Row],[Date]],"MMM")</f>
        <v>Oct</v>
      </c>
      <c r="Q1351" t="str">
        <f>TEXT(Inventory_Data[[#This Row],[Date]],"YYYY")</f>
        <v>2025</v>
      </c>
    </row>
    <row r="1352" spans="1:17" x14ac:dyDescent="0.3">
      <c r="A1352" s="1">
        <v>45941</v>
      </c>
      <c r="B1352" t="s">
        <v>42</v>
      </c>
      <c r="C1352" t="s">
        <v>17</v>
      </c>
      <c r="D1352" t="s">
        <v>23</v>
      </c>
      <c r="E1352" t="s">
        <v>20</v>
      </c>
      <c r="F1352">
        <v>65</v>
      </c>
      <c r="G1352">
        <v>39</v>
      </c>
      <c r="H1352">
        <v>6</v>
      </c>
      <c r="I1352">
        <v>98</v>
      </c>
      <c r="J1352">
        <v>11</v>
      </c>
      <c r="K1352">
        <v>2377</v>
      </c>
      <c r="L1352">
        <v>232946</v>
      </c>
      <c r="M1352">
        <f>Inventory_Data[[#This Row],[Opening Stock]]+Inventory_Data[[#This Row],[Purchase Qty]]-Inventory_Data[[#This Row],[Sales Qty]]-Inventory_Data[[#This Row],[Closing Stock]]</f>
        <v>0</v>
      </c>
      <c r="N1352">
        <f>Inventory_Data[[#This Row],[Purchase Qty]]*Inventory_Data[[#This Row],[Unit Cost]]</f>
        <v>92703</v>
      </c>
      <c r="O1352" t="str">
        <f>IF(Inventory_Data[[#This Row],[Closing Stock]]&lt;=Inventory_Data[[#This Row],[Reorder Level]],"Low Stock","In Stock")</f>
        <v>In Stock</v>
      </c>
      <c r="P1352" t="str">
        <f>TEXT(Inventory_Data[[#This Row],[Date]],"MMM")</f>
        <v>Oct</v>
      </c>
      <c r="Q1352" t="str">
        <f>TEXT(Inventory_Data[[#This Row],[Date]],"YYYY")</f>
        <v>2025</v>
      </c>
    </row>
    <row r="1353" spans="1:17" x14ac:dyDescent="0.3">
      <c r="A1353" s="1">
        <v>45941</v>
      </c>
      <c r="B1353" t="s">
        <v>43</v>
      </c>
      <c r="C1353" t="s">
        <v>22</v>
      </c>
      <c r="D1353" t="s">
        <v>14</v>
      </c>
      <c r="E1353" t="s">
        <v>29</v>
      </c>
      <c r="F1353">
        <v>258</v>
      </c>
      <c r="G1353">
        <v>216</v>
      </c>
      <c r="H1353">
        <v>139</v>
      </c>
      <c r="I1353">
        <v>335</v>
      </c>
      <c r="J1353">
        <v>85</v>
      </c>
      <c r="K1353">
        <v>658</v>
      </c>
      <c r="L1353">
        <v>220430</v>
      </c>
      <c r="M1353">
        <f>Inventory_Data[[#This Row],[Opening Stock]]+Inventory_Data[[#This Row],[Purchase Qty]]-Inventory_Data[[#This Row],[Sales Qty]]-Inventory_Data[[#This Row],[Closing Stock]]</f>
        <v>0</v>
      </c>
      <c r="N1353">
        <f>Inventory_Data[[#This Row],[Purchase Qty]]*Inventory_Data[[#This Row],[Unit Cost]]</f>
        <v>142128</v>
      </c>
      <c r="O1353" t="str">
        <f>IF(Inventory_Data[[#This Row],[Closing Stock]]&lt;=Inventory_Data[[#This Row],[Reorder Level]],"Low Stock","In Stock")</f>
        <v>In Stock</v>
      </c>
      <c r="P1353" t="str">
        <f>TEXT(Inventory_Data[[#This Row],[Date]],"MMM")</f>
        <v>Oct</v>
      </c>
      <c r="Q1353" t="str">
        <f>TEXT(Inventory_Data[[#This Row],[Date]],"YYYY")</f>
        <v>2025</v>
      </c>
    </row>
    <row r="1354" spans="1:17" x14ac:dyDescent="0.3">
      <c r="A1354" s="1">
        <v>45942</v>
      </c>
      <c r="B1354" t="s">
        <v>21</v>
      </c>
      <c r="C1354" t="s">
        <v>22</v>
      </c>
      <c r="D1354" t="s">
        <v>26</v>
      </c>
      <c r="E1354" t="s">
        <v>24</v>
      </c>
      <c r="F1354">
        <v>499</v>
      </c>
      <c r="G1354">
        <v>185</v>
      </c>
      <c r="H1354">
        <v>122</v>
      </c>
      <c r="I1354">
        <v>562</v>
      </c>
      <c r="J1354">
        <v>87</v>
      </c>
      <c r="K1354">
        <v>670</v>
      </c>
      <c r="L1354">
        <v>376540</v>
      </c>
      <c r="M1354">
        <f>Inventory_Data[[#This Row],[Opening Stock]]+Inventory_Data[[#This Row],[Purchase Qty]]-Inventory_Data[[#This Row],[Sales Qty]]-Inventory_Data[[#This Row],[Closing Stock]]</f>
        <v>0</v>
      </c>
      <c r="N1354">
        <f>Inventory_Data[[#This Row],[Purchase Qty]]*Inventory_Data[[#This Row],[Unit Cost]]</f>
        <v>123950</v>
      </c>
      <c r="O1354" t="str">
        <f>IF(Inventory_Data[[#This Row],[Closing Stock]]&lt;=Inventory_Data[[#This Row],[Reorder Level]],"Low Stock","In Stock")</f>
        <v>In Stock</v>
      </c>
      <c r="P1354" t="str">
        <f>TEXT(Inventory_Data[[#This Row],[Date]],"MMM")</f>
        <v>Oct</v>
      </c>
      <c r="Q1354" t="str">
        <f>TEXT(Inventory_Data[[#This Row],[Date]],"YYYY")</f>
        <v>2025</v>
      </c>
    </row>
    <row r="1355" spans="1:17" x14ac:dyDescent="0.3">
      <c r="A1355" s="1">
        <v>45942</v>
      </c>
      <c r="B1355" t="s">
        <v>35</v>
      </c>
      <c r="C1355" t="s">
        <v>22</v>
      </c>
      <c r="D1355" t="s">
        <v>23</v>
      </c>
      <c r="E1355" t="s">
        <v>24</v>
      </c>
      <c r="F1355">
        <v>267</v>
      </c>
      <c r="G1355">
        <v>249</v>
      </c>
      <c r="H1355">
        <v>154</v>
      </c>
      <c r="I1355">
        <v>362</v>
      </c>
      <c r="J1355">
        <v>147</v>
      </c>
      <c r="K1355">
        <v>79</v>
      </c>
      <c r="L1355">
        <v>28598</v>
      </c>
      <c r="M1355">
        <f>Inventory_Data[[#This Row],[Opening Stock]]+Inventory_Data[[#This Row],[Purchase Qty]]-Inventory_Data[[#This Row],[Sales Qty]]-Inventory_Data[[#This Row],[Closing Stock]]</f>
        <v>0</v>
      </c>
      <c r="N1355">
        <f>Inventory_Data[[#This Row],[Purchase Qty]]*Inventory_Data[[#This Row],[Unit Cost]]</f>
        <v>19671</v>
      </c>
      <c r="O1355" t="str">
        <f>IF(Inventory_Data[[#This Row],[Closing Stock]]&lt;=Inventory_Data[[#This Row],[Reorder Level]],"Low Stock","In Stock")</f>
        <v>In Stock</v>
      </c>
      <c r="P1355" t="str">
        <f>TEXT(Inventory_Data[[#This Row],[Date]],"MMM")</f>
        <v>Oct</v>
      </c>
      <c r="Q1355" t="str">
        <f>TEXT(Inventory_Data[[#This Row],[Date]],"YYYY")</f>
        <v>2025</v>
      </c>
    </row>
    <row r="1356" spans="1:17" x14ac:dyDescent="0.3">
      <c r="A1356" s="1">
        <v>45942</v>
      </c>
      <c r="B1356" t="s">
        <v>12</v>
      </c>
      <c r="C1356" t="s">
        <v>13</v>
      </c>
      <c r="D1356" t="s">
        <v>37</v>
      </c>
      <c r="E1356" t="s">
        <v>24</v>
      </c>
      <c r="F1356">
        <v>36</v>
      </c>
      <c r="G1356">
        <v>42</v>
      </c>
      <c r="H1356">
        <v>56</v>
      </c>
      <c r="I1356">
        <v>22</v>
      </c>
      <c r="J1356">
        <v>32</v>
      </c>
      <c r="K1356">
        <v>15910</v>
      </c>
      <c r="L1356">
        <v>350020</v>
      </c>
      <c r="M1356">
        <f>Inventory_Data[[#This Row],[Opening Stock]]+Inventory_Data[[#This Row],[Purchase Qty]]-Inventory_Data[[#This Row],[Sales Qty]]-Inventory_Data[[#This Row],[Closing Stock]]</f>
        <v>0</v>
      </c>
      <c r="N1356">
        <f>Inventory_Data[[#This Row],[Purchase Qty]]*Inventory_Data[[#This Row],[Unit Cost]]</f>
        <v>668220</v>
      </c>
      <c r="O1356" t="str">
        <f>IF(Inventory_Data[[#This Row],[Closing Stock]]&lt;=Inventory_Data[[#This Row],[Reorder Level]],"Low Stock","In Stock")</f>
        <v>Low Stock</v>
      </c>
      <c r="P1356" t="str">
        <f>TEXT(Inventory_Data[[#This Row],[Date]],"MMM")</f>
        <v>Oct</v>
      </c>
      <c r="Q1356" t="str">
        <f>TEXT(Inventory_Data[[#This Row],[Date]],"YYYY")</f>
        <v>2025</v>
      </c>
    </row>
    <row r="1357" spans="1:17" x14ac:dyDescent="0.3">
      <c r="A1357" s="1">
        <v>45943</v>
      </c>
      <c r="B1357" t="s">
        <v>39</v>
      </c>
      <c r="C1357" t="s">
        <v>28</v>
      </c>
      <c r="D1357" t="s">
        <v>37</v>
      </c>
      <c r="E1357" t="s">
        <v>15</v>
      </c>
      <c r="F1357">
        <v>31</v>
      </c>
      <c r="G1357">
        <v>60</v>
      </c>
      <c r="H1357">
        <v>53</v>
      </c>
      <c r="I1357">
        <v>38</v>
      </c>
      <c r="J1357">
        <v>43</v>
      </c>
      <c r="K1357">
        <v>33299</v>
      </c>
      <c r="L1357">
        <v>1265362</v>
      </c>
      <c r="M1357">
        <f>Inventory_Data[[#This Row],[Opening Stock]]+Inventory_Data[[#This Row],[Purchase Qty]]-Inventory_Data[[#This Row],[Sales Qty]]-Inventory_Data[[#This Row],[Closing Stock]]</f>
        <v>0</v>
      </c>
      <c r="N1357">
        <f>Inventory_Data[[#This Row],[Purchase Qty]]*Inventory_Data[[#This Row],[Unit Cost]]</f>
        <v>1997940</v>
      </c>
      <c r="O1357" t="str">
        <f>IF(Inventory_Data[[#This Row],[Closing Stock]]&lt;=Inventory_Data[[#This Row],[Reorder Level]],"Low Stock","In Stock")</f>
        <v>Low Stock</v>
      </c>
      <c r="P1357" t="str">
        <f>TEXT(Inventory_Data[[#This Row],[Date]],"MMM")</f>
        <v>Oct</v>
      </c>
      <c r="Q1357" t="str">
        <f>TEXT(Inventory_Data[[#This Row],[Date]],"YYYY")</f>
        <v>2025</v>
      </c>
    </row>
    <row r="1358" spans="1:17" x14ac:dyDescent="0.3">
      <c r="A1358" s="1">
        <v>45943</v>
      </c>
      <c r="B1358" t="s">
        <v>12</v>
      </c>
      <c r="C1358" t="s">
        <v>13</v>
      </c>
      <c r="D1358" t="s">
        <v>14</v>
      </c>
      <c r="E1358" t="s">
        <v>20</v>
      </c>
      <c r="F1358">
        <v>30</v>
      </c>
      <c r="G1358">
        <v>44</v>
      </c>
      <c r="H1358">
        <v>21</v>
      </c>
      <c r="I1358">
        <v>53</v>
      </c>
      <c r="J1358">
        <v>28</v>
      </c>
      <c r="K1358">
        <v>1468</v>
      </c>
      <c r="L1358">
        <v>77804</v>
      </c>
      <c r="M1358">
        <f>Inventory_Data[[#This Row],[Opening Stock]]+Inventory_Data[[#This Row],[Purchase Qty]]-Inventory_Data[[#This Row],[Sales Qty]]-Inventory_Data[[#This Row],[Closing Stock]]</f>
        <v>0</v>
      </c>
      <c r="N1358">
        <f>Inventory_Data[[#This Row],[Purchase Qty]]*Inventory_Data[[#This Row],[Unit Cost]]</f>
        <v>64592</v>
      </c>
      <c r="O1358" t="str">
        <f>IF(Inventory_Data[[#This Row],[Closing Stock]]&lt;=Inventory_Data[[#This Row],[Reorder Level]],"Low Stock","In Stock")</f>
        <v>In Stock</v>
      </c>
      <c r="P1358" t="str">
        <f>TEXT(Inventory_Data[[#This Row],[Date]],"MMM")</f>
        <v>Oct</v>
      </c>
      <c r="Q1358" t="str">
        <f>TEXT(Inventory_Data[[#This Row],[Date]],"YYYY")</f>
        <v>2025</v>
      </c>
    </row>
    <row r="1359" spans="1:17" x14ac:dyDescent="0.3">
      <c r="A1359" s="1">
        <v>45943</v>
      </c>
      <c r="B1359" t="s">
        <v>38</v>
      </c>
      <c r="C1359" t="s">
        <v>17</v>
      </c>
      <c r="D1359" t="s">
        <v>37</v>
      </c>
      <c r="E1359" t="s">
        <v>29</v>
      </c>
      <c r="F1359">
        <v>57</v>
      </c>
      <c r="G1359">
        <v>23</v>
      </c>
      <c r="H1359">
        <v>32</v>
      </c>
      <c r="I1359">
        <v>48</v>
      </c>
      <c r="J1359">
        <v>27</v>
      </c>
      <c r="K1359">
        <v>18630</v>
      </c>
      <c r="L1359">
        <v>894240</v>
      </c>
      <c r="M1359">
        <f>Inventory_Data[[#This Row],[Opening Stock]]+Inventory_Data[[#This Row],[Purchase Qty]]-Inventory_Data[[#This Row],[Sales Qty]]-Inventory_Data[[#This Row],[Closing Stock]]</f>
        <v>0</v>
      </c>
      <c r="N1359">
        <f>Inventory_Data[[#This Row],[Purchase Qty]]*Inventory_Data[[#This Row],[Unit Cost]]</f>
        <v>428490</v>
      </c>
      <c r="O1359" t="str">
        <f>IF(Inventory_Data[[#This Row],[Closing Stock]]&lt;=Inventory_Data[[#This Row],[Reorder Level]],"Low Stock","In Stock")</f>
        <v>In Stock</v>
      </c>
      <c r="P1359" t="str">
        <f>TEXT(Inventory_Data[[#This Row],[Date]],"MMM")</f>
        <v>Oct</v>
      </c>
      <c r="Q1359" t="str">
        <f>TEXT(Inventory_Data[[#This Row],[Date]],"YYYY")</f>
        <v>2025</v>
      </c>
    </row>
    <row r="1360" spans="1:17" x14ac:dyDescent="0.3">
      <c r="A1360" s="1">
        <v>45944</v>
      </c>
      <c r="B1360" t="s">
        <v>36</v>
      </c>
      <c r="C1360" t="s">
        <v>22</v>
      </c>
      <c r="D1360" t="s">
        <v>14</v>
      </c>
      <c r="E1360" t="s">
        <v>20</v>
      </c>
      <c r="F1360">
        <v>404</v>
      </c>
      <c r="G1360">
        <v>112</v>
      </c>
      <c r="H1360">
        <v>119</v>
      </c>
      <c r="I1360">
        <v>397</v>
      </c>
      <c r="J1360">
        <v>136</v>
      </c>
      <c r="K1360">
        <v>209</v>
      </c>
      <c r="L1360">
        <v>82973</v>
      </c>
      <c r="M1360">
        <f>Inventory_Data[[#This Row],[Opening Stock]]+Inventory_Data[[#This Row],[Purchase Qty]]-Inventory_Data[[#This Row],[Sales Qty]]-Inventory_Data[[#This Row],[Closing Stock]]</f>
        <v>0</v>
      </c>
      <c r="N1360">
        <f>Inventory_Data[[#This Row],[Purchase Qty]]*Inventory_Data[[#This Row],[Unit Cost]]</f>
        <v>23408</v>
      </c>
      <c r="O1360" t="str">
        <f>IF(Inventory_Data[[#This Row],[Closing Stock]]&lt;=Inventory_Data[[#This Row],[Reorder Level]],"Low Stock","In Stock")</f>
        <v>In Stock</v>
      </c>
      <c r="P1360" t="str">
        <f>TEXT(Inventory_Data[[#This Row],[Date]],"MMM")</f>
        <v>Oct</v>
      </c>
      <c r="Q1360" t="str">
        <f>TEXT(Inventory_Data[[#This Row],[Date]],"YYYY")</f>
        <v>2025</v>
      </c>
    </row>
    <row r="1361" spans="1:17" x14ac:dyDescent="0.3">
      <c r="A1361" s="1">
        <v>45944</v>
      </c>
      <c r="B1361" t="s">
        <v>19</v>
      </c>
      <c r="C1361" t="s">
        <v>13</v>
      </c>
      <c r="D1361" t="s">
        <v>14</v>
      </c>
      <c r="E1361" t="s">
        <v>18</v>
      </c>
      <c r="F1361">
        <v>99</v>
      </c>
      <c r="G1361">
        <v>26</v>
      </c>
      <c r="H1361">
        <v>6</v>
      </c>
      <c r="I1361">
        <v>119</v>
      </c>
      <c r="J1361">
        <v>24</v>
      </c>
      <c r="K1361">
        <v>16616</v>
      </c>
      <c r="L1361">
        <v>1977304</v>
      </c>
      <c r="M1361">
        <f>Inventory_Data[[#This Row],[Opening Stock]]+Inventory_Data[[#This Row],[Purchase Qty]]-Inventory_Data[[#This Row],[Sales Qty]]-Inventory_Data[[#This Row],[Closing Stock]]</f>
        <v>0</v>
      </c>
      <c r="N1361">
        <f>Inventory_Data[[#This Row],[Purchase Qty]]*Inventory_Data[[#This Row],[Unit Cost]]</f>
        <v>432016</v>
      </c>
      <c r="O1361" t="str">
        <f>IF(Inventory_Data[[#This Row],[Closing Stock]]&lt;=Inventory_Data[[#This Row],[Reorder Level]],"Low Stock","In Stock")</f>
        <v>In Stock</v>
      </c>
      <c r="P1361" t="str">
        <f>TEXT(Inventory_Data[[#This Row],[Date]],"MMM")</f>
        <v>Oct</v>
      </c>
      <c r="Q1361" t="str">
        <f>TEXT(Inventory_Data[[#This Row],[Date]],"YYYY")</f>
        <v>2025</v>
      </c>
    </row>
    <row r="1362" spans="1:17" x14ac:dyDescent="0.3">
      <c r="A1362" s="1">
        <v>45944</v>
      </c>
      <c r="B1362" t="s">
        <v>21</v>
      </c>
      <c r="C1362" t="s">
        <v>22</v>
      </c>
      <c r="D1362" t="s">
        <v>37</v>
      </c>
      <c r="E1362" t="s">
        <v>34</v>
      </c>
      <c r="F1362">
        <v>499</v>
      </c>
      <c r="G1362">
        <v>121</v>
      </c>
      <c r="H1362">
        <v>115</v>
      </c>
      <c r="I1362">
        <v>505</v>
      </c>
      <c r="J1362">
        <v>67</v>
      </c>
      <c r="K1362">
        <v>1056</v>
      </c>
      <c r="L1362">
        <v>533280</v>
      </c>
      <c r="M1362">
        <f>Inventory_Data[[#This Row],[Opening Stock]]+Inventory_Data[[#This Row],[Purchase Qty]]-Inventory_Data[[#This Row],[Sales Qty]]-Inventory_Data[[#This Row],[Closing Stock]]</f>
        <v>0</v>
      </c>
      <c r="N1362">
        <f>Inventory_Data[[#This Row],[Purchase Qty]]*Inventory_Data[[#This Row],[Unit Cost]]</f>
        <v>127776</v>
      </c>
      <c r="O1362" t="str">
        <f>IF(Inventory_Data[[#This Row],[Closing Stock]]&lt;=Inventory_Data[[#This Row],[Reorder Level]],"Low Stock","In Stock")</f>
        <v>In Stock</v>
      </c>
      <c r="P1362" t="str">
        <f>TEXT(Inventory_Data[[#This Row],[Date]],"MMM")</f>
        <v>Oct</v>
      </c>
      <c r="Q1362" t="str">
        <f>TEXT(Inventory_Data[[#This Row],[Date]],"YYYY")</f>
        <v>2025</v>
      </c>
    </row>
    <row r="1363" spans="1:17" x14ac:dyDescent="0.3">
      <c r="A1363" s="1">
        <v>45944</v>
      </c>
      <c r="B1363" t="s">
        <v>21</v>
      </c>
      <c r="C1363" t="s">
        <v>22</v>
      </c>
      <c r="D1363" t="s">
        <v>37</v>
      </c>
      <c r="E1363" t="s">
        <v>29</v>
      </c>
      <c r="F1363">
        <v>257</v>
      </c>
      <c r="G1363">
        <v>143</v>
      </c>
      <c r="H1363">
        <v>31</v>
      </c>
      <c r="I1363">
        <v>369</v>
      </c>
      <c r="J1363">
        <v>116</v>
      </c>
      <c r="K1363">
        <v>702</v>
      </c>
      <c r="L1363">
        <v>259038</v>
      </c>
      <c r="M1363">
        <f>Inventory_Data[[#This Row],[Opening Stock]]+Inventory_Data[[#This Row],[Purchase Qty]]-Inventory_Data[[#This Row],[Sales Qty]]-Inventory_Data[[#This Row],[Closing Stock]]</f>
        <v>0</v>
      </c>
      <c r="N1363">
        <f>Inventory_Data[[#This Row],[Purchase Qty]]*Inventory_Data[[#This Row],[Unit Cost]]</f>
        <v>100386</v>
      </c>
      <c r="O1363" t="str">
        <f>IF(Inventory_Data[[#This Row],[Closing Stock]]&lt;=Inventory_Data[[#This Row],[Reorder Level]],"Low Stock","In Stock")</f>
        <v>In Stock</v>
      </c>
      <c r="P1363" t="str">
        <f>TEXT(Inventory_Data[[#This Row],[Date]],"MMM")</f>
        <v>Oct</v>
      </c>
      <c r="Q1363" t="str">
        <f>TEXT(Inventory_Data[[#This Row],[Date]],"YYYY")</f>
        <v>2025</v>
      </c>
    </row>
    <row r="1364" spans="1:17" x14ac:dyDescent="0.3">
      <c r="A1364" s="1">
        <v>45945</v>
      </c>
      <c r="B1364" t="s">
        <v>21</v>
      </c>
      <c r="C1364" t="s">
        <v>22</v>
      </c>
      <c r="D1364" t="s">
        <v>23</v>
      </c>
      <c r="E1364" t="s">
        <v>34</v>
      </c>
      <c r="F1364">
        <v>154</v>
      </c>
      <c r="G1364">
        <v>257</v>
      </c>
      <c r="H1364">
        <v>256</v>
      </c>
      <c r="I1364">
        <v>155</v>
      </c>
      <c r="J1364">
        <v>132</v>
      </c>
      <c r="K1364">
        <v>719</v>
      </c>
      <c r="L1364">
        <v>111445</v>
      </c>
      <c r="M1364">
        <f>Inventory_Data[[#This Row],[Opening Stock]]+Inventory_Data[[#This Row],[Purchase Qty]]-Inventory_Data[[#This Row],[Sales Qty]]-Inventory_Data[[#This Row],[Closing Stock]]</f>
        <v>0</v>
      </c>
      <c r="N1364">
        <f>Inventory_Data[[#This Row],[Purchase Qty]]*Inventory_Data[[#This Row],[Unit Cost]]</f>
        <v>184783</v>
      </c>
      <c r="O1364" t="str">
        <f>IF(Inventory_Data[[#This Row],[Closing Stock]]&lt;=Inventory_Data[[#This Row],[Reorder Level]],"Low Stock","In Stock")</f>
        <v>In Stock</v>
      </c>
      <c r="P1364" t="str">
        <f>TEXT(Inventory_Data[[#This Row],[Date]],"MMM")</f>
        <v>Oct</v>
      </c>
      <c r="Q1364" t="str">
        <f>TEXT(Inventory_Data[[#This Row],[Date]],"YYYY")</f>
        <v>2025</v>
      </c>
    </row>
    <row r="1365" spans="1:17" x14ac:dyDescent="0.3">
      <c r="A1365" s="1">
        <v>45945</v>
      </c>
      <c r="B1365" t="s">
        <v>36</v>
      </c>
      <c r="C1365" t="s">
        <v>22</v>
      </c>
      <c r="D1365" t="s">
        <v>23</v>
      </c>
      <c r="E1365" t="s">
        <v>18</v>
      </c>
      <c r="F1365">
        <v>346</v>
      </c>
      <c r="G1365">
        <v>163</v>
      </c>
      <c r="H1365">
        <v>162</v>
      </c>
      <c r="I1365">
        <v>347</v>
      </c>
      <c r="J1365">
        <v>58</v>
      </c>
      <c r="K1365">
        <v>1109</v>
      </c>
      <c r="L1365">
        <v>384823</v>
      </c>
      <c r="M1365">
        <f>Inventory_Data[[#This Row],[Opening Stock]]+Inventory_Data[[#This Row],[Purchase Qty]]-Inventory_Data[[#This Row],[Sales Qty]]-Inventory_Data[[#This Row],[Closing Stock]]</f>
        <v>0</v>
      </c>
      <c r="N1365">
        <f>Inventory_Data[[#This Row],[Purchase Qty]]*Inventory_Data[[#This Row],[Unit Cost]]</f>
        <v>180767</v>
      </c>
      <c r="O1365" t="str">
        <f>IF(Inventory_Data[[#This Row],[Closing Stock]]&lt;=Inventory_Data[[#This Row],[Reorder Level]],"Low Stock","In Stock")</f>
        <v>In Stock</v>
      </c>
      <c r="P1365" t="str">
        <f>TEXT(Inventory_Data[[#This Row],[Date]],"MMM")</f>
        <v>Oct</v>
      </c>
      <c r="Q1365" t="str">
        <f>TEXT(Inventory_Data[[#This Row],[Date]],"YYYY")</f>
        <v>2025</v>
      </c>
    </row>
    <row r="1366" spans="1:17" x14ac:dyDescent="0.3">
      <c r="A1366" s="1">
        <v>45945</v>
      </c>
      <c r="B1366" t="s">
        <v>16</v>
      </c>
      <c r="C1366" t="s">
        <v>17</v>
      </c>
      <c r="D1366" t="s">
        <v>26</v>
      </c>
      <c r="E1366" t="s">
        <v>34</v>
      </c>
      <c r="F1366">
        <v>56</v>
      </c>
      <c r="G1366">
        <v>26</v>
      </c>
      <c r="H1366">
        <v>24</v>
      </c>
      <c r="I1366">
        <v>58</v>
      </c>
      <c r="J1366">
        <v>19</v>
      </c>
      <c r="K1366">
        <v>4509</v>
      </c>
      <c r="L1366">
        <v>261522</v>
      </c>
      <c r="M1366">
        <f>Inventory_Data[[#This Row],[Opening Stock]]+Inventory_Data[[#This Row],[Purchase Qty]]-Inventory_Data[[#This Row],[Sales Qty]]-Inventory_Data[[#This Row],[Closing Stock]]</f>
        <v>0</v>
      </c>
      <c r="N1366">
        <f>Inventory_Data[[#This Row],[Purchase Qty]]*Inventory_Data[[#This Row],[Unit Cost]]</f>
        <v>117234</v>
      </c>
      <c r="O1366" t="str">
        <f>IF(Inventory_Data[[#This Row],[Closing Stock]]&lt;=Inventory_Data[[#This Row],[Reorder Level]],"Low Stock","In Stock")</f>
        <v>In Stock</v>
      </c>
      <c r="P1366" t="str">
        <f>TEXT(Inventory_Data[[#This Row],[Date]],"MMM")</f>
        <v>Oct</v>
      </c>
      <c r="Q1366" t="str">
        <f>TEXT(Inventory_Data[[#This Row],[Date]],"YYYY")</f>
        <v>2025</v>
      </c>
    </row>
    <row r="1367" spans="1:17" x14ac:dyDescent="0.3">
      <c r="A1367" s="1">
        <v>45945</v>
      </c>
      <c r="B1367" t="s">
        <v>19</v>
      </c>
      <c r="C1367" t="s">
        <v>13</v>
      </c>
      <c r="D1367" t="s">
        <v>26</v>
      </c>
      <c r="E1367" t="s">
        <v>24</v>
      </c>
      <c r="F1367">
        <v>24</v>
      </c>
      <c r="G1367">
        <v>12</v>
      </c>
      <c r="H1367">
        <v>28</v>
      </c>
      <c r="I1367">
        <v>8</v>
      </c>
      <c r="J1367">
        <v>25</v>
      </c>
      <c r="K1367">
        <v>8089</v>
      </c>
      <c r="L1367">
        <v>64712</v>
      </c>
      <c r="M1367">
        <f>Inventory_Data[[#This Row],[Opening Stock]]+Inventory_Data[[#This Row],[Purchase Qty]]-Inventory_Data[[#This Row],[Sales Qty]]-Inventory_Data[[#This Row],[Closing Stock]]</f>
        <v>0</v>
      </c>
      <c r="N1367">
        <f>Inventory_Data[[#This Row],[Purchase Qty]]*Inventory_Data[[#This Row],[Unit Cost]]</f>
        <v>97068</v>
      </c>
      <c r="O1367" t="str">
        <f>IF(Inventory_Data[[#This Row],[Closing Stock]]&lt;=Inventory_Data[[#This Row],[Reorder Level]],"Low Stock","In Stock")</f>
        <v>Low Stock</v>
      </c>
      <c r="P1367" t="str">
        <f>TEXT(Inventory_Data[[#This Row],[Date]],"MMM")</f>
        <v>Oct</v>
      </c>
      <c r="Q1367" t="str">
        <f>TEXT(Inventory_Data[[#This Row],[Date]],"YYYY")</f>
        <v>2025</v>
      </c>
    </row>
    <row r="1368" spans="1:17" x14ac:dyDescent="0.3">
      <c r="A1368" s="1">
        <v>45945</v>
      </c>
      <c r="B1368" t="s">
        <v>21</v>
      </c>
      <c r="C1368" t="s">
        <v>22</v>
      </c>
      <c r="D1368" t="s">
        <v>26</v>
      </c>
      <c r="E1368" t="s">
        <v>34</v>
      </c>
      <c r="F1368">
        <v>402</v>
      </c>
      <c r="G1368">
        <v>193</v>
      </c>
      <c r="H1368">
        <v>25</v>
      </c>
      <c r="I1368">
        <v>570</v>
      </c>
      <c r="J1368">
        <v>57</v>
      </c>
      <c r="K1368">
        <v>1061</v>
      </c>
      <c r="L1368">
        <v>604770</v>
      </c>
      <c r="M1368">
        <f>Inventory_Data[[#This Row],[Opening Stock]]+Inventory_Data[[#This Row],[Purchase Qty]]-Inventory_Data[[#This Row],[Sales Qty]]-Inventory_Data[[#This Row],[Closing Stock]]</f>
        <v>0</v>
      </c>
      <c r="N1368">
        <f>Inventory_Data[[#This Row],[Purchase Qty]]*Inventory_Data[[#This Row],[Unit Cost]]</f>
        <v>204773</v>
      </c>
      <c r="O1368" t="str">
        <f>IF(Inventory_Data[[#This Row],[Closing Stock]]&lt;=Inventory_Data[[#This Row],[Reorder Level]],"Low Stock","In Stock")</f>
        <v>In Stock</v>
      </c>
      <c r="P1368" t="str">
        <f>TEXT(Inventory_Data[[#This Row],[Date]],"MMM")</f>
        <v>Oct</v>
      </c>
      <c r="Q1368" t="str">
        <f>TEXT(Inventory_Data[[#This Row],[Date]],"YYYY")</f>
        <v>2025</v>
      </c>
    </row>
    <row r="1369" spans="1:17" x14ac:dyDescent="0.3">
      <c r="A1369" s="1">
        <v>45945</v>
      </c>
      <c r="B1369" t="s">
        <v>30</v>
      </c>
      <c r="C1369" t="s">
        <v>28</v>
      </c>
      <c r="D1369" t="s">
        <v>14</v>
      </c>
      <c r="E1369" t="s">
        <v>18</v>
      </c>
      <c r="F1369">
        <v>27</v>
      </c>
      <c r="G1369">
        <v>96</v>
      </c>
      <c r="H1369">
        <v>34</v>
      </c>
      <c r="I1369">
        <v>89</v>
      </c>
      <c r="J1369">
        <v>29</v>
      </c>
      <c r="K1369">
        <v>43182</v>
      </c>
      <c r="L1369">
        <v>3843198</v>
      </c>
      <c r="M1369">
        <f>Inventory_Data[[#This Row],[Opening Stock]]+Inventory_Data[[#This Row],[Purchase Qty]]-Inventory_Data[[#This Row],[Sales Qty]]-Inventory_Data[[#This Row],[Closing Stock]]</f>
        <v>0</v>
      </c>
      <c r="N1369">
        <f>Inventory_Data[[#This Row],[Purchase Qty]]*Inventory_Data[[#This Row],[Unit Cost]]</f>
        <v>4145472</v>
      </c>
      <c r="O1369" t="str">
        <f>IF(Inventory_Data[[#This Row],[Closing Stock]]&lt;=Inventory_Data[[#This Row],[Reorder Level]],"Low Stock","In Stock")</f>
        <v>In Stock</v>
      </c>
      <c r="P1369" t="str">
        <f>TEXT(Inventory_Data[[#This Row],[Date]],"MMM")</f>
        <v>Oct</v>
      </c>
      <c r="Q1369" t="str">
        <f>TEXT(Inventory_Data[[#This Row],[Date]],"YYYY")</f>
        <v>2025</v>
      </c>
    </row>
    <row r="1370" spans="1:17" x14ac:dyDescent="0.3">
      <c r="A1370" s="1">
        <v>45945</v>
      </c>
      <c r="B1370" t="s">
        <v>25</v>
      </c>
      <c r="C1370" t="s">
        <v>17</v>
      </c>
      <c r="D1370" t="s">
        <v>26</v>
      </c>
      <c r="E1370" t="s">
        <v>34</v>
      </c>
      <c r="F1370">
        <v>61</v>
      </c>
      <c r="G1370">
        <v>24</v>
      </c>
      <c r="H1370">
        <v>40</v>
      </c>
      <c r="I1370">
        <v>45</v>
      </c>
      <c r="J1370">
        <v>17</v>
      </c>
      <c r="K1370">
        <v>17220</v>
      </c>
      <c r="L1370">
        <v>774900</v>
      </c>
      <c r="M1370">
        <f>Inventory_Data[[#This Row],[Opening Stock]]+Inventory_Data[[#This Row],[Purchase Qty]]-Inventory_Data[[#This Row],[Sales Qty]]-Inventory_Data[[#This Row],[Closing Stock]]</f>
        <v>0</v>
      </c>
      <c r="N1370">
        <f>Inventory_Data[[#This Row],[Purchase Qty]]*Inventory_Data[[#This Row],[Unit Cost]]</f>
        <v>413280</v>
      </c>
      <c r="O1370" t="str">
        <f>IF(Inventory_Data[[#This Row],[Closing Stock]]&lt;=Inventory_Data[[#This Row],[Reorder Level]],"Low Stock","In Stock")</f>
        <v>In Stock</v>
      </c>
      <c r="P1370" t="str">
        <f>TEXT(Inventory_Data[[#This Row],[Date]],"MMM")</f>
        <v>Oct</v>
      </c>
      <c r="Q1370" t="str">
        <f>TEXT(Inventory_Data[[#This Row],[Date]],"YYYY")</f>
        <v>2025</v>
      </c>
    </row>
    <row r="1371" spans="1:17" x14ac:dyDescent="0.3">
      <c r="A1371" s="1">
        <v>45946</v>
      </c>
      <c r="B1371" t="s">
        <v>43</v>
      </c>
      <c r="C1371" t="s">
        <v>22</v>
      </c>
      <c r="D1371" t="s">
        <v>14</v>
      </c>
      <c r="E1371" t="s">
        <v>15</v>
      </c>
      <c r="F1371">
        <v>255</v>
      </c>
      <c r="G1371">
        <v>265</v>
      </c>
      <c r="H1371">
        <v>51</v>
      </c>
      <c r="I1371">
        <v>469</v>
      </c>
      <c r="J1371">
        <v>53</v>
      </c>
      <c r="K1371">
        <v>1168</v>
      </c>
      <c r="L1371">
        <v>547792</v>
      </c>
      <c r="M1371">
        <f>Inventory_Data[[#This Row],[Opening Stock]]+Inventory_Data[[#This Row],[Purchase Qty]]-Inventory_Data[[#This Row],[Sales Qty]]-Inventory_Data[[#This Row],[Closing Stock]]</f>
        <v>0</v>
      </c>
      <c r="N1371">
        <f>Inventory_Data[[#This Row],[Purchase Qty]]*Inventory_Data[[#This Row],[Unit Cost]]</f>
        <v>309520</v>
      </c>
      <c r="O1371" t="str">
        <f>IF(Inventory_Data[[#This Row],[Closing Stock]]&lt;=Inventory_Data[[#This Row],[Reorder Level]],"Low Stock","In Stock")</f>
        <v>In Stock</v>
      </c>
      <c r="P1371" t="str">
        <f>TEXT(Inventory_Data[[#This Row],[Date]],"MMM")</f>
        <v>Oct</v>
      </c>
      <c r="Q1371" t="str">
        <f>TEXT(Inventory_Data[[#This Row],[Date]],"YYYY")</f>
        <v>2025</v>
      </c>
    </row>
    <row r="1372" spans="1:17" x14ac:dyDescent="0.3">
      <c r="A1372" s="1">
        <v>45946</v>
      </c>
      <c r="B1372" t="s">
        <v>31</v>
      </c>
      <c r="C1372" t="s">
        <v>22</v>
      </c>
      <c r="D1372" t="s">
        <v>26</v>
      </c>
      <c r="E1372" t="s">
        <v>15</v>
      </c>
      <c r="F1372">
        <v>82</v>
      </c>
      <c r="G1372">
        <v>36</v>
      </c>
      <c r="H1372">
        <v>118</v>
      </c>
      <c r="I1372">
        <v>0</v>
      </c>
      <c r="J1372">
        <v>116</v>
      </c>
      <c r="K1372">
        <v>259</v>
      </c>
      <c r="L1372">
        <v>0</v>
      </c>
      <c r="M1372">
        <f>Inventory_Data[[#This Row],[Opening Stock]]+Inventory_Data[[#This Row],[Purchase Qty]]-Inventory_Data[[#This Row],[Sales Qty]]-Inventory_Data[[#This Row],[Closing Stock]]</f>
        <v>0</v>
      </c>
      <c r="N1372">
        <f>Inventory_Data[[#This Row],[Purchase Qty]]*Inventory_Data[[#This Row],[Unit Cost]]</f>
        <v>9324</v>
      </c>
      <c r="O1372" t="str">
        <f>IF(Inventory_Data[[#This Row],[Closing Stock]]&lt;=Inventory_Data[[#This Row],[Reorder Level]],"Low Stock","In Stock")</f>
        <v>Low Stock</v>
      </c>
      <c r="P1372" t="str">
        <f>TEXT(Inventory_Data[[#This Row],[Date]],"MMM")</f>
        <v>Oct</v>
      </c>
      <c r="Q1372" t="str">
        <f>TEXT(Inventory_Data[[#This Row],[Date]],"YYYY")</f>
        <v>2025</v>
      </c>
    </row>
    <row r="1373" spans="1:17" x14ac:dyDescent="0.3">
      <c r="A1373" s="1">
        <v>45946</v>
      </c>
      <c r="B1373" t="s">
        <v>39</v>
      </c>
      <c r="C1373" t="s">
        <v>28</v>
      </c>
      <c r="D1373" t="s">
        <v>14</v>
      </c>
      <c r="E1373" t="s">
        <v>20</v>
      </c>
      <c r="F1373">
        <v>114</v>
      </c>
      <c r="G1373">
        <v>23</v>
      </c>
      <c r="H1373">
        <v>69</v>
      </c>
      <c r="I1373">
        <v>68</v>
      </c>
      <c r="J1373">
        <v>35</v>
      </c>
      <c r="K1373">
        <v>26509</v>
      </c>
      <c r="L1373">
        <v>1802612</v>
      </c>
      <c r="M1373">
        <f>Inventory_Data[[#This Row],[Opening Stock]]+Inventory_Data[[#This Row],[Purchase Qty]]-Inventory_Data[[#This Row],[Sales Qty]]-Inventory_Data[[#This Row],[Closing Stock]]</f>
        <v>0</v>
      </c>
      <c r="N1373">
        <f>Inventory_Data[[#This Row],[Purchase Qty]]*Inventory_Data[[#This Row],[Unit Cost]]</f>
        <v>609707</v>
      </c>
      <c r="O1373" t="str">
        <f>IF(Inventory_Data[[#This Row],[Closing Stock]]&lt;=Inventory_Data[[#This Row],[Reorder Level]],"Low Stock","In Stock")</f>
        <v>In Stock</v>
      </c>
      <c r="P1373" t="str">
        <f>TEXT(Inventory_Data[[#This Row],[Date]],"MMM")</f>
        <v>Oct</v>
      </c>
      <c r="Q1373" t="str">
        <f>TEXT(Inventory_Data[[#This Row],[Date]],"YYYY")</f>
        <v>2025</v>
      </c>
    </row>
    <row r="1374" spans="1:17" x14ac:dyDescent="0.3">
      <c r="A1374" s="1">
        <v>45946</v>
      </c>
      <c r="B1374" t="s">
        <v>16</v>
      </c>
      <c r="C1374" t="s">
        <v>17</v>
      </c>
      <c r="D1374" t="s">
        <v>26</v>
      </c>
      <c r="E1374" t="s">
        <v>24</v>
      </c>
      <c r="F1374">
        <v>15</v>
      </c>
      <c r="G1374">
        <v>28</v>
      </c>
      <c r="H1374">
        <v>20</v>
      </c>
      <c r="I1374">
        <v>23</v>
      </c>
      <c r="J1374">
        <v>17</v>
      </c>
      <c r="K1374">
        <v>20267</v>
      </c>
      <c r="L1374">
        <v>466141</v>
      </c>
      <c r="M1374">
        <f>Inventory_Data[[#This Row],[Opening Stock]]+Inventory_Data[[#This Row],[Purchase Qty]]-Inventory_Data[[#This Row],[Sales Qty]]-Inventory_Data[[#This Row],[Closing Stock]]</f>
        <v>0</v>
      </c>
      <c r="N1374">
        <f>Inventory_Data[[#This Row],[Purchase Qty]]*Inventory_Data[[#This Row],[Unit Cost]]</f>
        <v>567476</v>
      </c>
      <c r="O1374" t="str">
        <f>IF(Inventory_Data[[#This Row],[Closing Stock]]&lt;=Inventory_Data[[#This Row],[Reorder Level]],"Low Stock","In Stock")</f>
        <v>In Stock</v>
      </c>
      <c r="P1374" t="str">
        <f>TEXT(Inventory_Data[[#This Row],[Date]],"MMM")</f>
        <v>Oct</v>
      </c>
      <c r="Q1374" t="str">
        <f>TEXT(Inventory_Data[[#This Row],[Date]],"YYYY")</f>
        <v>2025</v>
      </c>
    </row>
    <row r="1375" spans="1:17" x14ac:dyDescent="0.3">
      <c r="A1375" s="1">
        <v>45946</v>
      </c>
      <c r="B1375" t="s">
        <v>43</v>
      </c>
      <c r="C1375" t="s">
        <v>22</v>
      </c>
      <c r="D1375" t="s">
        <v>26</v>
      </c>
      <c r="E1375" t="s">
        <v>18</v>
      </c>
      <c r="F1375">
        <v>99</v>
      </c>
      <c r="G1375">
        <v>33</v>
      </c>
      <c r="H1375">
        <v>128</v>
      </c>
      <c r="I1375">
        <v>4</v>
      </c>
      <c r="J1375">
        <v>85</v>
      </c>
      <c r="K1375">
        <v>871</v>
      </c>
      <c r="L1375">
        <v>3484</v>
      </c>
      <c r="M1375">
        <f>Inventory_Data[[#This Row],[Opening Stock]]+Inventory_Data[[#This Row],[Purchase Qty]]-Inventory_Data[[#This Row],[Sales Qty]]-Inventory_Data[[#This Row],[Closing Stock]]</f>
        <v>0</v>
      </c>
      <c r="N1375">
        <f>Inventory_Data[[#This Row],[Purchase Qty]]*Inventory_Data[[#This Row],[Unit Cost]]</f>
        <v>28743</v>
      </c>
      <c r="O1375" t="str">
        <f>IF(Inventory_Data[[#This Row],[Closing Stock]]&lt;=Inventory_Data[[#This Row],[Reorder Level]],"Low Stock","In Stock")</f>
        <v>Low Stock</v>
      </c>
      <c r="P1375" t="str">
        <f>TEXT(Inventory_Data[[#This Row],[Date]],"MMM")</f>
        <v>Oct</v>
      </c>
      <c r="Q1375" t="str">
        <f>TEXT(Inventory_Data[[#This Row],[Date]],"YYYY")</f>
        <v>2025</v>
      </c>
    </row>
    <row r="1376" spans="1:17" x14ac:dyDescent="0.3">
      <c r="A1376" s="1">
        <v>45947</v>
      </c>
      <c r="B1376" t="s">
        <v>21</v>
      </c>
      <c r="C1376" t="s">
        <v>22</v>
      </c>
      <c r="D1376" t="s">
        <v>23</v>
      </c>
      <c r="E1376" t="s">
        <v>15</v>
      </c>
      <c r="F1376">
        <v>344</v>
      </c>
      <c r="G1376">
        <v>244</v>
      </c>
      <c r="H1376">
        <v>129</v>
      </c>
      <c r="I1376">
        <v>459</v>
      </c>
      <c r="J1376">
        <v>142</v>
      </c>
      <c r="K1376">
        <v>1070</v>
      </c>
      <c r="L1376">
        <v>491130</v>
      </c>
      <c r="M1376">
        <f>Inventory_Data[[#This Row],[Opening Stock]]+Inventory_Data[[#This Row],[Purchase Qty]]-Inventory_Data[[#This Row],[Sales Qty]]-Inventory_Data[[#This Row],[Closing Stock]]</f>
        <v>0</v>
      </c>
      <c r="N1376">
        <f>Inventory_Data[[#This Row],[Purchase Qty]]*Inventory_Data[[#This Row],[Unit Cost]]</f>
        <v>261080</v>
      </c>
      <c r="O1376" t="str">
        <f>IF(Inventory_Data[[#This Row],[Closing Stock]]&lt;=Inventory_Data[[#This Row],[Reorder Level]],"Low Stock","In Stock")</f>
        <v>In Stock</v>
      </c>
      <c r="P1376" t="str">
        <f>TEXT(Inventory_Data[[#This Row],[Date]],"MMM")</f>
        <v>Oct</v>
      </c>
      <c r="Q1376" t="str">
        <f>TEXT(Inventory_Data[[#This Row],[Date]],"YYYY")</f>
        <v>2025</v>
      </c>
    </row>
    <row r="1377" spans="1:17" x14ac:dyDescent="0.3">
      <c r="A1377" s="1">
        <v>45947</v>
      </c>
      <c r="B1377" t="s">
        <v>40</v>
      </c>
      <c r="C1377" t="s">
        <v>28</v>
      </c>
      <c r="D1377" t="s">
        <v>23</v>
      </c>
      <c r="E1377" t="s">
        <v>15</v>
      </c>
      <c r="F1377">
        <v>143</v>
      </c>
      <c r="G1377">
        <v>15</v>
      </c>
      <c r="H1377">
        <v>40</v>
      </c>
      <c r="I1377">
        <v>118</v>
      </c>
      <c r="J1377">
        <v>58</v>
      </c>
      <c r="K1377">
        <v>10370</v>
      </c>
      <c r="L1377">
        <v>1223660</v>
      </c>
      <c r="M1377">
        <f>Inventory_Data[[#This Row],[Opening Stock]]+Inventory_Data[[#This Row],[Purchase Qty]]-Inventory_Data[[#This Row],[Sales Qty]]-Inventory_Data[[#This Row],[Closing Stock]]</f>
        <v>0</v>
      </c>
      <c r="N1377">
        <f>Inventory_Data[[#This Row],[Purchase Qty]]*Inventory_Data[[#This Row],[Unit Cost]]</f>
        <v>155550</v>
      </c>
      <c r="O1377" t="str">
        <f>IF(Inventory_Data[[#This Row],[Closing Stock]]&lt;=Inventory_Data[[#This Row],[Reorder Level]],"Low Stock","In Stock")</f>
        <v>In Stock</v>
      </c>
      <c r="P1377" t="str">
        <f>TEXT(Inventory_Data[[#This Row],[Date]],"MMM")</f>
        <v>Oct</v>
      </c>
      <c r="Q1377" t="str">
        <f>TEXT(Inventory_Data[[#This Row],[Date]],"YYYY")</f>
        <v>2025</v>
      </c>
    </row>
    <row r="1378" spans="1:17" x14ac:dyDescent="0.3">
      <c r="A1378" s="1">
        <v>45947</v>
      </c>
      <c r="B1378" t="s">
        <v>40</v>
      </c>
      <c r="C1378" t="s">
        <v>28</v>
      </c>
      <c r="D1378" t="s">
        <v>14</v>
      </c>
      <c r="E1378" t="s">
        <v>29</v>
      </c>
      <c r="F1378">
        <v>75</v>
      </c>
      <c r="G1378">
        <v>84</v>
      </c>
      <c r="H1378">
        <v>7</v>
      </c>
      <c r="I1378">
        <v>152</v>
      </c>
      <c r="J1378">
        <v>25</v>
      </c>
      <c r="K1378">
        <v>5321</v>
      </c>
      <c r="L1378">
        <v>808792</v>
      </c>
      <c r="M1378">
        <f>Inventory_Data[[#This Row],[Opening Stock]]+Inventory_Data[[#This Row],[Purchase Qty]]-Inventory_Data[[#This Row],[Sales Qty]]-Inventory_Data[[#This Row],[Closing Stock]]</f>
        <v>0</v>
      </c>
      <c r="N1378">
        <f>Inventory_Data[[#This Row],[Purchase Qty]]*Inventory_Data[[#This Row],[Unit Cost]]</f>
        <v>446964</v>
      </c>
      <c r="O1378" t="str">
        <f>IF(Inventory_Data[[#This Row],[Closing Stock]]&lt;=Inventory_Data[[#This Row],[Reorder Level]],"Low Stock","In Stock")</f>
        <v>In Stock</v>
      </c>
      <c r="P1378" t="str">
        <f>TEXT(Inventory_Data[[#This Row],[Date]],"MMM")</f>
        <v>Oct</v>
      </c>
      <c r="Q1378" t="str">
        <f>TEXT(Inventory_Data[[#This Row],[Date]],"YYYY")</f>
        <v>2025</v>
      </c>
    </row>
    <row r="1379" spans="1:17" x14ac:dyDescent="0.3">
      <c r="A1379" s="1">
        <v>45947</v>
      </c>
      <c r="B1379" t="s">
        <v>30</v>
      </c>
      <c r="C1379" t="s">
        <v>28</v>
      </c>
      <c r="D1379" t="s">
        <v>23</v>
      </c>
      <c r="E1379" t="s">
        <v>18</v>
      </c>
      <c r="F1379">
        <v>128</v>
      </c>
      <c r="G1379">
        <v>18</v>
      </c>
      <c r="H1379">
        <v>67</v>
      </c>
      <c r="I1379">
        <v>79</v>
      </c>
      <c r="J1379">
        <v>29</v>
      </c>
      <c r="K1379">
        <v>13547</v>
      </c>
      <c r="L1379">
        <v>1070213</v>
      </c>
      <c r="M1379">
        <f>Inventory_Data[[#This Row],[Opening Stock]]+Inventory_Data[[#This Row],[Purchase Qty]]-Inventory_Data[[#This Row],[Sales Qty]]-Inventory_Data[[#This Row],[Closing Stock]]</f>
        <v>0</v>
      </c>
      <c r="N1379">
        <f>Inventory_Data[[#This Row],[Purchase Qty]]*Inventory_Data[[#This Row],[Unit Cost]]</f>
        <v>243846</v>
      </c>
      <c r="O1379" t="str">
        <f>IF(Inventory_Data[[#This Row],[Closing Stock]]&lt;=Inventory_Data[[#This Row],[Reorder Level]],"Low Stock","In Stock")</f>
        <v>In Stock</v>
      </c>
      <c r="P1379" t="str">
        <f>TEXT(Inventory_Data[[#This Row],[Date]],"MMM")</f>
        <v>Oct</v>
      </c>
      <c r="Q1379" t="str">
        <f>TEXT(Inventory_Data[[#This Row],[Date]],"YYYY")</f>
        <v>2025</v>
      </c>
    </row>
    <row r="1380" spans="1:17" x14ac:dyDescent="0.3">
      <c r="A1380" s="1">
        <v>45947</v>
      </c>
      <c r="B1380" t="s">
        <v>27</v>
      </c>
      <c r="C1380" t="s">
        <v>28</v>
      </c>
      <c r="D1380" t="s">
        <v>23</v>
      </c>
      <c r="E1380" t="s">
        <v>18</v>
      </c>
      <c r="F1380">
        <v>175</v>
      </c>
      <c r="G1380">
        <v>46</v>
      </c>
      <c r="H1380">
        <v>11</v>
      </c>
      <c r="I1380">
        <v>210</v>
      </c>
      <c r="J1380">
        <v>56</v>
      </c>
      <c r="K1380">
        <v>4067</v>
      </c>
      <c r="L1380">
        <v>854070</v>
      </c>
      <c r="M1380">
        <f>Inventory_Data[[#This Row],[Opening Stock]]+Inventory_Data[[#This Row],[Purchase Qty]]-Inventory_Data[[#This Row],[Sales Qty]]-Inventory_Data[[#This Row],[Closing Stock]]</f>
        <v>0</v>
      </c>
      <c r="N1380">
        <f>Inventory_Data[[#This Row],[Purchase Qty]]*Inventory_Data[[#This Row],[Unit Cost]]</f>
        <v>187082</v>
      </c>
      <c r="O1380" t="str">
        <f>IF(Inventory_Data[[#This Row],[Closing Stock]]&lt;=Inventory_Data[[#This Row],[Reorder Level]],"Low Stock","In Stock")</f>
        <v>In Stock</v>
      </c>
      <c r="P1380" t="str">
        <f>TEXT(Inventory_Data[[#This Row],[Date]],"MMM")</f>
        <v>Oct</v>
      </c>
      <c r="Q1380" t="str">
        <f>TEXT(Inventory_Data[[#This Row],[Date]],"YYYY")</f>
        <v>2025</v>
      </c>
    </row>
    <row r="1381" spans="1:17" x14ac:dyDescent="0.3">
      <c r="A1381" s="1">
        <v>45947</v>
      </c>
      <c r="B1381" t="s">
        <v>33</v>
      </c>
      <c r="C1381" t="s">
        <v>13</v>
      </c>
      <c r="D1381" t="s">
        <v>23</v>
      </c>
      <c r="E1381" t="s">
        <v>29</v>
      </c>
      <c r="F1381">
        <v>96</v>
      </c>
      <c r="G1381">
        <v>79</v>
      </c>
      <c r="H1381">
        <v>43</v>
      </c>
      <c r="I1381">
        <v>132</v>
      </c>
      <c r="J1381">
        <v>31</v>
      </c>
      <c r="K1381">
        <v>14727</v>
      </c>
      <c r="L1381">
        <v>1943964</v>
      </c>
      <c r="M1381">
        <f>Inventory_Data[[#This Row],[Opening Stock]]+Inventory_Data[[#This Row],[Purchase Qty]]-Inventory_Data[[#This Row],[Sales Qty]]-Inventory_Data[[#This Row],[Closing Stock]]</f>
        <v>0</v>
      </c>
      <c r="N1381">
        <f>Inventory_Data[[#This Row],[Purchase Qty]]*Inventory_Data[[#This Row],[Unit Cost]]</f>
        <v>1163433</v>
      </c>
      <c r="O1381" t="str">
        <f>IF(Inventory_Data[[#This Row],[Closing Stock]]&lt;=Inventory_Data[[#This Row],[Reorder Level]],"Low Stock","In Stock")</f>
        <v>In Stock</v>
      </c>
      <c r="P1381" t="str">
        <f>TEXT(Inventory_Data[[#This Row],[Date]],"MMM")</f>
        <v>Oct</v>
      </c>
      <c r="Q1381" t="str">
        <f>TEXT(Inventory_Data[[#This Row],[Date]],"YYYY")</f>
        <v>2025</v>
      </c>
    </row>
    <row r="1382" spans="1:17" x14ac:dyDescent="0.3">
      <c r="A1382" s="1">
        <v>45948</v>
      </c>
      <c r="B1382" t="s">
        <v>16</v>
      </c>
      <c r="C1382" t="s">
        <v>17</v>
      </c>
      <c r="D1382" t="s">
        <v>14</v>
      </c>
      <c r="E1382" t="s">
        <v>24</v>
      </c>
      <c r="F1382">
        <v>14</v>
      </c>
      <c r="G1382">
        <v>13</v>
      </c>
      <c r="H1382">
        <v>27</v>
      </c>
      <c r="I1382">
        <v>0</v>
      </c>
      <c r="J1382">
        <v>11</v>
      </c>
      <c r="K1382">
        <v>18209</v>
      </c>
      <c r="L1382">
        <v>0</v>
      </c>
      <c r="M1382">
        <f>Inventory_Data[[#This Row],[Opening Stock]]+Inventory_Data[[#This Row],[Purchase Qty]]-Inventory_Data[[#This Row],[Sales Qty]]-Inventory_Data[[#This Row],[Closing Stock]]</f>
        <v>0</v>
      </c>
      <c r="N1382">
        <f>Inventory_Data[[#This Row],[Purchase Qty]]*Inventory_Data[[#This Row],[Unit Cost]]</f>
        <v>236717</v>
      </c>
      <c r="O1382" t="str">
        <f>IF(Inventory_Data[[#This Row],[Closing Stock]]&lt;=Inventory_Data[[#This Row],[Reorder Level]],"Low Stock","In Stock")</f>
        <v>Low Stock</v>
      </c>
      <c r="P1382" t="str">
        <f>TEXT(Inventory_Data[[#This Row],[Date]],"MMM")</f>
        <v>Oct</v>
      </c>
      <c r="Q1382" t="str">
        <f>TEXT(Inventory_Data[[#This Row],[Date]],"YYYY")</f>
        <v>2025</v>
      </c>
    </row>
    <row r="1383" spans="1:17" x14ac:dyDescent="0.3">
      <c r="A1383" s="1">
        <v>45948</v>
      </c>
      <c r="B1383" t="s">
        <v>27</v>
      </c>
      <c r="C1383" t="s">
        <v>28</v>
      </c>
      <c r="D1383" t="s">
        <v>14</v>
      </c>
      <c r="E1383" t="s">
        <v>15</v>
      </c>
      <c r="F1383">
        <v>155</v>
      </c>
      <c r="G1383">
        <v>61</v>
      </c>
      <c r="H1383">
        <v>44</v>
      </c>
      <c r="I1383">
        <v>172</v>
      </c>
      <c r="J1383">
        <v>55</v>
      </c>
      <c r="K1383">
        <v>20120</v>
      </c>
      <c r="L1383">
        <v>3460640</v>
      </c>
      <c r="M1383">
        <f>Inventory_Data[[#This Row],[Opening Stock]]+Inventory_Data[[#This Row],[Purchase Qty]]-Inventory_Data[[#This Row],[Sales Qty]]-Inventory_Data[[#This Row],[Closing Stock]]</f>
        <v>0</v>
      </c>
      <c r="N1383">
        <f>Inventory_Data[[#This Row],[Purchase Qty]]*Inventory_Data[[#This Row],[Unit Cost]]</f>
        <v>1227320</v>
      </c>
      <c r="O1383" t="str">
        <f>IF(Inventory_Data[[#This Row],[Closing Stock]]&lt;=Inventory_Data[[#This Row],[Reorder Level]],"Low Stock","In Stock")</f>
        <v>In Stock</v>
      </c>
      <c r="P1383" t="str">
        <f>TEXT(Inventory_Data[[#This Row],[Date]],"MMM")</f>
        <v>Oct</v>
      </c>
      <c r="Q1383" t="str">
        <f>TEXT(Inventory_Data[[#This Row],[Date]],"YYYY")</f>
        <v>2025</v>
      </c>
    </row>
    <row r="1384" spans="1:17" x14ac:dyDescent="0.3">
      <c r="A1384" s="1">
        <v>45949</v>
      </c>
      <c r="B1384" t="s">
        <v>41</v>
      </c>
      <c r="C1384" t="s">
        <v>22</v>
      </c>
      <c r="D1384" t="s">
        <v>37</v>
      </c>
      <c r="E1384" t="s">
        <v>18</v>
      </c>
      <c r="F1384">
        <v>384</v>
      </c>
      <c r="G1384">
        <v>249</v>
      </c>
      <c r="H1384">
        <v>125</v>
      </c>
      <c r="I1384">
        <v>508</v>
      </c>
      <c r="J1384">
        <v>98</v>
      </c>
      <c r="K1384">
        <v>844</v>
      </c>
      <c r="L1384">
        <v>428752</v>
      </c>
      <c r="M1384">
        <f>Inventory_Data[[#This Row],[Opening Stock]]+Inventory_Data[[#This Row],[Purchase Qty]]-Inventory_Data[[#This Row],[Sales Qty]]-Inventory_Data[[#This Row],[Closing Stock]]</f>
        <v>0</v>
      </c>
      <c r="N1384">
        <f>Inventory_Data[[#This Row],[Purchase Qty]]*Inventory_Data[[#This Row],[Unit Cost]]</f>
        <v>210156</v>
      </c>
      <c r="O1384" t="str">
        <f>IF(Inventory_Data[[#This Row],[Closing Stock]]&lt;=Inventory_Data[[#This Row],[Reorder Level]],"Low Stock","In Stock")</f>
        <v>In Stock</v>
      </c>
      <c r="P1384" t="str">
        <f>TEXT(Inventory_Data[[#This Row],[Date]],"MMM")</f>
        <v>Oct</v>
      </c>
      <c r="Q1384" t="str">
        <f>TEXT(Inventory_Data[[#This Row],[Date]],"YYYY")</f>
        <v>2025</v>
      </c>
    </row>
    <row r="1385" spans="1:17" x14ac:dyDescent="0.3">
      <c r="A1385" s="1">
        <v>45949</v>
      </c>
      <c r="B1385" t="s">
        <v>25</v>
      </c>
      <c r="C1385" t="s">
        <v>17</v>
      </c>
      <c r="D1385" t="s">
        <v>37</v>
      </c>
      <c r="E1385" t="s">
        <v>24</v>
      </c>
      <c r="F1385">
        <v>65</v>
      </c>
      <c r="G1385">
        <v>40</v>
      </c>
      <c r="H1385">
        <v>26</v>
      </c>
      <c r="I1385">
        <v>79</v>
      </c>
      <c r="J1385">
        <v>29</v>
      </c>
      <c r="K1385">
        <v>17071</v>
      </c>
      <c r="L1385">
        <v>1348609</v>
      </c>
      <c r="M1385">
        <f>Inventory_Data[[#This Row],[Opening Stock]]+Inventory_Data[[#This Row],[Purchase Qty]]-Inventory_Data[[#This Row],[Sales Qty]]-Inventory_Data[[#This Row],[Closing Stock]]</f>
        <v>0</v>
      </c>
      <c r="N1385">
        <f>Inventory_Data[[#This Row],[Purchase Qty]]*Inventory_Data[[#This Row],[Unit Cost]]</f>
        <v>682840</v>
      </c>
      <c r="O1385" t="str">
        <f>IF(Inventory_Data[[#This Row],[Closing Stock]]&lt;=Inventory_Data[[#This Row],[Reorder Level]],"Low Stock","In Stock")</f>
        <v>In Stock</v>
      </c>
      <c r="P1385" t="str">
        <f>TEXT(Inventory_Data[[#This Row],[Date]],"MMM")</f>
        <v>Oct</v>
      </c>
      <c r="Q1385" t="str">
        <f>TEXT(Inventory_Data[[#This Row],[Date]],"YYYY")</f>
        <v>2025</v>
      </c>
    </row>
    <row r="1386" spans="1:17" x14ac:dyDescent="0.3">
      <c r="A1386" s="1">
        <v>45949</v>
      </c>
      <c r="B1386" t="s">
        <v>33</v>
      </c>
      <c r="C1386" t="s">
        <v>13</v>
      </c>
      <c r="D1386" t="s">
        <v>23</v>
      </c>
      <c r="E1386" t="s">
        <v>34</v>
      </c>
      <c r="F1386">
        <v>34</v>
      </c>
      <c r="G1386">
        <v>20</v>
      </c>
      <c r="H1386">
        <v>5</v>
      </c>
      <c r="I1386">
        <v>49</v>
      </c>
      <c r="J1386">
        <v>37</v>
      </c>
      <c r="K1386">
        <v>16435</v>
      </c>
      <c r="L1386">
        <v>805315</v>
      </c>
      <c r="M1386">
        <f>Inventory_Data[[#This Row],[Opening Stock]]+Inventory_Data[[#This Row],[Purchase Qty]]-Inventory_Data[[#This Row],[Sales Qty]]-Inventory_Data[[#This Row],[Closing Stock]]</f>
        <v>0</v>
      </c>
      <c r="N1386">
        <f>Inventory_Data[[#This Row],[Purchase Qty]]*Inventory_Data[[#This Row],[Unit Cost]]</f>
        <v>328700</v>
      </c>
      <c r="O1386" t="str">
        <f>IF(Inventory_Data[[#This Row],[Closing Stock]]&lt;=Inventory_Data[[#This Row],[Reorder Level]],"Low Stock","In Stock")</f>
        <v>In Stock</v>
      </c>
      <c r="P1386" t="str">
        <f>TEXT(Inventory_Data[[#This Row],[Date]],"MMM")</f>
        <v>Oct</v>
      </c>
      <c r="Q1386" t="str">
        <f>TEXT(Inventory_Data[[#This Row],[Date]],"YYYY")</f>
        <v>2025</v>
      </c>
    </row>
    <row r="1387" spans="1:17" x14ac:dyDescent="0.3">
      <c r="A1387" s="1">
        <v>45949</v>
      </c>
      <c r="B1387" t="s">
        <v>27</v>
      </c>
      <c r="C1387" t="s">
        <v>28</v>
      </c>
      <c r="D1387" t="s">
        <v>23</v>
      </c>
      <c r="E1387" t="s">
        <v>15</v>
      </c>
      <c r="F1387">
        <v>165</v>
      </c>
      <c r="G1387">
        <v>31</v>
      </c>
      <c r="H1387">
        <v>70</v>
      </c>
      <c r="I1387">
        <v>126</v>
      </c>
      <c r="J1387">
        <v>55</v>
      </c>
      <c r="K1387">
        <v>1844</v>
      </c>
      <c r="L1387">
        <v>232344</v>
      </c>
      <c r="M1387">
        <f>Inventory_Data[[#This Row],[Opening Stock]]+Inventory_Data[[#This Row],[Purchase Qty]]-Inventory_Data[[#This Row],[Sales Qty]]-Inventory_Data[[#This Row],[Closing Stock]]</f>
        <v>0</v>
      </c>
      <c r="N1387">
        <f>Inventory_Data[[#This Row],[Purchase Qty]]*Inventory_Data[[#This Row],[Unit Cost]]</f>
        <v>57164</v>
      </c>
      <c r="O1387" t="str">
        <f>IF(Inventory_Data[[#This Row],[Closing Stock]]&lt;=Inventory_Data[[#This Row],[Reorder Level]],"Low Stock","In Stock")</f>
        <v>In Stock</v>
      </c>
      <c r="P1387" t="str">
        <f>TEXT(Inventory_Data[[#This Row],[Date]],"MMM")</f>
        <v>Oct</v>
      </c>
      <c r="Q1387" t="str">
        <f>TEXT(Inventory_Data[[#This Row],[Date]],"YYYY")</f>
        <v>2025</v>
      </c>
    </row>
    <row r="1388" spans="1:17" x14ac:dyDescent="0.3">
      <c r="A1388" s="1">
        <v>45950</v>
      </c>
      <c r="B1388" t="s">
        <v>27</v>
      </c>
      <c r="C1388" t="s">
        <v>28</v>
      </c>
      <c r="D1388" t="s">
        <v>14</v>
      </c>
      <c r="E1388" t="s">
        <v>24</v>
      </c>
      <c r="F1388">
        <v>138</v>
      </c>
      <c r="G1388">
        <v>68</v>
      </c>
      <c r="H1388">
        <v>58</v>
      </c>
      <c r="I1388">
        <v>148</v>
      </c>
      <c r="J1388">
        <v>20</v>
      </c>
      <c r="K1388">
        <v>12977</v>
      </c>
      <c r="L1388">
        <v>1920596</v>
      </c>
      <c r="M1388">
        <f>Inventory_Data[[#This Row],[Opening Stock]]+Inventory_Data[[#This Row],[Purchase Qty]]-Inventory_Data[[#This Row],[Sales Qty]]-Inventory_Data[[#This Row],[Closing Stock]]</f>
        <v>0</v>
      </c>
      <c r="N1388">
        <f>Inventory_Data[[#This Row],[Purchase Qty]]*Inventory_Data[[#This Row],[Unit Cost]]</f>
        <v>882436</v>
      </c>
      <c r="O1388" t="str">
        <f>IF(Inventory_Data[[#This Row],[Closing Stock]]&lt;=Inventory_Data[[#This Row],[Reorder Level]],"Low Stock","In Stock")</f>
        <v>In Stock</v>
      </c>
      <c r="P1388" t="str">
        <f>TEXT(Inventory_Data[[#This Row],[Date]],"MMM")</f>
        <v>Oct</v>
      </c>
      <c r="Q1388" t="str">
        <f>TEXT(Inventory_Data[[#This Row],[Date]],"YYYY")</f>
        <v>2025</v>
      </c>
    </row>
    <row r="1389" spans="1:17" x14ac:dyDescent="0.3">
      <c r="A1389" s="1">
        <v>45950</v>
      </c>
      <c r="B1389" t="s">
        <v>44</v>
      </c>
      <c r="C1389" t="s">
        <v>28</v>
      </c>
      <c r="D1389" t="s">
        <v>14</v>
      </c>
      <c r="E1389" t="s">
        <v>29</v>
      </c>
      <c r="F1389">
        <v>21</v>
      </c>
      <c r="G1389">
        <v>78</v>
      </c>
      <c r="H1389">
        <v>94</v>
      </c>
      <c r="I1389">
        <v>5</v>
      </c>
      <c r="J1389">
        <v>32</v>
      </c>
      <c r="K1389">
        <v>25032</v>
      </c>
      <c r="L1389">
        <v>125160</v>
      </c>
      <c r="M1389">
        <f>Inventory_Data[[#This Row],[Opening Stock]]+Inventory_Data[[#This Row],[Purchase Qty]]-Inventory_Data[[#This Row],[Sales Qty]]-Inventory_Data[[#This Row],[Closing Stock]]</f>
        <v>0</v>
      </c>
      <c r="N1389">
        <f>Inventory_Data[[#This Row],[Purchase Qty]]*Inventory_Data[[#This Row],[Unit Cost]]</f>
        <v>1952496</v>
      </c>
      <c r="O1389" t="str">
        <f>IF(Inventory_Data[[#This Row],[Closing Stock]]&lt;=Inventory_Data[[#This Row],[Reorder Level]],"Low Stock","In Stock")</f>
        <v>Low Stock</v>
      </c>
      <c r="P1389" t="str">
        <f>TEXT(Inventory_Data[[#This Row],[Date]],"MMM")</f>
        <v>Oct</v>
      </c>
      <c r="Q1389" t="str">
        <f>TEXT(Inventory_Data[[#This Row],[Date]],"YYYY")</f>
        <v>2025</v>
      </c>
    </row>
    <row r="1390" spans="1:17" x14ac:dyDescent="0.3">
      <c r="A1390" s="1">
        <v>45950</v>
      </c>
      <c r="B1390" t="s">
        <v>12</v>
      </c>
      <c r="C1390" t="s">
        <v>13</v>
      </c>
      <c r="D1390" t="s">
        <v>26</v>
      </c>
      <c r="E1390" t="s">
        <v>24</v>
      </c>
      <c r="F1390">
        <v>82</v>
      </c>
      <c r="G1390">
        <v>54</v>
      </c>
      <c r="H1390">
        <v>26</v>
      </c>
      <c r="I1390">
        <v>110</v>
      </c>
      <c r="J1390">
        <v>21</v>
      </c>
      <c r="K1390">
        <v>4383</v>
      </c>
      <c r="L1390">
        <v>482130</v>
      </c>
      <c r="M1390">
        <f>Inventory_Data[[#This Row],[Opening Stock]]+Inventory_Data[[#This Row],[Purchase Qty]]-Inventory_Data[[#This Row],[Sales Qty]]-Inventory_Data[[#This Row],[Closing Stock]]</f>
        <v>0</v>
      </c>
      <c r="N1390">
        <f>Inventory_Data[[#This Row],[Purchase Qty]]*Inventory_Data[[#This Row],[Unit Cost]]</f>
        <v>236682</v>
      </c>
      <c r="O1390" t="str">
        <f>IF(Inventory_Data[[#This Row],[Closing Stock]]&lt;=Inventory_Data[[#This Row],[Reorder Level]],"Low Stock","In Stock")</f>
        <v>In Stock</v>
      </c>
      <c r="P1390" t="str">
        <f>TEXT(Inventory_Data[[#This Row],[Date]],"MMM")</f>
        <v>Oct</v>
      </c>
      <c r="Q1390" t="str">
        <f>TEXT(Inventory_Data[[#This Row],[Date]],"YYYY")</f>
        <v>2025</v>
      </c>
    </row>
    <row r="1391" spans="1:17" x14ac:dyDescent="0.3">
      <c r="A1391" s="1">
        <v>45950</v>
      </c>
      <c r="B1391" t="s">
        <v>27</v>
      </c>
      <c r="C1391" t="s">
        <v>28</v>
      </c>
      <c r="D1391" t="s">
        <v>14</v>
      </c>
      <c r="E1391" t="s">
        <v>34</v>
      </c>
      <c r="F1391">
        <v>65</v>
      </c>
      <c r="G1391">
        <v>51</v>
      </c>
      <c r="H1391">
        <v>19</v>
      </c>
      <c r="I1391">
        <v>97</v>
      </c>
      <c r="J1391">
        <v>35</v>
      </c>
      <c r="K1391">
        <v>5312</v>
      </c>
      <c r="L1391">
        <v>515264</v>
      </c>
      <c r="M1391">
        <f>Inventory_Data[[#This Row],[Opening Stock]]+Inventory_Data[[#This Row],[Purchase Qty]]-Inventory_Data[[#This Row],[Sales Qty]]-Inventory_Data[[#This Row],[Closing Stock]]</f>
        <v>0</v>
      </c>
      <c r="N1391">
        <f>Inventory_Data[[#This Row],[Purchase Qty]]*Inventory_Data[[#This Row],[Unit Cost]]</f>
        <v>270912</v>
      </c>
      <c r="O1391" t="str">
        <f>IF(Inventory_Data[[#This Row],[Closing Stock]]&lt;=Inventory_Data[[#This Row],[Reorder Level]],"Low Stock","In Stock")</f>
        <v>In Stock</v>
      </c>
      <c r="P1391" t="str">
        <f>TEXT(Inventory_Data[[#This Row],[Date]],"MMM")</f>
        <v>Oct</v>
      </c>
      <c r="Q1391" t="str">
        <f>TEXT(Inventory_Data[[#This Row],[Date]],"YYYY")</f>
        <v>2025</v>
      </c>
    </row>
    <row r="1392" spans="1:17" x14ac:dyDescent="0.3">
      <c r="A1392" s="1">
        <v>45950</v>
      </c>
      <c r="B1392" t="s">
        <v>44</v>
      </c>
      <c r="C1392" t="s">
        <v>28</v>
      </c>
      <c r="D1392" t="s">
        <v>14</v>
      </c>
      <c r="E1392" t="s">
        <v>15</v>
      </c>
      <c r="F1392">
        <v>135</v>
      </c>
      <c r="G1392">
        <v>33</v>
      </c>
      <c r="H1392">
        <v>59</v>
      </c>
      <c r="I1392">
        <v>109</v>
      </c>
      <c r="J1392">
        <v>26</v>
      </c>
      <c r="K1392">
        <v>25912</v>
      </c>
      <c r="L1392">
        <v>2824408</v>
      </c>
      <c r="M1392">
        <f>Inventory_Data[[#This Row],[Opening Stock]]+Inventory_Data[[#This Row],[Purchase Qty]]-Inventory_Data[[#This Row],[Sales Qty]]-Inventory_Data[[#This Row],[Closing Stock]]</f>
        <v>0</v>
      </c>
      <c r="N1392">
        <f>Inventory_Data[[#This Row],[Purchase Qty]]*Inventory_Data[[#This Row],[Unit Cost]]</f>
        <v>855096</v>
      </c>
      <c r="O1392" t="str">
        <f>IF(Inventory_Data[[#This Row],[Closing Stock]]&lt;=Inventory_Data[[#This Row],[Reorder Level]],"Low Stock","In Stock")</f>
        <v>In Stock</v>
      </c>
      <c r="P1392" t="str">
        <f>TEXT(Inventory_Data[[#This Row],[Date]],"MMM")</f>
        <v>Oct</v>
      </c>
      <c r="Q1392" t="str">
        <f>TEXT(Inventory_Data[[#This Row],[Date]],"YYYY")</f>
        <v>2025</v>
      </c>
    </row>
    <row r="1393" spans="1:17" x14ac:dyDescent="0.3">
      <c r="A1393" s="1">
        <v>45950</v>
      </c>
      <c r="B1393" t="s">
        <v>45</v>
      </c>
      <c r="C1393" t="s">
        <v>13</v>
      </c>
      <c r="D1393" t="s">
        <v>37</v>
      </c>
      <c r="E1393" t="s">
        <v>15</v>
      </c>
      <c r="F1393">
        <v>56</v>
      </c>
      <c r="G1393">
        <v>21</v>
      </c>
      <c r="H1393">
        <v>39</v>
      </c>
      <c r="I1393">
        <v>38</v>
      </c>
      <c r="J1393">
        <v>23</v>
      </c>
      <c r="K1393">
        <v>15906</v>
      </c>
      <c r="L1393">
        <v>604428</v>
      </c>
      <c r="M1393">
        <f>Inventory_Data[[#This Row],[Opening Stock]]+Inventory_Data[[#This Row],[Purchase Qty]]-Inventory_Data[[#This Row],[Sales Qty]]-Inventory_Data[[#This Row],[Closing Stock]]</f>
        <v>0</v>
      </c>
      <c r="N1393">
        <f>Inventory_Data[[#This Row],[Purchase Qty]]*Inventory_Data[[#This Row],[Unit Cost]]</f>
        <v>334026</v>
      </c>
      <c r="O1393" t="str">
        <f>IF(Inventory_Data[[#This Row],[Closing Stock]]&lt;=Inventory_Data[[#This Row],[Reorder Level]],"Low Stock","In Stock")</f>
        <v>In Stock</v>
      </c>
      <c r="P1393" t="str">
        <f>TEXT(Inventory_Data[[#This Row],[Date]],"MMM")</f>
        <v>Oct</v>
      </c>
      <c r="Q1393" t="str">
        <f>TEXT(Inventory_Data[[#This Row],[Date]],"YYYY")</f>
        <v>2025</v>
      </c>
    </row>
    <row r="1394" spans="1:17" x14ac:dyDescent="0.3">
      <c r="A1394" s="1">
        <v>45950</v>
      </c>
      <c r="B1394" t="s">
        <v>21</v>
      </c>
      <c r="C1394" t="s">
        <v>22</v>
      </c>
      <c r="D1394" t="s">
        <v>14</v>
      </c>
      <c r="E1394" t="s">
        <v>34</v>
      </c>
      <c r="F1394">
        <v>222</v>
      </c>
      <c r="G1394">
        <v>237</v>
      </c>
      <c r="H1394">
        <v>33</v>
      </c>
      <c r="I1394">
        <v>426</v>
      </c>
      <c r="J1394">
        <v>71</v>
      </c>
      <c r="K1394">
        <v>1142</v>
      </c>
      <c r="L1394">
        <v>486492</v>
      </c>
      <c r="M1394">
        <f>Inventory_Data[[#This Row],[Opening Stock]]+Inventory_Data[[#This Row],[Purchase Qty]]-Inventory_Data[[#This Row],[Sales Qty]]-Inventory_Data[[#This Row],[Closing Stock]]</f>
        <v>0</v>
      </c>
      <c r="N1394">
        <f>Inventory_Data[[#This Row],[Purchase Qty]]*Inventory_Data[[#This Row],[Unit Cost]]</f>
        <v>270654</v>
      </c>
      <c r="O1394" t="str">
        <f>IF(Inventory_Data[[#This Row],[Closing Stock]]&lt;=Inventory_Data[[#This Row],[Reorder Level]],"Low Stock","In Stock")</f>
        <v>In Stock</v>
      </c>
      <c r="P1394" t="str">
        <f>TEXT(Inventory_Data[[#This Row],[Date]],"MMM")</f>
        <v>Oct</v>
      </c>
      <c r="Q1394" t="str">
        <f>TEXT(Inventory_Data[[#This Row],[Date]],"YYYY")</f>
        <v>2025</v>
      </c>
    </row>
    <row r="1395" spans="1:17" x14ac:dyDescent="0.3">
      <c r="A1395" s="1">
        <v>45950</v>
      </c>
      <c r="B1395" t="s">
        <v>35</v>
      </c>
      <c r="C1395" t="s">
        <v>22</v>
      </c>
      <c r="D1395" t="s">
        <v>14</v>
      </c>
      <c r="E1395" t="s">
        <v>24</v>
      </c>
      <c r="F1395">
        <v>342</v>
      </c>
      <c r="G1395">
        <v>209</v>
      </c>
      <c r="H1395">
        <v>231</v>
      </c>
      <c r="I1395">
        <v>320</v>
      </c>
      <c r="J1395">
        <v>85</v>
      </c>
      <c r="K1395">
        <v>909</v>
      </c>
      <c r="L1395">
        <v>290880</v>
      </c>
      <c r="M1395">
        <f>Inventory_Data[[#This Row],[Opening Stock]]+Inventory_Data[[#This Row],[Purchase Qty]]-Inventory_Data[[#This Row],[Sales Qty]]-Inventory_Data[[#This Row],[Closing Stock]]</f>
        <v>0</v>
      </c>
      <c r="N1395">
        <f>Inventory_Data[[#This Row],[Purchase Qty]]*Inventory_Data[[#This Row],[Unit Cost]]</f>
        <v>189981</v>
      </c>
      <c r="O1395" t="str">
        <f>IF(Inventory_Data[[#This Row],[Closing Stock]]&lt;=Inventory_Data[[#This Row],[Reorder Level]],"Low Stock","In Stock")</f>
        <v>In Stock</v>
      </c>
      <c r="P1395" t="str">
        <f>TEXT(Inventory_Data[[#This Row],[Date]],"MMM")</f>
        <v>Oct</v>
      </c>
      <c r="Q1395" t="str">
        <f>TEXT(Inventory_Data[[#This Row],[Date]],"YYYY")</f>
        <v>2025</v>
      </c>
    </row>
    <row r="1396" spans="1:17" x14ac:dyDescent="0.3">
      <c r="A1396" s="1">
        <v>45951</v>
      </c>
      <c r="B1396" t="s">
        <v>41</v>
      </c>
      <c r="C1396" t="s">
        <v>22</v>
      </c>
      <c r="D1396" t="s">
        <v>14</v>
      </c>
      <c r="E1396" t="s">
        <v>18</v>
      </c>
      <c r="F1396">
        <v>443</v>
      </c>
      <c r="G1396">
        <v>248</v>
      </c>
      <c r="H1396">
        <v>243</v>
      </c>
      <c r="I1396">
        <v>448</v>
      </c>
      <c r="J1396">
        <v>55</v>
      </c>
      <c r="K1396">
        <v>267</v>
      </c>
      <c r="L1396">
        <v>119616</v>
      </c>
      <c r="M1396">
        <f>Inventory_Data[[#This Row],[Opening Stock]]+Inventory_Data[[#This Row],[Purchase Qty]]-Inventory_Data[[#This Row],[Sales Qty]]-Inventory_Data[[#This Row],[Closing Stock]]</f>
        <v>0</v>
      </c>
      <c r="N1396">
        <f>Inventory_Data[[#This Row],[Purchase Qty]]*Inventory_Data[[#This Row],[Unit Cost]]</f>
        <v>66216</v>
      </c>
      <c r="O1396" t="str">
        <f>IF(Inventory_Data[[#This Row],[Closing Stock]]&lt;=Inventory_Data[[#This Row],[Reorder Level]],"Low Stock","In Stock")</f>
        <v>In Stock</v>
      </c>
      <c r="P1396" t="str">
        <f>TEXT(Inventory_Data[[#This Row],[Date]],"MMM")</f>
        <v>Oct</v>
      </c>
      <c r="Q1396" t="str">
        <f>TEXT(Inventory_Data[[#This Row],[Date]],"YYYY")</f>
        <v>2025</v>
      </c>
    </row>
    <row r="1397" spans="1:17" x14ac:dyDescent="0.3">
      <c r="A1397" s="1">
        <v>45951</v>
      </c>
      <c r="B1397" t="s">
        <v>12</v>
      </c>
      <c r="C1397" t="s">
        <v>13</v>
      </c>
      <c r="D1397" t="s">
        <v>37</v>
      </c>
      <c r="E1397" t="s">
        <v>34</v>
      </c>
      <c r="F1397">
        <v>38</v>
      </c>
      <c r="G1397">
        <v>55</v>
      </c>
      <c r="H1397">
        <v>12</v>
      </c>
      <c r="I1397">
        <v>81</v>
      </c>
      <c r="J1397">
        <v>22</v>
      </c>
      <c r="K1397">
        <v>16179</v>
      </c>
      <c r="L1397">
        <v>1310499</v>
      </c>
      <c r="M1397">
        <f>Inventory_Data[[#This Row],[Opening Stock]]+Inventory_Data[[#This Row],[Purchase Qty]]-Inventory_Data[[#This Row],[Sales Qty]]-Inventory_Data[[#This Row],[Closing Stock]]</f>
        <v>0</v>
      </c>
      <c r="N1397">
        <f>Inventory_Data[[#This Row],[Purchase Qty]]*Inventory_Data[[#This Row],[Unit Cost]]</f>
        <v>889845</v>
      </c>
      <c r="O1397" t="str">
        <f>IF(Inventory_Data[[#This Row],[Closing Stock]]&lt;=Inventory_Data[[#This Row],[Reorder Level]],"Low Stock","In Stock")</f>
        <v>In Stock</v>
      </c>
      <c r="P1397" t="str">
        <f>TEXT(Inventory_Data[[#This Row],[Date]],"MMM")</f>
        <v>Oct</v>
      </c>
      <c r="Q1397" t="str">
        <f>TEXT(Inventory_Data[[#This Row],[Date]],"YYYY")</f>
        <v>2025</v>
      </c>
    </row>
    <row r="1398" spans="1:17" x14ac:dyDescent="0.3">
      <c r="A1398" s="1">
        <v>45951</v>
      </c>
      <c r="B1398" t="s">
        <v>36</v>
      </c>
      <c r="C1398" t="s">
        <v>22</v>
      </c>
      <c r="D1398" t="s">
        <v>23</v>
      </c>
      <c r="E1398" t="s">
        <v>20</v>
      </c>
      <c r="F1398">
        <v>145</v>
      </c>
      <c r="G1398">
        <v>30</v>
      </c>
      <c r="H1398">
        <v>175</v>
      </c>
      <c r="I1398">
        <v>0</v>
      </c>
      <c r="J1398">
        <v>102</v>
      </c>
      <c r="K1398">
        <v>939</v>
      </c>
      <c r="L1398">
        <v>0</v>
      </c>
      <c r="M1398">
        <f>Inventory_Data[[#This Row],[Opening Stock]]+Inventory_Data[[#This Row],[Purchase Qty]]-Inventory_Data[[#This Row],[Sales Qty]]-Inventory_Data[[#This Row],[Closing Stock]]</f>
        <v>0</v>
      </c>
      <c r="N1398">
        <f>Inventory_Data[[#This Row],[Purchase Qty]]*Inventory_Data[[#This Row],[Unit Cost]]</f>
        <v>28170</v>
      </c>
      <c r="O1398" t="str">
        <f>IF(Inventory_Data[[#This Row],[Closing Stock]]&lt;=Inventory_Data[[#This Row],[Reorder Level]],"Low Stock","In Stock")</f>
        <v>Low Stock</v>
      </c>
      <c r="P1398" t="str">
        <f>TEXT(Inventory_Data[[#This Row],[Date]],"MMM")</f>
        <v>Oct</v>
      </c>
      <c r="Q1398" t="str">
        <f>TEXT(Inventory_Data[[#This Row],[Date]],"YYYY")</f>
        <v>2025</v>
      </c>
    </row>
    <row r="1399" spans="1:17" x14ac:dyDescent="0.3">
      <c r="A1399" s="1">
        <v>45952</v>
      </c>
      <c r="B1399" t="s">
        <v>21</v>
      </c>
      <c r="C1399" t="s">
        <v>22</v>
      </c>
      <c r="D1399" t="s">
        <v>23</v>
      </c>
      <c r="E1399" t="s">
        <v>18</v>
      </c>
      <c r="F1399">
        <v>169</v>
      </c>
      <c r="G1399">
        <v>47</v>
      </c>
      <c r="H1399">
        <v>178</v>
      </c>
      <c r="I1399">
        <v>38</v>
      </c>
      <c r="J1399">
        <v>76</v>
      </c>
      <c r="K1399">
        <v>729</v>
      </c>
      <c r="L1399">
        <v>27702</v>
      </c>
      <c r="M1399">
        <f>Inventory_Data[[#This Row],[Opening Stock]]+Inventory_Data[[#This Row],[Purchase Qty]]-Inventory_Data[[#This Row],[Sales Qty]]-Inventory_Data[[#This Row],[Closing Stock]]</f>
        <v>0</v>
      </c>
      <c r="N1399">
        <f>Inventory_Data[[#This Row],[Purchase Qty]]*Inventory_Data[[#This Row],[Unit Cost]]</f>
        <v>34263</v>
      </c>
      <c r="O1399" t="str">
        <f>IF(Inventory_Data[[#This Row],[Closing Stock]]&lt;=Inventory_Data[[#This Row],[Reorder Level]],"Low Stock","In Stock")</f>
        <v>Low Stock</v>
      </c>
      <c r="P1399" t="str">
        <f>TEXT(Inventory_Data[[#This Row],[Date]],"MMM")</f>
        <v>Oct</v>
      </c>
      <c r="Q1399" t="str">
        <f>TEXT(Inventory_Data[[#This Row],[Date]],"YYYY")</f>
        <v>2025</v>
      </c>
    </row>
    <row r="1400" spans="1:17" x14ac:dyDescent="0.3">
      <c r="A1400" s="1">
        <v>45952</v>
      </c>
      <c r="B1400" t="s">
        <v>35</v>
      </c>
      <c r="C1400" t="s">
        <v>22</v>
      </c>
      <c r="D1400" t="s">
        <v>26</v>
      </c>
      <c r="E1400" t="s">
        <v>20</v>
      </c>
      <c r="F1400">
        <v>371</v>
      </c>
      <c r="G1400">
        <v>35</v>
      </c>
      <c r="H1400">
        <v>30</v>
      </c>
      <c r="I1400">
        <v>376</v>
      </c>
      <c r="J1400">
        <v>123</v>
      </c>
      <c r="K1400">
        <v>1116</v>
      </c>
      <c r="L1400">
        <v>419616</v>
      </c>
      <c r="M1400">
        <f>Inventory_Data[[#This Row],[Opening Stock]]+Inventory_Data[[#This Row],[Purchase Qty]]-Inventory_Data[[#This Row],[Sales Qty]]-Inventory_Data[[#This Row],[Closing Stock]]</f>
        <v>0</v>
      </c>
      <c r="N1400">
        <f>Inventory_Data[[#This Row],[Purchase Qty]]*Inventory_Data[[#This Row],[Unit Cost]]</f>
        <v>39060</v>
      </c>
      <c r="O1400" t="str">
        <f>IF(Inventory_Data[[#This Row],[Closing Stock]]&lt;=Inventory_Data[[#This Row],[Reorder Level]],"Low Stock","In Stock")</f>
        <v>In Stock</v>
      </c>
      <c r="P1400" t="str">
        <f>TEXT(Inventory_Data[[#This Row],[Date]],"MMM")</f>
        <v>Oct</v>
      </c>
      <c r="Q1400" t="str">
        <f>TEXT(Inventory_Data[[#This Row],[Date]],"YYYY")</f>
        <v>2025</v>
      </c>
    </row>
    <row r="1401" spans="1:17" x14ac:dyDescent="0.3">
      <c r="A1401" s="1">
        <v>45952</v>
      </c>
      <c r="B1401" t="s">
        <v>35</v>
      </c>
      <c r="C1401" t="s">
        <v>22</v>
      </c>
      <c r="D1401" t="s">
        <v>26</v>
      </c>
      <c r="E1401" t="s">
        <v>34</v>
      </c>
      <c r="F1401">
        <v>226</v>
      </c>
      <c r="G1401">
        <v>266</v>
      </c>
      <c r="H1401">
        <v>147</v>
      </c>
      <c r="I1401">
        <v>345</v>
      </c>
      <c r="J1401">
        <v>104</v>
      </c>
      <c r="K1401">
        <v>858</v>
      </c>
      <c r="L1401">
        <v>296010</v>
      </c>
      <c r="M1401">
        <f>Inventory_Data[[#This Row],[Opening Stock]]+Inventory_Data[[#This Row],[Purchase Qty]]-Inventory_Data[[#This Row],[Sales Qty]]-Inventory_Data[[#This Row],[Closing Stock]]</f>
        <v>0</v>
      </c>
      <c r="N1401">
        <f>Inventory_Data[[#This Row],[Purchase Qty]]*Inventory_Data[[#This Row],[Unit Cost]]</f>
        <v>228228</v>
      </c>
      <c r="O1401" t="str">
        <f>IF(Inventory_Data[[#This Row],[Closing Stock]]&lt;=Inventory_Data[[#This Row],[Reorder Level]],"Low Stock","In Stock")</f>
        <v>In Stock</v>
      </c>
      <c r="P1401" t="str">
        <f>TEXT(Inventory_Data[[#This Row],[Date]],"MMM")</f>
        <v>Oct</v>
      </c>
      <c r="Q1401" t="str">
        <f>TEXT(Inventory_Data[[#This Row],[Date]],"YYYY")</f>
        <v>2025</v>
      </c>
    </row>
    <row r="1402" spans="1:17" x14ac:dyDescent="0.3">
      <c r="A1402" s="1">
        <v>45952</v>
      </c>
      <c r="B1402" t="s">
        <v>35</v>
      </c>
      <c r="C1402" t="s">
        <v>22</v>
      </c>
      <c r="D1402" t="s">
        <v>26</v>
      </c>
      <c r="E1402" t="s">
        <v>15</v>
      </c>
      <c r="F1402">
        <v>475</v>
      </c>
      <c r="G1402">
        <v>272</v>
      </c>
      <c r="H1402">
        <v>195</v>
      </c>
      <c r="I1402">
        <v>552</v>
      </c>
      <c r="J1402">
        <v>61</v>
      </c>
      <c r="K1402">
        <v>656</v>
      </c>
      <c r="L1402">
        <v>362112</v>
      </c>
      <c r="M1402">
        <f>Inventory_Data[[#This Row],[Opening Stock]]+Inventory_Data[[#This Row],[Purchase Qty]]-Inventory_Data[[#This Row],[Sales Qty]]-Inventory_Data[[#This Row],[Closing Stock]]</f>
        <v>0</v>
      </c>
      <c r="N1402">
        <f>Inventory_Data[[#This Row],[Purchase Qty]]*Inventory_Data[[#This Row],[Unit Cost]]</f>
        <v>178432</v>
      </c>
      <c r="O1402" t="str">
        <f>IF(Inventory_Data[[#This Row],[Closing Stock]]&lt;=Inventory_Data[[#This Row],[Reorder Level]],"Low Stock","In Stock")</f>
        <v>In Stock</v>
      </c>
      <c r="P1402" t="str">
        <f>TEXT(Inventory_Data[[#This Row],[Date]],"MMM")</f>
        <v>Oct</v>
      </c>
      <c r="Q1402" t="str">
        <f>TEXT(Inventory_Data[[#This Row],[Date]],"YYYY")</f>
        <v>2025</v>
      </c>
    </row>
    <row r="1403" spans="1:17" x14ac:dyDescent="0.3">
      <c r="A1403" s="1">
        <v>45953</v>
      </c>
      <c r="B1403" t="s">
        <v>39</v>
      </c>
      <c r="C1403" t="s">
        <v>28</v>
      </c>
      <c r="D1403" t="s">
        <v>14</v>
      </c>
      <c r="E1403" t="s">
        <v>15</v>
      </c>
      <c r="F1403">
        <v>116</v>
      </c>
      <c r="G1403">
        <v>21</v>
      </c>
      <c r="H1403">
        <v>6</v>
      </c>
      <c r="I1403">
        <v>131</v>
      </c>
      <c r="J1403">
        <v>47</v>
      </c>
      <c r="K1403">
        <v>1818</v>
      </c>
      <c r="L1403">
        <v>238158</v>
      </c>
      <c r="M1403">
        <f>Inventory_Data[[#This Row],[Opening Stock]]+Inventory_Data[[#This Row],[Purchase Qty]]-Inventory_Data[[#This Row],[Sales Qty]]-Inventory_Data[[#This Row],[Closing Stock]]</f>
        <v>0</v>
      </c>
      <c r="N1403">
        <f>Inventory_Data[[#This Row],[Purchase Qty]]*Inventory_Data[[#This Row],[Unit Cost]]</f>
        <v>38178</v>
      </c>
      <c r="O1403" t="str">
        <f>IF(Inventory_Data[[#This Row],[Closing Stock]]&lt;=Inventory_Data[[#This Row],[Reorder Level]],"Low Stock","In Stock")</f>
        <v>In Stock</v>
      </c>
      <c r="P1403" t="str">
        <f>TEXT(Inventory_Data[[#This Row],[Date]],"MMM")</f>
        <v>Oct</v>
      </c>
      <c r="Q1403" t="str">
        <f>TEXT(Inventory_Data[[#This Row],[Date]],"YYYY")</f>
        <v>2025</v>
      </c>
    </row>
    <row r="1404" spans="1:17" x14ac:dyDescent="0.3">
      <c r="A1404" s="1">
        <v>45953</v>
      </c>
      <c r="B1404" t="s">
        <v>32</v>
      </c>
      <c r="C1404" t="s">
        <v>28</v>
      </c>
      <c r="D1404" t="s">
        <v>37</v>
      </c>
      <c r="E1404" t="s">
        <v>34</v>
      </c>
      <c r="F1404">
        <v>80</v>
      </c>
      <c r="G1404">
        <v>59</v>
      </c>
      <c r="H1404">
        <v>71</v>
      </c>
      <c r="I1404">
        <v>68</v>
      </c>
      <c r="J1404">
        <v>52</v>
      </c>
      <c r="K1404">
        <v>53853</v>
      </c>
      <c r="L1404">
        <v>3662004</v>
      </c>
      <c r="M1404">
        <f>Inventory_Data[[#This Row],[Opening Stock]]+Inventory_Data[[#This Row],[Purchase Qty]]-Inventory_Data[[#This Row],[Sales Qty]]-Inventory_Data[[#This Row],[Closing Stock]]</f>
        <v>0</v>
      </c>
      <c r="N1404">
        <f>Inventory_Data[[#This Row],[Purchase Qty]]*Inventory_Data[[#This Row],[Unit Cost]]</f>
        <v>3177327</v>
      </c>
      <c r="O1404" t="str">
        <f>IF(Inventory_Data[[#This Row],[Closing Stock]]&lt;=Inventory_Data[[#This Row],[Reorder Level]],"Low Stock","In Stock")</f>
        <v>In Stock</v>
      </c>
      <c r="P1404" t="str">
        <f>TEXT(Inventory_Data[[#This Row],[Date]],"MMM")</f>
        <v>Oct</v>
      </c>
      <c r="Q1404" t="str">
        <f>TEXT(Inventory_Data[[#This Row],[Date]],"YYYY")</f>
        <v>2025</v>
      </c>
    </row>
    <row r="1405" spans="1:17" x14ac:dyDescent="0.3">
      <c r="A1405" s="1">
        <v>45953</v>
      </c>
      <c r="B1405" t="s">
        <v>31</v>
      </c>
      <c r="C1405" t="s">
        <v>22</v>
      </c>
      <c r="D1405" t="s">
        <v>37</v>
      </c>
      <c r="E1405" t="s">
        <v>29</v>
      </c>
      <c r="F1405">
        <v>379</v>
      </c>
      <c r="G1405">
        <v>230</v>
      </c>
      <c r="H1405">
        <v>55</v>
      </c>
      <c r="I1405">
        <v>554</v>
      </c>
      <c r="J1405">
        <v>91</v>
      </c>
      <c r="K1405">
        <v>507</v>
      </c>
      <c r="L1405">
        <v>280878</v>
      </c>
      <c r="M1405">
        <f>Inventory_Data[[#This Row],[Opening Stock]]+Inventory_Data[[#This Row],[Purchase Qty]]-Inventory_Data[[#This Row],[Sales Qty]]-Inventory_Data[[#This Row],[Closing Stock]]</f>
        <v>0</v>
      </c>
      <c r="N1405">
        <f>Inventory_Data[[#This Row],[Purchase Qty]]*Inventory_Data[[#This Row],[Unit Cost]]</f>
        <v>116610</v>
      </c>
      <c r="O1405" t="str">
        <f>IF(Inventory_Data[[#This Row],[Closing Stock]]&lt;=Inventory_Data[[#This Row],[Reorder Level]],"Low Stock","In Stock")</f>
        <v>In Stock</v>
      </c>
      <c r="P1405" t="str">
        <f>TEXT(Inventory_Data[[#This Row],[Date]],"MMM")</f>
        <v>Oct</v>
      </c>
      <c r="Q1405" t="str">
        <f>TEXT(Inventory_Data[[#This Row],[Date]],"YYYY")</f>
        <v>2025</v>
      </c>
    </row>
    <row r="1406" spans="1:17" x14ac:dyDescent="0.3">
      <c r="A1406" s="1">
        <v>45953</v>
      </c>
      <c r="B1406" t="s">
        <v>19</v>
      </c>
      <c r="C1406" t="s">
        <v>13</v>
      </c>
      <c r="D1406" t="s">
        <v>23</v>
      </c>
      <c r="E1406" t="s">
        <v>20</v>
      </c>
      <c r="F1406">
        <v>114</v>
      </c>
      <c r="G1406">
        <v>24</v>
      </c>
      <c r="H1406">
        <v>26</v>
      </c>
      <c r="I1406">
        <v>112</v>
      </c>
      <c r="J1406">
        <v>19</v>
      </c>
      <c r="K1406">
        <v>15041</v>
      </c>
      <c r="L1406">
        <v>1684592</v>
      </c>
      <c r="M1406">
        <f>Inventory_Data[[#This Row],[Opening Stock]]+Inventory_Data[[#This Row],[Purchase Qty]]-Inventory_Data[[#This Row],[Sales Qty]]-Inventory_Data[[#This Row],[Closing Stock]]</f>
        <v>0</v>
      </c>
      <c r="N1406">
        <f>Inventory_Data[[#This Row],[Purchase Qty]]*Inventory_Data[[#This Row],[Unit Cost]]</f>
        <v>360984</v>
      </c>
      <c r="O1406" t="str">
        <f>IF(Inventory_Data[[#This Row],[Closing Stock]]&lt;=Inventory_Data[[#This Row],[Reorder Level]],"Low Stock","In Stock")</f>
        <v>In Stock</v>
      </c>
      <c r="P1406" t="str">
        <f>TEXT(Inventory_Data[[#This Row],[Date]],"MMM")</f>
        <v>Oct</v>
      </c>
      <c r="Q1406" t="str">
        <f>TEXT(Inventory_Data[[#This Row],[Date]],"YYYY")</f>
        <v>2025</v>
      </c>
    </row>
    <row r="1407" spans="1:17" x14ac:dyDescent="0.3">
      <c r="A1407" s="1">
        <v>45953</v>
      </c>
      <c r="B1407" t="s">
        <v>38</v>
      </c>
      <c r="C1407" t="s">
        <v>17</v>
      </c>
      <c r="D1407" t="s">
        <v>37</v>
      </c>
      <c r="E1407" t="s">
        <v>34</v>
      </c>
      <c r="F1407">
        <v>23</v>
      </c>
      <c r="G1407">
        <v>43</v>
      </c>
      <c r="H1407">
        <v>37</v>
      </c>
      <c r="I1407">
        <v>29</v>
      </c>
      <c r="J1407">
        <v>14</v>
      </c>
      <c r="K1407">
        <v>10924</v>
      </c>
      <c r="L1407">
        <v>316796</v>
      </c>
      <c r="M1407">
        <f>Inventory_Data[[#This Row],[Opening Stock]]+Inventory_Data[[#This Row],[Purchase Qty]]-Inventory_Data[[#This Row],[Sales Qty]]-Inventory_Data[[#This Row],[Closing Stock]]</f>
        <v>0</v>
      </c>
      <c r="N1407">
        <f>Inventory_Data[[#This Row],[Purchase Qty]]*Inventory_Data[[#This Row],[Unit Cost]]</f>
        <v>469732</v>
      </c>
      <c r="O1407" t="str">
        <f>IF(Inventory_Data[[#This Row],[Closing Stock]]&lt;=Inventory_Data[[#This Row],[Reorder Level]],"Low Stock","In Stock")</f>
        <v>In Stock</v>
      </c>
      <c r="P1407" t="str">
        <f>TEXT(Inventory_Data[[#This Row],[Date]],"MMM")</f>
        <v>Oct</v>
      </c>
      <c r="Q1407" t="str">
        <f>TEXT(Inventory_Data[[#This Row],[Date]],"YYYY")</f>
        <v>2025</v>
      </c>
    </row>
    <row r="1408" spans="1:17" x14ac:dyDescent="0.3">
      <c r="A1408" s="1">
        <v>45953</v>
      </c>
      <c r="B1408" t="s">
        <v>40</v>
      </c>
      <c r="C1408" t="s">
        <v>28</v>
      </c>
      <c r="D1408" t="s">
        <v>14</v>
      </c>
      <c r="E1408" t="s">
        <v>15</v>
      </c>
      <c r="F1408">
        <v>158</v>
      </c>
      <c r="G1408">
        <v>87</v>
      </c>
      <c r="H1408">
        <v>6</v>
      </c>
      <c r="I1408">
        <v>239</v>
      </c>
      <c r="J1408">
        <v>54</v>
      </c>
      <c r="K1408">
        <v>14018</v>
      </c>
      <c r="L1408">
        <v>3350302</v>
      </c>
      <c r="M1408">
        <f>Inventory_Data[[#This Row],[Opening Stock]]+Inventory_Data[[#This Row],[Purchase Qty]]-Inventory_Data[[#This Row],[Sales Qty]]-Inventory_Data[[#This Row],[Closing Stock]]</f>
        <v>0</v>
      </c>
      <c r="N1408">
        <f>Inventory_Data[[#This Row],[Purchase Qty]]*Inventory_Data[[#This Row],[Unit Cost]]</f>
        <v>1219566</v>
      </c>
      <c r="O1408" t="str">
        <f>IF(Inventory_Data[[#This Row],[Closing Stock]]&lt;=Inventory_Data[[#This Row],[Reorder Level]],"Low Stock","In Stock")</f>
        <v>In Stock</v>
      </c>
      <c r="P1408" t="str">
        <f>TEXT(Inventory_Data[[#This Row],[Date]],"MMM")</f>
        <v>Oct</v>
      </c>
      <c r="Q1408" t="str">
        <f>TEXT(Inventory_Data[[#This Row],[Date]],"YYYY")</f>
        <v>2025</v>
      </c>
    </row>
    <row r="1409" spans="1:17" x14ac:dyDescent="0.3">
      <c r="A1409" s="1">
        <v>45954</v>
      </c>
      <c r="B1409" t="s">
        <v>42</v>
      </c>
      <c r="C1409" t="s">
        <v>17</v>
      </c>
      <c r="D1409" t="s">
        <v>23</v>
      </c>
      <c r="E1409" t="s">
        <v>15</v>
      </c>
      <c r="F1409">
        <v>17</v>
      </c>
      <c r="G1409">
        <v>36</v>
      </c>
      <c r="H1409">
        <v>31</v>
      </c>
      <c r="I1409">
        <v>22</v>
      </c>
      <c r="J1409">
        <v>18</v>
      </c>
      <c r="K1409">
        <v>23305</v>
      </c>
      <c r="L1409">
        <v>512710</v>
      </c>
      <c r="M1409">
        <f>Inventory_Data[[#This Row],[Opening Stock]]+Inventory_Data[[#This Row],[Purchase Qty]]-Inventory_Data[[#This Row],[Sales Qty]]-Inventory_Data[[#This Row],[Closing Stock]]</f>
        <v>0</v>
      </c>
      <c r="N1409">
        <f>Inventory_Data[[#This Row],[Purchase Qty]]*Inventory_Data[[#This Row],[Unit Cost]]</f>
        <v>838980</v>
      </c>
      <c r="O1409" t="str">
        <f>IF(Inventory_Data[[#This Row],[Closing Stock]]&lt;=Inventory_Data[[#This Row],[Reorder Level]],"Low Stock","In Stock")</f>
        <v>In Stock</v>
      </c>
      <c r="P1409" t="str">
        <f>TEXT(Inventory_Data[[#This Row],[Date]],"MMM")</f>
        <v>Oct</v>
      </c>
      <c r="Q1409" t="str">
        <f>TEXT(Inventory_Data[[#This Row],[Date]],"YYYY")</f>
        <v>2025</v>
      </c>
    </row>
    <row r="1410" spans="1:17" x14ac:dyDescent="0.3">
      <c r="A1410" s="1">
        <v>45954</v>
      </c>
      <c r="B1410" t="s">
        <v>36</v>
      </c>
      <c r="C1410" t="s">
        <v>22</v>
      </c>
      <c r="D1410" t="s">
        <v>23</v>
      </c>
      <c r="E1410" t="s">
        <v>34</v>
      </c>
      <c r="F1410">
        <v>164</v>
      </c>
      <c r="G1410">
        <v>30</v>
      </c>
      <c r="H1410">
        <v>50</v>
      </c>
      <c r="I1410">
        <v>144</v>
      </c>
      <c r="J1410">
        <v>147</v>
      </c>
      <c r="K1410">
        <v>501</v>
      </c>
      <c r="L1410">
        <v>72144</v>
      </c>
      <c r="M1410">
        <f>Inventory_Data[[#This Row],[Opening Stock]]+Inventory_Data[[#This Row],[Purchase Qty]]-Inventory_Data[[#This Row],[Sales Qty]]-Inventory_Data[[#This Row],[Closing Stock]]</f>
        <v>0</v>
      </c>
      <c r="N1410">
        <f>Inventory_Data[[#This Row],[Purchase Qty]]*Inventory_Data[[#This Row],[Unit Cost]]</f>
        <v>15030</v>
      </c>
      <c r="O1410" t="str">
        <f>IF(Inventory_Data[[#This Row],[Closing Stock]]&lt;=Inventory_Data[[#This Row],[Reorder Level]],"Low Stock","In Stock")</f>
        <v>Low Stock</v>
      </c>
      <c r="P1410" t="str">
        <f>TEXT(Inventory_Data[[#This Row],[Date]],"MMM")</f>
        <v>Oct</v>
      </c>
      <c r="Q1410" t="str">
        <f>TEXT(Inventory_Data[[#This Row],[Date]],"YYYY")</f>
        <v>2025</v>
      </c>
    </row>
    <row r="1411" spans="1:17" x14ac:dyDescent="0.3">
      <c r="A1411" s="1">
        <v>45954</v>
      </c>
      <c r="B1411" t="s">
        <v>39</v>
      </c>
      <c r="C1411" t="s">
        <v>28</v>
      </c>
      <c r="D1411" t="s">
        <v>37</v>
      </c>
      <c r="E1411" t="s">
        <v>29</v>
      </c>
      <c r="F1411">
        <v>76</v>
      </c>
      <c r="G1411">
        <v>55</v>
      </c>
      <c r="H1411">
        <v>90</v>
      </c>
      <c r="I1411">
        <v>41</v>
      </c>
      <c r="J1411">
        <v>58</v>
      </c>
      <c r="K1411">
        <v>12239</v>
      </c>
      <c r="L1411">
        <v>501799</v>
      </c>
      <c r="M1411">
        <f>Inventory_Data[[#This Row],[Opening Stock]]+Inventory_Data[[#This Row],[Purchase Qty]]-Inventory_Data[[#This Row],[Sales Qty]]-Inventory_Data[[#This Row],[Closing Stock]]</f>
        <v>0</v>
      </c>
      <c r="N1411">
        <f>Inventory_Data[[#This Row],[Purchase Qty]]*Inventory_Data[[#This Row],[Unit Cost]]</f>
        <v>673145</v>
      </c>
      <c r="O1411" t="str">
        <f>IF(Inventory_Data[[#This Row],[Closing Stock]]&lt;=Inventory_Data[[#This Row],[Reorder Level]],"Low Stock","In Stock")</f>
        <v>Low Stock</v>
      </c>
      <c r="P1411" t="str">
        <f>TEXT(Inventory_Data[[#This Row],[Date]],"MMM")</f>
        <v>Oct</v>
      </c>
      <c r="Q1411" t="str">
        <f>TEXT(Inventory_Data[[#This Row],[Date]],"YYYY")</f>
        <v>2025</v>
      </c>
    </row>
    <row r="1412" spans="1:17" x14ac:dyDescent="0.3">
      <c r="A1412" s="1">
        <v>45954</v>
      </c>
      <c r="B1412" t="s">
        <v>16</v>
      </c>
      <c r="C1412" t="s">
        <v>17</v>
      </c>
      <c r="D1412" t="s">
        <v>14</v>
      </c>
      <c r="E1412" t="s">
        <v>20</v>
      </c>
      <c r="F1412">
        <v>84</v>
      </c>
      <c r="G1412">
        <v>28</v>
      </c>
      <c r="H1412">
        <v>7</v>
      </c>
      <c r="I1412">
        <v>105</v>
      </c>
      <c r="J1412">
        <v>16</v>
      </c>
      <c r="K1412">
        <v>18456</v>
      </c>
      <c r="L1412">
        <v>1937880</v>
      </c>
      <c r="M1412">
        <f>Inventory_Data[[#This Row],[Opening Stock]]+Inventory_Data[[#This Row],[Purchase Qty]]-Inventory_Data[[#This Row],[Sales Qty]]-Inventory_Data[[#This Row],[Closing Stock]]</f>
        <v>0</v>
      </c>
      <c r="N1412">
        <f>Inventory_Data[[#This Row],[Purchase Qty]]*Inventory_Data[[#This Row],[Unit Cost]]</f>
        <v>516768</v>
      </c>
      <c r="O1412" t="str">
        <f>IF(Inventory_Data[[#This Row],[Closing Stock]]&lt;=Inventory_Data[[#This Row],[Reorder Level]],"Low Stock","In Stock")</f>
        <v>In Stock</v>
      </c>
      <c r="P1412" t="str">
        <f>TEXT(Inventory_Data[[#This Row],[Date]],"MMM")</f>
        <v>Oct</v>
      </c>
      <c r="Q1412" t="str">
        <f>TEXT(Inventory_Data[[#This Row],[Date]],"YYYY")</f>
        <v>2025</v>
      </c>
    </row>
    <row r="1413" spans="1:17" x14ac:dyDescent="0.3">
      <c r="A1413" s="1">
        <v>45954</v>
      </c>
      <c r="B1413" t="s">
        <v>39</v>
      </c>
      <c r="C1413" t="s">
        <v>28</v>
      </c>
      <c r="D1413" t="s">
        <v>23</v>
      </c>
      <c r="E1413" t="s">
        <v>24</v>
      </c>
      <c r="F1413">
        <v>131</v>
      </c>
      <c r="G1413">
        <v>75</v>
      </c>
      <c r="H1413">
        <v>58</v>
      </c>
      <c r="I1413">
        <v>148</v>
      </c>
      <c r="J1413">
        <v>47</v>
      </c>
      <c r="K1413">
        <v>48583</v>
      </c>
      <c r="L1413">
        <v>7190284</v>
      </c>
      <c r="M1413">
        <f>Inventory_Data[[#This Row],[Opening Stock]]+Inventory_Data[[#This Row],[Purchase Qty]]-Inventory_Data[[#This Row],[Sales Qty]]-Inventory_Data[[#This Row],[Closing Stock]]</f>
        <v>0</v>
      </c>
      <c r="N1413">
        <f>Inventory_Data[[#This Row],[Purchase Qty]]*Inventory_Data[[#This Row],[Unit Cost]]</f>
        <v>3643725</v>
      </c>
      <c r="O1413" t="str">
        <f>IF(Inventory_Data[[#This Row],[Closing Stock]]&lt;=Inventory_Data[[#This Row],[Reorder Level]],"Low Stock","In Stock")</f>
        <v>In Stock</v>
      </c>
      <c r="P1413" t="str">
        <f>TEXT(Inventory_Data[[#This Row],[Date]],"MMM")</f>
        <v>Oct</v>
      </c>
      <c r="Q1413" t="str">
        <f>TEXT(Inventory_Data[[#This Row],[Date]],"YYYY")</f>
        <v>2025</v>
      </c>
    </row>
    <row r="1414" spans="1:17" x14ac:dyDescent="0.3">
      <c r="A1414" s="1">
        <v>45954</v>
      </c>
      <c r="B1414" t="s">
        <v>40</v>
      </c>
      <c r="C1414" t="s">
        <v>28</v>
      </c>
      <c r="D1414" t="s">
        <v>26</v>
      </c>
      <c r="E1414" t="s">
        <v>29</v>
      </c>
      <c r="F1414">
        <v>113</v>
      </c>
      <c r="G1414">
        <v>66</v>
      </c>
      <c r="H1414">
        <v>40</v>
      </c>
      <c r="I1414">
        <v>139</v>
      </c>
      <c r="J1414">
        <v>53</v>
      </c>
      <c r="K1414">
        <v>13919</v>
      </c>
      <c r="L1414">
        <v>1934741</v>
      </c>
      <c r="M1414">
        <f>Inventory_Data[[#This Row],[Opening Stock]]+Inventory_Data[[#This Row],[Purchase Qty]]-Inventory_Data[[#This Row],[Sales Qty]]-Inventory_Data[[#This Row],[Closing Stock]]</f>
        <v>0</v>
      </c>
      <c r="N1414">
        <f>Inventory_Data[[#This Row],[Purchase Qty]]*Inventory_Data[[#This Row],[Unit Cost]]</f>
        <v>918654</v>
      </c>
      <c r="O1414" t="str">
        <f>IF(Inventory_Data[[#This Row],[Closing Stock]]&lt;=Inventory_Data[[#This Row],[Reorder Level]],"Low Stock","In Stock")</f>
        <v>In Stock</v>
      </c>
      <c r="P1414" t="str">
        <f>TEXT(Inventory_Data[[#This Row],[Date]],"MMM")</f>
        <v>Oct</v>
      </c>
      <c r="Q1414" t="str">
        <f>TEXT(Inventory_Data[[#This Row],[Date]],"YYYY")</f>
        <v>2025</v>
      </c>
    </row>
    <row r="1415" spans="1:17" x14ac:dyDescent="0.3">
      <c r="A1415" s="1">
        <v>45955</v>
      </c>
      <c r="B1415" t="s">
        <v>33</v>
      </c>
      <c r="C1415" t="s">
        <v>13</v>
      </c>
      <c r="D1415" t="s">
        <v>37</v>
      </c>
      <c r="E1415" t="s">
        <v>29</v>
      </c>
      <c r="F1415">
        <v>113</v>
      </c>
      <c r="G1415">
        <v>11</v>
      </c>
      <c r="H1415">
        <v>62</v>
      </c>
      <c r="I1415">
        <v>62</v>
      </c>
      <c r="J1415">
        <v>34</v>
      </c>
      <c r="K1415">
        <v>9908</v>
      </c>
      <c r="L1415">
        <v>614296</v>
      </c>
      <c r="M1415">
        <f>Inventory_Data[[#This Row],[Opening Stock]]+Inventory_Data[[#This Row],[Purchase Qty]]-Inventory_Data[[#This Row],[Sales Qty]]-Inventory_Data[[#This Row],[Closing Stock]]</f>
        <v>0</v>
      </c>
      <c r="N1415">
        <f>Inventory_Data[[#This Row],[Purchase Qty]]*Inventory_Data[[#This Row],[Unit Cost]]</f>
        <v>108988</v>
      </c>
      <c r="O1415" t="str">
        <f>IF(Inventory_Data[[#This Row],[Closing Stock]]&lt;=Inventory_Data[[#This Row],[Reorder Level]],"Low Stock","In Stock")</f>
        <v>In Stock</v>
      </c>
      <c r="P1415" t="str">
        <f>TEXT(Inventory_Data[[#This Row],[Date]],"MMM")</f>
        <v>Oct</v>
      </c>
      <c r="Q1415" t="str">
        <f>TEXT(Inventory_Data[[#This Row],[Date]],"YYYY")</f>
        <v>2025</v>
      </c>
    </row>
    <row r="1416" spans="1:17" x14ac:dyDescent="0.3">
      <c r="A1416" s="1">
        <v>45955</v>
      </c>
      <c r="B1416" t="s">
        <v>38</v>
      </c>
      <c r="C1416" t="s">
        <v>17</v>
      </c>
      <c r="D1416" t="s">
        <v>14</v>
      </c>
      <c r="E1416" t="s">
        <v>18</v>
      </c>
      <c r="F1416">
        <v>18</v>
      </c>
      <c r="G1416">
        <v>45</v>
      </c>
      <c r="H1416">
        <v>7</v>
      </c>
      <c r="I1416">
        <v>56</v>
      </c>
      <c r="J1416">
        <v>21</v>
      </c>
      <c r="K1416">
        <v>6099</v>
      </c>
      <c r="L1416">
        <v>341544</v>
      </c>
      <c r="M1416">
        <f>Inventory_Data[[#This Row],[Opening Stock]]+Inventory_Data[[#This Row],[Purchase Qty]]-Inventory_Data[[#This Row],[Sales Qty]]-Inventory_Data[[#This Row],[Closing Stock]]</f>
        <v>0</v>
      </c>
      <c r="N1416">
        <f>Inventory_Data[[#This Row],[Purchase Qty]]*Inventory_Data[[#This Row],[Unit Cost]]</f>
        <v>274455</v>
      </c>
      <c r="O1416" t="str">
        <f>IF(Inventory_Data[[#This Row],[Closing Stock]]&lt;=Inventory_Data[[#This Row],[Reorder Level]],"Low Stock","In Stock")</f>
        <v>In Stock</v>
      </c>
      <c r="P1416" t="str">
        <f>TEXT(Inventory_Data[[#This Row],[Date]],"MMM")</f>
        <v>Oct</v>
      </c>
      <c r="Q1416" t="str">
        <f>TEXT(Inventory_Data[[#This Row],[Date]],"YYYY")</f>
        <v>2025</v>
      </c>
    </row>
    <row r="1417" spans="1:17" x14ac:dyDescent="0.3">
      <c r="A1417" s="1">
        <v>45955</v>
      </c>
      <c r="B1417" t="s">
        <v>27</v>
      </c>
      <c r="C1417" t="s">
        <v>28</v>
      </c>
      <c r="D1417" t="s">
        <v>14</v>
      </c>
      <c r="E1417" t="s">
        <v>29</v>
      </c>
      <c r="F1417">
        <v>154</v>
      </c>
      <c r="G1417">
        <v>24</v>
      </c>
      <c r="H1417">
        <v>64</v>
      </c>
      <c r="I1417">
        <v>114</v>
      </c>
      <c r="J1417">
        <v>38</v>
      </c>
      <c r="K1417">
        <v>30791</v>
      </c>
      <c r="L1417">
        <v>3510174</v>
      </c>
      <c r="M1417">
        <f>Inventory_Data[[#This Row],[Opening Stock]]+Inventory_Data[[#This Row],[Purchase Qty]]-Inventory_Data[[#This Row],[Sales Qty]]-Inventory_Data[[#This Row],[Closing Stock]]</f>
        <v>0</v>
      </c>
      <c r="N1417">
        <f>Inventory_Data[[#This Row],[Purchase Qty]]*Inventory_Data[[#This Row],[Unit Cost]]</f>
        <v>738984</v>
      </c>
      <c r="O1417" t="str">
        <f>IF(Inventory_Data[[#This Row],[Closing Stock]]&lt;=Inventory_Data[[#This Row],[Reorder Level]],"Low Stock","In Stock")</f>
        <v>In Stock</v>
      </c>
      <c r="P1417" t="str">
        <f>TEXT(Inventory_Data[[#This Row],[Date]],"MMM")</f>
        <v>Oct</v>
      </c>
      <c r="Q1417" t="str">
        <f>TEXT(Inventory_Data[[#This Row],[Date]],"YYYY")</f>
        <v>2025</v>
      </c>
    </row>
    <row r="1418" spans="1:17" x14ac:dyDescent="0.3">
      <c r="A1418" s="1">
        <v>45955</v>
      </c>
      <c r="B1418" t="s">
        <v>19</v>
      </c>
      <c r="C1418" t="s">
        <v>13</v>
      </c>
      <c r="D1418" t="s">
        <v>23</v>
      </c>
      <c r="E1418" t="s">
        <v>15</v>
      </c>
      <c r="F1418">
        <v>41</v>
      </c>
      <c r="G1418">
        <v>78</v>
      </c>
      <c r="H1418">
        <v>48</v>
      </c>
      <c r="I1418">
        <v>71</v>
      </c>
      <c r="J1418">
        <v>24</v>
      </c>
      <c r="K1418">
        <v>8047</v>
      </c>
      <c r="L1418">
        <v>571337</v>
      </c>
      <c r="M1418">
        <f>Inventory_Data[[#This Row],[Opening Stock]]+Inventory_Data[[#This Row],[Purchase Qty]]-Inventory_Data[[#This Row],[Sales Qty]]-Inventory_Data[[#This Row],[Closing Stock]]</f>
        <v>0</v>
      </c>
      <c r="N1418">
        <f>Inventory_Data[[#This Row],[Purchase Qty]]*Inventory_Data[[#This Row],[Unit Cost]]</f>
        <v>627666</v>
      </c>
      <c r="O1418" t="str">
        <f>IF(Inventory_Data[[#This Row],[Closing Stock]]&lt;=Inventory_Data[[#This Row],[Reorder Level]],"Low Stock","In Stock")</f>
        <v>In Stock</v>
      </c>
      <c r="P1418" t="str">
        <f>TEXT(Inventory_Data[[#This Row],[Date]],"MMM")</f>
        <v>Oct</v>
      </c>
      <c r="Q1418" t="str">
        <f>TEXT(Inventory_Data[[#This Row],[Date]],"YYYY")</f>
        <v>2025</v>
      </c>
    </row>
    <row r="1419" spans="1:17" x14ac:dyDescent="0.3">
      <c r="A1419" s="1">
        <v>45955</v>
      </c>
      <c r="B1419" t="s">
        <v>30</v>
      </c>
      <c r="C1419" t="s">
        <v>28</v>
      </c>
      <c r="D1419" t="s">
        <v>14</v>
      </c>
      <c r="E1419" t="s">
        <v>20</v>
      </c>
      <c r="F1419">
        <v>160</v>
      </c>
      <c r="G1419">
        <v>45</v>
      </c>
      <c r="H1419">
        <v>17</v>
      </c>
      <c r="I1419">
        <v>188</v>
      </c>
      <c r="J1419">
        <v>56</v>
      </c>
      <c r="K1419">
        <v>53291</v>
      </c>
      <c r="L1419">
        <v>10018708</v>
      </c>
      <c r="M1419">
        <f>Inventory_Data[[#This Row],[Opening Stock]]+Inventory_Data[[#This Row],[Purchase Qty]]-Inventory_Data[[#This Row],[Sales Qty]]-Inventory_Data[[#This Row],[Closing Stock]]</f>
        <v>0</v>
      </c>
      <c r="N1419">
        <f>Inventory_Data[[#This Row],[Purchase Qty]]*Inventory_Data[[#This Row],[Unit Cost]]</f>
        <v>2398095</v>
      </c>
      <c r="O1419" t="str">
        <f>IF(Inventory_Data[[#This Row],[Closing Stock]]&lt;=Inventory_Data[[#This Row],[Reorder Level]],"Low Stock","In Stock")</f>
        <v>In Stock</v>
      </c>
      <c r="P1419" t="str">
        <f>TEXT(Inventory_Data[[#This Row],[Date]],"MMM")</f>
        <v>Oct</v>
      </c>
      <c r="Q1419" t="str">
        <f>TEXT(Inventory_Data[[#This Row],[Date]],"YYYY")</f>
        <v>2025</v>
      </c>
    </row>
    <row r="1420" spans="1:17" x14ac:dyDescent="0.3">
      <c r="A1420" s="1">
        <v>45956</v>
      </c>
      <c r="B1420" t="s">
        <v>33</v>
      </c>
      <c r="C1420" t="s">
        <v>13</v>
      </c>
      <c r="D1420" t="s">
        <v>23</v>
      </c>
      <c r="E1420" t="s">
        <v>34</v>
      </c>
      <c r="F1420">
        <v>53</v>
      </c>
      <c r="G1420">
        <v>77</v>
      </c>
      <c r="H1420">
        <v>8</v>
      </c>
      <c r="I1420">
        <v>122</v>
      </c>
      <c r="J1420">
        <v>29</v>
      </c>
      <c r="K1420">
        <v>16107</v>
      </c>
      <c r="L1420">
        <v>1965054</v>
      </c>
      <c r="M1420">
        <f>Inventory_Data[[#This Row],[Opening Stock]]+Inventory_Data[[#This Row],[Purchase Qty]]-Inventory_Data[[#This Row],[Sales Qty]]-Inventory_Data[[#This Row],[Closing Stock]]</f>
        <v>0</v>
      </c>
      <c r="N1420">
        <f>Inventory_Data[[#This Row],[Purchase Qty]]*Inventory_Data[[#This Row],[Unit Cost]]</f>
        <v>1240239</v>
      </c>
      <c r="O1420" t="str">
        <f>IF(Inventory_Data[[#This Row],[Closing Stock]]&lt;=Inventory_Data[[#This Row],[Reorder Level]],"Low Stock","In Stock")</f>
        <v>In Stock</v>
      </c>
      <c r="P1420" t="str">
        <f>TEXT(Inventory_Data[[#This Row],[Date]],"MMM")</f>
        <v>Oct</v>
      </c>
      <c r="Q1420" t="str">
        <f>TEXT(Inventory_Data[[#This Row],[Date]],"YYYY")</f>
        <v>2025</v>
      </c>
    </row>
    <row r="1421" spans="1:17" x14ac:dyDescent="0.3">
      <c r="A1421" s="1">
        <v>45956</v>
      </c>
      <c r="B1421" t="s">
        <v>43</v>
      </c>
      <c r="C1421" t="s">
        <v>22</v>
      </c>
      <c r="D1421" t="s">
        <v>37</v>
      </c>
      <c r="E1421" t="s">
        <v>34</v>
      </c>
      <c r="F1421">
        <v>126</v>
      </c>
      <c r="G1421">
        <v>166</v>
      </c>
      <c r="H1421">
        <v>29</v>
      </c>
      <c r="I1421">
        <v>263</v>
      </c>
      <c r="J1421">
        <v>132</v>
      </c>
      <c r="K1421">
        <v>459</v>
      </c>
      <c r="L1421">
        <v>120717</v>
      </c>
      <c r="M1421">
        <f>Inventory_Data[[#This Row],[Opening Stock]]+Inventory_Data[[#This Row],[Purchase Qty]]-Inventory_Data[[#This Row],[Sales Qty]]-Inventory_Data[[#This Row],[Closing Stock]]</f>
        <v>0</v>
      </c>
      <c r="N1421">
        <f>Inventory_Data[[#This Row],[Purchase Qty]]*Inventory_Data[[#This Row],[Unit Cost]]</f>
        <v>76194</v>
      </c>
      <c r="O1421" t="str">
        <f>IF(Inventory_Data[[#This Row],[Closing Stock]]&lt;=Inventory_Data[[#This Row],[Reorder Level]],"Low Stock","In Stock")</f>
        <v>In Stock</v>
      </c>
      <c r="P1421" t="str">
        <f>TEXT(Inventory_Data[[#This Row],[Date]],"MMM")</f>
        <v>Oct</v>
      </c>
      <c r="Q1421" t="str">
        <f>TEXT(Inventory_Data[[#This Row],[Date]],"YYYY")</f>
        <v>2025</v>
      </c>
    </row>
    <row r="1422" spans="1:17" x14ac:dyDescent="0.3">
      <c r="A1422" s="1">
        <v>45956</v>
      </c>
      <c r="B1422" t="s">
        <v>33</v>
      </c>
      <c r="C1422" t="s">
        <v>13</v>
      </c>
      <c r="D1422" t="s">
        <v>14</v>
      </c>
      <c r="E1422" t="s">
        <v>24</v>
      </c>
      <c r="F1422">
        <v>48</v>
      </c>
      <c r="G1422">
        <v>53</v>
      </c>
      <c r="H1422">
        <v>20</v>
      </c>
      <c r="I1422">
        <v>81</v>
      </c>
      <c r="J1422">
        <v>39</v>
      </c>
      <c r="K1422">
        <v>17784</v>
      </c>
      <c r="L1422">
        <v>1440504</v>
      </c>
      <c r="M1422">
        <f>Inventory_Data[[#This Row],[Opening Stock]]+Inventory_Data[[#This Row],[Purchase Qty]]-Inventory_Data[[#This Row],[Sales Qty]]-Inventory_Data[[#This Row],[Closing Stock]]</f>
        <v>0</v>
      </c>
      <c r="N1422">
        <f>Inventory_Data[[#This Row],[Purchase Qty]]*Inventory_Data[[#This Row],[Unit Cost]]</f>
        <v>942552</v>
      </c>
      <c r="O1422" t="str">
        <f>IF(Inventory_Data[[#This Row],[Closing Stock]]&lt;=Inventory_Data[[#This Row],[Reorder Level]],"Low Stock","In Stock")</f>
        <v>In Stock</v>
      </c>
      <c r="P1422" t="str">
        <f>TEXT(Inventory_Data[[#This Row],[Date]],"MMM")</f>
        <v>Oct</v>
      </c>
      <c r="Q1422" t="str">
        <f>TEXT(Inventory_Data[[#This Row],[Date]],"YYYY")</f>
        <v>2025</v>
      </c>
    </row>
    <row r="1423" spans="1:17" x14ac:dyDescent="0.3">
      <c r="A1423" s="1">
        <v>45957</v>
      </c>
      <c r="B1423" t="s">
        <v>43</v>
      </c>
      <c r="C1423" t="s">
        <v>22</v>
      </c>
      <c r="D1423" t="s">
        <v>23</v>
      </c>
      <c r="E1423" t="s">
        <v>20</v>
      </c>
      <c r="F1423">
        <v>475</v>
      </c>
      <c r="G1423">
        <v>75</v>
      </c>
      <c r="H1423">
        <v>104</v>
      </c>
      <c r="I1423">
        <v>446</v>
      </c>
      <c r="J1423">
        <v>78</v>
      </c>
      <c r="K1423">
        <v>83</v>
      </c>
      <c r="L1423">
        <v>37018</v>
      </c>
      <c r="M1423">
        <f>Inventory_Data[[#This Row],[Opening Stock]]+Inventory_Data[[#This Row],[Purchase Qty]]-Inventory_Data[[#This Row],[Sales Qty]]-Inventory_Data[[#This Row],[Closing Stock]]</f>
        <v>0</v>
      </c>
      <c r="N1423">
        <f>Inventory_Data[[#This Row],[Purchase Qty]]*Inventory_Data[[#This Row],[Unit Cost]]</f>
        <v>6225</v>
      </c>
      <c r="O1423" t="str">
        <f>IF(Inventory_Data[[#This Row],[Closing Stock]]&lt;=Inventory_Data[[#This Row],[Reorder Level]],"Low Stock","In Stock")</f>
        <v>In Stock</v>
      </c>
      <c r="P1423" t="str">
        <f>TEXT(Inventory_Data[[#This Row],[Date]],"MMM")</f>
        <v>Oct</v>
      </c>
      <c r="Q1423" t="str">
        <f>TEXT(Inventory_Data[[#This Row],[Date]],"YYYY")</f>
        <v>2025</v>
      </c>
    </row>
    <row r="1424" spans="1:17" x14ac:dyDescent="0.3">
      <c r="A1424" s="1">
        <v>45957</v>
      </c>
      <c r="B1424" t="s">
        <v>12</v>
      </c>
      <c r="C1424" t="s">
        <v>13</v>
      </c>
      <c r="D1424" t="s">
        <v>37</v>
      </c>
      <c r="E1424" t="s">
        <v>34</v>
      </c>
      <c r="F1424">
        <v>81</v>
      </c>
      <c r="G1424">
        <v>74</v>
      </c>
      <c r="H1424">
        <v>64</v>
      </c>
      <c r="I1424">
        <v>91</v>
      </c>
      <c r="J1424">
        <v>27</v>
      </c>
      <c r="K1424">
        <v>9510</v>
      </c>
      <c r="L1424">
        <v>865410</v>
      </c>
      <c r="M1424">
        <f>Inventory_Data[[#This Row],[Opening Stock]]+Inventory_Data[[#This Row],[Purchase Qty]]-Inventory_Data[[#This Row],[Sales Qty]]-Inventory_Data[[#This Row],[Closing Stock]]</f>
        <v>0</v>
      </c>
      <c r="N1424">
        <f>Inventory_Data[[#This Row],[Purchase Qty]]*Inventory_Data[[#This Row],[Unit Cost]]</f>
        <v>703740</v>
      </c>
      <c r="O1424" t="str">
        <f>IF(Inventory_Data[[#This Row],[Closing Stock]]&lt;=Inventory_Data[[#This Row],[Reorder Level]],"Low Stock","In Stock")</f>
        <v>In Stock</v>
      </c>
      <c r="P1424" t="str">
        <f>TEXT(Inventory_Data[[#This Row],[Date]],"MMM")</f>
        <v>Oct</v>
      </c>
      <c r="Q1424" t="str">
        <f>TEXT(Inventory_Data[[#This Row],[Date]],"YYYY")</f>
        <v>2025</v>
      </c>
    </row>
    <row r="1425" spans="1:17" x14ac:dyDescent="0.3">
      <c r="A1425" s="1">
        <v>45957</v>
      </c>
      <c r="B1425" t="s">
        <v>21</v>
      </c>
      <c r="C1425" t="s">
        <v>22</v>
      </c>
      <c r="D1425" t="s">
        <v>23</v>
      </c>
      <c r="E1425" t="s">
        <v>20</v>
      </c>
      <c r="F1425">
        <v>159</v>
      </c>
      <c r="G1425">
        <v>225</v>
      </c>
      <c r="H1425">
        <v>161</v>
      </c>
      <c r="I1425">
        <v>223</v>
      </c>
      <c r="J1425">
        <v>124</v>
      </c>
      <c r="K1425">
        <v>167</v>
      </c>
      <c r="L1425">
        <v>37241</v>
      </c>
      <c r="M1425">
        <f>Inventory_Data[[#This Row],[Opening Stock]]+Inventory_Data[[#This Row],[Purchase Qty]]-Inventory_Data[[#This Row],[Sales Qty]]-Inventory_Data[[#This Row],[Closing Stock]]</f>
        <v>0</v>
      </c>
      <c r="N1425">
        <f>Inventory_Data[[#This Row],[Purchase Qty]]*Inventory_Data[[#This Row],[Unit Cost]]</f>
        <v>37575</v>
      </c>
      <c r="O1425" t="str">
        <f>IF(Inventory_Data[[#This Row],[Closing Stock]]&lt;=Inventory_Data[[#This Row],[Reorder Level]],"Low Stock","In Stock")</f>
        <v>In Stock</v>
      </c>
      <c r="P1425" t="str">
        <f>TEXT(Inventory_Data[[#This Row],[Date]],"MMM")</f>
        <v>Oct</v>
      </c>
      <c r="Q1425" t="str">
        <f>TEXT(Inventory_Data[[#This Row],[Date]],"YYYY")</f>
        <v>2025</v>
      </c>
    </row>
    <row r="1426" spans="1:17" x14ac:dyDescent="0.3">
      <c r="A1426" s="1">
        <v>45957</v>
      </c>
      <c r="B1426" t="s">
        <v>43</v>
      </c>
      <c r="C1426" t="s">
        <v>22</v>
      </c>
      <c r="D1426" t="s">
        <v>23</v>
      </c>
      <c r="E1426" t="s">
        <v>29</v>
      </c>
      <c r="F1426">
        <v>452</v>
      </c>
      <c r="G1426">
        <v>165</v>
      </c>
      <c r="H1426">
        <v>64</v>
      </c>
      <c r="I1426">
        <v>553</v>
      </c>
      <c r="J1426">
        <v>143</v>
      </c>
      <c r="K1426">
        <v>272</v>
      </c>
      <c r="L1426">
        <v>150416</v>
      </c>
      <c r="M1426">
        <f>Inventory_Data[[#This Row],[Opening Stock]]+Inventory_Data[[#This Row],[Purchase Qty]]-Inventory_Data[[#This Row],[Sales Qty]]-Inventory_Data[[#This Row],[Closing Stock]]</f>
        <v>0</v>
      </c>
      <c r="N1426">
        <f>Inventory_Data[[#This Row],[Purchase Qty]]*Inventory_Data[[#This Row],[Unit Cost]]</f>
        <v>44880</v>
      </c>
      <c r="O1426" t="str">
        <f>IF(Inventory_Data[[#This Row],[Closing Stock]]&lt;=Inventory_Data[[#This Row],[Reorder Level]],"Low Stock","In Stock")</f>
        <v>In Stock</v>
      </c>
      <c r="P1426" t="str">
        <f>TEXT(Inventory_Data[[#This Row],[Date]],"MMM")</f>
        <v>Oct</v>
      </c>
      <c r="Q1426" t="str">
        <f>TEXT(Inventory_Data[[#This Row],[Date]],"YYYY")</f>
        <v>2025</v>
      </c>
    </row>
    <row r="1427" spans="1:17" x14ac:dyDescent="0.3">
      <c r="A1427" s="1">
        <v>45957</v>
      </c>
      <c r="B1427" t="s">
        <v>16</v>
      </c>
      <c r="C1427" t="s">
        <v>17</v>
      </c>
      <c r="D1427" t="s">
        <v>37</v>
      </c>
      <c r="E1427" t="s">
        <v>29</v>
      </c>
      <c r="F1427">
        <v>69</v>
      </c>
      <c r="G1427">
        <v>43</v>
      </c>
      <c r="H1427">
        <v>42</v>
      </c>
      <c r="I1427">
        <v>70</v>
      </c>
      <c r="J1427">
        <v>19</v>
      </c>
      <c r="K1427">
        <v>10864</v>
      </c>
      <c r="L1427">
        <v>760480</v>
      </c>
      <c r="M1427">
        <f>Inventory_Data[[#This Row],[Opening Stock]]+Inventory_Data[[#This Row],[Purchase Qty]]-Inventory_Data[[#This Row],[Sales Qty]]-Inventory_Data[[#This Row],[Closing Stock]]</f>
        <v>0</v>
      </c>
      <c r="N1427">
        <f>Inventory_Data[[#This Row],[Purchase Qty]]*Inventory_Data[[#This Row],[Unit Cost]]</f>
        <v>467152</v>
      </c>
      <c r="O1427" t="str">
        <f>IF(Inventory_Data[[#This Row],[Closing Stock]]&lt;=Inventory_Data[[#This Row],[Reorder Level]],"Low Stock","In Stock")</f>
        <v>In Stock</v>
      </c>
      <c r="P1427" t="str">
        <f>TEXT(Inventory_Data[[#This Row],[Date]],"MMM")</f>
        <v>Oct</v>
      </c>
      <c r="Q1427" t="str">
        <f>TEXT(Inventory_Data[[#This Row],[Date]],"YYYY")</f>
        <v>2025</v>
      </c>
    </row>
    <row r="1428" spans="1:17" x14ac:dyDescent="0.3">
      <c r="A1428" s="1">
        <v>45958</v>
      </c>
      <c r="B1428" t="s">
        <v>42</v>
      </c>
      <c r="C1428" t="s">
        <v>17</v>
      </c>
      <c r="D1428" t="s">
        <v>14</v>
      </c>
      <c r="E1428" t="s">
        <v>29</v>
      </c>
      <c r="F1428">
        <v>98</v>
      </c>
      <c r="G1428">
        <v>47</v>
      </c>
      <c r="H1428">
        <v>23</v>
      </c>
      <c r="I1428">
        <v>122</v>
      </c>
      <c r="J1428">
        <v>10</v>
      </c>
      <c r="K1428">
        <v>13118</v>
      </c>
      <c r="L1428">
        <v>1600396</v>
      </c>
      <c r="M1428">
        <f>Inventory_Data[[#This Row],[Opening Stock]]+Inventory_Data[[#This Row],[Purchase Qty]]-Inventory_Data[[#This Row],[Sales Qty]]-Inventory_Data[[#This Row],[Closing Stock]]</f>
        <v>0</v>
      </c>
      <c r="N1428">
        <f>Inventory_Data[[#This Row],[Purchase Qty]]*Inventory_Data[[#This Row],[Unit Cost]]</f>
        <v>616546</v>
      </c>
      <c r="O1428" t="str">
        <f>IF(Inventory_Data[[#This Row],[Closing Stock]]&lt;=Inventory_Data[[#This Row],[Reorder Level]],"Low Stock","In Stock")</f>
        <v>In Stock</v>
      </c>
      <c r="P1428" t="str">
        <f>TEXT(Inventory_Data[[#This Row],[Date]],"MMM")</f>
        <v>Oct</v>
      </c>
      <c r="Q1428" t="str">
        <f>TEXT(Inventory_Data[[#This Row],[Date]],"YYYY")</f>
        <v>2025</v>
      </c>
    </row>
    <row r="1429" spans="1:17" x14ac:dyDescent="0.3">
      <c r="A1429" s="1">
        <v>45958</v>
      </c>
      <c r="B1429" t="s">
        <v>27</v>
      </c>
      <c r="C1429" t="s">
        <v>28</v>
      </c>
      <c r="D1429" t="s">
        <v>14</v>
      </c>
      <c r="E1429" t="s">
        <v>24</v>
      </c>
      <c r="F1429">
        <v>60</v>
      </c>
      <c r="G1429">
        <v>47</v>
      </c>
      <c r="H1429">
        <v>23</v>
      </c>
      <c r="I1429">
        <v>84</v>
      </c>
      <c r="J1429">
        <v>40</v>
      </c>
      <c r="K1429">
        <v>64045</v>
      </c>
      <c r="L1429">
        <v>5379780</v>
      </c>
      <c r="M1429">
        <f>Inventory_Data[[#This Row],[Opening Stock]]+Inventory_Data[[#This Row],[Purchase Qty]]-Inventory_Data[[#This Row],[Sales Qty]]-Inventory_Data[[#This Row],[Closing Stock]]</f>
        <v>0</v>
      </c>
      <c r="N1429">
        <f>Inventory_Data[[#This Row],[Purchase Qty]]*Inventory_Data[[#This Row],[Unit Cost]]</f>
        <v>3010115</v>
      </c>
      <c r="O1429" t="str">
        <f>IF(Inventory_Data[[#This Row],[Closing Stock]]&lt;=Inventory_Data[[#This Row],[Reorder Level]],"Low Stock","In Stock")</f>
        <v>In Stock</v>
      </c>
      <c r="P1429" t="str">
        <f>TEXT(Inventory_Data[[#This Row],[Date]],"MMM")</f>
        <v>Oct</v>
      </c>
      <c r="Q1429" t="str">
        <f>TEXT(Inventory_Data[[#This Row],[Date]],"YYYY")</f>
        <v>2025</v>
      </c>
    </row>
    <row r="1430" spans="1:17" x14ac:dyDescent="0.3">
      <c r="A1430" s="1">
        <v>45958</v>
      </c>
      <c r="B1430" t="s">
        <v>44</v>
      </c>
      <c r="C1430" t="s">
        <v>28</v>
      </c>
      <c r="D1430" t="s">
        <v>14</v>
      </c>
      <c r="E1430" t="s">
        <v>34</v>
      </c>
      <c r="F1430">
        <v>141</v>
      </c>
      <c r="G1430">
        <v>56</v>
      </c>
      <c r="H1430">
        <v>71</v>
      </c>
      <c r="I1430">
        <v>126</v>
      </c>
      <c r="J1430">
        <v>47</v>
      </c>
      <c r="K1430">
        <v>40887</v>
      </c>
      <c r="L1430">
        <v>5151762</v>
      </c>
      <c r="M1430">
        <f>Inventory_Data[[#This Row],[Opening Stock]]+Inventory_Data[[#This Row],[Purchase Qty]]-Inventory_Data[[#This Row],[Sales Qty]]-Inventory_Data[[#This Row],[Closing Stock]]</f>
        <v>0</v>
      </c>
      <c r="N1430">
        <f>Inventory_Data[[#This Row],[Purchase Qty]]*Inventory_Data[[#This Row],[Unit Cost]]</f>
        <v>2289672</v>
      </c>
      <c r="O1430" t="str">
        <f>IF(Inventory_Data[[#This Row],[Closing Stock]]&lt;=Inventory_Data[[#This Row],[Reorder Level]],"Low Stock","In Stock")</f>
        <v>In Stock</v>
      </c>
      <c r="P1430" t="str">
        <f>TEXT(Inventory_Data[[#This Row],[Date]],"MMM")</f>
        <v>Oct</v>
      </c>
      <c r="Q1430" t="str">
        <f>TEXT(Inventory_Data[[#This Row],[Date]],"YYYY")</f>
        <v>2025</v>
      </c>
    </row>
    <row r="1431" spans="1:17" x14ac:dyDescent="0.3">
      <c r="A1431" s="1">
        <v>45958</v>
      </c>
      <c r="B1431" t="s">
        <v>41</v>
      </c>
      <c r="C1431" t="s">
        <v>22</v>
      </c>
      <c r="D1431" t="s">
        <v>14</v>
      </c>
      <c r="E1431" t="s">
        <v>34</v>
      </c>
      <c r="F1431">
        <v>160</v>
      </c>
      <c r="G1431">
        <v>109</v>
      </c>
      <c r="H1431">
        <v>149</v>
      </c>
      <c r="I1431">
        <v>120</v>
      </c>
      <c r="J1431">
        <v>82</v>
      </c>
      <c r="K1431">
        <v>452</v>
      </c>
      <c r="L1431">
        <v>54240</v>
      </c>
      <c r="M1431">
        <f>Inventory_Data[[#This Row],[Opening Stock]]+Inventory_Data[[#This Row],[Purchase Qty]]-Inventory_Data[[#This Row],[Sales Qty]]-Inventory_Data[[#This Row],[Closing Stock]]</f>
        <v>0</v>
      </c>
      <c r="N1431">
        <f>Inventory_Data[[#This Row],[Purchase Qty]]*Inventory_Data[[#This Row],[Unit Cost]]</f>
        <v>49268</v>
      </c>
      <c r="O1431" t="str">
        <f>IF(Inventory_Data[[#This Row],[Closing Stock]]&lt;=Inventory_Data[[#This Row],[Reorder Level]],"Low Stock","In Stock")</f>
        <v>In Stock</v>
      </c>
      <c r="P1431" t="str">
        <f>TEXT(Inventory_Data[[#This Row],[Date]],"MMM")</f>
        <v>Oct</v>
      </c>
      <c r="Q1431" t="str">
        <f>TEXT(Inventory_Data[[#This Row],[Date]],"YYYY")</f>
        <v>2025</v>
      </c>
    </row>
    <row r="1432" spans="1:17" x14ac:dyDescent="0.3">
      <c r="A1432" s="1">
        <v>45958</v>
      </c>
      <c r="B1432" t="s">
        <v>45</v>
      </c>
      <c r="C1432" t="s">
        <v>13</v>
      </c>
      <c r="D1432" t="s">
        <v>23</v>
      </c>
      <c r="E1432" t="s">
        <v>18</v>
      </c>
      <c r="F1432">
        <v>104</v>
      </c>
      <c r="G1432">
        <v>26</v>
      </c>
      <c r="H1432">
        <v>53</v>
      </c>
      <c r="I1432">
        <v>77</v>
      </c>
      <c r="J1432">
        <v>39</v>
      </c>
      <c r="K1432">
        <v>12420</v>
      </c>
      <c r="L1432">
        <v>956340</v>
      </c>
      <c r="M1432">
        <f>Inventory_Data[[#This Row],[Opening Stock]]+Inventory_Data[[#This Row],[Purchase Qty]]-Inventory_Data[[#This Row],[Sales Qty]]-Inventory_Data[[#This Row],[Closing Stock]]</f>
        <v>0</v>
      </c>
      <c r="N1432">
        <f>Inventory_Data[[#This Row],[Purchase Qty]]*Inventory_Data[[#This Row],[Unit Cost]]</f>
        <v>322920</v>
      </c>
      <c r="O1432" t="str">
        <f>IF(Inventory_Data[[#This Row],[Closing Stock]]&lt;=Inventory_Data[[#This Row],[Reorder Level]],"Low Stock","In Stock")</f>
        <v>In Stock</v>
      </c>
      <c r="P1432" t="str">
        <f>TEXT(Inventory_Data[[#This Row],[Date]],"MMM")</f>
        <v>Oct</v>
      </c>
      <c r="Q1432" t="str">
        <f>TEXT(Inventory_Data[[#This Row],[Date]],"YYYY")</f>
        <v>2025</v>
      </c>
    </row>
    <row r="1433" spans="1:17" x14ac:dyDescent="0.3">
      <c r="A1433" s="1">
        <v>45958</v>
      </c>
      <c r="B1433" t="s">
        <v>16</v>
      </c>
      <c r="C1433" t="s">
        <v>17</v>
      </c>
      <c r="D1433" t="s">
        <v>14</v>
      </c>
      <c r="E1433" t="s">
        <v>20</v>
      </c>
      <c r="F1433">
        <v>42</v>
      </c>
      <c r="G1433">
        <v>11</v>
      </c>
      <c r="H1433">
        <v>23</v>
      </c>
      <c r="I1433">
        <v>30</v>
      </c>
      <c r="J1433">
        <v>23</v>
      </c>
      <c r="K1433">
        <v>15968</v>
      </c>
      <c r="L1433">
        <v>479040</v>
      </c>
      <c r="M1433">
        <f>Inventory_Data[[#This Row],[Opening Stock]]+Inventory_Data[[#This Row],[Purchase Qty]]-Inventory_Data[[#This Row],[Sales Qty]]-Inventory_Data[[#This Row],[Closing Stock]]</f>
        <v>0</v>
      </c>
      <c r="N1433">
        <f>Inventory_Data[[#This Row],[Purchase Qty]]*Inventory_Data[[#This Row],[Unit Cost]]</f>
        <v>175648</v>
      </c>
      <c r="O1433" t="str">
        <f>IF(Inventory_Data[[#This Row],[Closing Stock]]&lt;=Inventory_Data[[#This Row],[Reorder Level]],"Low Stock","In Stock")</f>
        <v>In Stock</v>
      </c>
      <c r="P1433" t="str">
        <f>TEXT(Inventory_Data[[#This Row],[Date]],"MMM")</f>
        <v>Oct</v>
      </c>
      <c r="Q1433" t="str">
        <f>TEXT(Inventory_Data[[#This Row],[Date]],"YYYY")</f>
        <v>2025</v>
      </c>
    </row>
    <row r="1434" spans="1:17" x14ac:dyDescent="0.3">
      <c r="A1434" s="1">
        <v>45959</v>
      </c>
      <c r="B1434" t="s">
        <v>21</v>
      </c>
      <c r="C1434" t="s">
        <v>22</v>
      </c>
      <c r="D1434" t="s">
        <v>26</v>
      </c>
      <c r="E1434" t="s">
        <v>20</v>
      </c>
      <c r="F1434">
        <v>409</v>
      </c>
      <c r="G1434">
        <v>267</v>
      </c>
      <c r="H1434">
        <v>144</v>
      </c>
      <c r="I1434">
        <v>532</v>
      </c>
      <c r="J1434">
        <v>145</v>
      </c>
      <c r="K1434">
        <v>682</v>
      </c>
      <c r="L1434">
        <v>362824</v>
      </c>
      <c r="M1434">
        <f>Inventory_Data[[#This Row],[Opening Stock]]+Inventory_Data[[#This Row],[Purchase Qty]]-Inventory_Data[[#This Row],[Sales Qty]]-Inventory_Data[[#This Row],[Closing Stock]]</f>
        <v>0</v>
      </c>
      <c r="N1434">
        <f>Inventory_Data[[#This Row],[Purchase Qty]]*Inventory_Data[[#This Row],[Unit Cost]]</f>
        <v>182094</v>
      </c>
      <c r="O1434" t="str">
        <f>IF(Inventory_Data[[#This Row],[Closing Stock]]&lt;=Inventory_Data[[#This Row],[Reorder Level]],"Low Stock","In Stock")</f>
        <v>In Stock</v>
      </c>
      <c r="P1434" t="str">
        <f>TEXT(Inventory_Data[[#This Row],[Date]],"MMM")</f>
        <v>Oct</v>
      </c>
      <c r="Q1434" t="str">
        <f>TEXT(Inventory_Data[[#This Row],[Date]],"YYYY")</f>
        <v>2025</v>
      </c>
    </row>
    <row r="1435" spans="1:17" x14ac:dyDescent="0.3">
      <c r="A1435" s="1">
        <v>45959</v>
      </c>
      <c r="B1435" t="s">
        <v>35</v>
      </c>
      <c r="C1435" t="s">
        <v>22</v>
      </c>
      <c r="D1435" t="s">
        <v>14</v>
      </c>
      <c r="E1435" t="s">
        <v>15</v>
      </c>
      <c r="F1435">
        <v>181</v>
      </c>
      <c r="G1435">
        <v>149</v>
      </c>
      <c r="H1435">
        <v>225</v>
      </c>
      <c r="I1435">
        <v>105</v>
      </c>
      <c r="J1435">
        <v>110</v>
      </c>
      <c r="K1435">
        <v>1179</v>
      </c>
      <c r="L1435">
        <v>123795</v>
      </c>
      <c r="M1435">
        <f>Inventory_Data[[#This Row],[Opening Stock]]+Inventory_Data[[#This Row],[Purchase Qty]]-Inventory_Data[[#This Row],[Sales Qty]]-Inventory_Data[[#This Row],[Closing Stock]]</f>
        <v>0</v>
      </c>
      <c r="N1435">
        <f>Inventory_Data[[#This Row],[Purchase Qty]]*Inventory_Data[[#This Row],[Unit Cost]]</f>
        <v>175671</v>
      </c>
      <c r="O1435" t="str">
        <f>IF(Inventory_Data[[#This Row],[Closing Stock]]&lt;=Inventory_Data[[#This Row],[Reorder Level]],"Low Stock","In Stock")</f>
        <v>Low Stock</v>
      </c>
      <c r="P1435" t="str">
        <f>TEXT(Inventory_Data[[#This Row],[Date]],"MMM")</f>
        <v>Oct</v>
      </c>
      <c r="Q1435" t="str">
        <f>TEXT(Inventory_Data[[#This Row],[Date]],"YYYY")</f>
        <v>2025</v>
      </c>
    </row>
    <row r="1436" spans="1:17" x14ac:dyDescent="0.3">
      <c r="A1436" s="1">
        <v>45959</v>
      </c>
      <c r="B1436" t="s">
        <v>16</v>
      </c>
      <c r="C1436" t="s">
        <v>17</v>
      </c>
      <c r="D1436" t="s">
        <v>37</v>
      </c>
      <c r="E1436" t="s">
        <v>24</v>
      </c>
      <c r="F1436">
        <v>81</v>
      </c>
      <c r="G1436">
        <v>39</v>
      </c>
      <c r="H1436">
        <v>40</v>
      </c>
      <c r="I1436">
        <v>80</v>
      </c>
      <c r="J1436">
        <v>28</v>
      </c>
      <c r="K1436">
        <v>9399</v>
      </c>
      <c r="L1436">
        <v>751920</v>
      </c>
      <c r="M1436">
        <f>Inventory_Data[[#This Row],[Opening Stock]]+Inventory_Data[[#This Row],[Purchase Qty]]-Inventory_Data[[#This Row],[Sales Qty]]-Inventory_Data[[#This Row],[Closing Stock]]</f>
        <v>0</v>
      </c>
      <c r="N1436">
        <f>Inventory_Data[[#This Row],[Purchase Qty]]*Inventory_Data[[#This Row],[Unit Cost]]</f>
        <v>366561</v>
      </c>
      <c r="O1436" t="str">
        <f>IF(Inventory_Data[[#This Row],[Closing Stock]]&lt;=Inventory_Data[[#This Row],[Reorder Level]],"Low Stock","In Stock")</f>
        <v>In Stock</v>
      </c>
      <c r="P1436" t="str">
        <f>TEXT(Inventory_Data[[#This Row],[Date]],"MMM")</f>
        <v>Oct</v>
      </c>
      <c r="Q1436" t="str">
        <f>TEXT(Inventory_Data[[#This Row],[Date]],"YYYY")</f>
        <v>2025</v>
      </c>
    </row>
    <row r="1437" spans="1:17" x14ac:dyDescent="0.3">
      <c r="A1437" s="1">
        <v>45959</v>
      </c>
      <c r="B1437" t="s">
        <v>43</v>
      </c>
      <c r="C1437" t="s">
        <v>22</v>
      </c>
      <c r="D1437" t="s">
        <v>26</v>
      </c>
      <c r="E1437" t="s">
        <v>18</v>
      </c>
      <c r="F1437">
        <v>219</v>
      </c>
      <c r="G1437">
        <v>163</v>
      </c>
      <c r="H1437">
        <v>50</v>
      </c>
      <c r="I1437">
        <v>332</v>
      </c>
      <c r="J1437">
        <v>74</v>
      </c>
      <c r="K1437">
        <v>250</v>
      </c>
      <c r="L1437">
        <v>83000</v>
      </c>
      <c r="M1437">
        <f>Inventory_Data[[#This Row],[Opening Stock]]+Inventory_Data[[#This Row],[Purchase Qty]]-Inventory_Data[[#This Row],[Sales Qty]]-Inventory_Data[[#This Row],[Closing Stock]]</f>
        <v>0</v>
      </c>
      <c r="N1437">
        <f>Inventory_Data[[#This Row],[Purchase Qty]]*Inventory_Data[[#This Row],[Unit Cost]]</f>
        <v>40750</v>
      </c>
      <c r="O1437" t="str">
        <f>IF(Inventory_Data[[#This Row],[Closing Stock]]&lt;=Inventory_Data[[#This Row],[Reorder Level]],"Low Stock","In Stock")</f>
        <v>In Stock</v>
      </c>
      <c r="P1437" t="str">
        <f>TEXT(Inventory_Data[[#This Row],[Date]],"MMM")</f>
        <v>Oct</v>
      </c>
      <c r="Q1437" t="str">
        <f>TEXT(Inventory_Data[[#This Row],[Date]],"YYYY")</f>
        <v>2025</v>
      </c>
    </row>
    <row r="1438" spans="1:17" x14ac:dyDescent="0.3">
      <c r="A1438" s="1">
        <v>45959</v>
      </c>
      <c r="B1438" t="s">
        <v>19</v>
      </c>
      <c r="C1438" t="s">
        <v>13</v>
      </c>
      <c r="D1438" t="s">
        <v>23</v>
      </c>
      <c r="E1438" t="s">
        <v>34</v>
      </c>
      <c r="F1438">
        <v>45</v>
      </c>
      <c r="G1438">
        <v>13</v>
      </c>
      <c r="H1438">
        <v>17</v>
      </c>
      <c r="I1438">
        <v>41</v>
      </c>
      <c r="J1438">
        <v>24</v>
      </c>
      <c r="K1438">
        <v>16665</v>
      </c>
      <c r="L1438">
        <v>683265</v>
      </c>
      <c r="M1438">
        <f>Inventory_Data[[#This Row],[Opening Stock]]+Inventory_Data[[#This Row],[Purchase Qty]]-Inventory_Data[[#This Row],[Sales Qty]]-Inventory_Data[[#This Row],[Closing Stock]]</f>
        <v>0</v>
      </c>
      <c r="N1438">
        <f>Inventory_Data[[#This Row],[Purchase Qty]]*Inventory_Data[[#This Row],[Unit Cost]]</f>
        <v>216645</v>
      </c>
      <c r="O1438" t="str">
        <f>IF(Inventory_Data[[#This Row],[Closing Stock]]&lt;=Inventory_Data[[#This Row],[Reorder Level]],"Low Stock","In Stock")</f>
        <v>In Stock</v>
      </c>
      <c r="P1438" t="str">
        <f>TEXT(Inventory_Data[[#This Row],[Date]],"MMM")</f>
        <v>Oct</v>
      </c>
      <c r="Q1438" t="str">
        <f>TEXT(Inventory_Data[[#This Row],[Date]],"YYYY")</f>
        <v>2025</v>
      </c>
    </row>
    <row r="1439" spans="1:17" x14ac:dyDescent="0.3">
      <c r="A1439" s="1">
        <v>45959</v>
      </c>
      <c r="B1439" t="s">
        <v>40</v>
      </c>
      <c r="C1439" t="s">
        <v>28</v>
      </c>
      <c r="D1439" t="s">
        <v>14</v>
      </c>
      <c r="E1439" t="s">
        <v>15</v>
      </c>
      <c r="F1439">
        <v>125</v>
      </c>
      <c r="G1439">
        <v>43</v>
      </c>
      <c r="H1439">
        <v>29</v>
      </c>
      <c r="I1439">
        <v>139</v>
      </c>
      <c r="J1439">
        <v>48</v>
      </c>
      <c r="K1439">
        <v>20169</v>
      </c>
      <c r="L1439">
        <v>2803491</v>
      </c>
      <c r="M1439">
        <f>Inventory_Data[[#This Row],[Opening Stock]]+Inventory_Data[[#This Row],[Purchase Qty]]-Inventory_Data[[#This Row],[Sales Qty]]-Inventory_Data[[#This Row],[Closing Stock]]</f>
        <v>0</v>
      </c>
      <c r="N1439">
        <f>Inventory_Data[[#This Row],[Purchase Qty]]*Inventory_Data[[#This Row],[Unit Cost]]</f>
        <v>867267</v>
      </c>
      <c r="O1439" t="str">
        <f>IF(Inventory_Data[[#This Row],[Closing Stock]]&lt;=Inventory_Data[[#This Row],[Reorder Level]],"Low Stock","In Stock")</f>
        <v>In Stock</v>
      </c>
      <c r="P1439" t="str">
        <f>TEXT(Inventory_Data[[#This Row],[Date]],"MMM")</f>
        <v>Oct</v>
      </c>
      <c r="Q1439" t="str">
        <f>TEXT(Inventory_Data[[#This Row],[Date]],"YYYY")</f>
        <v>2025</v>
      </c>
    </row>
    <row r="1440" spans="1:17" x14ac:dyDescent="0.3">
      <c r="A1440" s="1">
        <v>45959</v>
      </c>
      <c r="B1440" t="s">
        <v>12</v>
      </c>
      <c r="C1440" t="s">
        <v>13</v>
      </c>
      <c r="D1440" t="s">
        <v>14</v>
      </c>
      <c r="E1440" t="s">
        <v>29</v>
      </c>
      <c r="F1440">
        <v>82</v>
      </c>
      <c r="G1440">
        <v>8</v>
      </c>
      <c r="H1440">
        <v>32</v>
      </c>
      <c r="I1440">
        <v>58</v>
      </c>
      <c r="J1440">
        <v>18</v>
      </c>
      <c r="K1440">
        <v>12134</v>
      </c>
      <c r="L1440">
        <v>703772</v>
      </c>
      <c r="M1440">
        <f>Inventory_Data[[#This Row],[Opening Stock]]+Inventory_Data[[#This Row],[Purchase Qty]]-Inventory_Data[[#This Row],[Sales Qty]]-Inventory_Data[[#This Row],[Closing Stock]]</f>
        <v>0</v>
      </c>
      <c r="N1440">
        <f>Inventory_Data[[#This Row],[Purchase Qty]]*Inventory_Data[[#This Row],[Unit Cost]]</f>
        <v>97072</v>
      </c>
      <c r="O1440" t="str">
        <f>IF(Inventory_Data[[#This Row],[Closing Stock]]&lt;=Inventory_Data[[#This Row],[Reorder Level]],"Low Stock","In Stock")</f>
        <v>In Stock</v>
      </c>
      <c r="P1440" t="str">
        <f>TEXT(Inventory_Data[[#This Row],[Date]],"MMM")</f>
        <v>Oct</v>
      </c>
      <c r="Q1440" t="str">
        <f>TEXT(Inventory_Data[[#This Row],[Date]],"YYYY")</f>
        <v>2025</v>
      </c>
    </row>
    <row r="1441" spans="1:17" x14ac:dyDescent="0.3">
      <c r="A1441" s="1">
        <v>45959</v>
      </c>
      <c r="B1441" t="s">
        <v>42</v>
      </c>
      <c r="C1441" t="s">
        <v>17</v>
      </c>
      <c r="D1441" t="s">
        <v>14</v>
      </c>
      <c r="E1441" t="s">
        <v>24</v>
      </c>
      <c r="F1441">
        <v>55</v>
      </c>
      <c r="G1441">
        <v>21</v>
      </c>
      <c r="H1441">
        <v>3</v>
      </c>
      <c r="I1441">
        <v>73</v>
      </c>
      <c r="J1441">
        <v>14</v>
      </c>
      <c r="K1441">
        <v>23363</v>
      </c>
      <c r="L1441">
        <v>1705499</v>
      </c>
      <c r="M1441">
        <f>Inventory_Data[[#This Row],[Opening Stock]]+Inventory_Data[[#This Row],[Purchase Qty]]-Inventory_Data[[#This Row],[Sales Qty]]-Inventory_Data[[#This Row],[Closing Stock]]</f>
        <v>0</v>
      </c>
      <c r="N1441">
        <f>Inventory_Data[[#This Row],[Purchase Qty]]*Inventory_Data[[#This Row],[Unit Cost]]</f>
        <v>490623</v>
      </c>
      <c r="O1441" t="str">
        <f>IF(Inventory_Data[[#This Row],[Closing Stock]]&lt;=Inventory_Data[[#This Row],[Reorder Level]],"Low Stock","In Stock")</f>
        <v>In Stock</v>
      </c>
      <c r="P1441" t="str">
        <f>TEXT(Inventory_Data[[#This Row],[Date]],"MMM")</f>
        <v>Oct</v>
      </c>
      <c r="Q1441" t="str">
        <f>TEXT(Inventory_Data[[#This Row],[Date]],"YYYY")</f>
        <v>2025</v>
      </c>
    </row>
    <row r="1442" spans="1:17" x14ac:dyDescent="0.3">
      <c r="A1442" s="1">
        <v>45960</v>
      </c>
      <c r="B1442" t="s">
        <v>43</v>
      </c>
      <c r="C1442" t="s">
        <v>22</v>
      </c>
      <c r="D1442" t="s">
        <v>14</v>
      </c>
      <c r="E1442" t="s">
        <v>15</v>
      </c>
      <c r="F1442">
        <v>284</v>
      </c>
      <c r="G1442">
        <v>213</v>
      </c>
      <c r="H1442">
        <v>47</v>
      </c>
      <c r="I1442">
        <v>450</v>
      </c>
      <c r="J1442">
        <v>116</v>
      </c>
      <c r="K1442">
        <v>158</v>
      </c>
      <c r="L1442">
        <v>71100</v>
      </c>
      <c r="M1442">
        <f>Inventory_Data[[#This Row],[Opening Stock]]+Inventory_Data[[#This Row],[Purchase Qty]]-Inventory_Data[[#This Row],[Sales Qty]]-Inventory_Data[[#This Row],[Closing Stock]]</f>
        <v>0</v>
      </c>
      <c r="N1442">
        <f>Inventory_Data[[#This Row],[Purchase Qty]]*Inventory_Data[[#This Row],[Unit Cost]]</f>
        <v>33654</v>
      </c>
      <c r="O1442" t="str">
        <f>IF(Inventory_Data[[#This Row],[Closing Stock]]&lt;=Inventory_Data[[#This Row],[Reorder Level]],"Low Stock","In Stock")</f>
        <v>In Stock</v>
      </c>
      <c r="P1442" t="str">
        <f>TEXT(Inventory_Data[[#This Row],[Date]],"MMM")</f>
        <v>Oct</v>
      </c>
      <c r="Q1442" t="str">
        <f>TEXT(Inventory_Data[[#This Row],[Date]],"YYYY")</f>
        <v>2025</v>
      </c>
    </row>
    <row r="1443" spans="1:17" x14ac:dyDescent="0.3">
      <c r="A1443" s="1">
        <v>45960</v>
      </c>
      <c r="B1443" t="s">
        <v>31</v>
      </c>
      <c r="C1443" t="s">
        <v>22</v>
      </c>
      <c r="D1443" t="s">
        <v>23</v>
      </c>
      <c r="E1443" t="s">
        <v>29</v>
      </c>
      <c r="F1443">
        <v>191</v>
      </c>
      <c r="G1443">
        <v>231</v>
      </c>
      <c r="H1443">
        <v>216</v>
      </c>
      <c r="I1443">
        <v>206</v>
      </c>
      <c r="J1443">
        <v>142</v>
      </c>
      <c r="K1443">
        <v>434</v>
      </c>
      <c r="L1443">
        <v>89404</v>
      </c>
      <c r="M1443">
        <f>Inventory_Data[[#This Row],[Opening Stock]]+Inventory_Data[[#This Row],[Purchase Qty]]-Inventory_Data[[#This Row],[Sales Qty]]-Inventory_Data[[#This Row],[Closing Stock]]</f>
        <v>0</v>
      </c>
      <c r="N1443">
        <f>Inventory_Data[[#This Row],[Purchase Qty]]*Inventory_Data[[#This Row],[Unit Cost]]</f>
        <v>100254</v>
      </c>
      <c r="O1443" t="str">
        <f>IF(Inventory_Data[[#This Row],[Closing Stock]]&lt;=Inventory_Data[[#This Row],[Reorder Level]],"Low Stock","In Stock")</f>
        <v>In Stock</v>
      </c>
      <c r="P1443" t="str">
        <f>TEXT(Inventory_Data[[#This Row],[Date]],"MMM")</f>
        <v>Oct</v>
      </c>
      <c r="Q1443" t="str">
        <f>TEXT(Inventory_Data[[#This Row],[Date]],"YYYY")</f>
        <v>2025</v>
      </c>
    </row>
    <row r="1444" spans="1:17" x14ac:dyDescent="0.3">
      <c r="A1444" s="1">
        <v>45960</v>
      </c>
      <c r="B1444" t="s">
        <v>44</v>
      </c>
      <c r="C1444" t="s">
        <v>28</v>
      </c>
      <c r="D1444" t="s">
        <v>26</v>
      </c>
      <c r="E1444" t="s">
        <v>20</v>
      </c>
      <c r="F1444">
        <v>48</v>
      </c>
      <c r="G1444">
        <v>95</v>
      </c>
      <c r="H1444">
        <v>49</v>
      </c>
      <c r="I1444">
        <v>94</v>
      </c>
      <c r="J1444">
        <v>28</v>
      </c>
      <c r="K1444">
        <v>33644</v>
      </c>
      <c r="L1444">
        <v>3162536</v>
      </c>
      <c r="M1444">
        <f>Inventory_Data[[#This Row],[Opening Stock]]+Inventory_Data[[#This Row],[Purchase Qty]]-Inventory_Data[[#This Row],[Sales Qty]]-Inventory_Data[[#This Row],[Closing Stock]]</f>
        <v>0</v>
      </c>
      <c r="N1444">
        <f>Inventory_Data[[#This Row],[Purchase Qty]]*Inventory_Data[[#This Row],[Unit Cost]]</f>
        <v>3196180</v>
      </c>
      <c r="O1444" t="str">
        <f>IF(Inventory_Data[[#This Row],[Closing Stock]]&lt;=Inventory_Data[[#This Row],[Reorder Level]],"Low Stock","In Stock")</f>
        <v>In Stock</v>
      </c>
      <c r="P1444" t="str">
        <f>TEXT(Inventory_Data[[#This Row],[Date]],"MMM")</f>
        <v>Oct</v>
      </c>
      <c r="Q1444" t="str">
        <f>TEXT(Inventory_Data[[#This Row],[Date]],"YYYY")</f>
        <v>2025</v>
      </c>
    </row>
    <row r="1445" spans="1:17" x14ac:dyDescent="0.3">
      <c r="A1445" s="1">
        <v>45961</v>
      </c>
      <c r="B1445" t="s">
        <v>41</v>
      </c>
      <c r="C1445" t="s">
        <v>22</v>
      </c>
      <c r="D1445" t="s">
        <v>14</v>
      </c>
      <c r="E1445" t="s">
        <v>34</v>
      </c>
      <c r="F1445">
        <v>342</v>
      </c>
      <c r="G1445">
        <v>257</v>
      </c>
      <c r="H1445">
        <v>52</v>
      </c>
      <c r="I1445">
        <v>547</v>
      </c>
      <c r="J1445">
        <v>136</v>
      </c>
      <c r="K1445">
        <v>963</v>
      </c>
      <c r="L1445">
        <v>526761</v>
      </c>
      <c r="M1445">
        <f>Inventory_Data[[#This Row],[Opening Stock]]+Inventory_Data[[#This Row],[Purchase Qty]]-Inventory_Data[[#This Row],[Sales Qty]]-Inventory_Data[[#This Row],[Closing Stock]]</f>
        <v>0</v>
      </c>
      <c r="N1445">
        <f>Inventory_Data[[#This Row],[Purchase Qty]]*Inventory_Data[[#This Row],[Unit Cost]]</f>
        <v>247491</v>
      </c>
      <c r="O1445" t="str">
        <f>IF(Inventory_Data[[#This Row],[Closing Stock]]&lt;=Inventory_Data[[#This Row],[Reorder Level]],"Low Stock","In Stock")</f>
        <v>In Stock</v>
      </c>
      <c r="P1445" t="str">
        <f>TEXT(Inventory_Data[[#This Row],[Date]],"MMM")</f>
        <v>Oct</v>
      </c>
      <c r="Q1445" t="str">
        <f>TEXT(Inventory_Data[[#This Row],[Date]],"YYYY")</f>
        <v>2025</v>
      </c>
    </row>
    <row r="1446" spans="1:17" x14ac:dyDescent="0.3">
      <c r="A1446" s="1">
        <v>45961</v>
      </c>
      <c r="B1446" t="s">
        <v>45</v>
      </c>
      <c r="C1446" t="s">
        <v>13</v>
      </c>
      <c r="D1446" t="s">
        <v>26</v>
      </c>
      <c r="E1446" t="s">
        <v>15</v>
      </c>
      <c r="F1446">
        <v>30</v>
      </c>
      <c r="G1446">
        <v>75</v>
      </c>
      <c r="H1446">
        <v>20</v>
      </c>
      <c r="I1446">
        <v>85</v>
      </c>
      <c r="J1446">
        <v>15</v>
      </c>
      <c r="K1446">
        <v>3546</v>
      </c>
      <c r="L1446">
        <v>301410</v>
      </c>
      <c r="M1446">
        <f>Inventory_Data[[#This Row],[Opening Stock]]+Inventory_Data[[#This Row],[Purchase Qty]]-Inventory_Data[[#This Row],[Sales Qty]]-Inventory_Data[[#This Row],[Closing Stock]]</f>
        <v>0</v>
      </c>
      <c r="N1446">
        <f>Inventory_Data[[#This Row],[Purchase Qty]]*Inventory_Data[[#This Row],[Unit Cost]]</f>
        <v>265950</v>
      </c>
      <c r="O1446" t="str">
        <f>IF(Inventory_Data[[#This Row],[Closing Stock]]&lt;=Inventory_Data[[#This Row],[Reorder Level]],"Low Stock","In Stock")</f>
        <v>In Stock</v>
      </c>
      <c r="P1446" t="str">
        <f>TEXT(Inventory_Data[[#This Row],[Date]],"MMM")</f>
        <v>Oct</v>
      </c>
      <c r="Q1446" t="str">
        <f>TEXT(Inventory_Data[[#This Row],[Date]],"YYYY")</f>
        <v>2025</v>
      </c>
    </row>
    <row r="1447" spans="1:17" x14ac:dyDescent="0.3">
      <c r="A1447" s="1">
        <v>45961</v>
      </c>
      <c r="B1447" t="s">
        <v>12</v>
      </c>
      <c r="C1447" t="s">
        <v>13</v>
      </c>
      <c r="D1447" t="s">
        <v>26</v>
      </c>
      <c r="E1447" t="s">
        <v>18</v>
      </c>
      <c r="F1447">
        <v>26</v>
      </c>
      <c r="G1447">
        <v>73</v>
      </c>
      <c r="H1447">
        <v>39</v>
      </c>
      <c r="I1447">
        <v>60</v>
      </c>
      <c r="J1447">
        <v>23</v>
      </c>
      <c r="K1447">
        <v>7858</v>
      </c>
      <c r="L1447">
        <v>471480</v>
      </c>
      <c r="M1447">
        <f>Inventory_Data[[#This Row],[Opening Stock]]+Inventory_Data[[#This Row],[Purchase Qty]]-Inventory_Data[[#This Row],[Sales Qty]]-Inventory_Data[[#This Row],[Closing Stock]]</f>
        <v>0</v>
      </c>
      <c r="N1447">
        <f>Inventory_Data[[#This Row],[Purchase Qty]]*Inventory_Data[[#This Row],[Unit Cost]]</f>
        <v>573634</v>
      </c>
      <c r="O1447" t="str">
        <f>IF(Inventory_Data[[#This Row],[Closing Stock]]&lt;=Inventory_Data[[#This Row],[Reorder Level]],"Low Stock","In Stock")</f>
        <v>In Stock</v>
      </c>
      <c r="P1447" t="str">
        <f>TEXT(Inventory_Data[[#This Row],[Date]],"MMM")</f>
        <v>Oct</v>
      </c>
      <c r="Q1447" t="str">
        <f>TEXT(Inventory_Data[[#This Row],[Date]],"YYYY")</f>
        <v>2025</v>
      </c>
    </row>
    <row r="1448" spans="1:17" x14ac:dyDescent="0.3">
      <c r="A1448" s="1">
        <v>45961</v>
      </c>
      <c r="B1448" t="s">
        <v>19</v>
      </c>
      <c r="C1448" t="s">
        <v>13</v>
      </c>
      <c r="D1448" t="s">
        <v>26</v>
      </c>
      <c r="E1448" t="s">
        <v>20</v>
      </c>
      <c r="F1448">
        <v>112</v>
      </c>
      <c r="G1448">
        <v>66</v>
      </c>
      <c r="H1448">
        <v>54</v>
      </c>
      <c r="I1448">
        <v>124</v>
      </c>
      <c r="J1448">
        <v>26</v>
      </c>
      <c r="K1448">
        <v>5576</v>
      </c>
      <c r="L1448">
        <v>691424</v>
      </c>
      <c r="M1448">
        <f>Inventory_Data[[#This Row],[Opening Stock]]+Inventory_Data[[#This Row],[Purchase Qty]]-Inventory_Data[[#This Row],[Sales Qty]]-Inventory_Data[[#This Row],[Closing Stock]]</f>
        <v>0</v>
      </c>
      <c r="N1448">
        <f>Inventory_Data[[#This Row],[Purchase Qty]]*Inventory_Data[[#This Row],[Unit Cost]]</f>
        <v>368016</v>
      </c>
      <c r="O1448" t="str">
        <f>IF(Inventory_Data[[#This Row],[Closing Stock]]&lt;=Inventory_Data[[#This Row],[Reorder Level]],"Low Stock","In Stock")</f>
        <v>In Stock</v>
      </c>
      <c r="P1448" t="str">
        <f>TEXT(Inventory_Data[[#This Row],[Date]],"MMM")</f>
        <v>Oct</v>
      </c>
      <c r="Q1448" t="str">
        <f>TEXT(Inventory_Data[[#This Row],[Date]],"YYYY")</f>
        <v>2025</v>
      </c>
    </row>
    <row r="1449" spans="1:17" x14ac:dyDescent="0.3">
      <c r="A1449" s="1">
        <v>45961</v>
      </c>
      <c r="B1449" t="s">
        <v>41</v>
      </c>
      <c r="C1449" t="s">
        <v>22</v>
      </c>
      <c r="D1449" t="s">
        <v>37</v>
      </c>
      <c r="E1449" t="s">
        <v>24</v>
      </c>
      <c r="F1449">
        <v>432</v>
      </c>
      <c r="G1449">
        <v>75</v>
      </c>
      <c r="H1449">
        <v>37</v>
      </c>
      <c r="I1449">
        <v>470</v>
      </c>
      <c r="J1449">
        <v>120</v>
      </c>
      <c r="K1449">
        <v>763</v>
      </c>
      <c r="L1449">
        <v>358610</v>
      </c>
      <c r="M1449">
        <f>Inventory_Data[[#This Row],[Opening Stock]]+Inventory_Data[[#This Row],[Purchase Qty]]-Inventory_Data[[#This Row],[Sales Qty]]-Inventory_Data[[#This Row],[Closing Stock]]</f>
        <v>0</v>
      </c>
      <c r="N1449">
        <f>Inventory_Data[[#This Row],[Purchase Qty]]*Inventory_Data[[#This Row],[Unit Cost]]</f>
        <v>57225</v>
      </c>
      <c r="O1449" t="str">
        <f>IF(Inventory_Data[[#This Row],[Closing Stock]]&lt;=Inventory_Data[[#This Row],[Reorder Level]],"Low Stock","In Stock")</f>
        <v>In Stock</v>
      </c>
      <c r="P1449" t="str">
        <f>TEXT(Inventory_Data[[#This Row],[Date]],"MMM")</f>
        <v>Oct</v>
      </c>
      <c r="Q1449" t="str">
        <f>TEXT(Inventory_Data[[#This Row],[Date]],"YYYY")</f>
        <v>2025</v>
      </c>
    </row>
    <row r="1450" spans="1:17" x14ac:dyDescent="0.3">
      <c r="A1450" s="1">
        <v>45962</v>
      </c>
      <c r="B1450" t="s">
        <v>39</v>
      </c>
      <c r="C1450" t="s">
        <v>28</v>
      </c>
      <c r="D1450" t="s">
        <v>26</v>
      </c>
      <c r="E1450" t="s">
        <v>15</v>
      </c>
      <c r="F1450">
        <v>123</v>
      </c>
      <c r="G1450">
        <v>84</v>
      </c>
      <c r="H1450">
        <v>65</v>
      </c>
      <c r="I1450">
        <v>142</v>
      </c>
      <c r="J1450">
        <v>25</v>
      </c>
      <c r="K1450">
        <v>39650</v>
      </c>
      <c r="L1450">
        <v>5630300</v>
      </c>
      <c r="M1450">
        <f>Inventory_Data[[#This Row],[Opening Stock]]+Inventory_Data[[#This Row],[Purchase Qty]]-Inventory_Data[[#This Row],[Sales Qty]]-Inventory_Data[[#This Row],[Closing Stock]]</f>
        <v>0</v>
      </c>
      <c r="N1450">
        <f>Inventory_Data[[#This Row],[Purchase Qty]]*Inventory_Data[[#This Row],[Unit Cost]]</f>
        <v>3330600</v>
      </c>
      <c r="O1450" t="str">
        <f>IF(Inventory_Data[[#This Row],[Closing Stock]]&lt;=Inventory_Data[[#This Row],[Reorder Level]],"Low Stock","In Stock")</f>
        <v>In Stock</v>
      </c>
      <c r="P1450" t="str">
        <f>TEXT(Inventory_Data[[#This Row],[Date]],"MMM")</f>
        <v>Nov</v>
      </c>
      <c r="Q1450" t="str">
        <f>TEXT(Inventory_Data[[#This Row],[Date]],"YYYY")</f>
        <v>2025</v>
      </c>
    </row>
    <row r="1451" spans="1:17" x14ac:dyDescent="0.3">
      <c r="A1451" s="1">
        <v>45962</v>
      </c>
      <c r="B1451" t="s">
        <v>42</v>
      </c>
      <c r="C1451" t="s">
        <v>17</v>
      </c>
      <c r="D1451" t="s">
        <v>37</v>
      </c>
      <c r="E1451" t="s">
        <v>18</v>
      </c>
      <c r="F1451">
        <v>72</v>
      </c>
      <c r="G1451">
        <v>24</v>
      </c>
      <c r="H1451">
        <v>15</v>
      </c>
      <c r="I1451">
        <v>81</v>
      </c>
      <c r="J1451">
        <v>22</v>
      </c>
      <c r="K1451">
        <v>3128</v>
      </c>
      <c r="L1451">
        <v>253368</v>
      </c>
      <c r="M1451">
        <f>Inventory_Data[[#This Row],[Opening Stock]]+Inventory_Data[[#This Row],[Purchase Qty]]-Inventory_Data[[#This Row],[Sales Qty]]-Inventory_Data[[#This Row],[Closing Stock]]</f>
        <v>0</v>
      </c>
      <c r="N1451">
        <f>Inventory_Data[[#This Row],[Purchase Qty]]*Inventory_Data[[#This Row],[Unit Cost]]</f>
        <v>75072</v>
      </c>
      <c r="O1451" t="str">
        <f>IF(Inventory_Data[[#This Row],[Closing Stock]]&lt;=Inventory_Data[[#This Row],[Reorder Level]],"Low Stock","In Stock")</f>
        <v>In Stock</v>
      </c>
      <c r="P1451" t="str">
        <f>TEXT(Inventory_Data[[#This Row],[Date]],"MMM")</f>
        <v>Nov</v>
      </c>
      <c r="Q1451" t="str">
        <f>TEXT(Inventory_Data[[#This Row],[Date]],"YYYY")</f>
        <v>2025</v>
      </c>
    </row>
    <row r="1452" spans="1:17" x14ac:dyDescent="0.3">
      <c r="A1452" s="1">
        <v>45963</v>
      </c>
      <c r="B1452" t="s">
        <v>39</v>
      </c>
      <c r="C1452" t="s">
        <v>28</v>
      </c>
      <c r="D1452" t="s">
        <v>26</v>
      </c>
      <c r="E1452" t="s">
        <v>34</v>
      </c>
      <c r="F1452">
        <v>165</v>
      </c>
      <c r="G1452">
        <v>27</v>
      </c>
      <c r="H1452">
        <v>20</v>
      </c>
      <c r="I1452">
        <v>172</v>
      </c>
      <c r="J1452">
        <v>24</v>
      </c>
      <c r="K1452">
        <v>28755</v>
      </c>
      <c r="L1452">
        <v>4945860</v>
      </c>
      <c r="M1452">
        <f>Inventory_Data[[#This Row],[Opening Stock]]+Inventory_Data[[#This Row],[Purchase Qty]]-Inventory_Data[[#This Row],[Sales Qty]]-Inventory_Data[[#This Row],[Closing Stock]]</f>
        <v>0</v>
      </c>
      <c r="N1452">
        <f>Inventory_Data[[#This Row],[Purchase Qty]]*Inventory_Data[[#This Row],[Unit Cost]]</f>
        <v>776385</v>
      </c>
      <c r="O1452" t="str">
        <f>IF(Inventory_Data[[#This Row],[Closing Stock]]&lt;=Inventory_Data[[#This Row],[Reorder Level]],"Low Stock","In Stock")</f>
        <v>In Stock</v>
      </c>
      <c r="P1452" t="str">
        <f>TEXT(Inventory_Data[[#This Row],[Date]],"MMM")</f>
        <v>Nov</v>
      </c>
      <c r="Q1452" t="str">
        <f>TEXT(Inventory_Data[[#This Row],[Date]],"YYYY")</f>
        <v>2025</v>
      </c>
    </row>
    <row r="1453" spans="1:17" x14ac:dyDescent="0.3">
      <c r="A1453" s="1">
        <v>45963</v>
      </c>
      <c r="B1453" t="s">
        <v>27</v>
      </c>
      <c r="C1453" t="s">
        <v>28</v>
      </c>
      <c r="D1453" t="s">
        <v>37</v>
      </c>
      <c r="E1453" t="s">
        <v>34</v>
      </c>
      <c r="F1453">
        <v>159</v>
      </c>
      <c r="G1453">
        <v>104</v>
      </c>
      <c r="H1453">
        <v>85</v>
      </c>
      <c r="I1453">
        <v>178</v>
      </c>
      <c r="J1453">
        <v>30</v>
      </c>
      <c r="K1453">
        <v>24576</v>
      </c>
      <c r="L1453">
        <v>4374528</v>
      </c>
      <c r="M1453">
        <f>Inventory_Data[[#This Row],[Opening Stock]]+Inventory_Data[[#This Row],[Purchase Qty]]-Inventory_Data[[#This Row],[Sales Qty]]-Inventory_Data[[#This Row],[Closing Stock]]</f>
        <v>0</v>
      </c>
      <c r="N1453">
        <f>Inventory_Data[[#This Row],[Purchase Qty]]*Inventory_Data[[#This Row],[Unit Cost]]</f>
        <v>2555904</v>
      </c>
      <c r="O1453" t="str">
        <f>IF(Inventory_Data[[#This Row],[Closing Stock]]&lt;=Inventory_Data[[#This Row],[Reorder Level]],"Low Stock","In Stock")</f>
        <v>In Stock</v>
      </c>
      <c r="P1453" t="str">
        <f>TEXT(Inventory_Data[[#This Row],[Date]],"MMM")</f>
        <v>Nov</v>
      </c>
      <c r="Q1453" t="str">
        <f>TEXT(Inventory_Data[[#This Row],[Date]],"YYYY")</f>
        <v>2025</v>
      </c>
    </row>
    <row r="1454" spans="1:17" x14ac:dyDescent="0.3">
      <c r="A1454" s="1">
        <v>45963</v>
      </c>
      <c r="B1454" t="s">
        <v>12</v>
      </c>
      <c r="C1454" t="s">
        <v>13</v>
      </c>
      <c r="D1454" t="s">
        <v>37</v>
      </c>
      <c r="E1454" t="s">
        <v>20</v>
      </c>
      <c r="F1454">
        <v>22</v>
      </c>
      <c r="G1454">
        <v>66</v>
      </c>
      <c r="H1454">
        <v>27</v>
      </c>
      <c r="I1454">
        <v>61</v>
      </c>
      <c r="J1454">
        <v>26</v>
      </c>
      <c r="K1454">
        <v>8848</v>
      </c>
      <c r="L1454">
        <v>539728</v>
      </c>
      <c r="M1454">
        <f>Inventory_Data[[#This Row],[Opening Stock]]+Inventory_Data[[#This Row],[Purchase Qty]]-Inventory_Data[[#This Row],[Sales Qty]]-Inventory_Data[[#This Row],[Closing Stock]]</f>
        <v>0</v>
      </c>
      <c r="N1454">
        <f>Inventory_Data[[#This Row],[Purchase Qty]]*Inventory_Data[[#This Row],[Unit Cost]]</f>
        <v>583968</v>
      </c>
      <c r="O1454" t="str">
        <f>IF(Inventory_Data[[#This Row],[Closing Stock]]&lt;=Inventory_Data[[#This Row],[Reorder Level]],"Low Stock","In Stock")</f>
        <v>In Stock</v>
      </c>
      <c r="P1454" t="str">
        <f>TEXT(Inventory_Data[[#This Row],[Date]],"MMM")</f>
        <v>Nov</v>
      </c>
      <c r="Q1454" t="str">
        <f>TEXT(Inventory_Data[[#This Row],[Date]],"YYYY")</f>
        <v>2025</v>
      </c>
    </row>
    <row r="1455" spans="1:17" x14ac:dyDescent="0.3">
      <c r="A1455" s="1">
        <v>45963</v>
      </c>
      <c r="B1455" t="s">
        <v>39</v>
      </c>
      <c r="C1455" t="s">
        <v>28</v>
      </c>
      <c r="D1455" t="s">
        <v>14</v>
      </c>
      <c r="E1455" t="s">
        <v>20</v>
      </c>
      <c r="F1455">
        <v>143</v>
      </c>
      <c r="G1455">
        <v>28</v>
      </c>
      <c r="H1455">
        <v>5</v>
      </c>
      <c r="I1455">
        <v>166</v>
      </c>
      <c r="J1455">
        <v>51</v>
      </c>
      <c r="K1455">
        <v>36935</v>
      </c>
      <c r="L1455">
        <v>6131210</v>
      </c>
      <c r="M1455">
        <f>Inventory_Data[[#This Row],[Opening Stock]]+Inventory_Data[[#This Row],[Purchase Qty]]-Inventory_Data[[#This Row],[Sales Qty]]-Inventory_Data[[#This Row],[Closing Stock]]</f>
        <v>0</v>
      </c>
      <c r="N1455">
        <f>Inventory_Data[[#This Row],[Purchase Qty]]*Inventory_Data[[#This Row],[Unit Cost]]</f>
        <v>1034180</v>
      </c>
      <c r="O1455" t="str">
        <f>IF(Inventory_Data[[#This Row],[Closing Stock]]&lt;=Inventory_Data[[#This Row],[Reorder Level]],"Low Stock","In Stock")</f>
        <v>In Stock</v>
      </c>
      <c r="P1455" t="str">
        <f>TEXT(Inventory_Data[[#This Row],[Date]],"MMM")</f>
        <v>Nov</v>
      </c>
      <c r="Q1455" t="str">
        <f>TEXT(Inventory_Data[[#This Row],[Date]],"YYYY")</f>
        <v>2025</v>
      </c>
    </row>
    <row r="1456" spans="1:17" x14ac:dyDescent="0.3">
      <c r="A1456" s="1">
        <v>45963</v>
      </c>
      <c r="B1456" t="s">
        <v>30</v>
      </c>
      <c r="C1456" t="s">
        <v>28</v>
      </c>
      <c r="D1456" t="s">
        <v>26</v>
      </c>
      <c r="E1456" t="s">
        <v>20</v>
      </c>
      <c r="F1456">
        <v>21</v>
      </c>
      <c r="G1456">
        <v>24</v>
      </c>
      <c r="H1456">
        <v>41</v>
      </c>
      <c r="I1456">
        <v>4</v>
      </c>
      <c r="J1456">
        <v>51</v>
      </c>
      <c r="K1456">
        <v>12206</v>
      </c>
      <c r="L1456">
        <v>48824</v>
      </c>
      <c r="M1456">
        <f>Inventory_Data[[#This Row],[Opening Stock]]+Inventory_Data[[#This Row],[Purchase Qty]]-Inventory_Data[[#This Row],[Sales Qty]]-Inventory_Data[[#This Row],[Closing Stock]]</f>
        <v>0</v>
      </c>
      <c r="N1456">
        <f>Inventory_Data[[#This Row],[Purchase Qty]]*Inventory_Data[[#This Row],[Unit Cost]]</f>
        <v>292944</v>
      </c>
      <c r="O1456" t="str">
        <f>IF(Inventory_Data[[#This Row],[Closing Stock]]&lt;=Inventory_Data[[#This Row],[Reorder Level]],"Low Stock","In Stock")</f>
        <v>Low Stock</v>
      </c>
      <c r="P1456" t="str">
        <f>TEXT(Inventory_Data[[#This Row],[Date]],"MMM")</f>
        <v>Nov</v>
      </c>
      <c r="Q1456" t="str">
        <f>TEXT(Inventory_Data[[#This Row],[Date]],"YYYY")</f>
        <v>2025</v>
      </c>
    </row>
    <row r="1457" spans="1:17" x14ac:dyDescent="0.3">
      <c r="A1457" s="1">
        <v>45964</v>
      </c>
      <c r="B1457" t="s">
        <v>40</v>
      </c>
      <c r="C1457" t="s">
        <v>28</v>
      </c>
      <c r="D1457" t="s">
        <v>23</v>
      </c>
      <c r="E1457" t="s">
        <v>20</v>
      </c>
      <c r="F1457">
        <v>30</v>
      </c>
      <c r="G1457">
        <v>72</v>
      </c>
      <c r="H1457">
        <v>61</v>
      </c>
      <c r="I1457">
        <v>41</v>
      </c>
      <c r="J1457">
        <v>31</v>
      </c>
      <c r="K1457">
        <v>28318</v>
      </c>
      <c r="L1457">
        <v>1161038</v>
      </c>
      <c r="M1457">
        <f>Inventory_Data[[#This Row],[Opening Stock]]+Inventory_Data[[#This Row],[Purchase Qty]]-Inventory_Data[[#This Row],[Sales Qty]]-Inventory_Data[[#This Row],[Closing Stock]]</f>
        <v>0</v>
      </c>
      <c r="N1457">
        <f>Inventory_Data[[#This Row],[Purchase Qty]]*Inventory_Data[[#This Row],[Unit Cost]]</f>
        <v>2038896</v>
      </c>
      <c r="O1457" t="str">
        <f>IF(Inventory_Data[[#This Row],[Closing Stock]]&lt;=Inventory_Data[[#This Row],[Reorder Level]],"Low Stock","In Stock")</f>
        <v>In Stock</v>
      </c>
      <c r="P1457" t="str">
        <f>TEXT(Inventory_Data[[#This Row],[Date]],"MMM")</f>
        <v>Nov</v>
      </c>
      <c r="Q1457" t="str">
        <f>TEXT(Inventory_Data[[#This Row],[Date]],"YYYY")</f>
        <v>2025</v>
      </c>
    </row>
    <row r="1458" spans="1:17" x14ac:dyDescent="0.3">
      <c r="A1458" s="1">
        <v>45965</v>
      </c>
      <c r="B1458" t="s">
        <v>19</v>
      </c>
      <c r="C1458" t="s">
        <v>13</v>
      </c>
      <c r="D1458" t="s">
        <v>26</v>
      </c>
      <c r="E1458" t="s">
        <v>18</v>
      </c>
      <c r="F1458">
        <v>23</v>
      </c>
      <c r="G1458">
        <v>58</v>
      </c>
      <c r="H1458">
        <v>49</v>
      </c>
      <c r="I1458">
        <v>32</v>
      </c>
      <c r="J1458">
        <v>17</v>
      </c>
      <c r="K1458">
        <v>9959</v>
      </c>
      <c r="L1458">
        <v>318688</v>
      </c>
      <c r="M1458">
        <f>Inventory_Data[[#This Row],[Opening Stock]]+Inventory_Data[[#This Row],[Purchase Qty]]-Inventory_Data[[#This Row],[Sales Qty]]-Inventory_Data[[#This Row],[Closing Stock]]</f>
        <v>0</v>
      </c>
      <c r="N1458">
        <f>Inventory_Data[[#This Row],[Purchase Qty]]*Inventory_Data[[#This Row],[Unit Cost]]</f>
        <v>577622</v>
      </c>
      <c r="O1458" t="str">
        <f>IF(Inventory_Data[[#This Row],[Closing Stock]]&lt;=Inventory_Data[[#This Row],[Reorder Level]],"Low Stock","In Stock")</f>
        <v>In Stock</v>
      </c>
      <c r="P1458" t="str">
        <f>TEXT(Inventory_Data[[#This Row],[Date]],"MMM")</f>
        <v>Nov</v>
      </c>
      <c r="Q1458" t="str">
        <f>TEXT(Inventory_Data[[#This Row],[Date]],"YYYY")</f>
        <v>2025</v>
      </c>
    </row>
    <row r="1459" spans="1:17" x14ac:dyDescent="0.3">
      <c r="A1459" s="1">
        <v>45965</v>
      </c>
      <c r="B1459" t="s">
        <v>25</v>
      </c>
      <c r="C1459" t="s">
        <v>17</v>
      </c>
      <c r="D1459" t="s">
        <v>23</v>
      </c>
      <c r="E1459" t="s">
        <v>18</v>
      </c>
      <c r="F1459">
        <v>80</v>
      </c>
      <c r="G1459">
        <v>6</v>
      </c>
      <c r="H1459">
        <v>24</v>
      </c>
      <c r="I1459">
        <v>62</v>
      </c>
      <c r="J1459">
        <v>17</v>
      </c>
      <c r="K1459">
        <v>11330</v>
      </c>
      <c r="L1459">
        <v>702460</v>
      </c>
      <c r="M1459">
        <f>Inventory_Data[[#This Row],[Opening Stock]]+Inventory_Data[[#This Row],[Purchase Qty]]-Inventory_Data[[#This Row],[Sales Qty]]-Inventory_Data[[#This Row],[Closing Stock]]</f>
        <v>0</v>
      </c>
      <c r="N1459">
        <f>Inventory_Data[[#This Row],[Purchase Qty]]*Inventory_Data[[#This Row],[Unit Cost]]</f>
        <v>67980</v>
      </c>
      <c r="O1459" t="str">
        <f>IF(Inventory_Data[[#This Row],[Closing Stock]]&lt;=Inventory_Data[[#This Row],[Reorder Level]],"Low Stock","In Stock")</f>
        <v>In Stock</v>
      </c>
      <c r="P1459" t="str">
        <f>TEXT(Inventory_Data[[#This Row],[Date]],"MMM")</f>
        <v>Nov</v>
      </c>
      <c r="Q1459" t="str">
        <f>TEXT(Inventory_Data[[#This Row],[Date]],"YYYY")</f>
        <v>2025</v>
      </c>
    </row>
    <row r="1460" spans="1:17" x14ac:dyDescent="0.3">
      <c r="A1460" s="1">
        <v>45965</v>
      </c>
      <c r="B1460" t="s">
        <v>27</v>
      </c>
      <c r="C1460" t="s">
        <v>28</v>
      </c>
      <c r="D1460" t="s">
        <v>23</v>
      </c>
      <c r="E1460" t="s">
        <v>34</v>
      </c>
      <c r="F1460">
        <v>175</v>
      </c>
      <c r="G1460">
        <v>87</v>
      </c>
      <c r="H1460">
        <v>62</v>
      </c>
      <c r="I1460">
        <v>200</v>
      </c>
      <c r="J1460">
        <v>25</v>
      </c>
      <c r="K1460">
        <v>6339</v>
      </c>
      <c r="L1460">
        <v>1267800</v>
      </c>
      <c r="M1460">
        <f>Inventory_Data[[#This Row],[Opening Stock]]+Inventory_Data[[#This Row],[Purchase Qty]]-Inventory_Data[[#This Row],[Sales Qty]]-Inventory_Data[[#This Row],[Closing Stock]]</f>
        <v>0</v>
      </c>
      <c r="N1460">
        <f>Inventory_Data[[#This Row],[Purchase Qty]]*Inventory_Data[[#This Row],[Unit Cost]]</f>
        <v>551493</v>
      </c>
      <c r="O1460" t="str">
        <f>IF(Inventory_Data[[#This Row],[Closing Stock]]&lt;=Inventory_Data[[#This Row],[Reorder Level]],"Low Stock","In Stock")</f>
        <v>In Stock</v>
      </c>
      <c r="P1460" t="str">
        <f>TEXT(Inventory_Data[[#This Row],[Date]],"MMM")</f>
        <v>Nov</v>
      </c>
      <c r="Q1460" t="str">
        <f>TEXT(Inventory_Data[[#This Row],[Date]],"YYYY")</f>
        <v>2025</v>
      </c>
    </row>
    <row r="1461" spans="1:17" x14ac:dyDescent="0.3">
      <c r="A1461" s="1">
        <v>45965</v>
      </c>
      <c r="B1461" t="s">
        <v>40</v>
      </c>
      <c r="C1461" t="s">
        <v>28</v>
      </c>
      <c r="D1461" t="s">
        <v>37</v>
      </c>
      <c r="E1461" t="s">
        <v>34</v>
      </c>
      <c r="F1461">
        <v>152</v>
      </c>
      <c r="G1461">
        <v>20</v>
      </c>
      <c r="H1461">
        <v>29</v>
      </c>
      <c r="I1461">
        <v>143</v>
      </c>
      <c r="J1461">
        <v>54</v>
      </c>
      <c r="K1461">
        <v>57922</v>
      </c>
      <c r="L1461">
        <v>8282846</v>
      </c>
      <c r="M1461">
        <f>Inventory_Data[[#This Row],[Opening Stock]]+Inventory_Data[[#This Row],[Purchase Qty]]-Inventory_Data[[#This Row],[Sales Qty]]-Inventory_Data[[#This Row],[Closing Stock]]</f>
        <v>0</v>
      </c>
      <c r="N1461">
        <f>Inventory_Data[[#This Row],[Purchase Qty]]*Inventory_Data[[#This Row],[Unit Cost]]</f>
        <v>1158440</v>
      </c>
      <c r="O1461" t="str">
        <f>IF(Inventory_Data[[#This Row],[Closing Stock]]&lt;=Inventory_Data[[#This Row],[Reorder Level]],"Low Stock","In Stock")</f>
        <v>In Stock</v>
      </c>
      <c r="P1461" t="str">
        <f>TEXT(Inventory_Data[[#This Row],[Date]],"MMM")</f>
        <v>Nov</v>
      </c>
      <c r="Q1461" t="str">
        <f>TEXT(Inventory_Data[[#This Row],[Date]],"YYYY")</f>
        <v>2025</v>
      </c>
    </row>
    <row r="1462" spans="1:17" x14ac:dyDescent="0.3">
      <c r="A1462" s="1">
        <v>45965</v>
      </c>
      <c r="B1462" t="s">
        <v>43</v>
      </c>
      <c r="C1462" t="s">
        <v>22</v>
      </c>
      <c r="D1462" t="s">
        <v>23</v>
      </c>
      <c r="E1462" t="s">
        <v>24</v>
      </c>
      <c r="F1462">
        <v>416</v>
      </c>
      <c r="G1462">
        <v>159</v>
      </c>
      <c r="H1462">
        <v>57</v>
      </c>
      <c r="I1462">
        <v>518</v>
      </c>
      <c r="J1462">
        <v>64</v>
      </c>
      <c r="K1462">
        <v>46</v>
      </c>
      <c r="L1462">
        <v>23828</v>
      </c>
      <c r="M1462">
        <f>Inventory_Data[[#This Row],[Opening Stock]]+Inventory_Data[[#This Row],[Purchase Qty]]-Inventory_Data[[#This Row],[Sales Qty]]-Inventory_Data[[#This Row],[Closing Stock]]</f>
        <v>0</v>
      </c>
      <c r="N1462">
        <f>Inventory_Data[[#This Row],[Purchase Qty]]*Inventory_Data[[#This Row],[Unit Cost]]</f>
        <v>7314</v>
      </c>
      <c r="O1462" t="str">
        <f>IF(Inventory_Data[[#This Row],[Closing Stock]]&lt;=Inventory_Data[[#This Row],[Reorder Level]],"Low Stock","In Stock")</f>
        <v>In Stock</v>
      </c>
      <c r="P1462" t="str">
        <f>TEXT(Inventory_Data[[#This Row],[Date]],"MMM")</f>
        <v>Nov</v>
      </c>
      <c r="Q1462" t="str">
        <f>TEXT(Inventory_Data[[#This Row],[Date]],"YYYY")</f>
        <v>2025</v>
      </c>
    </row>
    <row r="1463" spans="1:17" x14ac:dyDescent="0.3">
      <c r="A1463" s="1">
        <v>45965</v>
      </c>
      <c r="B1463" t="s">
        <v>27</v>
      </c>
      <c r="C1463" t="s">
        <v>28</v>
      </c>
      <c r="D1463" t="s">
        <v>26</v>
      </c>
      <c r="E1463" t="s">
        <v>24</v>
      </c>
      <c r="F1463">
        <v>47</v>
      </c>
      <c r="G1463">
        <v>79</v>
      </c>
      <c r="H1463">
        <v>74</v>
      </c>
      <c r="I1463">
        <v>52</v>
      </c>
      <c r="J1463">
        <v>42</v>
      </c>
      <c r="K1463">
        <v>22742</v>
      </c>
      <c r="L1463">
        <v>1182584</v>
      </c>
      <c r="M1463">
        <f>Inventory_Data[[#This Row],[Opening Stock]]+Inventory_Data[[#This Row],[Purchase Qty]]-Inventory_Data[[#This Row],[Sales Qty]]-Inventory_Data[[#This Row],[Closing Stock]]</f>
        <v>0</v>
      </c>
      <c r="N1463">
        <f>Inventory_Data[[#This Row],[Purchase Qty]]*Inventory_Data[[#This Row],[Unit Cost]]</f>
        <v>1796618</v>
      </c>
      <c r="O1463" t="str">
        <f>IF(Inventory_Data[[#This Row],[Closing Stock]]&lt;=Inventory_Data[[#This Row],[Reorder Level]],"Low Stock","In Stock")</f>
        <v>In Stock</v>
      </c>
      <c r="P1463" t="str">
        <f>TEXT(Inventory_Data[[#This Row],[Date]],"MMM")</f>
        <v>Nov</v>
      </c>
      <c r="Q1463" t="str">
        <f>TEXT(Inventory_Data[[#This Row],[Date]],"YYYY")</f>
        <v>2025</v>
      </c>
    </row>
    <row r="1464" spans="1:17" x14ac:dyDescent="0.3">
      <c r="A1464" s="1">
        <v>45965</v>
      </c>
      <c r="B1464" t="s">
        <v>32</v>
      </c>
      <c r="C1464" t="s">
        <v>28</v>
      </c>
      <c r="D1464" t="s">
        <v>23</v>
      </c>
      <c r="E1464" t="s">
        <v>18</v>
      </c>
      <c r="F1464">
        <v>161</v>
      </c>
      <c r="G1464">
        <v>38</v>
      </c>
      <c r="H1464">
        <v>12</v>
      </c>
      <c r="I1464">
        <v>187</v>
      </c>
      <c r="J1464">
        <v>59</v>
      </c>
      <c r="K1464">
        <v>20993</v>
      </c>
      <c r="L1464">
        <v>3925691</v>
      </c>
      <c r="M1464">
        <f>Inventory_Data[[#This Row],[Opening Stock]]+Inventory_Data[[#This Row],[Purchase Qty]]-Inventory_Data[[#This Row],[Sales Qty]]-Inventory_Data[[#This Row],[Closing Stock]]</f>
        <v>0</v>
      </c>
      <c r="N1464">
        <f>Inventory_Data[[#This Row],[Purchase Qty]]*Inventory_Data[[#This Row],[Unit Cost]]</f>
        <v>797734</v>
      </c>
      <c r="O1464" t="str">
        <f>IF(Inventory_Data[[#This Row],[Closing Stock]]&lt;=Inventory_Data[[#This Row],[Reorder Level]],"Low Stock","In Stock")</f>
        <v>In Stock</v>
      </c>
      <c r="P1464" t="str">
        <f>TEXT(Inventory_Data[[#This Row],[Date]],"MMM")</f>
        <v>Nov</v>
      </c>
      <c r="Q1464" t="str">
        <f>TEXT(Inventory_Data[[#This Row],[Date]],"YYYY")</f>
        <v>2025</v>
      </c>
    </row>
    <row r="1465" spans="1:17" x14ac:dyDescent="0.3">
      <c r="A1465" s="1">
        <v>45965</v>
      </c>
      <c r="B1465" t="s">
        <v>44</v>
      </c>
      <c r="C1465" t="s">
        <v>28</v>
      </c>
      <c r="D1465" t="s">
        <v>26</v>
      </c>
      <c r="E1465" t="s">
        <v>24</v>
      </c>
      <c r="F1465">
        <v>25</v>
      </c>
      <c r="G1465">
        <v>11</v>
      </c>
      <c r="H1465">
        <v>33</v>
      </c>
      <c r="I1465">
        <v>3</v>
      </c>
      <c r="J1465">
        <v>59</v>
      </c>
      <c r="K1465">
        <v>42390</v>
      </c>
      <c r="L1465">
        <v>127170</v>
      </c>
      <c r="M1465">
        <f>Inventory_Data[[#This Row],[Opening Stock]]+Inventory_Data[[#This Row],[Purchase Qty]]-Inventory_Data[[#This Row],[Sales Qty]]-Inventory_Data[[#This Row],[Closing Stock]]</f>
        <v>0</v>
      </c>
      <c r="N1465">
        <f>Inventory_Data[[#This Row],[Purchase Qty]]*Inventory_Data[[#This Row],[Unit Cost]]</f>
        <v>466290</v>
      </c>
      <c r="O1465" t="str">
        <f>IF(Inventory_Data[[#This Row],[Closing Stock]]&lt;=Inventory_Data[[#This Row],[Reorder Level]],"Low Stock","In Stock")</f>
        <v>Low Stock</v>
      </c>
      <c r="P1465" t="str">
        <f>TEXT(Inventory_Data[[#This Row],[Date]],"MMM")</f>
        <v>Nov</v>
      </c>
      <c r="Q1465" t="str">
        <f>TEXT(Inventory_Data[[#This Row],[Date]],"YYYY")</f>
        <v>2025</v>
      </c>
    </row>
    <row r="1466" spans="1:17" x14ac:dyDescent="0.3">
      <c r="A1466" s="1">
        <v>45966</v>
      </c>
      <c r="B1466" t="s">
        <v>31</v>
      </c>
      <c r="C1466" t="s">
        <v>22</v>
      </c>
      <c r="D1466" t="s">
        <v>23</v>
      </c>
      <c r="E1466" t="s">
        <v>15</v>
      </c>
      <c r="F1466">
        <v>168</v>
      </c>
      <c r="G1466">
        <v>297</v>
      </c>
      <c r="H1466">
        <v>73</v>
      </c>
      <c r="I1466">
        <v>392</v>
      </c>
      <c r="J1466">
        <v>143</v>
      </c>
      <c r="K1466">
        <v>829</v>
      </c>
      <c r="L1466">
        <v>324968</v>
      </c>
      <c r="M1466">
        <f>Inventory_Data[[#This Row],[Opening Stock]]+Inventory_Data[[#This Row],[Purchase Qty]]-Inventory_Data[[#This Row],[Sales Qty]]-Inventory_Data[[#This Row],[Closing Stock]]</f>
        <v>0</v>
      </c>
      <c r="N1466">
        <f>Inventory_Data[[#This Row],[Purchase Qty]]*Inventory_Data[[#This Row],[Unit Cost]]</f>
        <v>246213</v>
      </c>
      <c r="O1466" t="str">
        <f>IF(Inventory_Data[[#This Row],[Closing Stock]]&lt;=Inventory_Data[[#This Row],[Reorder Level]],"Low Stock","In Stock")</f>
        <v>In Stock</v>
      </c>
      <c r="P1466" t="str">
        <f>TEXT(Inventory_Data[[#This Row],[Date]],"MMM")</f>
        <v>Nov</v>
      </c>
      <c r="Q1466" t="str">
        <f>TEXT(Inventory_Data[[#This Row],[Date]],"YYYY")</f>
        <v>2025</v>
      </c>
    </row>
    <row r="1467" spans="1:17" x14ac:dyDescent="0.3">
      <c r="A1467" s="1">
        <v>45966</v>
      </c>
      <c r="B1467" t="s">
        <v>36</v>
      </c>
      <c r="C1467" t="s">
        <v>22</v>
      </c>
      <c r="D1467" t="s">
        <v>37</v>
      </c>
      <c r="E1467" t="s">
        <v>24</v>
      </c>
      <c r="F1467">
        <v>75</v>
      </c>
      <c r="G1467">
        <v>267</v>
      </c>
      <c r="H1467">
        <v>23</v>
      </c>
      <c r="I1467">
        <v>319</v>
      </c>
      <c r="J1467">
        <v>94</v>
      </c>
      <c r="K1467">
        <v>393</v>
      </c>
      <c r="L1467">
        <v>125367</v>
      </c>
      <c r="M1467">
        <f>Inventory_Data[[#This Row],[Opening Stock]]+Inventory_Data[[#This Row],[Purchase Qty]]-Inventory_Data[[#This Row],[Sales Qty]]-Inventory_Data[[#This Row],[Closing Stock]]</f>
        <v>0</v>
      </c>
      <c r="N1467">
        <f>Inventory_Data[[#This Row],[Purchase Qty]]*Inventory_Data[[#This Row],[Unit Cost]]</f>
        <v>104931</v>
      </c>
      <c r="O1467" t="str">
        <f>IF(Inventory_Data[[#This Row],[Closing Stock]]&lt;=Inventory_Data[[#This Row],[Reorder Level]],"Low Stock","In Stock")</f>
        <v>In Stock</v>
      </c>
      <c r="P1467" t="str">
        <f>TEXT(Inventory_Data[[#This Row],[Date]],"MMM")</f>
        <v>Nov</v>
      </c>
      <c r="Q1467" t="str">
        <f>TEXT(Inventory_Data[[#This Row],[Date]],"YYYY")</f>
        <v>2025</v>
      </c>
    </row>
    <row r="1468" spans="1:17" x14ac:dyDescent="0.3">
      <c r="A1468" s="1">
        <v>45966</v>
      </c>
      <c r="B1468" t="s">
        <v>41</v>
      </c>
      <c r="C1468" t="s">
        <v>22</v>
      </c>
      <c r="D1468" t="s">
        <v>26</v>
      </c>
      <c r="E1468" t="s">
        <v>18</v>
      </c>
      <c r="F1468">
        <v>494</v>
      </c>
      <c r="G1468">
        <v>194</v>
      </c>
      <c r="H1468">
        <v>202</v>
      </c>
      <c r="I1468">
        <v>486</v>
      </c>
      <c r="J1468">
        <v>98</v>
      </c>
      <c r="K1468">
        <v>445</v>
      </c>
      <c r="L1468">
        <v>216270</v>
      </c>
      <c r="M1468">
        <f>Inventory_Data[[#This Row],[Opening Stock]]+Inventory_Data[[#This Row],[Purchase Qty]]-Inventory_Data[[#This Row],[Sales Qty]]-Inventory_Data[[#This Row],[Closing Stock]]</f>
        <v>0</v>
      </c>
      <c r="N1468">
        <f>Inventory_Data[[#This Row],[Purchase Qty]]*Inventory_Data[[#This Row],[Unit Cost]]</f>
        <v>86330</v>
      </c>
      <c r="O1468" t="str">
        <f>IF(Inventory_Data[[#This Row],[Closing Stock]]&lt;=Inventory_Data[[#This Row],[Reorder Level]],"Low Stock","In Stock")</f>
        <v>In Stock</v>
      </c>
      <c r="P1468" t="str">
        <f>TEXT(Inventory_Data[[#This Row],[Date]],"MMM")</f>
        <v>Nov</v>
      </c>
      <c r="Q1468" t="str">
        <f>TEXT(Inventory_Data[[#This Row],[Date]],"YYYY")</f>
        <v>2025</v>
      </c>
    </row>
    <row r="1469" spans="1:17" x14ac:dyDescent="0.3">
      <c r="A1469" s="1">
        <v>45967</v>
      </c>
      <c r="B1469" t="s">
        <v>36</v>
      </c>
      <c r="C1469" t="s">
        <v>22</v>
      </c>
      <c r="D1469" t="s">
        <v>14</v>
      </c>
      <c r="E1469" t="s">
        <v>18</v>
      </c>
      <c r="F1469">
        <v>323</v>
      </c>
      <c r="G1469">
        <v>56</v>
      </c>
      <c r="H1469">
        <v>230</v>
      </c>
      <c r="I1469">
        <v>149</v>
      </c>
      <c r="J1469">
        <v>118</v>
      </c>
      <c r="K1469">
        <v>380</v>
      </c>
      <c r="L1469">
        <v>56620</v>
      </c>
      <c r="M1469">
        <f>Inventory_Data[[#This Row],[Opening Stock]]+Inventory_Data[[#This Row],[Purchase Qty]]-Inventory_Data[[#This Row],[Sales Qty]]-Inventory_Data[[#This Row],[Closing Stock]]</f>
        <v>0</v>
      </c>
      <c r="N1469">
        <f>Inventory_Data[[#This Row],[Purchase Qty]]*Inventory_Data[[#This Row],[Unit Cost]]</f>
        <v>21280</v>
      </c>
      <c r="O1469" t="str">
        <f>IF(Inventory_Data[[#This Row],[Closing Stock]]&lt;=Inventory_Data[[#This Row],[Reorder Level]],"Low Stock","In Stock")</f>
        <v>In Stock</v>
      </c>
      <c r="P1469" t="str">
        <f>TEXT(Inventory_Data[[#This Row],[Date]],"MMM")</f>
        <v>Nov</v>
      </c>
      <c r="Q1469" t="str">
        <f>TEXT(Inventory_Data[[#This Row],[Date]],"YYYY")</f>
        <v>2025</v>
      </c>
    </row>
    <row r="1470" spans="1:17" x14ac:dyDescent="0.3">
      <c r="A1470" s="1">
        <v>45967</v>
      </c>
      <c r="B1470" t="s">
        <v>39</v>
      </c>
      <c r="C1470" t="s">
        <v>28</v>
      </c>
      <c r="D1470" t="s">
        <v>26</v>
      </c>
      <c r="E1470" t="s">
        <v>20</v>
      </c>
      <c r="F1470">
        <v>164</v>
      </c>
      <c r="G1470">
        <v>14</v>
      </c>
      <c r="H1470">
        <v>93</v>
      </c>
      <c r="I1470">
        <v>85</v>
      </c>
      <c r="J1470">
        <v>27</v>
      </c>
      <c r="K1470">
        <v>49585</v>
      </c>
      <c r="L1470">
        <v>4214725</v>
      </c>
      <c r="M1470">
        <f>Inventory_Data[[#This Row],[Opening Stock]]+Inventory_Data[[#This Row],[Purchase Qty]]-Inventory_Data[[#This Row],[Sales Qty]]-Inventory_Data[[#This Row],[Closing Stock]]</f>
        <v>0</v>
      </c>
      <c r="N1470">
        <f>Inventory_Data[[#This Row],[Purchase Qty]]*Inventory_Data[[#This Row],[Unit Cost]]</f>
        <v>694190</v>
      </c>
      <c r="O1470" t="str">
        <f>IF(Inventory_Data[[#This Row],[Closing Stock]]&lt;=Inventory_Data[[#This Row],[Reorder Level]],"Low Stock","In Stock")</f>
        <v>In Stock</v>
      </c>
      <c r="P1470" t="str">
        <f>TEXT(Inventory_Data[[#This Row],[Date]],"MMM")</f>
        <v>Nov</v>
      </c>
      <c r="Q1470" t="str">
        <f>TEXT(Inventory_Data[[#This Row],[Date]],"YYYY")</f>
        <v>2025</v>
      </c>
    </row>
    <row r="1471" spans="1:17" x14ac:dyDescent="0.3">
      <c r="A1471" s="1">
        <v>45967</v>
      </c>
      <c r="B1471" t="s">
        <v>44</v>
      </c>
      <c r="C1471" t="s">
        <v>28</v>
      </c>
      <c r="D1471" t="s">
        <v>37</v>
      </c>
      <c r="E1471" t="s">
        <v>18</v>
      </c>
      <c r="F1471">
        <v>146</v>
      </c>
      <c r="G1471">
        <v>56</v>
      </c>
      <c r="H1471">
        <v>10</v>
      </c>
      <c r="I1471">
        <v>192</v>
      </c>
      <c r="J1471">
        <v>28</v>
      </c>
      <c r="K1471">
        <v>55137</v>
      </c>
      <c r="L1471">
        <v>10586304</v>
      </c>
      <c r="M1471">
        <f>Inventory_Data[[#This Row],[Opening Stock]]+Inventory_Data[[#This Row],[Purchase Qty]]-Inventory_Data[[#This Row],[Sales Qty]]-Inventory_Data[[#This Row],[Closing Stock]]</f>
        <v>0</v>
      </c>
      <c r="N1471">
        <f>Inventory_Data[[#This Row],[Purchase Qty]]*Inventory_Data[[#This Row],[Unit Cost]]</f>
        <v>3087672</v>
      </c>
      <c r="O1471" t="str">
        <f>IF(Inventory_Data[[#This Row],[Closing Stock]]&lt;=Inventory_Data[[#This Row],[Reorder Level]],"Low Stock","In Stock")</f>
        <v>In Stock</v>
      </c>
      <c r="P1471" t="str">
        <f>TEXT(Inventory_Data[[#This Row],[Date]],"MMM")</f>
        <v>Nov</v>
      </c>
      <c r="Q1471" t="str">
        <f>TEXT(Inventory_Data[[#This Row],[Date]],"YYYY")</f>
        <v>2025</v>
      </c>
    </row>
    <row r="1472" spans="1:17" x14ac:dyDescent="0.3">
      <c r="A1472" s="1">
        <v>45968</v>
      </c>
      <c r="B1472" t="s">
        <v>19</v>
      </c>
      <c r="C1472" t="s">
        <v>13</v>
      </c>
      <c r="D1472" t="s">
        <v>23</v>
      </c>
      <c r="E1472" t="s">
        <v>18</v>
      </c>
      <c r="F1472">
        <v>60</v>
      </c>
      <c r="G1472">
        <v>36</v>
      </c>
      <c r="H1472">
        <v>57</v>
      </c>
      <c r="I1472">
        <v>39</v>
      </c>
      <c r="J1472">
        <v>19</v>
      </c>
      <c r="K1472">
        <v>12827</v>
      </c>
      <c r="L1472">
        <v>500253</v>
      </c>
      <c r="M1472">
        <f>Inventory_Data[[#This Row],[Opening Stock]]+Inventory_Data[[#This Row],[Purchase Qty]]-Inventory_Data[[#This Row],[Sales Qty]]-Inventory_Data[[#This Row],[Closing Stock]]</f>
        <v>0</v>
      </c>
      <c r="N1472">
        <f>Inventory_Data[[#This Row],[Purchase Qty]]*Inventory_Data[[#This Row],[Unit Cost]]</f>
        <v>461772</v>
      </c>
      <c r="O1472" t="str">
        <f>IF(Inventory_Data[[#This Row],[Closing Stock]]&lt;=Inventory_Data[[#This Row],[Reorder Level]],"Low Stock","In Stock")</f>
        <v>In Stock</v>
      </c>
      <c r="P1472" t="str">
        <f>TEXT(Inventory_Data[[#This Row],[Date]],"MMM")</f>
        <v>Nov</v>
      </c>
      <c r="Q1472" t="str">
        <f>TEXT(Inventory_Data[[#This Row],[Date]],"YYYY")</f>
        <v>2025</v>
      </c>
    </row>
    <row r="1473" spans="1:17" x14ac:dyDescent="0.3">
      <c r="A1473" s="1">
        <v>45968</v>
      </c>
      <c r="B1473" t="s">
        <v>41</v>
      </c>
      <c r="C1473" t="s">
        <v>22</v>
      </c>
      <c r="D1473" t="s">
        <v>26</v>
      </c>
      <c r="E1473" t="s">
        <v>34</v>
      </c>
      <c r="F1473">
        <v>276</v>
      </c>
      <c r="G1473">
        <v>199</v>
      </c>
      <c r="H1473">
        <v>43</v>
      </c>
      <c r="I1473">
        <v>432</v>
      </c>
      <c r="J1473">
        <v>62</v>
      </c>
      <c r="K1473">
        <v>433</v>
      </c>
      <c r="L1473">
        <v>187056</v>
      </c>
      <c r="M1473">
        <f>Inventory_Data[[#This Row],[Opening Stock]]+Inventory_Data[[#This Row],[Purchase Qty]]-Inventory_Data[[#This Row],[Sales Qty]]-Inventory_Data[[#This Row],[Closing Stock]]</f>
        <v>0</v>
      </c>
      <c r="N1473">
        <f>Inventory_Data[[#This Row],[Purchase Qty]]*Inventory_Data[[#This Row],[Unit Cost]]</f>
        <v>86167</v>
      </c>
      <c r="O1473" t="str">
        <f>IF(Inventory_Data[[#This Row],[Closing Stock]]&lt;=Inventory_Data[[#This Row],[Reorder Level]],"Low Stock","In Stock")</f>
        <v>In Stock</v>
      </c>
      <c r="P1473" t="str">
        <f>TEXT(Inventory_Data[[#This Row],[Date]],"MMM")</f>
        <v>Nov</v>
      </c>
      <c r="Q1473" t="str">
        <f>TEXT(Inventory_Data[[#This Row],[Date]],"YYYY")</f>
        <v>2025</v>
      </c>
    </row>
    <row r="1474" spans="1:17" x14ac:dyDescent="0.3">
      <c r="A1474" s="1">
        <v>45968</v>
      </c>
      <c r="B1474" t="s">
        <v>21</v>
      </c>
      <c r="C1474" t="s">
        <v>22</v>
      </c>
      <c r="D1474" t="s">
        <v>37</v>
      </c>
      <c r="E1474" t="s">
        <v>15</v>
      </c>
      <c r="F1474">
        <v>442</v>
      </c>
      <c r="G1474">
        <v>159</v>
      </c>
      <c r="H1474">
        <v>255</v>
      </c>
      <c r="I1474">
        <v>346</v>
      </c>
      <c r="J1474">
        <v>93</v>
      </c>
      <c r="K1474">
        <v>828</v>
      </c>
      <c r="L1474">
        <v>286488</v>
      </c>
      <c r="M1474">
        <f>Inventory_Data[[#This Row],[Opening Stock]]+Inventory_Data[[#This Row],[Purchase Qty]]-Inventory_Data[[#This Row],[Sales Qty]]-Inventory_Data[[#This Row],[Closing Stock]]</f>
        <v>0</v>
      </c>
      <c r="N1474">
        <f>Inventory_Data[[#This Row],[Purchase Qty]]*Inventory_Data[[#This Row],[Unit Cost]]</f>
        <v>131652</v>
      </c>
      <c r="O1474" t="str">
        <f>IF(Inventory_Data[[#This Row],[Closing Stock]]&lt;=Inventory_Data[[#This Row],[Reorder Level]],"Low Stock","In Stock")</f>
        <v>In Stock</v>
      </c>
      <c r="P1474" t="str">
        <f>TEXT(Inventory_Data[[#This Row],[Date]],"MMM")</f>
        <v>Nov</v>
      </c>
      <c r="Q1474" t="str">
        <f>TEXT(Inventory_Data[[#This Row],[Date]],"YYYY")</f>
        <v>2025</v>
      </c>
    </row>
    <row r="1475" spans="1:17" x14ac:dyDescent="0.3">
      <c r="A1475" s="1">
        <v>45968</v>
      </c>
      <c r="B1475" t="s">
        <v>39</v>
      </c>
      <c r="C1475" t="s">
        <v>28</v>
      </c>
      <c r="D1475" t="s">
        <v>23</v>
      </c>
      <c r="E1475" t="s">
        <v>29</v>
      </c>
      <c r="F1475">
        <v>153</v>
      </c>
      <c r="G1475">
        <v>10</v>
      </c>
      <c r="H1475">
        <v>60</v>
      </c>
      <c r="I1475">
        <v>103</v>
      </c>
      <c r="J1475">
        <v>59</v>
      </c>
      <c r="K1475">
        <v>22272</v>
      </c>
      <c r="L1475">
        <v>2294016</v>
      </c>
      <c r="M1475">
        <f>Inventory_Data[[#This Row],[Opening Stock]]+Inventory_Data[[#This Row],[Purchase Qty]]-Inventory_Data[[#This Row],[Sales Qty]]-Inventory_Data[[#This Row],[Closing Stock]]</f>
        <v>0</v>
      </c>
      <c r="N1475">
        <f>Inventory_Data[[#This Row],[Purchase Qty]]*Inventory_Data[[#This Row],[Unit Cost]]</f>
        <v>222720</v>
      </c>
      <c r="O1475" t="str">
        <f>IF(Inventory_Data[[#This Row],[Closing Stock]]&lt;=Inventory_Data[[#This Row],[Reorder Level]],"Low Stock","In Stock")</f>
        <v>In Stock</v>
      </c>
      <c r="P1475" t="str">
        <f>TEXT(Inventory_Data[[#This Row],[Date]],"MMM")</f>
        <v>Nov</v>
      </c>
      <c r="Q1475" t="str">
        <f>TEXT(Inventory_Data[[#This Row],[Date]],"YYYY")</f>
        <v>2025</v>
      </c>
    </row>
    <row r="1476" spans="1:17" x14ac:dyDescent="0.3">
      <c r="A1476" s="1">
        <v>45968</v>
      </c>
      <c r="B1476" t="s">
        <v>43</v>
      </c>
      <c r="C1476" t="s">
        <v>22</v>
      </c>
      <c r="D1476" t="s">
        <v>23</v>
      </c>
      <c r="E1476" t="s">
        <v>20</v>
      </c>
      <c r="F1476">
        <v>117</v>
      </c>
      <c r="G1476">
        <v>117</v>
      </c>
      <c r="H1476">
        <v>226</v>
      </c>
      <c r="I1476">
        <v>8</v>
      </c>
      <c r="J1476">
        <v>56</v>
      </c>
      <c r="K1476">
        <v>20</v>
      </c>
      <c r="L1476">
        <v>160</v>
      </c>
      <c r="M1476">
        <f>Inventory_Data[[#This Row],[Opening Stock]]+Inventory_Data[[#This Row],[Purchase Qty]]-Inventory_Data[[#This Row],[Sales Qty]]-Inventory_Data[[#This Row],[Closing Stock]]</f>
        <v>0</v>
      </c>
      <c r="N1476">
        <f>Inventory_Data[[#This Row],[Purchase Qty]]*Inventory_Data[[#This Row],[Unit Cost]]</f>
        <v>2340</v>
      </c>
      <c r="O1476" t="str">
        <f>IF(Inventory_Data[[#This Row],[Closing Stock]]&lt;=Inventory_Data[[#This Row],[Reorder Level]],"Low Stock","In Stock")</f>
        <v>Low Stock</v>
      </c>
      <c r="P1476" t="str">
        <f>TEXT(Inventory_Data[[#This Row],[Date]],"MMM")</f>
        <v>Nov</v>
      </c>
      <c r="Q1476" t="str">
        <f>TEXT(Inventory_Data[[#This Row],[Date]],"YYYY")</f>
        <v>2025</v>
      </c>
    </row>
    <row r="1477" spans="1:17" x14ac:dyDescent="0.3">
      <c r="A1477" s="1">
        <v>45968</v>
      </c>
      <c r="B1477" t="s">
        <v>31</v>
      </c>
      <c r="C1477" t="s">
        <v>22</v>
      </c>
      <c r="D1477" t="s">
        <v>14</v>
      </c>
      <c r="E1477" t="s">
        <v>20</v>
      </c>
      <c r="F1477">
        <v>125</v>
      </c>
      <c r="G1477">
        <v>170</v>
      </c>
      <c r="H1477">
        <v>135</v>
      </c>
      <c r="I1477">
        <v>160</v>
      </c>
      <c r="J1477">
        <v>97</v>
      </c>
      <c r="K1477">
        <v>390</v>
      </c>
      <c r="L1477">
        <v>62400</v>
      </c>
      <c r="M1477">
        <f>Inventory_Data[[#This Row],[Opening Stock]]+Inventory_Data[[#This Row],[Purchase Qty]]-Inventory_Data[[#This Row],[Sales Qty]]-Inventory_Data[[#This Row],[Closing Stock]]</f>
        <v>0</v>
      </c>
      <c r="N1477">
        <f>Inventory_Data[[#This Row],[Purchase Qty]]*Inventory_Data[[#This Row],[Unit Cost]]</f>
        <v>66300</v>
      </c>
      <c r="O1477" t="str">
        <f>IF(Inventory_Data[[#This Row],[Closing Stock]]&lt;=Inventory_Data[[#This Row],[Reorder Level]],"Low Stock","In Stock")</f>
        <v>In Stock</v>
      </c>
      <c r="P1477" t="str">
        <f>TEXT(Inventory_Data[[#This Row],[Date]],"MMM")</f>
        <v>Nov</v>
      </c>
      <c r="Q1477" t="str">
        <f>TEXT(Inventory_Data[[#This Row],[Date]],"YYYY")</f>
        <v>2025</v>
      </c>
    </row>
    <row r="1478" spans="1:17" x14ac:dyDescent="0.3">
      <c r="A1478" s="1">
        <v>45969</v>
      </c>
      <c r="B1478" t="s">
        <v>40</v>
      </c>
      <c r="C1478" t="s">
        <v>28</v>
      </c>
      <c r="D1478" t="s">
        <v>14</v>
      </c>
      <c r="E1478" t="s">
        <v>20</v>
      </c>
      <c r="F1478">
        <v>146</v>
      </c>
      <c r="G1478">
        <v>41</v>
      </c>
      <c r="H1478">
        <v>53</v>
      </c>
      <c r="I1478">
        <v>134</v>
      </c>
      <c r="J1478">
        <v>49</v>
      </c>
      <c r="K1478">
        <v>7212</v>
      </c>
      <c r="L1478">
        <v>966408</v>
      </c>
      <c r="M1478">
        <f>Inventory_Data[[#This Row],[Opening Stock]]+Inventory_Data[[#This Row],[Purchase Qty]]-Inventory_Data[[#This Row],[Sales Qty]]-Inventory_Data[[#This Row],[Closing Stock]]</f>
        <v>0</v>
      </c>
      <c r="N1478">
        <f>Inventory_Data[[#This Row],[Purchase Qty]]*Inventory_Data[[#This Row],[Unit Cost]]</f>
        <v>295692</v>
      </c>
      <c r="O1478" t="str">
        <f>IF(Inventory_Data[[#This Row],[Closing Stock]]&lt;=Inventory_Data[[#This Row],[Reorder Level]],"Low Stock","In Stock")</f>
        <v>In Stock</v>
      </c>
      <c r="P1478" t="str">
        <f>TEXT(Inventory_Data[[#This Row],[Date]],"MMM")</f>
        <v>Nov</v>
      </c>
      <c r="Q1478" t="str">
        <f>TEXT(Inventory_Data[[#This Row],[Date]],"YYYY")</f>
        <v>2025</v>
      </c>
    </row>
    <row r="1479" spans="1:17" x14ac:dyDescent="0.3">
      <c r="A1479" s="1">
        <v>45970</v>
      </c>
      <c r="B1479" t="s">
        <v>42</v>
      </c>
      <c r="C1479" t="s">
        <v>17</v>
      </c>
      <c r="D1479" t="s">
        <v>26</v>
      </c>
      <c r="E1479" t="s">
        <v>15</v>
      </c>
      <c r="F1479">
        <v>35</v>
      </c>
      <c r="G1479">
        <v>45</v>
      </c>
      <c r="H1479">
        <v>36</v>
      </c>
      <c r="I1479">
        <v>44</v>
      </c>
      <c r="J1479">
        <v>20</v>
      </c>
      <c r="K1479">
        <v>18420</v>
      </c>
      <c r="L1479">
        <v>810480</v>
      </c>
      <c r="M1479">
        <f>Inventory_Data[[#This Row],[Opening Stock]]+Inventory_Data[[#This Row],[Purchase Qty]]-Inventory_Data[[#This Row],[Sales Qty]]-Inventory_Data[[#This Row],[Closing Stock]]</f>
        <v>0</v>
      </c>
      <c r="N1479">
        <f>Inventory_Data[[#This Row],[Purchase Qty]]*Inventory_Data[[#This Row],[Unit Cost]]</f>
        <v>828900</v>
      </c>
      <c r="O1479" t="str">
        <f>IF(Inventory_Data[[#This Row],[Closing Stock]]&lt;=Inventory_Data[[#This Row],[Reorder Level]],"Low Stock","In Stock")</f>
        <v>In Stock</v>
      </c>
      <c r="P1479" t="str">
        <f>TEXT(Inventory_Data[[#This Row],[Date]],"MMM")</f>
        <v>Nov</v>
      </c>
      <c r="Q1479" t="str">
        <f>TEXT(Inventory_Data[[#This Row],[Date]],"YYYY")</f>
        <v>2025</v>
      </c>
    </row>
    <row r="1480" spans="1:17" x14ac:dyDescent="0.3">
      <c r="A1480" s="1">
        <v>45970</v>
      </c>
      <c r="B1480" t="s">
        <v>19</v>
      </c>
      <c r="C1480" t="s">
        <v>13</v>
      </c>
      <c r="D1480" t="s">
        <v>26</v>
      </c>
      <c r="E1480" t="s">
        <v>18</v>
      </c>
      <c r="F1480">
        <v>93</v>
      </c>
      <c r="G1480">
        <v>56</v>
      </c>
      <c r="H1480">
        <v>46</v>
      </c>
      <c r="I1480">
        <v>103</v>
      </c>
      <c r="J1480">
        <v>24</v>
      </c>
      <c r="K1480">
        <v>5470</v>
      </c>
      <c r="L1480">
        <v>563410</v>
      </c>
      <c r="M1480">
        <f>Inventory_Data[[#This Row],[Opening Stock]]+Inventory_Data[[#This Row],[Purchase Qty]]-Inventory_Data[[#This Row],[Sales Qty]]-Inventory_Data[[#This Row],[Closing Stock]]</f>
        <v>0</v>
      </c>
      <c r="N1480">
        <f>Inventory_Data[[#This Row],[Purchase Qty]]*Inventory_Data[[#This Row],[Unit Cost]]</f>
        <v>306320</v>
      </c>
      <c r="O1480" t="str">
        <f>IF(Inventory_Data[[#This Row],[Closing Stock]]&lt;=Inventory_Data[[#This Row],[Reorder Level]],"Low Stock","In Stock")</f>
        <v>In Stock</v>
      </c>
      <c r="P1480" t="str">
        <f>TEXT(Inventory_Data[[#This Row],[Date]],"MMM")</f>
        <v>Nov</v>
      </c>
      <c r="Q1480" t="str">
        <f>TEXT(Inventory_Data[[#This Row],[Date]],"YYYY")</f>
        <v>2025</v>
      </c>
    </row>
    <row r="1481" spans="1:17" x14ac:dyDescent="0.3">
      <c r="A1481" s="1">
        <v>45971</v>
      </c>
      <c r="B1481" t="s">
        <v>30</v>
      </c>
      <c r="C1481" t="s">
        <v>28</v>
      </c>
      <c r="D1481" t="s">
        <v>14</v>
      </c>
      <c r="E1481" t="s">
        <v>24</v>
      </c>
      <c r="F1481">
        <v>53</v>
      </c>
      <c r="G1481">
        <v>68</v>
      </c>
      <c r="H1481">
        <v>25</v>
      </c>
      <c r="I1481">
        <v>96</v>
      </c>
      <c r="J1481">
        <v>56</v>
      </c>
      <c r="K1481">
        <v>53719</v>
      </c>
      <c r="L1481">
        <v>5157024</v>
      </c>
      <c r="M1481">
        <f>Inventory_Data[[#This Row],[Opening Stock]]+Inventory_Data[[#This Row],[Purchase Qty]]-Inventory_Data[[#This Row],[Sales Qty]]-Inventory_Data[[#This Row],[Closing Stock]]</f>
        <v>0</v>
      </c>
      <c r="N1481">
        <f>Inventory_Data[[#This Row],[Purchase Qty]]*Inventory_Data[[#This Row],[Unit Cost]]</f>
        <v>3652892</v>
      </c>
      <c r="O1481" t="str">
        <f>IF(Inventory_Data[[#This Row],[Closing Stock]]&lt;=Inventory_Data[[#This Row],[Reorder Level]],"Low Stock","In Stock")</f>
        <v>In Stock</v>
      </c>
      <c r="P1481" t="str">
        <f>TEXT(Inventory_Data[[#This Row],[Date]],"MMM")</f>
        <v>Nov</v>
      </c>
      <c r="Q1481" t="str">
        <f>TEXT(Inventory_Data[[#This Row],[Date]],"YYYY")</f>
        <v>2025</v>
      </c>
    </row>
    <row r="1482" spans="1:17" x14ac:dyDescent="0.3">
      <c r="A1482" s="1">
        <v>45971</v>
      </c>
      <c r="B1482" t="s">
        <v>19</v>
      </c>
      <c r="C1482" t="s">
        <v>13</v>
      </c>
      <c r="D1482" t="s">
        <v>14</v>
      </c>
      <c r="E1482" t="s">
        <v>20</v>
      </c>
      <c r="F1482">
        <v>33</v>
      </c>
      <c r="G1482">
        <v>66</v>
      </c>
      <c r="H1482">
        <v>16</v>
      </c>
      <c r="I1482">
        <v>83</v>
      </c>
      <c r="J1482">
        <v>20</v>
      </c>
      <c r="K1482">
        <v>6403</v>
      </c>
      <c r="L1482">
        <v>531449</v>
      </c>
      <c r="M1482">
        <f>Inventory_Data[[#This Row],[Opening Stock]]+Inventory_Data[[#This Row],[Purchase Qty]]-Inventory_Data[[#This Row],[Sales Qty]]-Inventory_Data[[#This Row],[Closing Stock]]</f>
        <v>0</v>
      </c>
      <c r="N1482">
        <f>Inventory_Data[[#This Row],[Purchase Qty]]*Inventory_Data[[#This Row],[Unit Cost]]</f>
        <v>422598</v>
      </c>
      <c r="O1482" t="str">
        <f>IF(Inventory_Data[[#This Row],[Closing Stock]]&lt;=Inventory_Data[[#This Row],[Reorder Level]],"Low Stock","In Stock")</f>
        <v>In Stock</v>
      </c>
      <c r="P1482" t="str">
        <f>TEXT(Inventory_Data[[#This Row],[Date]],"MMM")</f>
        <v>Nov</v>
      </c>
      <c r="Q1482" t="str">
        <f>TEXT(Inventory_Data[[#This Row],[Date]],"YYYY")</f>
        <v>2025</v>
      </c>
    </row>
    <row r="1483" spans="1:17" x14ac:dyDescent="0.3">
      <c r="A1483" s="1">
        <v>45972</v>
      </c>
      <c r="B1483" t="s">
        <v>19</v>
      </c>
      <c r="C1483" t="s">
        <v>13</v>
      </c>
      <c r="D1483" t="s">
        <v>23</v>
      </c>
      <c r="E1483" t="s">
        <v>34</v>
      </c>
      <c r="F1483">
        <v>89</v>
      </c>
      <c r="G1483">
        <v>45</v>
      </c>
      <c r="H1483">
        <v>43</v>
      </c>
      <c r="I1483">
        <v>91</v>
      </c>
      <c r="J1483">
        <v>15</v>
      </c>
      <c r="K1483">
        <v>14912</v>
      </c>
      <c r="L1483">
        <v>1356992</v>
      </c>
      <c r="M1483">
        <f>Inventory_Data[[#This Row],[Opening Stock]]+Inventory_Data[[#This Row],[Purchase Qty]]-Inventory_Data[[#This Row],[Sales Qty]]-Inventory_Data[[#This Row],[Closing Stock]]</f>
        <v>0</v>
      </c>
      <c r="N1483">
        <f>Inventory_Data[[#This Row],[Purchase Qty]]*Inventory_Data[[#This Row],[Unit Cost]]</f>
        <v>671040</v>
      </c>
      <c r="O1483" t="str">
        <f>IF(Inventory_Data[[#This Row],[Closing Stock]]&lt;=Inventory_Data[[#This Row],[Reorder Level]],"Low Stock","In Stock")</f>
        <v>In Stock</v>
      </c>
      <c r="P1483" t="str">
        <f>TEXT(Inventory_Data[[#This Row],[Date]],"MMM")</f>
        <v>Nov</v>
      </c>
      <c r="Q1483" t="str">
        <f>TEXT(Inventory_Data[[#This Row],[Date]],"YYYY")</f>
        <v>2025</v>
      </c>
    </row>
    <row r="1484" spans="1:17" x14ac:dyDescent="0.3">
      <c r="A1484" s="1">
        <v>45972</v>
      </c>
      <c r="B1484" t="s">
        <v>39</v>
      </c>
      <c r="C1484" t="s">
        <v>28</v>
      </c>
      <c r="D1484" t="s">
        <v>37</v>
      </c>
      <c r="E1484" t="s">
        <v>18</v>
      </c>
      <c r="F1484">
        <v>151</v>
      </c>
      <c r="G1484">
        <v>86</v>
      </c>
      <c r="H1484">
        <v>86</v>
      </c>
      <c r="I1484">
        <v>151</v>
      </c>
      <c r="J1484">
        <v>56</v>
      </c>
      <c r="K1484">
        <v>20130</v>
      </c>
      <c r="L1484">
        <v>3039630</v>
      </c>
      <c r="M1484">
        <f>Inventory_Data[[#This Row],[Opening Stock]]+Inventory_Data[[#This Row],[Purchase Qty]]-Inventory_Data[[#This Row],[Sales Qty]]-Inventory_Data[[#This Row],[Closing Stock]]</f>
        <v>0</v>
      </c>
      <c r="N1484">
        <f>Inventory_Data[[#This Row],[Purchase Qty]]*Inventory_Data[[#This Row],[Unit Cost]]</f>
        <v>1731180</v>
      </c>
      <c r="O1484" t="str">
        <f>IF(Inventory_Data[[#This Row],[Closing Stock]]&lt;=Inventory_Data[[#This Row],[Reorder Level]],"Low Stock","In Stock")</f>
        <v>In Stock</v>
      </c>
      <c r="P1484" t="str">
        <f>TEXT(Inventory_Data[[#This Row],[Date]],"MMM")</f>
        <v>Nov</v>
      </c>
      <c r="Q1484" t="str">
        <f>TEXT(Inventory_Data[[#This Row],[Date]],"YYYY")</f>
        <v>2025</v>
      </c>
    </row>
    <row r="1485" spans="1:17" x14ac:dyDescent="0.3">
      <c r="A1485" s="1">
        <v>45972</v>
      </c>
      <c r="B1485" t="s">
        <v>30</v>
      </c>
      <c r="C1485" t="s">
        <v>28</v>
      </c>
      <c r="D1485" t="s">
        <v>37</v>
      </c>
      <c r="E1485" t="s">
        <v>18</v>
      </c>
      <c r="F1485">
        <v>55</v>
      </c>
      <c r="G1485">
        <v>88</v>
      </c>
      <c r="H1485">
        <v>23</v>
      </c>
      <c r="I1485">
        <v>120</v>
      </c>
      <c r="J1485">
        <v>24</v>
      </c>
      <c r="K1485">
        <v>52754</v>
      </c>
      <c r="L1485">
        <v>6330480</v>
      </c>
      <c r="M1485">
        <f>Inventory_Data[[#This Row],[Opening Stock]]+Inventory_Data[[#This Row],[Purchase Qty]]-Inventory_Data[[#This Row],[Sales Qty]]-Inventory_Data[[#This Row],[Closing Stock]]</f>
        <v>0</v>
      </c>
      <c r="N1485">
        <f>Inventory_Data[[#This Row],[Purchase Qty]]*Inventory_Data[[#This Row],[Unit Cost]]</f>
        <v>4642352</v>
      </c>
      <c r="O1485" t="str">
        <f>IF(Inventory_Data[[#This Row],[Closing Stock]]&lt;=Inventory_Data[[#This Row],[Reorder Level]],"Low Stock","In Stock")</f>
        <v>In Stock</v>
      </c>
      <c r="P1485" t="str">
        <f>TEXT(Inventory_Data[[#This Row],[Date]],"MMM")</f>
        <v>Nov</v>
      </c>
      <c r="Q1485" t="str">
        <f>TEXT(Inventory_Data[[#This Row],[Date]],"YYYY")</f>
        <v>2025</v>
      </c>
    </row>
    <row r="1486" spans="1:17" x14ac:dyDescent="0.3">
      <c r="A1486" s="1">
        <v>45973</v>
      </c>
      <c r="B1486" t="s">
        <v>33</v>
      </c>
      <c r="C1486" t="s">
        <v>13</v>
      </c>
      <c r="D1486" t="s">
        <v>14</v>
      </c>
      <c r="E1486" t="s">
        <v>20</v>
      </c>
      <c r="F1486">
        <v>52</v>
      </c>
      <c r="G1486">
        <v>16</v>
      </c>
      <c r="H1486">
        <v>13</v>
      </c>
      <c r="I1486">
        <v>55</v>
      </c>
      <c r="J1486">
        <v>15</v>
      </c>
      <c r="K1486">
        <v>7556</v>
      </c>
      <c r="L1486">
        <v>415580</v>
      </c>
      <c r="M1486">
        <f>Inventory_Data[[#This Row],[Opening Stock]]+Inventory_Data[[#This Row],[Purchase Qty]]-Inventory_Data[[#This Row],[Sales Qty]]-Inventory_Data[[#This Row],[Closing Stock]]</f>
        <v>0</v>
      </c>
      <c r="N1486">
        <f>Inventory_Data[[#This Row],[Purchase Qty]]*Inventory_Data[[#This Row],[Unit Cost]]</f>
        <v>120896</v>
      </c>
      <c r="O1486" t="str">
        <f>IF(Inventory_Data[[#This Row],[Closing Stock]]&lt;=Inventory_Data[[#This Row],[Reorder Level]],"Low Stock","In Stock")</f>
        <v>In Stock</v>
      </c>
      <c r="P1486" t="str">
        <f>TEXT(Inventory_Data[[#This Row],[Date]],"MMM")</f>
        <v>Nov</v>
      </c>
      <c r="Q1486" t="str">
        <f>TEXT(Inventory_Data[[#This Row],[Date]],"YYYY")</f>
        <v>2025</v>
      </c>
    </row>
    <row r="1487" spans="1:17" x14ac:dyDescent="0.3">
      <c r="A1487" s="1">
        <v>45973</v>
      </c>
      <c r="B1487" t="s">
        <v>27</v>
      </c>
      <c r="C1487" t="s">
        <v>28</v>
      </c>
      <c r="D1487" t="s">
        <v>26</v>
      </c>
      <c r="E1487" t="s">
        <v>34</v>
      </c>
      <c r="F1487">
        <v>47</v>
      </c>
      <c r="G1487">
        <v>101</v>
      </c>
      <c r="H1487">
        <v>45</v>
      </c>
      <c r="I1487">
        <v>103</v>
      </c>
      <c r="J1487">
        <v>46</v>
      </c>
      <c r="K1487">
        <v>5635</v>
      </c>
      <c r="L1487">
        <v>580405</v>
      </c>
      <c r="M1487">
        <f>Inventory_Data[[#This Row],[Opening Stock]]+Inventory_Data[[#This Row],[Purchase Qty]]-Inventory_Data[[#This Row],[Sales Qty]]-Inventory_Data[[#This Row],[Closing Stock]]</f>
        <v>0</v>
      </c>
      <c r="N1487">
        <f>Inventory_Data[[#This Row],[Purchase Qty]]*Inventory_Data[[#This Row],[Unit Cost]]</f>
        <v>569135</v>
      </c>
      <c r="O1487" t="str">
        <f>IF(Inventory_Data[[#This Row],[Closing Stock]]&lt;=Inventory_Data[[#This Row],[Reorder Level]],"Low Stock","In Stock")</f>
        <v>In Stock</v>
      </c>
      <c r="P1487" t="str">
        <f>TEXT(Inventory_Data[[#This Row],[Date]],"MMM")</f>
        <v>Nov</v>
      </c>
      <c r="Q1487" t="str">
        <f>TEXT(Inventory_Data[[#This Row],[Date]],"YYYY")</f>
        <v>2025</v>
      </c>
    </row>
    <row r="1488" spans="1:17" x14ac:dyDescent="0.3">
      <c r="A1488" s="1">
        <v>45973</v>
      </c>
      <c r="B1488" t="s">
        <v>40</v>
      </c>
      <c r="C1488" t="s">
        <v>28</v>
      </c>
      <c r="D1488" t="s">
        <v>23</v>
      </c>
      <c r="E1488" t="s">
        <v>20</v>
      </c>
      <c r="F1488">
        <v>73</v>
      </c>
      <c r="G1488">
        <v>46</v>
      </c>
      <c r="H1488">
        <v>87</v>
      </c>
      <c r="I1488">
        <v>32</v>
      </c>
      <c r="J1488">
        <v>33</v>
      </c>
      <c r="K1488">
        <v>19012</v>
      </c>
      <c r="L1488">
        <v>608384</v>
      </c>
      <c r="M1488">
        <f>Inventory_Data[[#This Row],[Opening Stock]]+Inventory_Data[[#This Row],[Purchase Qty]]-Inventory_Data[[#This Row],[Sales Qty]]-Inventory_Data[[#This Row],[Closing Stock]]</f>
        <v>0</v>
      </c>
      <c r="N1488">
        <f>Inventory_Data[[#This Row],[Purchase Qty]]*Inventory_Data[[#This Row],[Unit Cost]]</f>
        <v>874552</v>
      </c>
      <c r="O1488" t="str">
        <f>IF(Inventory_Data[[#This Row],[Closing Stock]]&lt;=Inventory_Data[[#This Row],[Reorder Level]],"Low Stock","In Stock")</f>
        <v>Low Stock</v>
      </c>
      <c r="P1488" t="str">
        <f>TEXT(Inventory_Data[[#This Row],[Date]],"MMM")</f>
        <v>Nov</v>
      </c>
      <c r="Q1488" t="str">
        <f>TEXT(Inventory_Data[[#This Row],[Date]],"YYYY")</f>
        <v>2025</v>
      </c>
    </row>
    <row r="1489" spans="1:17" x14ac:dyDescent="0.3">
      <c r="A1489" s="1">
        <v>45974</v>
      </c>
      <c r="B1489" t="s">
        <v>33</v>
      </c>
      <c r="C1489" t="s">
        <v>13</v>
      </c>
      <c r="D1489" t="s">
        <v>14</v>
      </c>
      <c r="E1489" t="s">
        <v>15</v>
      </c>
      <c r="F1489">
        <v>92</v>
      </c>
      <c r="G1489">
        <v>9</v>
      </c>
      <c r="H1489">
        <v>38</v>
      </c>
      <c r="I1489">
        <v>63</v>
      </c>
      <c r="J1489">
        <v>27</v>
      </c>
      <c r="K1489">
        <v>12954</v>
      </c>
      <c r="L1489">
        <v>816102</v>
      </c>
      <c r="M1489">
        <f>Inventory_Data[[#This Row],[Opening Stock]]+Inventory_Data[[#This Row],[Purchase Qty]]-Inventory_Data[[#This Row],[Sales Qty]]-Inventory_Data[[#This Row],[Closing Stock]]</f>
        <v>0</v>
      </c>
      <c r="N1489">
        <f>Inventory_Data[[#This Row],[Purchase Qty]]*Inventory_Data[[#This Row],[Unit Cost]]</f>
        <v>116586</v>
      </c>
      <c r="O1489" t="str">
        <f>IF(Inventory_Data[[#This Row],[Closing Stock]]&lt;=Inventory_Data[[#This Row],[Reorder Level]],"Low Stock","In Stock")</f>
        <v>In Stock</v>
      </c>
      <c r="P1489" t="str">
        <f>TEXT(Inventory_Data[[#This Row],[Date]],"MMM")</f>
        <v>Nov</v>
      </c>
      <c r="Q1489" t="str">
        <f>TEXT(Inventory_Data[[#This Row],[Date]],"YYYY")</f>
        <v>2025</v>
      </c>
    </row>
    <row r="1490" spans="1:17" x14ac:dyDescent="0.3">
      <c r="A1490" s="1">
        <v>45975</v>
      </c>
      <c r="B1490" t="s">
        <v>38</v>
      </c>
      <c r="C1490" t="s">
        <v>17</v>
      </c>
      <c r="D1490" t="s">
        <v>14</v>
      </c>
      <c r="E1490" t="s">
        <v>20</v>
      </c>
      <c r="F1490">
        <v>63</v>
      </c>
      <c r="G1490">
        <v>45</v>
      </c>
      <c r="H1490">
        <v>10</v>
      </c>
      <c r="I1490">
        <v>98</v>
      </c>
      <c r="J1490">
        <v>14</v>
      </c>
      <c r="K1490">
        <v>6963</v>
      </c>
      <c r="L1490">
        <v>682374</v>
      </c>
      <c r="M1490">
        <f>Inventory_Data[[#This Row],[Opening Stock]]+Inventory_Data[[#This Row],[Purchase Qty]]-Inventory_Data[[#This Row],[Sales Qty]]-Inventory_Data[[#This Row],[Closing Stock]]</f>
        <v>0</v>
      </c>
      <c r="N1490">
        <f>Inventory_Data[[#This Row],[Purchase Qty]]*Inventory_Data[[#This Row],[Unit Cost]]</f>
        <v>313335</v>
      </c>
      <c r="O1490" t="str">
        <f>IF(Inventory_Data[[#This Row],[Closing Stock]]&lt;=Inventory_Data[[#This Row],[Reorder Level]],"Low Stock","In Stock")</f>
        <v>In Stock</v>
      </c>
      <c r="P1490" t="str">
        <f>TEXT(Inventory_Data[[#This Row],[Date]],"MMM")</f>
        <v>Nov</v>
      </c>
      <c r="Q1490" t="str">
        <f>TEXT(Inventory_Data[[#This Row],[Date]],"YYYY")</f>
        <v>2025</v>
      </c>
    </row>
    <row r="1491" spans="1:17" x14ac:dyDescent="0.3">
      <c r="A1491" s="1">
        <v>45975</v>
      </c>
      <c r="B1491" t="s">
        <v>44</v>
      </c>
      <c r="C1491" t="s">
        <v>28</v>
      </c>
      <c r="D1491" t="s">
        <v>14</v>
      </c>
      <c r="E1491" t="s">
        <v>24</v>
      </c>
      <c r="F1491">
        <v>117</v>
      </c>
      <c r="G1491">
        <v>66</v>
      </c>
      <c r="H1491">
        <v>99</v>
      </c>
      <c r="I1491">
        <v>84</v>
      </c>
      <c r="J1491">
        <v>43</v>
      </c>
      <c r="K1491">
        <v>32650</v>
      </c>
      <c r="L1491">
        <v>2742600</v>
      </c>
      <c r="M1491">
        <f>Inventory_Data[[#This Row],[Opening Stock]]+Inventory_Data[[#This Row],[Purchase Qty]]-Inventory_Data[[#This Row],[Sales Qty]]-Inventory_Data[[#This Row],[Closing Stock]]</f>
        <v>0</v>
      </c>
      <c r="N1491">
        <f>Inventory_Data[[#This Row],[Purchase Qty]]*Inventory_Data[[#This Row],[Unit Cost]]</f>
        <v>2154900</v>
      </c>
      <c r="O1491" t="str">
        <f>IF(Inventory_Data[[#This Row],[Closing Stock]]&lt;=Inventory_Data[[#This Row],[Reorder Level]],"Low Stock","In Stock")</f>
        <v>In Stock</v>
      </c>
      <c r="P1491" t="str">
        <f>TEXT(Inventory_Data[[#This Row],[Date]],"MMM")</f>
        <v>Nov</v>
      </c>
      <c r="Q1491" t="str">
        <f>TEXT(Inventory_Data[[#This Row],[Date]],"YYYY")</f>
        <v>2025</v>
      </c>
    </row>
    <row r="1492" spans="1:17" x14ac:dyDescent="0.3">
      <c r="A1492" s="1">
        <v>45976</v>
      </c>
      <c r="B1492" t="s">
        <v>30</v>
      </c>
      <c r="C1492" t="s">
        <v>28</v>
      </c>
      <c r="D1492" t="s">
        <v>37</v>
      </c>
      <c r="E1492" t="s">
        <v>24</v>
      </c>
      <c r="F1492">
        <v>132</v>
      </c>
      <c r="G1492">
        <v>103</v>
      </c>
      <c r="H1492">
        <v>52</v>
      </c>
      <c r="I1492">
        <v>183</v>
      </c>
      <c r="J1492">
        <v>33</v>
      </c>
      <c r="K1492">
        <v>21982</v>
      </c>
      <c r="L1492">
        <v>4022706</v>
      </c>
      <c r="M1492">
        <f>Inventory_Data[[#This Row],[Opening Stock]]+Inventory_Data[[#This Row],[Purchase Qty]]-Inventory_Data[[#This Row],[Sales Qty]]-Inventory_Data[[#This Row],[Closing Stock]]</f>
        <v>0</v>
      </c>
      <c r="N1492">
        <f>Inventory_Data[[#This Row],[Purchase Qty]]*Inventory_Data[[#This Row],[Unit Cost]]</f>
        <v>2264146</v>
      </c>
      <c r="O1492" t="str">
        <f>IF(Inventory_Data[[#This Row],[Closing Stock]]&lt;=Inventory_Data[[#This Row],[Reorder Level]],"Low Stock","In Stock")</f>
        <v>In Stock</v>
      </c>
      <c r="P1492" t="str">
        <f>TEXT(Inventory_Data[[#This Row],[Date]],"MMM")</f>
        <v>Nov</v>
      </c>
      <c r="Q1492" t="str">
        <f>TEXT(Inventory_Data[[#This Row],[Date]],"YYYY")</f>
        <v>2025</v>
      </c>
    </row>
    <row r="1493" spans="1:17" x14ac:dyDescent="0.3">
      <c r="A1493" s="1">
        <v>45976</v>
      </c>
      <c r="B1493" t="s">
        <v>31</v>
      </c>
      <c r="C1493" t="s">
        <v>22</v>
      </c>
      <c r="D1493" t="s">
        <v>14</v>
      </c>
      <c r="E1493" t="s">
        <v>18</v>
      </c>
      <c r="F1493">
        <v>266</v>
      </c>
      <c r="G1493">
        <v>63</v>
      </c>
      <c r="H1493">
        <v>275</v>
      </c>
      <c r="I1493">
        <v>54</v>
      </c>
      <c r="J1493">
        <v>56</v>
      </c>
      <c r="K1493">
        <v>743</v>
      </c>
      <c r="L1493">
        <v>40122</v>
      </c>
      <c r="M1493">
        <f>Inventory_Data[[#This Row],[Opening Stock]]+Inventory_Data[[#This Row],[Purchase Qty]]-Inventory_Data[[#This Row],[Sales Qty]]-Inventory_Data[[#This Row],[Closing Stock]]</f>
        <v>0</v>
      </c>
      <c r="N1493">
        <f>Inventory_Data[[#This Row],[Purchase Qty]]*Inventory_Data[[#This Row],[Unit Cost]]</f>
        <v>46809</v>
      </c>
      <c r="O1493" t="str">
        <f>IF(Inventory_Data[[#This Row],[Closing Stock]]&lt;=Inventory_Data[[#This Row],[Reorder Level]],"Low Stock","In Stock")</f>
        <v>Low Stock</v>
      </c>
      <c r="P1493" t="str">
        <f>TEXT(Inventory_Data[[#This Row],[Date]],"MMM")</f>
        <v>Nov</v>
      </c>
      <c r="Q1493" t="str">
        <f>TEXT(Inventory_Data[[#This Row],[Date]],"YYYY")</f>
        <v>2025</v>
      </c>
    </row>
    <row r="1494" spans="1:17" x14ac:dyDescent="0.3">
      <c r="A1494" s="1">
        <v>45976</v>
      </c>
      <c r="B1494" t="s">
        <v>42</v>
      </c>
      <c r="C1494" t="s">
        <v>17</v>
      </c>
      <c r="D1494" t="s">
        <v>14</v>
      </c>
      <c r="E1494" t="s">
        <v>20</v>
      </c>
      <c r="F1494">
        <v>30</v>
      </c>
      <c r="G1494">
        <v>9</v>
      </c>
      <c r="H1494">
        <v>36</v>
      </c>
      <c r="I1494">
        <v>3</v>
      </c>
      <c r="J1494">
        <v>13</v>
      </c>
      <c r="K1494">
        <v>4912</v>
      </c>
      <c r="L1494">
        <v>14736</v>
      </c>
      <c r="M1494">
        <f>Inventory_Data[[#This Row],[Opening Stock]]+Inventory_Data[[#This Row],[Purchase Qty]]-Inventory_Data[[#This Row],[Sales Qty]]-Inventory_Data[[#This Row],[Closing Stock]]</f>
        <v>0</v>
      </c>
      <c r="N1494">
        <f>Inventory_Data[[#This Row],[Purchase Qty]]*Inventory_Data[[#This Row],[Unit Cost]]</f>
        <v>44208</v>
      </c>
      <c r="O1494" t="str">
        <f>IF(Inventory_Data[[#This Row],[Closing Stock]]&lt;=Inventory_Data[[#This Row],[Reorder Level]],"Low Stock","In Stock")</f>
        <v>Low Stock</v>
      </c>
      <c r="P1494" t="str">
        <f>TEXT(Inventory_Data[[#This Row],[Date]],"MMM")</f>
        <v>Nov</v>
      </c>
      <c r="Q1494" t="str">
        <f>TEXT(Inventory_Data[[#This Row],[Date]],"YYYY")</f>
        <v>2025</v>
      </c>
    </row>
    <row r="1495" spans="1:17" x14ac:dyDescent="0.3">
      <c r="A1495" s="1">
        <v>45976</v>
      </c>
      <c r="B1495" t="s">
        <v>19</v>
      </c>
      <c r="C1495" t="s">
        <v>13</v>
      </c>
      <c r="D1495" t="s">
        <v>37</v>
      </c>
      <c r="E1495" t="s">
        <v>20</v>
      </c>
      <c r="F1495">
        <v>85</v>
      </c>
      <c r="G1495">
        <v>32</v>
      </c>
      <c r="H1495">
        <v>48</v>
      </c>
      <c r="I1495">
        <v>69</v>
      </c>
      <c r="J1495">
        <v>39</v>
      </c>
      <c r="K1495">
        <v>16105</v>
      </c>
      <c r="L1495">
        <v>1111245</v>
      </c>
      <c r="M1495">
        <f>Inventory_Data[[#This Row],[Opening Stock]]+Inventory_Data[[#This Row],[Purchase Qty]]-Inventory_Data[[#This Row],[Sales Qty]]-Inventory_Data[[#This Row],[Closing Stock]]</f>
        <v>0</v>
      </c>
      <c r="N1495">
        <f>Inventory_Data[[#This Row],[Purchase Qty]]*Inventory_Data[[#This Row],[Unit Cost]]</f>
        <v>515360</v>
      </c>
      <c r="O1495" t="str">
        <f>IF(Inventory_Data[[#This Row],[Closing Stock]]&lt;=Inventory_Data[[#This Row],[Reorder Level]],"Low Stock","In Stock")</f>
        <v>In Stock</v>
      </c>
      <c r="P1495" t="str">
        <f>TEXT(Inventory_Data[[#This Row],[Date]],"MMM")</f>
        <v>Nov</v>
      </c>
      <c r="Q1495" t="str">
        <f>TEXT(Inventory_Data[[#This Row],[Date]],"YYYY")</f>
        <v>2025</v>
      </c>
    </row>
    <row r="1496" spans="1:17" x14ac:dyDescent="0.3">
      <c r="A1496" s="1">
        <v>45976</v>
      </c>
      <c r="B1496" t="s">
        <v>42</v>
      </c>
      <c r="C1496" t="s">
        <v>17</v>
      </c>
      <c r="D1496" t="s">
        <v>14</v>
      </c>
      <c r="E1496" t="s">
        <v>15</v>
      </c>
      <c r="F1496">
        <v>82</v>
      </c>
      <c r="G1496">
        <v>57</v>
      </c>
      <c r="H1496">
        <v>44</v>
      </c>
      <c r="I1496">
        <v>95</v>
      </c>
      <c r="J1496">
        <v>16</v>
      </c>
      <c r="K1496">
        <v>8710</v>
      </c>
      <c r="L1496">
        <v>827450</v>
      </c>
      <c r="M1496">
        <f>Inventory_Data[[#This Row],[Opening Stock]]+Inventory_Data[[#This Row],[Purchase Qty]]-Inventory_Data[[#This Row],[Sales Qty]]-Inventory_Data[[#This Row],[Closing Stock]]</f>
        <v>0</v>
      </c>
      <c r="N1496">
        <f>Inventory_Data[[#This Row],[Purchase Qty]]*Inventory_Data[[#This Row],[Unit Cost]]</f>
        <v>496470</v>
      </c>
      <c r="O1496" t="str">
        <f>IF(Inventory_Data[[#This Row],[Closing Stock]]&lt;=Inventory_Data[[#This Row],[Reorder Level]],"Low Stock","In Stock")</f>
        <v>In Stock</v>
      </c>
      <c r="P1496" t="str">
        <f>TEXT(Inventory_Data[[#This Row],[Date]],"MMM")</f>
        <v>Nov</v>
      </c>
      <c r="Q1496" t="str">
        <f>TEXT(Inventory_Data[[#This Row],[Date]],"YYYY")</f>
        <v>2025</v>
      </c>
    </row>
    <row r="1497" spans="1:17" x14ac:dyDescent="0.3">
      <c r="A1497" s="1">
        <v>45977</v>
      </c>
      <c r="B1497" t="s">
        <v>16</v>
      </c>
      <c r="C1497" t="s">
        <v>17</v>
      </c>
      <c r="D1497" t="s">
        <v>23</v>
      </c>
      <c r="E1497" t="s">
        <v>15</v>
      </c>
      <c r="F1497">
        <v>19</v>
      </c>
      <c r="G1497">
        <v>17</v>
      </c>
      <c r="H1497">
        <v>30</v>
      </c>
      <c r="I1497">
        <v>6</v>
      </c>
      <c r="J1497">
        <v>17</v>
      </c>
      <c r="K1497">
        <v>24088</v>
      </c>
      <c r="L1497">
        <v>144528</v>
      </c>
      <c r="M1497">
        <f>Inventory_Data[[#This Row],[Opening Stock]]+Inventory_Data[[#This Row],[Purchase Qty]]-Inventory_Data[[#This Row],[Sales Qty]]-Inventory_Data[[#This Row],[Closing Stock]]</f>
        <v>0</v>
      </c>
      <c r="N1497">
        <f>Inventory_Data[[#This Row],[Purchase Qty]]*Inventory_Data[[#This Row],[Unit Cost]]</f>
        <v>409496</v>
      </c>
      <c r="O1497" t="str">
        <f>IF(Inventory_Data[[#This Row],[Closing Stock]]&lt;=Inventory_Data[[#This Row],[Reorder Level]],"Low Stock","In Stock")</f>
        <v>Low Stock</v>
      </c>
      <c r="P1497" t="str">
        <f>TEXT(Inventory_Data[[#This Row],[Date]],"MMM")</f>
        <v>Nov</v>
      </c>
      <c r="Q1497" t="str">
        <f>TEXT(Inventory_Data[[#This Row],[Date]],"YYYY")</f>
        <v>2025</v>
      </c>
    </row>
    <row r="1498" spans="1:17" x14ac:dyDescent="0.3">
      <c r="A1498" s="1">
        <v>45977</v>
      </c>
      <c r="B1498" t="s">
        <v>16</v>
      </c>
      <c r="C1498" t="s">
        <v>17</v>
      </c>
      <c r="D1498" t="s">
        <v>37</v>
      </c>
      <c r="E1498" t="s">
        <v>15</v>
      </c>
      <c r="F1498">
        <v>28</v>
      </c>
      <c r="G1498">
        <v>27</v>
      </c>
      <c r="H1498">
        <v>19</v>
      </c>
      <c r="I1498">
        <v>36</v>
      </c>
      <c r="J1498">
        <v>10</v>
      </c>
      <c r="K1498">
        <v>17808</v>
      </c>
      <c r="L1498">
        <v>641088</v>
      </c>
      <c r="M1498">
        <f>Inventory_Data[[#This Row],[Opening Stock]]+Inventory_Data[[#This Row],[Purchase Qty]]-Inventory_Data[[#This Row],[Sales Qty]]-Inventory_Data[[#This Row],[Closing Stock]]</f>
        <v>0</v>
      </c>
      <c r="N1498">
        <f>Inventory_Data[[#This Row],[Purchase Qty]]*Inventory_Data[[#This Row],[Unit Cost]]</f>
        <v>480816</v>
      </c>
      <c r="O1498" t="str">
        <f>IF(Inventory_Data[[#This Row],[Closing Stock]]&lt;=Inventory_Data[[#This Row],[Reorder Level]],"Low Stock","In Stock")</f>
        <v>In Stock</v>
      </c>
      <c r="P1498" t="str">
        <f>TEXT(Inventory_Data[[#This Row],[Date]],"MMM")</f>
        <v>Nov</v>
      </c>
      <c r="Q1498" t="str">
        <f>TEXT(Inventory_Data[[#This Row],[Date]],"YYYY")</f>
        <v>2025</v>
      </c>
    </row>
    <row r="1499" spans="1:17" x14ac:dyDescent="0.3">
      <c r="A1499" s="1">
        <v>45977</v>
      </c>
      <c r="B1499" t="s">
        <v>16</v>
      </c>
      <c r="C1499" t="s">
        <v>17</v>
      </c>
      <c r="D1499" t="s">
        <v>23</v>
      </c>
      <c r="E1499" t="s">
        <v>18</v>
      </c>
      <c r="F1499">
        <v>31</v>
      </c>
      <c r="G1499">
        <v>19</v>
      </c>
      <c r="H1499">
        <v>42</v>
      </c>
      <c r="I1499">
        <v>8</v>
      </c>
      <c r="J1499">
        <v>19</v>
      </c>
      <c r="K1499">
        <v>6291</v>
      </c>
      <c r="L1499">
        <v>50328</v>
      </c>
      <c r="M1499">
        <f>Inventory_Data[[#This Row],[Opening Stock]]+Inventory_Data[[#This Row],[Purchase Qty]]-Inventory_Data[[#This Row],[Sales Qty]]-Inventory_Data[[#This Row],[Closing Stock]]</f>
        <v>0</v>
      </c>
      <c r="N1499">
        <f>Inventory_Data[[#This Row],[Purchase Qty]]*Inventory_Data[[#This Row],[Unit Cost]]</f>
        <v>119529</v>
      </c>
      <c r="O1499" t="str">
        <f>IF(Inventory_Data[[#This Row],[Closing Stock]]&lt;=Inventory_Data[[#This Row],[Reorder Level]],"Low Stock","In Stock")</f>
        <v>Low Stock</v>
      </c>
      <c r="P1499" t="str">
        <f>TEXT(Inventory_Data[[#This Row],[Date]],"MMM")</f>
        <v>Nov</v>
      </c>
      <c r="Q1499" t="str">
        <f>TEXT(Inventory_Data[[#This Row],[Date]],"YYYY")</f>
        <v>2025</v>
      </c>
    </row>
    <row r="1500" spans="1:17" x14ac:dyDescent="0.3">
      <c r="A1500" s="1">
        <v>45977</v>
      </c>
      <c r="B1500" t="s">
        <v>35</v>
      </c>
      <c r="C1500" t="s">
        <v>22</v>
      </c>
      <c r="D1500" t="s">
        <v>26</v>
      </c>
      <c r="E1500" t="s">
        <v>18</v>
      </c>
      <c r="F1500">
        <v>271</v>
      </c>
      <c r="G1500">
        <v>255</v>
      </c>
      <c r="H1500">
        <v>219</v>
      </c>
      <c r="I1500">
        <v>307</v>
      </c>
      <c r="J1500">
        <v>120</v>
      </c>
      <c r="K1500">
        <v>950</v>
      </c>
      <c r="L1500">
        <v>291650</v>
      </c>
      <c r="M1500">
        <f>Inventory_Data[[#This Row],[Opening Stock]]+Inventory_Data[[#This Row],[Purchase Qty]]-Inventory_Data[[#This Row],[Sales Qty]]-Inventory_Data[[#This Row],[Closing Stock]]</f>
        <v>0</v>
      </c>
      <c r="N1500">
        <f>Inventory_Data[[#This Row],[Purchase Qty]]*Inventory_Data[[#This Row],[Unit Cost]]</f>
        <v>242250</v>
      </c>
      <c r="O1500" t="str">
        <f>IF(Inventory_Data[[#This Row],[Closing Stock]]&lt;=Inventory_Data[[#This Row],[Reorder Level]],"Low Stock","In Stock")</f>
        <v>In Stock</v>
      </c>
      <c r="P1500" t="str">
        <f>TEXT(Inventory_Data[[#This Row],[Date]],"MMM")</f>
        <v>Nov</v>
      </c>
      <c r="Q1500" t="str">
        <f>TEXT(Inventory_Data[[#This Row],[Date]],"YYYY")</f>
        <v>2025</v>
      </c>
    </row>
    <row r="1501" spans="1:17" x14ac:dyDescent="0.3">
      <c r="A1501" s="1">
        <v>45977</v>
      </c>
      <c r="B1501" t="s">
        <v>35</v>
      </c>
      <c r="C1501" t="s">
        <v>22</v>
      </c>
      <c r="D1501" t="s">
        <v>37</v>
      </c>
      <c r="E1501" t="s">
        <v>18</v>
      </c>
      <c r="F1501">
        <v>424</v>
      </c>
      <c r="G1501">
        <v>121</v>
      </c>
      <c r="H1501">
        <v>159</v>
      </c>
      <c r="I1501">
        <v>386</v>
      </c>
      <c r="J1501">
        <v>106</v>
      </c>
      <c r="K1501">
        <v>590</v>
      </c>
      <c r="L1501">
        <v>227740</v>
      </c>
      <c r="M1501">
        <f>Inventory_Data[[#This Row],[Opening Stock]]+Inventory_Data[[#This Row],[Purchase Qty]]-Inventory_Data[[#This Row],[Sales Qty]]-Inventory_Data[[#This Row],[Closing Stock]]</f>
        <v>0</v>
      </c>
      <c r="N1501">
        <f>Inventory_Data[[#This Row],[Purchase Qty]]*Inventory_Data[[#This Row],[Unit Cost]]</f>
        <v>71390</v>
      </c>
      <c r="O1501" t="str">
        <f>IF(Inventory_Data[[#This Row],[Closing Stock]]&lt;=Inventory_Data[[#This Row],[Reorder Level]],"Low Stock","In Stock")</f>
        <v>In Stock</v>
      </c>
      <c r="P1501" t="str">
        <f>TEXT(Inventory_Data[[#This Row],[Date]],"MMM")</f>
        <v>Nov</v>
      </c>
      <c r="Q1501" t="str">
        <f>TEXT(Inventory_Data[[#This Row],[Date]],"YYYY")</f>
        <v>2025</v>
      </c>
    </row>
    <row r="1502" spans="1:17" x14ac:dyDescent="0.3">
      <c r="A1502" s="1">
        <v>45978</v>
      </c>
      <c r="B1502" t="s">
        <v>21</v>
      </c>
      <c r="C1502" t="s">
        <v>22</v>
      </c>
      <c r="D1502" t="s">
        <v>14</v>
      </c>
      <c r="E1502" t="s">
        <v>29</v>
      </c>
      <c r="F1502">
        <v>439</v>
      </c>
      <c r="G1502">
        <v>51</v>
      </c>
      <c r="H1502">
        <v>97</v>
      </c>
      <c r="I1502">
        <v>393</v>
      </c>
      <c r="J1502">
        <v>128</v>
      </c>
      <c r="K1502">
        <v>1168</v>
      </c>
      <c r="L1502">
        <v>459024</v>
      </c>
      <c r="M1502">
        <f>Inventory_Data[[#This Row],[Opening Stock]]+Inventory_Data[[#This Row],[Purchase Qty]]-Inventory_Data[[#This Row],[Sales Qty]]-Inventory_Data[[#This Row],[Closing Stock]]</f>
        <v>0</v>
      </c>
      <c r="N1502">
        <f>Inventory_Data[[#This Row],[Purchase Qty]]*Inventory_Data[[#This Row],[Unit Cost]]</f>
        <v>59568</v>
      </c>
      <c r="O1502" t="str">
        <f>IF(Inventory_Data[[#This Row],[Closing Stock]]&lt;=Inventory_Data[[#This Row],[Reorder Level]],"Low Stock","In Stock")</f>
        <v>In Stock</v>
      </c>
      <c r="P1502" t="str">
        <f>TEXT(Inventory_Data[[#This Row],[Date]],"MMM")</f>
        <v>Nov</v>
      </c>
      <c r="Q1502" t="str">
        <f>TEXT(Inventory_Data[[#This Row],[Date]],"YYYY")</f>
        <v>2025</v>
      </c>
    </row>
    <row r="1503" spans="1:17" x14ac:dyDescent="0.3">
      <c r="A1503" s="1">
        <v>45978</v>
      </c>
      <c r="B1503" t="s">
        <v>42</v>
      </c>
      <c r="C1503" t="s">
        <v>17</v>
      </c>
      <c r="D1503" t="s">
        <v>23</v>
      </c>
      <c r="E1503" t="s">
        <v>24</v>
      </c>
      <c r="F1503">
        <v>59</v>
      </c>
      <c r="G1503">
        <v>33</v>
      </c>
      <c r="H1503">
        <v>2</v>
      </c>
      <c r="I1503">
        <v>90</v>
      </c>
      <c r="J1503">
        <v>25</v>
      </c>
      <c r="K1503">
        <v>5283</v>
      </c>
      <c r="L1503">
        <v>475470</v>
      </c>
      <c r="M1503">
        <f>Inventory_Data[[#This Row],[Opening Stock]]+Inventory_Data[[#This Row],[Purchase Qty]]-Inventory_Data[[#This Row],[Sales Qty]]-Inventory_Data[[#This Row],[Closing Stock]]</f>
        <v>0</v>
      </c>
      <c r="N1503">
        <f>Inventory_Data[[#This Row],[Purchase Qty]]*Inventory_Data[[#This Row],[Unit Cost]]</f>
        <v>174339</v>
      </c>
      <c r="O1503" t="str">
        <f>IF(Inventory_Data[[#This Row],[Closing Stock]]&lt;=Inventory_Data[[#This Row],[Reorder Level]],"Low Stock","In Stock")</f>
        <v>In Stock</v>
      </c>
      <c r="P1503" t="str">
        <f>TEXT(Inventory_Data[[#This Row],[Date]],"MMM")</f>
        <v>Nov</v>
      </c>
      <c r="Q1503" t="str">
        <f>TEXT(Inventory_Data[[#This Row],[Date]],"YYYY")</f>
        <v>2025</v>
      </c>
    </row>
    <row r="1504" spans="1:17" x14ac:dyDescent="0.3">
      <c r="A1504" s="1">
        <v>45978</v>
      </c>
      <c r="B1504" t="s">
        <v>38</v>
      </c>
      <c r="C1504" t="s">
        <v>17</v>
      </c>
      <c r="D1504" t="s">
        <v>23</v>
      </c>
      <c r="E1504" t="s">
        <v>34</v>
      </c>
      <c r="F1504">
        <v>60</v>
      </c>
      <c r="G1504">
        <v>40</v>
      </c>
      <c r="H1504">
        <v>25</v>
      </c>
      <c r="I1504">
        <v>75</v>
      </c>
      <c r="J1504">
        <v>11</v>
      </c>
      <c r="K1504">
        <v>14710</v>
      </c>
      <c r="L1504">
        <v>1103250</v>
      </c>
      <c r="M1504">
        <f>Inventory_Data[[#This Row],[Opening Stock]]+Inventory_Data[[#This Row],[Purchase Qty]]-Inventory_Data[[#This Row],[Sales Qty]]-Inventory_Data[[#This Row],[Closing Stock]]</f>
        <v>0</v>
      </c>
      <c r="N1504">
        <f>Inventory_Data[[#This Row],[Purchase Qty]]*Inventory_Data[[#This Row],[Unit Cost]]</f>
        <v>588400</v>
      </c>
      <c r="O1504" t="str">
        <f>IF(Inventory_Data[[#This Row],[Closing Stock]]&lt;=Inventory_Data[[#This Row],[Reorder Level]],"Low Stock","In Stock")</f>
        <v>In Stock</v>
      </c>
      <c r="P1504" t="str">
        <f>TEXT(Inventory_Data[[#This Row],[Date]],"MMM")</f>
        <v>Nov</v>
      </c>
      <c r="Q1504" t="str">
        <f>TEXT(Inventory_Data[[#This Row],[Date]],"YYYY")</f>
        <v>2025</v>
      </c>
    </row>
    <row r="1505" spans="1:17" x14ac:dyDescent="0.3">
      <c r="A1505" s="1">
        <v>45978</v>
      </c>
      <c r="B1505" t="s">
        <v>16</v>
      </c>
      <c r="C1505" t="s">
        <v>17</v>
      </c>
      <c r="D1505" t="s">
        <v>26</v>
      </c>
      <c r="E1505" t="s">
        <v>15</v>
      </c>
      <c r="F1505">
        <v>72</v>
      </c>
      <c r="G1505">
        <v>41</v>
      </c>
      <c r="H1505">
        <v>10</v>
      </c>
      <c r="I1505">
        <v>103</v>
      </c>
      <c r="J1505">
        <v>18</v>
      </c>
      <c r="K1505">
        <v>20716</v>
      </c>
      <c r="L1505">
        <v>2133748</v>
      </c>
      <c r="M1505">
        <f>Inventory_Data[[#This Row],[Opening Stock]]+Inventory_Data[[#This Row],[Purchase Qty]]-Inventory_Data[[#This Row],[Sales Qty]]-Inventory_Data[[#This Row],[Closing Stock]]</f>
        <v>0</v>
      </c>
      <c r="N1505">
        <f>Inventory_Data[[#This Row],[Purchase Qty]]*Inventory_Data[[#This Row],[Unit Cost]]</f>
        <v>849356</v>
      </c>
      <c r="O1505" t="str">
        <f>IF(Inventory_Data[[#This Row],[Closing Stock]]&lt;=Inventory_Data[[#This Row],[Reorder Level]],"Low Stock","In Stock")</f>
        <v>In Stock</v>
      </c>
      <c r="P1505" t="str">
        <f>TEXT(Inventory_Data[[#This Row],[Date]],"MMM")</f>
        <v>Nov</v>
      </c>
      <c r="Q1505" t="str">
        <f>TEXT(Inventory_Data[[#This Row],[Date]],"YYYY")</f>
        <v>2025</v>
      </c>
    </row>
    <row r="1506" spans="1:17" x14ac:dyDescent="0.3">
      <c r="A1506" s="1">
        <v>45978</v>
      </c>
      <c r="B1506" t="s">
        <v>42</v>
      </c>
      <c r="C1506" t="s">
        <v>17</v>
      </c>
      <c r="D1506" t="s">
        <v>37</v>
      </c>
      <c r="E1506" t="s">
        <v>20</v>
      </c>
      <c r="F1506">
        <v>63</v>
      </c>
      <c r="G1506">
        <v>23</v>
      </c>
      <c r="H1506">
        <v>34</v>
      </c>
      <c r="I1506">
        <v>52</v>
      </c>
      <c r="J1506">
        <v>21</v>
      </c>
      <c r="K1506">
        <v>3141</v>
      </c>
      <c r="L1506">
        <v>163332</v>
      </c>
      <c r="M1506">
        <f>Inventory_Data[[#This Row],[Opening Stock]]+Inventory_Data[[#This Row],[Purchase Qty]]-Inventory_Data[[#This Row],[Sales Qty]]-Inventory_Data[[#This Row],[Closing Stock]]</f>
        <v>0</v>
      </c>
      <c r="N1506">
        <f>Inventory_Data[[#This Row],[Purchase Qty]]*Inventory_Data[[#This Row],[Unit Cost]]</f>
        <v>72243</v>
      </c>
      <c r="O1506" t="str">
        <f>IF(Inventory_Data[[#This Row],[Closing Stock]]&lt;=Inventory_Data[[#This Row],[Reorder Level]],"Low Stock","In Stock")</f>
        <v>In Stock</v>
      </c>
      <c r="P1506" t="str">
        <f>TEXT(Inventory_Data[[#This Row],[Date]],"MMM")</f>
        <v>Nov</v>
      </c>
      <c r="Q1506" t="str">
        <f>TEXT(Inventory_Data[[#This Row],[Date]],"YYYY")</f>
        <v>2025</v>
      </c>
    </row>
    <row r="1507" spans="1:17" x14ac:dyDescent="0.3">
      <c r="A1507" s="1">
        <v>45978</v>
      </c>
      <c r="B1507" t="s">
        <v>12</v>
      </c>
      <c r="C1507" t="s">
        <v>13</v>
      </c>
      <c r="D1507" t="s">
        <v>37</v>
      </c>
      <c r="E1507" t="s">
        <v>20</v>
      </c>
      <c r="F1507">
        <v>66</v>
      </c>
      <c r="G1507">
        <v>25</v>
      </c>
      <c r="H1507">
        <v>32</v>
      </c>
      <c r="I1507">
        <v>59</v>
      </c>
      <c r="J1507">
        <v>17</v>
      </c>
      <c r="K1507">
        <v>13622</v>
      </c>
      <c r="L1507">
        <v>803698</v>
      </c>
      <c r="M1507">
        <f>Inventory_Data[[#This Row],[Opening Stock]]+Inventory_Data[[#This Row],[Purchase Qty]]-Inventory_Data[[#This Row],[Sales Qty]]-Inventory_Data[[#This Row],[Closing Stock]]</f>
        <v>0</v>
      </c>
      <c r="N1507">
        <f>Inventory_Data[[#This Row],[Purchase Qty]]*Inventory_Data[[#This Row],[Unit Cost]]</f>
        <v>340550</v>
      </c>
      <c r="O1507" t="str">
        <f>IF(Inventory_Data[[#This Row],[Closing Stock]]&lt;=Inventory_Data[[#This Row],[Reorder Level]],"Low Stock","In Stock")</f>
        <v>In Stock</v>
      </c>
      <c r="P1507" t="str">
        <f>TEXT(Inventory_Data[[#This Row],[Date]],"MMM")</f>
        <v>Nov</v>
      </c>
      <c r="Q1507" t="str">
        <f>TEXT(Inventory_Data[[#This Row],[Date]],"YYYY")</f>
        <v>2025</v>
      </c>
    </row>
    <row r="1508" spans="1:17" x14ac:dyDescent="0.3">
      <c r="A1508" s="1">
        <v>45978</v>
      </c>
      <c r="B1508" t="s">
        <v>42</v>
      </c>
      <c r="C1508" t="s">
        <v>17</v>
      </c>
      <c r="D1508" t="s">
        <v>26</v>
      </c>
      <c r="E1508" t="s">
        <v>18</v>
      </c>
      <c r="F1508">
        <v>88</v>
      </c>
      <c r="G1508">
        <v>36</v>
      </c>
      <c r="H1508">
        <v>9</v>
      </c>
      <c r="I1508">
        <v>115</v>
      </c>
      <c r="J1508">
        <v>27</v>
      </c>
      <c r="K1508">
        <v>8508</v>
      </c>
      <c r="L1508">
        <v>978420</v>
      </c>
      <c r="M1508">
        <f>Inventory_Data[[#This Row],[Opening Stock]]+Inventory_Data[[#This Row],[Purchase Qty]]-Inventory_Data[[#This Row],[Sales Qty]]-Inventory_Data[[#This Row],[Closing Stock]]</f>
        <v>0</v>
      </c>
      <c r="N1508">
        <f>Inventory_Data[[#This Row],[Purchase Qty]]*Inventory_Data[[#This Row],[Unit Cost]]</f>
        <v>306288</v>
      </c>
      <c r="O1508" t="str">
        <f>IF(Inventory_Data[[#This Row],[Closing Stock]]&lt;=Inventory_Data[[#This Row],[Reorder Level]],"Low Stock","In Stock")</f>
        <v>In Stock</v>
      </c>
      <c r="P1508" t="str">
        <f>TEXT(Inventory_Data[[#This Row],[Date]],"MMM")</f>
        <v>Nov</v>
      </c>
      <c r="Q1508" t="str">
        <f>TEXT(Inventory_Data[[#This Row],[Date]],"YYYY")</f>
        <v>2025</v>
      </c>
    </row>
    <row r="1509" spans="1:17" x14ac:dyDescent="0.3">
      <c r="A1509" s="1">
        <v>45979</v>
      </c>
      <c r="B1509" t="s">
        <v>36</v>
      </c>
      <c r="C1509" t="s">
        <v>22</v>
      </c>
      <c r="D1509" t="s">
        <v>23</v>
      </c>
      <c r="E1509" t="s">
        <v>34</v>
      </c>
      <c r="F1509">
        <v>205</v>
      </c>
      <c r="G1509">
        <v>269</v>
      </c>
      <c r="H1509">
        <v>69</v>
      </c>
      <c r="I1509">
        <v>405</v>
      </c>
      <c r="J1509">
        <v>99</v>
      </c>
      <c r="K1509">
        <v>669</v>
      </c>
      <c r="L1509">
        <v>270945</v>
      </c>
      <c r="M1509">
        <f>Inventory_Data[[#This Row],[Opening Stock]]+Inventory_Data[[#This Row],[Purchase Qty]]-Inventory_Data[[#This Row],[Sales Qty]]-Inventory_Data[[#This Row],[Closing Stock]]</f>
        <v>0</v>
      </c>
      <c r="N1509">
        <f>Inventory_Data[[#This Row],[Purchase Qty]]*Inventory_Data[[#This Row],[Unit Cost]]</f>
        <v>179961</v>
      </c>
      <c r="O1509" t="str">
        <f>IF(Inventory_Data[[#This Row],[Closing Stock]]&lt;=Inventory_Data[[#This Row],[Reorder Level]],"Low Stock","In Stock")</f>
        <v>In Stock</v>
      </c>
      <c r="P1509" t="str">
        <f>TEXT(Inventory_Data[[#This Row],[Date]],"MMM")</f>
        <v>Nov</v>
      </c>
      <c r="Q1509" t="str">
        <f>TEXT(Inventory_Data[[#This Row],[Date]],"YYYY")</f>
        <v>2025</v>
      </c>
    </row>
    <row r="1510" spans="1:17" x14ac:dyDescent="0.3">
      <c r="A1510" s="1">
        <v>45979</v>
      </c>
      <c r="B1510" t="s">
        <v>42</v>
      </c>
      <c r="C1510" t="s">
        <v>17</v>
      </c>
      <c r="D1510" t="s">
        <v>14</v>
      </c>
      <c r="E1510" t="s">
        <v>20</v>
      </c>
      <c r="F1510">
        <v>28</v>
      </c>
      <c r="G1510">
        <v>23</v>
      </c>
      <c r="H1510">
        <v>8</v>
      </c>
      <c r="I1510">
        <v>43</v>
      </c>
      <c r="J1510">
        <v>19</v>
      </c>
      <c r="K1510">
        <v>10394</v>
      </c>
      <c r="L1510">
        <v>446942</v>
      </c>
      <c r="M1510">
        <f>Inventory_Data[[#This Row],[Opening Stock]]+Inventory_Data[[#This Row],[Purchase Qty]]-Inventory_Data[[#This Row],[Sales Qty]]-Inventory_Data[[#This Row],[Closing Stock]]</f>
        <v>0</v>
      </c>
      <c r="N1510">
        <f>Inventory_Data[[#This Row],[Purchase Qty]]*Inventory_Data[[#This Row],[Unit Cost]]</f>
        <v>239062</v>
      </c>
      <c r="O1510" t="str">
        <f>IF(Inventory_Data[[#This Row],[Closing Stock]]&lt;=Inventory_Data[[#This Row],[Reorder Level]],"Low Stock","In Stock")</f>
        <v>In Stock</v>
      </c>
      <c r="P1510" t="str">
        <f>TEXT(Inventory_Data[[#This Row],[Date]],"MMM")</f>
        <v>Nov</v>
      </c>
      <c r="Q1510" t="str">
        <f>TEXT(Inventory_Data[[#This Row],[Date]],"YYYY")</f>
        <v>2025</v>
      </c>
    </row>
    <row r="1511" spans="1:17" x14ac:dyDescent="0.3">
      <c r="A1511" s="1">
        <v>45979</v>
      </c>
      <c r="B1511" t="s">
        <v>31</v>
      </c>
      <c r="C1511" t="s">
        <v>22</v>
      </c>
      <c r="D1511" t="s">
        <v>26</v>
      </c>
      <c r="E1511" t="s">
        <v>18</v>
      </c>
      <c r="F1511">
        <v>343</v>
      </c>
      <c r="G1511">
        <v>198</v>
      </c>
      <c r="H1511">
        <v>112</v>
      </c>
      <c r="I1511">
        <v>429</v>
      </c>
      <c r="J1511">
        <v>89</v>
      </c>
      <c r="K1511">
        <v>902</v>
      </c>
      <c r="L1511">
        <v>386958</v>
      </c>
      <c r="M1511">
        <f>Inventory_Data[[#This Row],[Opening Stock]]+Inventory_Data[[#This Row],[Purchase Qty]]-Inventory_Data[[#This Row],[Sales Qty]]-Inventory_Data[[#This Row],[Closing Stock]]</f>
        <v>0</v>
      </c>
      <c r="N1511">
        <f>Inventory_Data[[#This Row],[Purchase Qty]]*Inventory_Data[[#This Row],[Unit Cost]]</f>
        <v>178596</v>
      </c>
      <c r="O1511" t="str">
        <f>IF(Inventory_Data[[#This Row],[Closing Stock]]&lt;=Inventory_Data[[#This Row],[Reorder Level]],"Low Stock","In Stock")</f>
        <v>In Stock</v>
      </c>
      <c r="P1511" t="str">
        <f>TEXT(Inventory_Data[[#This Row],[Date]],"MMM")</f>
        <v>Nov</v>
      </c>
      <c r="Q1511" t="str">
        <f>TEXT(Inventory_Data[[#This Row],[Date]],"YYYY")</f>
        <v>2025</v>
      </c>
    </row>
    <row r="1512" spans="1:17" x14ac:dyDescent="0.3">
      <c r="A1512" s="1">
        <v>45979</v>
      </c>
      <c r="B1512" t="s">
        <v>36</v>
      </c>
      <c r="C1512" t="s">
        <v>22</v>
      </c>
      <c r="D1512" t="s">
        <v>14</v>
      </c>
      <c r="E1512" t="s">
        <v>34</v>
      </c>
      <c r="F1512">
        <v>104</v>
      </c>
      <c r="G1512">
        <v>120</v>
      </c>
      <c r="H1512">
        <v>110</v>
      </c>
      <c r="I1512">
        <v>114</v>
      </c>
      <c r="J1512">
        <v>142</v>
      </c>
      <c r="K1512">
        <v>1198</v>
      </c>
      <c r="L1512">
        <v>136572</v>
      </c>
      <c r="M1512">
        <f>Inventory_Data[[#This Row],[Opening Stock]]+Inventory_Data[[#This Row],[Purchase Qty]]-Inventory_Data[[#This Row],[Sales Qty]]-Inventory_Data[[#This Row],[Closing Stock]]</f>
        <v>0</v>
      </c>
      <c r="N1512">
        <f>Inventory_Data[[#This Row],[Purchase Qty]]*Inventory_Data[[#This Row],[Unit Cost]]</f>
        <v>143760</v>
      </c>
      <c r="O1512" t="str">
        <f>IF(Inventory_Data[[#This Row],[Closing Stock]]&lt;=Inventory_Data[[#This Row],[Reorder Level]],"Low Stock","In Stock")</f>
        <v>Low Stock</v>
      </c>
      <c r="P1512" t="str">
        <f>TEXT(Inventory_Data[[#This Row],[Date]],"MMM")</f>
        <v>Nov</v>
      </c>
      <c r="Q1512" t="str">
        <f>TEXT(Inventory_Data[[#This Row],[Date]],"YYYY")</f>
        <v>2025</v>
      </c>
    </row>
    <row r="1513" spans="1:17" x14ac:dyDescent="0.3">
      <c r="A1513" s="1">
        <v>45980</v>
      </c>
      <c r="B1513" t="s">
        <v>39</v>
      </c>
      <c r="C1513" t="s">
        <v>28</v>
      </c>
      <c r="D1513" t="s">
        <v>23</v>
      </c>
      <c r="E1513" t="s">
        <v>34</v>
      </c>
      <c r="F1513">
        <v>24</v>
      </c>
      <c r="G1513">
        <v>94</v>
      </c>
      <c r="H1513">
        <v>26</v>
      </c>
      <c r="I1513">
        <v>92</v>
      </c>
      <c r="J1513">
        <v>56</v>
      </c>
      <c r="K1513">
        <v>15765</v>
      </c>
      <c r="L1513">
        <v>1450380</v>
      </c>
      <c r="M1513">
        <f>Inventory_Data[[#This Row],[Opening Stock]]+Inventory_Data[[#This Row],[Purchase Qty]]-Inventory_Data[[#This Row],[Sales Qty]]-Inventory_Data[[#This Row],[Closing Stock]]</f>
        <v>0</v>
      </c>
      <c r="N1513">
        <f>Inventory_Data[[#This Row],[Purchase Qty]]*Inventory_Data[[#This Row],[Unit Cost]]</f>
        <v>1481910</v>
      </c>
      <c r="O1513" t="str">
        <f>IF(Inventory_Data[[#This Row],[Closing Stock]]&lt;=Inventory_Data[[#This Row],[Reorder Level]],"Low Stock","In Stock")</f>
        <v>In Stock</v>
      </c>
      <c r="P1513" t="str">
        <f>TEXT(Inventory_Data[[#This Row],[Date]],"MMM")</f>
        <v>Nov</v>
      </c>
      <c r="Q1513" t="str">
        <f>TEXT(Inventory_Data[[#This Row],[Date]],"YYYY")</f>
        <v>2025</v>
      </c>
    </row>
    <row r="1514" spans="1:17" x14ac:dyDescent="0.3">
      <c r="A1514" s="1">
        <v>45980</v>
      </c>
      <c r="B1514" t="s">
        <v>12</v>
      </c>
      <c r="C1514" t="s">
        <v>13</v>
      </c>
      <c r="D1514" t="s">
        <v>26</v>
      </c>
      <c r="E1514" t="s">
        <v>20</v>
      </c>
      <c r="F1514">
        <v>99</v>
      </c>
      <c r="G1514">
        <v>61</v>
      </c>
      <c r="H1514">
        <v>10</v>
      </c>
      <c r="I1514">
        <v>150</v>
      </c>
      <c r="J1514">
        <v>21</v>
      </c>
      <c r="K1514">
        <v>11701</v>
      </c>
      <c r="L1514">
        <v>1755150</v>
      </c>
      <c r="M1514">
        <f>Inventory_Data[[#This Row],[Opening Stock]]+Inventory_Data[[#This Row],[Purchase Qty]]-Inventory_Data[[#This Row],[Sales Qty]]-Inventory_Data[[#This Row],[Closing Stock]]</f>
        <v>0</v>
      </c>
      <c r="N1514">
        <f>Inventory_Data[[#This Row],[Purchase Qty]]*Inventory_Data[[#This Row],[Unit Cost]]</f>
        <v>713761</v>
      </c>
      <c r="O1514" t="str">
        <f>IF(Inventory_Data[[#This Row],[Closing Stock]]&lt;=Inventory_Data[[#This Row],[Reorder Level]],"Low Stock","In Stock")</f>
        <v>In Stock</v>
      </c>
      <c r="P1514" t="str">
        <f>TEXT(Inventory_Data[[#This Row],[Date]],"MMM")</f>
        <v>Nov</v>
      </c>
      <c r="Q1514" t="str">
        <f>TEXT(Inventory_Data[[#This Row],[Date]],"YYYY")</f>
        <v>2025</v>
      </c>
    </row>
    <row r="1515" spans="1:17" x14ac:dyDescent="0.3">
      <c r="A1515" s="1">
        <v>45980</v>
      </c>
      <c r="B1515" t="s">
        <v>43</v>
      </c>
      <c r="C1515" t="s">
        <v>22</v>
      </c>
      <c r="D1515" t="s">
        <v>14</v>
      </c>
      <c r="E1515" t="s">
        <v>20</v>
      </c>
      <c r="F1515">
        <v>395</v>
      </c>
      <c r="G1515">
        <v>116</v>
      </c>
      <c r="H1515">
        <v>158</v>
      </c>
      <c r="I1515">
        <v>353</v>
      </c>
      <c r="J1515">
        <v>114</v>
      </c>
      <c r="K1515">
        <v>780</v>
      </c>
      <c r="L1515">
        <v>275340</v>
      </c>
      <c r="M1515">
        <f>Inventory_Data[[#This Row],[Opening Stock]]+Inventory_Data[[#This Row],[Purchase Qty]]-Inventory_Data[[#This Row],[Sales Qty]]-Inventory_Data[[#This Row],[Closing Stock]]</f>
        <v>0</v>
      </c>
      <c r="N1515">
        <f>Inventory_Data[[#This Row],[Purchase Qty]]*Inventory_Data[[#This Row],[Unit Cost]]</f>
        <v>90480</v>
      </c>
      <c r="O1515" t="str">
        <f>IF(Inventory_Data[[#This Row],[Closing Stock]]&lt;=Inventory_Data[[#This Row],[Reorder Level]],"Low Stock","In Stock")</f>
        <v>In Stock</v>
      </c>
      <c r="P1515" t="str">
        <f>TEXT(Inventory_Data[[#This Row],[Date]],"MMM")</f>
        <v>Nov</v>
      </c>
      <c r="Q1515" t="str">
        <f>TEXT(Inventory_Data[[#This Row],[Date]],"YYYY")</f>
        <v>2025</v>
      </c>
    </row>
    <row r="1516" spans="1:17" x14ac:dyDescent="0.3">
      <c r="A1516" s="1">
        <v>45981</v>
      </c>
      <c r="B1516" t="s">
        <v>31</v>
      </c>
      <c r="C1516" t="s">
        <v>22</v>
      </c>
      <c r="D1516" t="s">
        <v>23</v>
      </c>
      <c r="E1516" t="s">
        <v>29</v>
      </c>
      <c r="F1516">
        <v>195</v>
      </c>
      <c r="G1516">
        <v>182</v>
      </c>
      <c r="H1516">
        <v>202</v>
      </c>
      <c r="I1516">
        <v>175</v>
      </c>
      <c r="J1516">
        <v>128</v>
      </c>
      <c r="K1516">
        <v>968</v>
      </c>
      <c r="L1516">
        <v>169400</v>
      </c>
      <c r="M1516">
        <f>Inventory_Data[[#This Row],[Opening Stock]]+Inventory_Data[[#This Row],[Purchase Qty]]-Inventory_Data[[#This Row],[Sales Qty]]-Inventory_Data[[#This Row],[Closing Stock]]</f>
        <v>0</v>
      </c>
      <c r="N1516">
        <f>Inventory_Data[[#This Row],[Purchase Qty]]*Inventory_Data[[#This Row],[Unit Cost]]</f>
        <v>176176</v>
      </c>
      <c r="O1516" t="str">
        <f>IF(Inventory_Data[[#This Row],[Closing Stock]]&lt;=Inventory_Data[[#This Row],[Reorder Level]],"Low Stock","In Stock")</f>
        <v>In Stock</v>
      </c>
      <c r="P1516" t="str">
        <f>TEXT(Inventory_Data[[#This Row],[Date]],"MMM")</f>
        <v>Nov</v>
      </c>
      <c r="Q1516" t="str">
        <f>TEXT(Inventory_Data[[#This Row],[Date]],"YYYY")</f>
        <v>2025</v>
      </c>
    </row>
    <row r="1517" spans="1:17" x14ac:dyDescent="0.3">
      <c r="A1517" s="1">
        <v>45981</v>
      </c>
      <c r="B1517" t="s">
        <v>12</v>
      </c>
      <c r="C1517" t="s">
        <v>13</v>
      </c>
      <c r="D1517" t="s">
        <v>37</v>
      </c>
      <c r="E1517" t="s">
        <v>15</v>
      </c>
      <c r="F1517">
        <v>108</v>
      </c>
      <c r="G1517">
        <v>37</v>
      </c>
      <c r="H1517">
        <v>38</v>
      </c>
      <c r="I1517">
        <v>107</v>
      </c>
      <c r="J1517">
        <v>19</v>
      </c>
      <c r="K1517">
        <v>17677</v>
      </c>
      <c r="L1517">
        <v>1891439</v>
      </c>
      <c r="M1517">
        <f>Inventory_Data[[#This Row],[Opening Stock]]+Inventory_Data[[#This Row],[Purchase Qty]]-Inventory_Data[[#This Row],[Sales Qty]]-Inventory_Data[[#This Row],[Closing Stock]]</f>
        <v>0</v>
      </c>
      <c r="N1517">
        <f>Inventory_Data[[#This Row],[Purchase Qty]]*Inventory_Data[[#This Row],[Unit Cost]]</f>
        <v>654049</v>
      </c>
      <c r="O1517" t="str">
        <f>IF(Inventory_Data[[#This Row],[Closing Stock]]&lt;=Inventory_Data[[#This Row],[Reorder Level]],"Low Stock","In Stock")</f>
        <v>In Stock</v>
      </c>
      <c r="P1517" t="str">
        <f>TEXT(Inventory_Data[[#This Row],[Date]],"MMM")</f>
        <v>Nov</v>
      </c>
      <c r="Q1517" t="str">
        <f>TEXT(Inventory_Data[[#This Row],[Date]],"YYYY")</f>
        <v>2025</v>
      </c>
    </row>
    <row r="1518" spans="1:17" x14ac:dyDescent="0.3">
      <c r="A1518" s="1">
        <v>45982</v>
      </c>
      <c r="B1518" t="s">
        <v>33</v>
      </c>
      <c r="C1518" t="s">
        <v>13</v>
      </c>
      <c r="D1518" t="s">
        <v>37</v>
      </c>
      <c r="E1518" t="s">
        <v>15</v>
      </c>
      <c r="F1518">
        <v>100</v>
      </c>
      <c r="G1518">
        <v>45</v>
      </c>
      <c r="H1518">
        <v>12</v>
      </c>
      <c r="I1518">
        <v>133</v>
      </c>
      <c r="J1518">
        <v>31</v>
      </c>
      <c r="K1518">
        <v>13965</v>
      </c>
      <c r="L1518">
        <v>1857345</v>
      </c>
      <c r="M1518">
        <f>Inventory_Data[[#This Row],[Opening Stock]]+Inventory_Data[[#This Row],[Purchase Qty]]-Inventory_Data[[#This Row],[Sales Qty]]-Inventory_Data[[#This Row],[Closing Stock]]</f>
        <v>0</v>
      </c>
      <c r="N1518">
        <f>Inventory_Data[[#This Row],[Purchase Qty]]*Inventory_Data[[#This Row],[Unit Cost]]</f>
        <v>628425</v>
      </c>
      <c r="O1518" t="str">
        <f>IF(Inventory_Data[[#This Row],[Closing Stock]]&lt;=Inventory_Data[[#This Row],[Reorder Level]],"Low Stock","In Stock")</f>
        <v>In Stock</v>
      </c>
      <c r="P1518" t="str">
        <f>TEXT(Inventory_Data[[#This Row],[Date]],"MMM")</f>
        <v>Nov</v>
      </c>
      <c r="Q1518" t="str">
        <f>TEXT(Inventory_Data[[#This Row],[Date]],"YYYY")</f>
        <v>2025</v>
      </c>
    </row>
    <row r="1519" spans="1:17" x14ac:dyDescent="0.3">
      <c r="A1519" s="1">
        <v>45982</v>
      </c>
      <c r="B1519" t="s">
        <v>31</v>
      </c>
      <c r="C1519" t="s">
        <v>22</v>
      </c>
      <c r="D1519" t="s">
        <v>26</v>
      </c>
      <c r="E1519" t="s">
        <v>20</v>
      </c>
      <c r="F1519">
        <v>353</v>
      </c>
      <c r="G1519">
        <v>201</v>
      </c>
      <c r="H1519">
        <v>210</v>
      </c>
      <c r="I1519">
        <v>344</v>
      </c>
      <c r="J1519">
        <v>130</v>
      </c>
      <c r="K1519">
        <v>1078</v>
      </c>
      <c r="L1519">
        <v>370832</v>
      </c>
      <c r="M1519">
        <f>Inventory_Data[[#This Row],[Opening Stock]]+Inventory_Data[[#This Row],[Purchase Qty]]-Inventory_Data[[#This Row],[Sales Qty]]-Inventory_Data[[#This Row],[Closing Stock]]</f>
        <v>0</v>
      </c>
      <c r="N1519">
        <f>Inventory_Data[[#This Row],[Purchase Qty]]*Inventory_Data[[#This Row],[Unit Cost]]</f>
        <v>216678</v>
      </c>
      <c r="O1519" t="str">
        <f>IF(Inventory_Data[[#This Row],[Closing Stock]]&lt;=Inventory_Data[[#This Row],[Reorder Level]],"Low Stock","In Stock")</f>
        <v>In Stock</v>
      </c>
      <c r="P1519" t="str">
        <f>TEXT(Inventory_Data[[#This Row],[Date]],"MMM")</f>
        <v>Nov</v>
      </c>
      <c r="Q1519" t="str">
        <f>TEXT(Inventory_Data[[#This Row],[Date]],"YYYY")</f>
        <v>2025</v>
      </c>
    </row>
    <row r="1520" spans="1:17" x14ac:dyDescent="0.3">
      <c r="A1520" s="1">
        <v>45982</v>
      </c>
      <c r="B1520" t="s">
        <v>16</v>
      </c>
      <c r="C1520" t="s">
        <v>17</v>
      </c>
      <c r="D1520" t="s">
        <v>26</v>
      </c>
      <c r="E1520" t="s">
        <v>29</v>
      </c>
      <c r="F1520">
        <v>28</v>
      </c>
      <c r="G1520">
        <v>51</v>
      </c>
      <c r="H1520">
        <v>39</v>
      </c>
      <c r="I1520">
        <v>40</v>
      </c>
      <c r="J1520">
        <v>20</v>
      </c>
      <c r="K1520">
        <v>17238</v>
      </c>
      <c r="L1520">
        <v>689520</v>
      </c>
      <c r="M1520">
        <f>Inventory_Data[[#This Row],[Opening Stock]]+Inventory_Data[[#This Row],[Purchase Qty]]-Inventory_Data[[#This Row],[Sales Qty]]-Inventory_Data[[#This Row],[Closing Stock]]</f>
        <v>0</v>
      </c>
      <c r="N1520">
        <f>Inventory_Data[[#This Row],[Purchase Qty]]*Inventory_Data[[#This Row],[Unit Cost]]</f>
        <v>879138</v>
      </c>
      <c r="O1520" t="str">
        <f>IF(Inventory_Data[[#This Row],[Closing Stock]]&lt;=Inventory_Data[[#This Row],[Reorder Level]],"Low Stock","In Stock")</f>
        <v>In Stock</v>
      </c>
      <c r="P1520" t="str">
        <f>TEXT(Inventory_Data[[#This Row],[Date]],"MMM")</f>
        <v>Nov</v>
      </c>
      <c r="Q1520" t="str">
        <f>TEXT(Inventory_Data[[#This Row],[Date]],"YYYY")</f>
        <v>2025</v>
      </c>
    </row>
    <row r="1521" spans="1:17" x14ac:dyDescent="0.3">
      <c r="A1521" s="1">
        <v>45982</v>
      </c>
      <c r="B1521" t="s">
        <v>39</v>
      </c>
      <c r="C1521" t="s">
        <v>28</v>
      </c>
      <c r="D1521" t="s">
        <v>23</v>
      </c>
      <c r="E1521" t="s">
        <v>24</v>
      </c>
      <c r="F1521">
        <v>174</v>
      </c>
      <c r="G1521">
        <v>96</v>
      </c>
      <c r="H1521">
        <v>37</v>
      </c>
      <c r="I1521">
        <v>233</v>
      </c>
      <c r="J1521">
        <v>40</v>
      </c>
      <c r="K1521">
        <v>13155</v>
      </c>
      <c r="L1521">
        <v>3065115</v>
      </c>
      <c r="M1521">
        <f>Inventory_Data[[#This Row],[Opening Stock]]+Inventory_Data[[#This Row],[Purchase Qty]]-Inventory_Data[[#This Row],[Sales Qty]]-Inventory_Data[[#This Row],[Closing Stock]]</f>
        <v>0</v>
      </c>
      <c r="N1521">
        <f>Inventory_Data[[#This Row],[Purchase Qty]]*Inventory_Data[[#This Row],[Unit Cost]]</f>
        <v>1262880</v>
      </c>
      <c r="O1521" t="str">
        <f>IF(Inventory_Data[[#This Row],[Closing Stock]]&lt;=Inventory_Data[[#This Row],[Reorder Level]],"Low Stock","In Stock")</f>
        <v>In Stock</v>
      </c>
      <c r="P1521" t="str">
        <f>TEXT(Inventory_Data[[#This Row],[Date]],"MMM")</f>
        <v>Nov</v>
      </c>
      <c r="Q1521" t="str">
        <f>TEXT(Inventory_Data[[#This Row],[Date]],"YYYY")</f>
        <v>2025</v>
      </c>
    </row>
    <row r="1522" spans="1:17" x14ac:dyDescent="0.3">
      <c r="A1522" s="1">
        <v>45983</v>
      </c>
      <c r="B1522" t="s">
        <v>39</v>
      </c>
      <c r="C1522" t="s">
        <v>28</v>
      </c>
      <c r="D1522" t="s">
        <v>23</v>
      </c>
      <c r="E1522" t="s">
        <v>34</v>
      </c>
      <c r="F1522">
        <v>160</v>
      </c>
      <c r="G1522">
        <v>106</v>
      </c>
      <c r="H1522">
        <v>23</v>
      </c>
      <c r="I1522">
        <v>243</v>
      </c>
      <c r="J1522">
        <v>52</v>
      </c>
      <c r="K1522">
        <v>61678</v>
      </c>
      <c r="L1522">
        <v>14987754</v>
      </c>
      <c r="M1522">
        <f>Inventory_Data[[#This Row],[Opening Stock]]+Inventory_Data[[#This Row],[Purchase Qty]]-Inventory_Data[[#This Row],[Sales Qty]]-Inventory_Data[[#This Row],[Closing Stock]]</f>
        <v>0</v>
      </c>
      <c r="N1522">
        <f>Inventory_Data[[#This Row],[Purchase Qty]]*Inventory_Data[[#This Row],[Unit Cost]]</f>
        <v>6537868</v>
      </c>
      <c r="O1522" t="str">
        <f>IF(Inventory_Data[[#This Row],[Closing Stock]]&lt;=Inventory_Data[[#This Row],[Reorder Level]],"Low Stock","In Stock")</f>
        <v>In Stock</v>
      </c>
      <c r="P1522" t="str">
        <f>TEXT(Inventory_Data[[#This Row],[Date]],"MMM")</f>
        <v>Nov</v>
      </c>
      <c r="Q1522" t="str">
        <f>TEXT(Inventory_Data[[#This Row],[Date]],"YYYY")</f>
        <v>2025</v>
      </c>
    </row>
    <row r="1523" spans="1:17" x14ac:dyDescent="0.3">
      <c r="A1523" s="1">
        <v>45984</v>
      </c>
      <c r="B1523" t="s">
        <v>30</v>
      </c>
      <c r="C1523" t="s">
        <v>28</v>
      </c>
      <c r="D1523" t="s">
        <v>14</v>
      </c>
      <c r="E1523" t="s">
        <v>15</v>
      </c>
      <c r="F1523">
        <v>171</v>
      </c>
      <c r="G1523">
        <v>72</v>
      </c>
      <c r="H1523">
        <v>90</v>
      </c>
      <c r="I1523">
        <v>153</v>
      </c>
      <c r="J1523">
        <v>42</v>
      </c>
      <c r="K1523">
        <v>32012</v>
      </c>
      <c r="L1523">
        <v>4897836</v>
      </c>
      <c r="M1523">
        <f>Inventory_Data[[#This Row],[Opening Stock]]+Inventory_Data[[#This Row],[Purchase Qty]]-Inventory_Data[[#This Row],[Sales Qty]]-Inventory_Data[[#This Row],[Closing Stock]]</f>
        <v>0</v>
      </c>
      <c r="N1523">
        <f>Inventory_Data[[#This Row],[Purchase Qty]]*Inventory_Data[[#This Row],[Unit Cost]]</f>
        <v>2304864</v>
      </c>
      <c r="O1523" t="str">
        <f>IF(Inventory_Data[[#This Row],[Closing Stock]]&lt;=Inventory_Data[[#This Row],[Reorder Level]],"Low Stock","In Stock")</f>
        <v>In Stock</v>
      </c>
      <c r="P1523" t="str">
        <f>TEXT(Inventory_Data[[#This Row],[Date]],"MMM")</f>
        <v>Nov</v>
      </c>
      <c r="Q1523" t="str">
        <f>TEXT(Inventory_Data[[#This Row],[Date]],"YYYY")</f>
        <v>2025</v>
      </c>
    </row>
    <row r="1524" spans="1:17" x14ac:dyDescent="0.3">
      <c r="A1524" s="1">
        <v>45984</v>
      </c>
      <c r="B1524" t="s">
        <v>36</v>
      </c>
      <c r="C1524" t="s">
        <v>22</v>
      </c>
      <c r="D1524" t="s">
        <v>37</v>
      </c>
      <c r="E1524" t="s">
        <v>18</v>
      </c>
      <c r="F1524">
        <v>203</v>
      </c>
      <c r="G1524">
        <v>136</v>
      </c>
      <c r="H1524">
        <v>155</v>
      </c>
      <c r="I1524">
        <v>184</v>
      </c>
      <c r="J1524">
        <v>95</v>
      </c>
      <c r="K1524">
        <v>271</v>
      </c>
      <c r="L1524">
        <v>49864</v>
      </c>
      <c r="M1524">
        <f>Inventory_Data[[#This Row],[Opening Stock]]+Inventory_Data[[#This Row],[Purchase Qty]]-Inventory_Data[[#This Row],[Sales Qty]]-Inventory_Data[[#This Row],[Closing Stock]]</f>
        <v>0</v>
      </c>
      <c r="N1524">
        <f>Inventory_Data[[#This Row],[Purchase Qty]]*Inventory_Data[[#This Row],[Unit Cost]]</f>
        <v>36856</v>
      </c>
      <c r="O1524" t="str">
        <f>IF(Inventory_Data[[#This Row],[Closing Stock]]&lt;=Inventory_Data[[#This Row],[Reorder Level]],"Low Stock","In Stock")</f>
        <v>In Stock</v>
      </c>
      <c r="P1524" t="str">
        <f>TEXT(Inventory_Data[[#This Row],[Date]],"MMM")</f>
        <v>Nov</v>
      </c>
      <c r="Q1524" t="str">
        <f>TEXT(Inventory_Data[[#This Row],[Date]],"YYYY")</f>
        <v>2025</v>
      </c>
    </row>
    <row r="1525" spans="1:17" x14ac:dyDescent="0.3">
      <c r="A1525" s="1">
        <v>45984</v>
      </c>
      <c r="B1525" t="s">
        <v>27</v>
      </c>
      <c r="C1525" t="s">
        <v>28</v>
      </c>
      <c r="D1525" t="s">
        <v>37</v>
      </c>
      <c r="E1525" t="s">
        <v>34</v>
      </c>
      <c r="F1525">
        <v>105</v>
      </c>
      <c r="G1525">
        <v>42</v>
      </c>
      <c r="H1525">
        <v>85</v>
      </c>
      <c r="I1525">
        <v>62</v>
      </c>
      <c r="J1525">
        <v>53</v>
      </c>
      <c r="K1525">
        <v>10679</v>
      </c>
      <c r="L1525">
        <v>662098</v>
      </c>
      <c r="M1525">
        <f>Inventory_Data[[#This Row],[Opening Stock]]+Inventory_Data[[#This Row],[Purchase Qty]]-Inventory_Data[[#This Row],[Sales Qty]]-Inventory_Data[[#This Row],[Closing Stock]]</f>
        <v>0</v>
      </c>
      <c r="N1525">
        <f>Inventory_Data[[#This Row],[Purchase Qty]]*Inventory_Data[[#This Row],[Unit Cost]]</f>
        <v>448518</v>
      </c>
      <c r="O1525" t="str">
        <f>IF(Inventory_Data[[#This Row],[Closing Stock]]&lt;=Inventory_Data[[#This Row],[Reorder Level]],"Low Stock","In Stock")</f>
        <v>In Stock</v>
      </c>
      <c r="P1525" t="str">
        <f>TEXT(Inventory_Data[[#This Row],[Date]],"MMM")</f>
        <v>Nov</v>
      </c>
      <c r="Q1525" t="str">
        <f>TEXT(Inventory_Data[[#This Row],[Date]],"YYYY")</f>
        <v>2025</v>
      </c>
    </row>
    <row r="1526" spans="1:17" x14ac:dyDescent="0.3">
      <c r="A1526" s="1">
        <v>45984</v>
      </c>
      <c r="B1526" t="s">
        <v>32</v>
      </c>
      <c r="C1526" t="s">
        <v>28</v>
      </c>
      <c r="D1526" t="s">
        <v>23</v>
      </c>
      <c r="E1526" t="s">
        <v>18</v>
      </c>
      <c r="F1526">
        <v>135</v>
      </c>
      <c r="G1526">
        <v>63</v>
      </c>
      <c r="H1526">
        <v>82</v>
      </c>
      <c r="I1526">
        <v>116</v>
      </c>
      <c r="J1526">
        <v>26</v>
      </c>
      <c r="K1526">
        <v>14826</v>
      </c>
      <c r="L1526">
        <v>1719816</v>
      </c>
      <c r="M1526">
        <f>Inventory_Data[[#This Row],[Opening Stock]]+Inventory_Data[[#This Row],[Purchase Qty]]-Inventory_Data[[#This Row],[Sales Qty]]-Inventory_Data[[#This Row],[Closing Stock]]</f>
        <v>0</v>
      </c>
      <c r="N1526">
        <f>Inventory_Data[[#This Row],[Purchase Qty]]*Inventory_Data[[#This Row],[Unit Cost]]</f>
        <v>934038</v>
      </c>
      <c r="O1526" t="str">
        <f>IF(Inventory_Data[[#This Row],[Closing Stock]]&lt;=Inventory_Data[[#This Row],[Reorder Level]],"Low Stock","In Stock")</f>
        <v>In Stock</v>
      </c>
      <c r="P1526" t="str">
        <f>TEXT(Inventory_Data[[#This Row],[Date]],"MMM")</f>
        <v>Nov</v>
      </c>
      <c r="Q1526" t="str">
        <f>TEXT(Inventory_Data[[#This Row],[Date]],"YYYY")</f>
        <v>2025</v>
      </c>
    </row>
    <row r="1527" spans="1:17" x14ac:dyDescent="0.3">
      <c r="A1527" s="1">
        <v>45985</v>
      </c>
      <c r="B1527" t="s">
        <v>16</v>
      </c>
      <c r="C1527" t="s">
        <v>17</v>
      </c>
      <c r="D1527" t="s">
        <v>14</v>
      </c>
      <c r="E1527" t="s">
        <v>24</v>
      </c>
      <c r="F1527">
        <v>92</v>
      </c>
      <c r="G1527">
        <v>27</v>
      </c>
      <c r="H1527">
        <v>28</v>
      </c>
      <c r="I1527">
        <v>91</v>
      </c>
      <c r="J1527">
        <v>28</v>
      </c>
      <c r="K1527">
        <v>9659</v>
      </c>
      <c r="L1527">
        <v>878969</v>
      </c>
      <c r="M1527">
        <f>Inventory_Data[[#This Row],[Opening Stock]]+Inventory_Data[[#This Row],[Purchase Qty]]-Inventory_Data[[#This Row],[Sales Qty]]-Inventory_Data[[#This Row],[Closing Stock]]</f>
        <v>0</v>
      </c>
      <c r="N1527">
        <f>Inventory_Data[[#This Row],[Purchase Qty]]*Inventory_Data[[#This Row],[Unit Cost]]</f>
        <v>260793</v>
      </c>
      <c r="O1527" t="str">
        <f>IF(Inventory_Data[[#This Row],[Closing Stock]]&lt;=Inventory_Data[[#This Row],[Reorder Level]],"Low Stock","In Stock")</f>
        <v>In Stock</v>
      </c>
      <c r="P1527" t="str">
        <f>TEXT(Inventory_Data[[#This Row],[Date]],"MMM")</f>
        <v>Nov</v>
      </c>
      <c r="Q1527" t="str">
        <f>TEXT(Inventory_Data[[#This Row],[Date]],"YYYY")</f>
        <v>2025</v>
      </c>
    </row>
    <row r="1528" spans="1:17" x14ac:dyDescent="0.3">
      <c r="A1528" s="1">
        <v>45985</v>
      </c>
      <c r="B1528" t="s">
        <v>39</v>
      </c>
      <c r="C1528" t="s">
        <v>28</v>
      </c>
      <c r="D1528" t="s">
        <v>26</v>
      </c>
      <c r="E1528" t="s">
        <v>15</v>
      </c>
      <c r="F1528">
        <v>117</v>
      </c>
      <c r="G1528">
        <v>119</v>
      </c>
      <c r="H1528">
        <v>93</v>
      </c>
      <c r="I1528">
        <v>143</v>
      </c>
      <c r="J1528">
        <v>47</v>
      </c>
      <c r="K1528">
        <v>25838</v>
      </c>
      <c r="L1528">
        <v>3694834</v>
      </c>
      <c r="M1528">
        <f>Inventory_Data[[#This Row],[Opening Stock]]+Inventory_Data[[#This Row],[Purchase Qty]]-Inventory_Data[[#This Row],[Sales Qty]]-Inventory_Data[[#This Row],[Closing Stock]]</f>
        <v>0</v>
      </c>
      <c r="N1528">
        <f>Inventory_Data[[#This Row],[Purchase Qty]]*Inventory_Data[[#This Row],[Unit Cost]]</f>
        <v>3074722</v>
      </c>
      <c r="O1528" t="str">
        <f>IF(Inventory_Data[[#This Row],[Closing Stock]]&lt;=Inventory_Data[[#This Row],[Reorder Level]],"Low Stock","In Stock")</f>
        <v>In Stock</v>
      </c>
      <c r="P1528" t="str">
        <f>TEXT(Inventory_Data[[#This Row],[Date]],"MMM")</f>
        <v>Nov</v>
      </c>
      <c r="Q1528" t="str">
        <f>TEXT(Inventory_Data[[#This Row],[Date]],"YYYY")</f>
        <v>2025</v>
      </c>
    </row>
    <row r="1529" spans="1:17" x14ac:dyDescent="0.3">
      <c r="A1529" s="1">
        <v>45985</v>
      </c>
      <c r="B1529" t="s">
        <v>31</v>
      </c>
      <c r="C1529" t="s">
        <v>22</v>
      </c>
      <c r="D1529" t="s">
        <v>23</v>
      </c>
      <c r="E1529" t="s">
        <v>20</v>
      </c>
      <c r="F1529">
        <v>141</v>
      </c>
      <c r="G1529">
        <v>288</v>
      </c>
      <c r="H1529">
        <v>215</v>
      </c>
      <c r="I1529">
        <v>214</v>
      </c>
      <c r="J1529">
        <v>102</v>
      </c>
      <c r="K1529">
        <v>368</v>
      </c>
      <c r="L1529">
        <v>78752</v>
      </c>
      <c r="M1529">
        <f>Inventory_Data[[#This Row],[Opening Stock]]+Inventory_Data[[#This Row],[Purchase Qty]]-Inventory_Data[[#This Row],[Sales Qty]]-Inventory_Data[[#This Row],[Closing Stock]]</f>
        <v>0</v>
      </c>
      <c r="N1529">
        <f>Inventory_Data[[#This Row],[Purchase Qty]]*Inventory_Data[[#This Row],[Unit Cost]]</f>
        <v>105984</v>
      </c>
      <c r="O1529" t="str">
        <f>IF(Inventory_Data[[#This Row],[Closing Stock]]&lt;=Inventory_Data[[#This Row],[Reorder Level]],"Low Stock","In Stock")</f>
        <v>In Stock</v>
      </c>
      <c r="P1529" t="str">
        <f>TEXT(Inventory_Data[[#This Row],[Date]],"MMM")</f>
        <v>Nov</v>
      </c>
      <c r="Q1529" t="str">
        <f>TEXT(Inventory_Data[[#This Row],[Date]],"YYYY")</f>
        <v>2025</v>
      </c>
    </row>
    <row r="1530" spans="1:17" x14ac:dyDescent="0.3">
      <c r="A1530" s="1">
        <v>45985</v>
      </c>
      <c r="B1530" t="s">
        <v>12</v>
      </c>
      <c r="C1530" t="s">
        <v>13</v>
      </c>
      <c r="D1530" t="s">
        <v>26</v>
      </c>
      <c r="E1530" t="s">
        <v>29</v>
      </c>
      <c r="F1530">
        <v>112</v>
      </c>
      <c r="G1530">
        <v>42</v>
      </c>
      <c r="H1530">
        <v>56</v>
      </c>
      <c r="I1530">
        <v>98</v>
      </c>
      <c r="J1530">
        <v>18</v>
      </c>
      <c r="K1530">
        <v>16979</v>
      </c>
      <c r="L1530">
        <v>1663942</v>
      </c>
      <c r="M1530">
        <f>Inventory_Data[[#This Row],[Opening Stock]]+Inventory_Data[[#This Row],[Purchase Qty]]-Inventory_Data[[#This Row],[Sales Qty]]-Inventory_Data[[#This Row],[Closing Stock]]</f>
        <v>0</v>
      </c>
      <c r="N1530">
        <f>Inventory_Data[[#This Row],[Purchase Qty]]*Inventory_Data[[#This Row],[Unit Cost]]</f>
        <v>713118</v>
      </c>
      <c r="O1530" t="str">
        <f>IF(Inventory_Data[[#This Row],[Closing Stock]]&lt;=Inventory_Data[[#This Row],[Reorder Level]],"Low Stock","In Stock")</f>
        <v>In Stock</v>
      </c>
      <c r="P1530" t="str">
        <f>TEXT(Inventory_Data[[#This Row],[Date]],"MMM")</f>
        <v>Nov</v>
      </c>
      <c r="Q1530" t="str">
        <f>TEXT(Inventory_Data[[#This Row],[Date]],"YYYY")</f>
        <v>2025</v>
      </c>
    </row>
    <row r="1531" spans="1:17" x14ac:dyDescent="0.3">
      <c r="A1531" s="1">
        <v>45986</v>
      </c>
      <c r="B1531" t="s">
        <v>43</v>
      </c>
      <c r="C1531" t="s">
        <v>22</v>
      </c>
      <c r="D1531" t="s">
        <v>26</v>
      </c>
      <c r="E1531" t="s">
        <v>15</v>
      </c>
      <c r="F1531">
        <v>468</v>
      </c>
      <c r="G1531">
        <v>229</v>
      </c>
      <c r="H1531">
        <v>208</v>
      </c>
      <c r="I1531">
        <v>489</v>
      </c>
      <c r="J1531">
        <v>126</v>
      </c>
      <c r="K1531">
        <v>845</v>
      </c>
      <c r="L1531">
        <v>413205</v>
      </c>
      <c r="M1531">
        <f>Inventory_Data[[#This Row],[Opening Stock]]+Inventory_Data[[#This Row],[Purchase Qty]]-Inventory_Data[[#This Row],[Sales Qty]]-Inventory_Data[[#This Row],[Closing Stock]]</f>
        <v>0</v>
      </c>
      <c r="N1531">
        <f>Inventory_Data[[#This Row],[Purchase Qty]]*Inventory_Data[[#This Row],[Unit Cost]]</f>
        <v>193505</v>
      </c>
      <c r="O1531" t="str">
        <f>IF(Inventory_Data[[#This Row],[Closing Stock]]&lt;=Inventory_Data[[#This Row],[Reorder Level]],"Low Stock","In Stock")</f>
        <v>In Stock</v>
      </c>
      <c r="P1531" t="str">
        <f>TEXT(Inventory_Data[[#This Row],[Date]],"MMM")</f>
        <v>Nov</v>
      </c>
      <c r="Q1531" t="str">
        <f>TEXT(Inventory_Data[[#This Row],[Date]],"YYYY")</f>
        <v>2025</v>
      </c>
    </row>
    <row r="1532" spans="1:17" x14ac:dyDescent="0.3">
      <c r="A1532" s="1">
        <v>45986</v>
      </c>
      <c r="B1532" t="s">
        <v>25</v>
      </c>
      <c r="C1532" t="s">
        <v>17</v>
      </c>
      <c r="D1532" t="s">
        <v>26</v>
      </c>
      <c r="E1532" t="s">
        <v>20</v>
      </c>
      <c r="F1532">
        <v>70</v>
      </c>
      <c r="G1532">
        <v>9</v>
      </c>
      <c r="H1532">
        <v>41</v>
      </c>
      <c r="I1532">
        <v>38</v>
      </c>
      <c r="J1532">
        <v>19</v>
      </c>
      <c r="K1532">
        <v>21596</v>
      </c>
      <c r="L1532">
        <v>820648</v>
      </c>
      <c r="M1532">
        <f>Inventory_Data[[#This Row],[Opening Stock]]+Inventory_Data[[#This Row],[Purchase Qty]]-Inventory_Data[[#This Row],[Sales Qty]]-Inventory_Data[[#This Row],[Closing Stock]]</f>
        <v>0</v>
      </c>
      <c r="N1532">
        <f>Inventory_Data[[#This Row],[Purchase Qty]]*Inventory_Data[[#This Row],[Unit Cost]]</f>
        <v>194364</v>
      </c>
      <c r="O1532" t="str">
        <f>IF(Inventory_Data[[#This Row],[Closing Stock]]&lt;=Inventory_Data[[#This Row],[Reorder Level]],"Low Stock","In Stock")</f>
        <v>In Stock</v>
      </c>
      <c r="P1532" t="str">
        <f>TEXT(Inventory_Data[[#This Row],[Date]],"MMM")</f>
        <v>Nov</v>
      </c>
      <c r="Q1532" t="str">
        <f>TEXT(Inventory_Data[[#This Row],[Date]],"YYYY")</f>
        <v>2025</v>
      </c>
    </row>
    <row r="1533" spans="1:17" x14ac:dyDescent="0.3">
      <c r="A1533" s="1">
        <v>45986</v>
      </c>
      <c r="B1533" t="s">
        <v>25</v>
      </c>
      <c r="C1533" t="s">
        <v>17</v>
      </c>
      <c r="D1533" t="s">
        <v>37</v>
      </c>
      <c r="E1533" t="s">
        <v>34</v>
      </c>
      <c r="F1533">
        <v>56</v>
      </c>
      <c r="G1533">
        <v>21</v>
      </c>
      <c r="H1533">
        <v>40</v>
      </c>
      <c r="I1533">
        <v>37</v>
      </c>
      <c r="J1533">
        <v>27</v>
      </c>
      <c r="K1533">
        <v>17167</v>
      </c>
      <c r="L1533">
        <v>635179</v>
      </c>
      <c r="M1533">
        <f>Inventory_Data[[#This Row],[Opening Stock]]+Inventory_Data[[#This Row],[Purchase Qty]]-Inventory_Data[[#This Row],[Sales Qty]]-Inventory_Data[[#This Row],[Closing Stock]]</f>
        <v>0</v>
      </c>
      <c r="N1533">
        <f>Inventory_Data[[#This Row],[Purchase Qty]]*Inventory_Data[[#This Row],[Unit Cost]]</f>
        <v>360507</v>
      </c>
      <c r="O1533" t="str">
        <f>IF(Inventory_Data[[#This Row],[Closing Stock]]&lt;=Inventory_Data[[#This Row],[Reorder Level]],"Low Stock","In Stock")</f>
        <v>In Stock</v>
      </c>
      <c r="P1533" t="str">
        <f>TEXT(Inventory_Data[[#This Row],[Date]],"MMM")</f>
        <v>Nov</v>
      </c>
      <c r="Q1533" t="str">
        <f>TEXT(Inventory_Data[[#This Row],[Date]],"YYYY")</f>
        <v>2025</v>
      </c>
    </row>
    <row r="1534" spans="1:17" x14ac:dyDescent="0.3">
      <c r="A1534" s="1">
        <v>45986</v>
      </c>
      <c r="B1534" t="s">
        <v>16</v>
      </c>
      <c r="C1534" t="s">
        <v>17</v>
      </c>
      <c r="D1534" t="s">
        <v>26</v>
      </c>
      <c r="E1534" t="s">
        <v>15</v>
      </c>
      <c r="F1534">
        <v>41</v>
      </c>
      <c r="G1534">
        <v>19</v>
      </c>
      <c r="H1534">
        <v>38</v>
      </c>
      <c r="I1534">
        <v>22</v>
      </c>
      <c r="J1534">
        <v>14</v>
      </c>
      <c r="K1534">
        <v>11112</v>
      </c>
      <c r="L1534">
        <v>244464</v>
      </c>
      <c r="M1534">
        <f>Inventory_Data[[#This Row],[Opening Stock]]+Inventory_Data[[#This Row],[Purchase Qty]]-Inventory_Data[[#This Row],[Sales Qty]]-Inventory_Data[[#This Row],[Closing Stock]]</f>
        <v>0</v>
      </c>
      <c r="N1534">
        <f>Inventory_Data[[#This Row],[Purchase Qty]]*Inventory_Data[[#This Row],[Unit Cost]]</f>
        <v>211128</v>
      </c>
      <c r="O1534" t="str">
        <f>IF(Inventory_Data[[#This Row],[Closing Stock]]&lt;=Inventory_Data[[#This Row],[Reorder Level]],"Low Stock","In Stock")</f>
        <v>In Stock</v>
      </c>
      <c r="P1534" t="str">
        <f>TEXT(Inventory_Data[[#This Row],[Date]],"MMM")</f>
        <v>Nov</v>
      </c>
      <c r="Q1534" t="str">
        <f>TEXT(Inventory_Data[[#This Row],[Date]],"YYYY")</f>
        <v>2025</v>
      </c>
    </row>
    <row r="1535" spans="1:17" x14ac:dyDescent="0.3">
      <c r="A1535" s="1">
        <v>45986</v>
      </c>
      <c r="B1535" t="s">
        <v>19</v>
      </c>
      <c r="C1535" t="s">
        <v>13</v>
      </c>
      <c r="D1535" t="s">
        <v>14</v>
      </c>
      <c r="E1535" t="s">
        <v>24</v>
      </c>
      <c r="F1535">
        <v>55</v>
      </c>
      <c r="G1535">
        <v>43</v>
      </c>
      <c r="H1535">
        <v>28</v>
      </c>
      <c r="I1535">
        <v>70</v>
      </c>
      <c r="J1535">
        <v>37</v>
      </c>
      <c r="K1535">
        <v>3389</v>
      </c>
      <c r="L1535">
        <v>237230</v>
      </c>
      <c r="M1535">
        <f>Inventory_Data[[#This Row],[Opening Stock]]+Inventory_Data[[#This Row],[Purchase Qty]]-Inventory_Data[[#This Row],[Sales Qty]]-Inventory_Data[[#This Row],[Closing Stock]]</f>
        <v>0</v>
      </c>
      <c r="N1535">
        <f>Inventory_Data[[#This Row],[Purchase Qty]]*Inventory_Data[[#This Row],[Unit Cost]]</f>
        <v>145727</v>
      </c>
      <c r="O1535" t="str">
        <f>IF(Inventory_Data[[#This Row],[Closing Stock]]&lt;=Inventory_Data[[#This Row],[Reorder Level]],"Low Stock","In Stock")</f>
        <v>In Stock</v>
      </c>
      <c r="P1535" t="str">
        <f>TEXT(Inventory_Data[[#This Row],[Date]],"MMM")</f>
        <v>Nov</v>
      </c>
      <c r="Q1535" t="str">
        <f>TEXT(Inventory_Data[[#This Row],[Date]],"YYYY")</f>
        <v>2025</v>
      </c>
    </row>
    <row r="1536" spans="1:17" x14ac:dyDescent="0.3">
      <c r="A1536" s="1">
        <v>45986</v>
      </c>
      <c r="B1536" t="s">
        <v>25</v>
      </c>
      <c r="C1536" t="s">
        <v>17</v>
      </c>
      <c r="D1536" t="s">
        <v>37</v>
      </c>
      <c r="E1536" t="s">
        <v>15</v>
      </c>
      <c r="F1536">
        <v>26</v>
      </c>
      <c r="G1536">
        <v>31</v>
      </c>
      <c r="H1536">
        <v>3</v>
      </c>
      <c r="I1536">
        <v>54</v>
      </c>
      <c r="J1536">
        <v>13</v>
      </c>
      <c r="K1536">
        <v>2074</v>
      </c>
      <c r="L1536">
        <v>111996</v>
      </c>
      <c r="M1536">
        <f>Inventory_Data[[#This Row],[Opening Stock]]+Inventory_Data[[#This Row],[Purchase Qty]]-Inventory_Data[[#This Row],[Sales Qty]]-Inventory_Data[[#This Row],[Closing Stock]]</f>
        <v>0</v>
      </c>
      <c r="N1536">
        <f>Inventory_Data[[#This Row],[Purchase Qty]]*Inventory_Data[[#This Row],[Unit Cost]]</f>
        <v>64294</v>
      </c>
      <c r="O1536" t="str">
        <f>IF(Inventory_Data[[#This Row],[Closing Stock]]&lt;=Inventory_Data[[#This Row],[Reorder Level]],"Low Stock","In Stock")</f>
        <v>In Stock</v>
      </c>
      <c r="P1536" t="str">
        <f>TEXT(Inventory_Data[[#This Row],[Date]],"MMM")</f>
        <v>Nov</v>
      </c>
      <c r="Q1536" t="str">
        <f>TEXT(Inventory_Data[[#This Row],[Date]],"YYYY")</f>
        <v>2025</v>
      </c>
    </row>
    <row r="1537" spans="1:17" x14ac:dyDescent="0.3">
      <c r="A1537" s="1">
        <v>45987</v>
      </c>
      <c r="B1537" t="s">
        <v>25</v>
      </c>
      <c r="C1537" t="s">
        <v>17</v>
      </c>
      <c r="D1537" t="s">
        <v>14</v>
      </c>
      <c r="E1537" t="s">
        <v>18</v>
      </c>
      <c r="F1537">
        <v>92</v>
      </c>
      <c r="G1537">
        <v>35</v>
      </c>
      <c r="H1537">
        <v>18</v>
      </c>
      <c r="I1537">
        <v>109</v>
      </c>
      <c r="J1537">
        <v>22</v>
      </c>
      <c r="K1537">
        <v>4196</v>
      </c>
      <c r="L1537">
        <v>457364</v>
      </c>
      <c r="M1537">
        <f>Inventory_Data[[#This Row],[Opening Stock]]+Inventory_Data[[#This Row],[Purchase Qty]]-Inventory_Data[[#This Row],[Sales Qty]]-Inventory_Data[[#This Row],[Closing Stock]]</f>
        <v>0</v>
      </c>
      <c r="N1537">
        <f>Inventory_Data[[#This Row],[Purchase Qty]]*Inventory_Data[[#This Row],[Unit Cost]]</f>
        <v>146860</v>
      </c>
      <c r="O1537" t="str">
        <f>IF(Inventory_Data[[#This Row],[Closing Stock]]&lt;=Inventory_Data[[#This Row],[Reorder Level]],"Low Stock","In Stock")</f>
        <v>In Stock</v>
      </c>
      <c r="P1537" t="str">
        <f>TEXT(Inventory_Data[[#This Row],[Date]],"MMM")</f>
        <v>Nov</v>
      </c>
      <c r="Q1537" t="str">
        <f>TEXT(Inventory_Data[[#This Row],[Date]],"YYYY")</f>
        <v>2025</v>
      </c>
    </row>
    <row r="1538" spans="1:17" x14ac:dyDescent="0.3">
      <c r="A1538" s="1">
        <v>45987</v>
      </c>
      <c r="B1538" t="s">
        <v>40</v>
      </c>
      <c r="C1538" t="s">
        <v>28</v>
      </c>
      <c r="D1538" t="s">
        <v>37</v>
      </c>
      <c r="E1538" t="s">
        <v>15</v>
      </c>
      <c r="F1538">
        <v>100</v>
      </c>
      <c r="G1538">
        <v>31</v>
      </c>
      <c r="H1538">
        <v>47</v>
      </c>
      <c r="I1538">
        <v>84</v>
      </c>
      <c r="J1538">
        <v>36</v>
      </c>
      <c r="K1538">
        <v>21746</v>
      </c>
      <c r="L1538">
        <v>1826664</v>
      </c>
      <c r="M1538">
        <f>Inventory_Data[[#This Row],[Opening Stock]]+Inventory_Data[[#This Row],[Purchase Qty]]-Inventory_Data[[#This Row],[Sales Qty]]-Inventory_Data[[#This Row],[Closing Stock]]</f>
        <v>0</v>
      </c>
      <c r="N1538">
        <f>Inventory_Data[[#This Row],[Purchase Qty]]*Inventory_Data[[#This Row],[Unit Cost]]</f>
        <v>674126</v>
      </c>
      <c r="O1538" t="str">
        <f>IF(Inventory_Data[[#This Row],[Closing Stock]]&lt;=Inventory_Data[[#This Row],[Reorder Level]],"Low Stock","In Stock")</f>
        <v>In Stock</v>
      </c>
      <c r="P1538" t="str">
        <f>TEXT(Inventory_Data[[#This Row],[Date]],"MMM")</f>
        <v>Nov</v>
      </c>
      <c r="Q1538" t="str">
        <f>TEXT(Inventory_Data[[#This Row],[Date]],"YYYY")</f>
        <v>2025</v>
      </c>
    </row>
    <row r="1539" spans="1:17" x14ac:dyDescent="0.3">
      <c r="A1539" s="1">
        <v>45987</v>
      </c>
      <c r="B1539" t="s">
        <v>38</v>
      </c>
      <c r="C1539" t="s">
        <v>17</v>
      </c>
      <c r="D1539" t="s">
        <v>26</v>
      </c>
      <c r="E1539" t="s">
        <v>18</v>
      </c>
      <c r="F1539">
        <v>81</v>
      </c>
      <c r="G1539">
        <v>31</v>
      </c>
      <c r="H1539">
        <v>11</v>
      </c>
      <c r="I1539">
        <v>101</v>
      </c>
      <c r="J1539">
        <v>23</v>
      </c>
      <c r="K1539">
        <v>13673</v>
      </c>
      <c r="L1539">
        <v>1380973</v>
      </c>
      <c r="M1539">
        <f>Inventory_Data[[#This Row],[Opening Stock]]+Inventory_Data[[#This Row],[Purchase Qty]]-Inventory_Data[[#This Row],[Sales Qty]]-Inventory_Data[[#This Row],[Closing Stock]]</f>
        <v>0</v>
      </c>
      <c r="N1539">
        <f>Inventory_Data[[#This Row],[Purchase Qty]]*Inventory_Data[[#This Row],[Unit Cost]]</f>
        <v>423863</v>
      </c>
      <c r="O1539" t="str">
        <f>IF(Inventory_Data[[#This Row],[Closing Stock]]&lt;=Inventory_Data[[#This Row],[Reorder Level]],"Low Stock","In Stock")</f>
        <v>In Stock</v>
      </c>
      <c r="P1539" t="str">
        <f>TEXT(Inventory_Data[[#This Row],[Date]],"MMM")</f>
        <v>Nov</v>
      </c>
      <c r="Q1539" t="str">
        <f>TEXT(Inventory_Data[[#This Row],[Date]],"YYYY")</f>
        <v>2025</v>
      </c>
    </row>
    <row r="1540" spans="1:17" x14ac:dyDescent="0.3">
      <c r="A1540" s="1">
        <v>45987</v>
      </c>
      <c r="B1540" t="s">
        <v>33</v>
      </c>
      <c r="C1540" t="s">
        <v>13</v>
      </c>
      <c r="D1540" t="s">
        <v>37</v>
      </c>
      <c r="E1540" t="s">
        <v>18</v>
      </c>
      <c r="F1540">
        <v>97</v>
      </c>
      <c r="G1540">
        <v>49</v>
      </c>
      <c r="H1540">
        <v>17</v>
      </c>
      <c r="I1540">
        <v>129</v>
      </c>
      <c r="J1540">
        <v>18</v>
      </c>
      <c r="K1540">
        <v>6717</v>
      </c>
      <c r="L1540">
        <v>866493</v>
      </c>
      <c r="M1540">
        <f>Inventory_Data[[#This Row],[Opening Stock]]+Inventory_Data[[#This Row],[Purchase Qty]]-Inventory_Data[[#This Row],[Sales Qty]]-Inventory_Data[[#This Row],[Closing Stock]]</f>
        <v>0</v>
      </c>
      <c r="N1540">
        <f>Inventory_Data[[#This Row],[Purchase Qty]]*Inventory_Data[[#This Row],[Unit Cost]]</f>
        <v>329133</v>
      </c>
      <c r="O1540" t="str">
        <f>IF(Inventory_Data[[#This Row],[Closing Stock]]&lt;=Inventory_Data[[#This Row],[Reorder Level]],"Low Stock","In Stock")</f>
        <v>In Stock</v>
      </c>
      <c r="P1540" t="str">
        <f>TEXT(Inventory_Data[[#This Row],[Date]],"MMM")</f>
        <v>Nov</v>
      </c>
      <c r="Q1540" t="str">
        <f>TEXT(Inventory_Data[[#This Row],[Date]],"YYYY")</f>
        <v>2025</v>
      </c>
    </row>
    <row r="1541" spans="1:17" x14ac:dyDescent="0.3">
      <c r="A1541" s="1">
        <v>45987</v>
      </c>
      <c r="B1541" t="s">
        <v>32</v>
      </c>
      <c r="C1541" t="s">
        <v>28</v>
      </c>
      <c r="D1541" t="s">
        <v>26</v>
      </c>
      <c r="E1541" t="s">
        <v>18</v>
      </c>
      <c r="F1541">
        <v>82</v>
      </c>
      <c r="G1541">
        <v>23</v>
      </c>
      <c r="H1541">
        <v>92</v>
      </c>
      <c r="I1541">
        <v>13</v>
      </c>
      <c r="J1541">
        <v>30</v>
      </c>
      <c r="K1541">
        <v>61405</v>
      </c>
      <c r="L1541">
        <v>798265</v>
      </c>
      <c r="M1541">
        <f>Inventory_Data[[#This Row],[Opening Stock]]+Inventory_Data[[#This Row],[Purchase Qty]]-Inventory_Data[[#This Row],[Sales Qty]]-Inventory_Data[[#This Row],[Closing Stock]]</f>
        <v>0</v>
      </c>
      <c r="N1541">
        <f>Inventory_Data[[#This Row],[Purchase Qty]]*Inventory_Data[[#This Row],[Unit Cost]]</f>
        <v>1412315</v>
      </c>
      <c r="O1541" t="str">
        <f>IF(Inventory_Data[[#This Row],[Closing Stock]]&lt;=Inventory_Data[[#This Row],[Reorder Level]],"Low Stock","In Stock")</f>
        <v>Low Stock</v>
      </c>
      <c r="P1541" t="str">
        <f>TEXT(Inventory_Data[[#This Row],[Date]],"MMM")</f>
        <v>Nov</v>
      </c>
      <c r="Q1541" t="str">
        <f>TEXT(Inventory_Data[[#This Row],[Date]],"YYYY")</f>
        <v>2025</v>
      </c>
    </row>
    <row r="1542" spans="1:17" x14ac:dyDescent="0.3">
      <c r="A1542" s="1">
        <v>45987</v>
      </c>
      <c r="B1542" t="s">
        <v>27</v>
      </c>
      <c r="C1542" t="s">
        <v>28</v>
      </c>
      <c r="D1542" t="s">
        <v>26</v>
      </c>
      <c r="E1542" t="s">
        <v>18</v>
      </c>
      <c r="F1542">
        <v>36</v>
      </c>
      <c r="G1542">
        <v>93</v>
      </c>
      <c r="H1542">
        <v>92</v>
      </c>
      <c r="I1542">
        <v>37</v>
      </c>
      <c r="J1542">
        <v>53</v>
      </c>
      <c r="K1542">
        <v>37732</v>
      </c>
      <c r="L1542">
        <v>1396084</v>
      </c>
      <c r="M1542">
        <f>Inventory_Data[[#This Row],[Opening Stock]]+Inventory_Data[[#This Row],[Purchase Qty]]-Inventory_Data[[#This Row],[Sales Qty]]-Inventory_Data[[#This Row],[Closing Stock]]</f>
        <v>0</v>
      </c>
      <c r="N1542">
        <f>Inventory_Data[[#This Row],[Purchase Qty]]*Inventory_Data[[#This Row],[Unit Cost]]</f>
        <v>3509076</v>
      </c>
      <c r="O1542" t="str">
        <f>IF(Inventory_Data[[#This Row],[Closing Stock]]&lt;=Inventory_Data[[#This Row],[Reorder Level]],"Low Stock","In Stock")</f>
        <v>Low Stock</v>
      </c>
      <c r="P1542" t="str">
        <f>TEXT(Inventory_Data[[#This Row],[Date]],"MMM")</f>
        <v>Nov</v>
      </c>
      <c r="Q1542" t="str">
        <f>TEXT(Inventory_Data[[#This Row],[Date]],"YYYY")</f>
        <v>2025</v>
      </c>
    </row>
    <row r="1543" spans="1:17" x14ac:dyDescent="0.3">
      <c r="A1543" s="1">
        <v>45987</v>
      </c>
      <c r="B1543" t="s">
        <v>30</v>
      </c>
      <c r="C1543" t="s">
        <v>28</v>
      </c>
      <c r="D1543" t="s">
        <v>14</v>
      </c>
      <c r="E1543" t="s">
        <v>29</v>
      </c>
      <c r="F1543">
        <v>106</v>
      </c>
      <c r="G1543">
        <v>24</v>
      </c>
      <c r="H1543">
        <v>98</v>
      </c>
      <c r="I1543">
        <v>32</v>
      </c>
      <c r="J1543">
        <v>32</v>
      </c>
      <c r="K1543">
        <v>36225</v>
      </c>
      <c r="L1543">
        <v>1159200</v>
      </c>
      <c r="M1543">
        <f>Inventory_Data[[#This Row],[Opening Stock]]+Inventory_Data[[#This Row],[Purchase Qty]]-Inventory_Data[[#This Row],[Sales Qty]]-Inventory_Data[[#This Row],[Closing Stock]]</f>
        <v>0</v>
      </c>
      <c r="N1543">
        <f>Inventory_Data[[#This Row],[Purchase Qty]]*Inventory_Data[[#This Row],[Unit Cost]]</f>
        <v>869400</v>
      </c>
      <c r="O1543" t="str">
        <f>IF(Inventory_Data[[#This Row],[Closing Stock]]&lt;=Inventory_Data[[#This Row],[Reorder Level]],"Low Stock","In Stock")</f>
        <v>Low Stock</v>
      </c>
      <c r="P1543" t="str">
        <f>TEXT(Inventory_Data[[#This Row],[Date]],"MMM")</f>
        <v>Nov</v>
      </c>
      <c r="Q1543" t="str">
        <f>TEXT(Inventory_Data[[#This Row],[Date]],"YYYY")</f>
        <v>2025</v>
      </c>
    </row>
    <row r="1544" spans="1:17" x14ac:dyDescent="0.3">
      <c r="A1544" s="1">
        <v>45987</v>
      </c>
      <c r="B1544" t="s">
        <v>32</v>
      </c>
      <c r="C1544" t="s">
        <v>28</v>
      </c>
      <c r="D1544" t="s">
        <v>14</v>
      </c>
      <c r="E1544" t="s">
        <v>18</v>
      </c>
      <c r="F1544">
        <v>151</v>
      </c>
      <c r="G1544">
        <v>108</v>
      </c>
      <c r="H1544">
        <v>14</v>
      </c>
      <c r="I1544">
        <v>245</v>
      </c>
      <c r="J1544">
        <v>30</v>
      </c>
      <c r="K1544">
        <v>7886</v>
      </c>
      <c r="L1544">
        <v>1932070</v>
      </c>
      <c r="M1544">
        <f>Inventory_Data[[#This Row],[Opening Stock]]+Inventory_Data[[#This Row],[Purchase Qty]]-Inventory_Data[[#This Row],[Sales Qty]]-Inventory_Data[[#This Row],[Closing Stock]]</f>
        <v>0</v>
      </c>
      <c r="N1544">
        <f>Inventory_Data[[#This Row],[Purchase Qty]]*Inventory_Data[[#This Row],[Unit Cost]]</f>
        <v>851688</v>
      </c>
      <c r="O1544" t="str">
        <f>IF(Inventory_Data[[#This Row],[Closing Stock]]&lt;=Inventory_Data[[#This Row],[Reorder Level]],"Low Stock","In Stock")</f>
        <v>In Stock</v>
      </c>
      <c r="P1544" t="str">
        <f>TEXT(Inventory_Data[[#This Row],[Date]],"MMM")</f>
        <v>Nov</v>
      </c>
      <c r="Q1544" t="str">
        <f>TEXT(Inventory_Data[[#This Row],[Date]],"YYYY")</f>
        <v>2025</v>
      </c>
    </row>
    <row r="1545" spans="1:17" x14ac:dyDescent="0.3">
      <c r="A1545" s="1">
        <v>45988</v>
      </c>
      <c r="B1545" t="s">
        <v>42</v>
      </c>
      <c r="C1545" t="s">
        <v>17</v>
      </c>
      <c r="D1545" t="s">
        <v>37</v>
      </c>
      <c r="E1545" t="s">
        <v>34</v>
      </c>
      <c r="F1545">
        <v>58</v>
      </c>
      <c r="G1545">
        <v>6</v>
      </c>
      <c r="H1545">
        <v>4</v>
      </c>
      <c r="I1545">
        <v>60</v>
      </c>
      <c r="J1545">
        <v>12</v>
      </c>
      <c r="K1545">
        <v>24845</v>
      </c>
      <c r="L1545">
        <v>1490700</v>
      </c>
      <c r="M1545">
        <f>Inventory_Data[[#This Row],[Opening Stock]]+Inventory_Data[[#This Row],[Purchase Qty]]-Inventory_Data[[#This Row],[Sales Qty]]-Inventory_Data[[#This Row],[Closing Stock]]</f>
        <v>0</v>
      </c>
      <c r="N1545">
        <f>Inventory_Data[[#This Row],[Purchase Qty]]*Inventory_Data[[#This Row],[Unit Cost]]</f>
        <v>149070</v>
      </c>
      <c r="O1545" t="str">
        <f>IF(Inventory_Data[[#This Row],[Closing Stock]]&lt;=Inventory_Data[[#This Row],[Reorder Level]],"Low Stock","In Stock")</f>
        <v>In Stock</v>
      </c>
      <c r="P1545" t="str">
        <f>TEXT(Inventory_Data[[#This Row],[Date]],"MMM")</f>
        <v>Nov</v>
      </c>
      <c r="Q1545" t="str">
        <f>TEXT(Inventory_Data[[#This Row],[Date]],"YYYY")</f>
        <v>2025</v>
      </c>
    </row>
    <row r="1546" spans="1:17" x14ac:dyDescent="0.3">
      <c r="A1546" s="1">
        <v>45988</v>
      </c>
      <c r="B1546" t="s">
        <v>35</v>
      </c>
      <c r="C1546" t="s">
        <v>22</v>
      </c>
      <c r="D1546" t="s">
        <v>37</v>
      </c>
      <c r="E1546" t="s">
        <v>29</v>
      </c>
      <c r="F1546">
        <v>265</v>
      </c>
      <c r="G1546">
        <v>53</v>
      </c>
      <c r="H1546">
        <v>44</v>
      </c>
      <c r="I1546">
        <v>274</v>
      </c>
      <c r="J1546">
        <v>149</v>
      </c>
      <c r="K1546">
        <v>559</v>
      </c>
      <c r="L1546">
        <v>153166</v>
      </c>
      <c r="M1546">
        <f>Inventory_Data[[#This Row],[Opening Stock]]+Inventory_Data[[#This Row],[Purchase Qty]]-Inventory_Data[[#This Row],[Sales Qty]]-Inventory_Data[[#This Row],[Closing Stock]]</f>
        <v>0</v>
      </c>
      <c r="N1546">
        <f>Inventory_Data[[#This Row],[Purchase Qty]]*Inventory_Data[[#This Row],[Unit Cost]]</f>
        <v>29627</v>
      </c>
      <c r="O1546" t="str">
        <f>IF(Inventory_Data[[#This Row],[Closing Stock]]&lt;=Inventory_Data[[#This Row],[Reorder Level]],"Low Stock","In Stock")</f>
        <v>In Stock</v>
      </c>
      <c r="P1546" t="str">
        <f>TEXT(Inventory_Data[[#This Row],[Date]],"MMM")</f>
        <v>Nov</v>
      </c>
      <c r="Q1546" t="str">
        <f>TEXT(Inventory_Data[[#This Row],[Date]],"YYYY")</f>
        <v>2025</v>
      </c>
    </row>
    <row r="1547" spans="1:17" x14ac:dyDescent="0.3">
      <c r="A1547" s="1">
        <v>45989</v>
      </c>
      <c r="B1547" t="s">
        <v>21</v>
      </c>
      <c r="C1547" t="s">
        <v>22</v>
      </c>
      <c r="D1547" t="s">
        <v>37</v>
      </c>
      <c r="E1547" t="s">
        <v>24</v>
      </c>
      <c r="F1547">
        <v>313</v>
      </c>
      <c r="G1547">
        <v>246</v>
      </c>
      <c r="H1547">
        <v>198</v>
      </c>
      <c r="I1547">
        <v>361</v>
      </c>
      <c r="J1547">
        <v>99</v>
      </c>
      <c r="K1547">
        <v>575</v>
      </c>
      <c r="L1547">
        <v>207575</v>
      </c>
      <c r="M1547">
        <f>Inventory_Data[[#This Row],[Opening Stock]]+Inventory_Data[[#This Row],[Purchase Qty]]-Inventory_Data[[#This Row],[Sales Qty]]-Inventory_Data[[#This Row],[Closing Stock]]</f>
        <v>0</v>
      </c>
      <c r="N1547">
        <f>Inventory_Data[[#This Row],[Purchase Qty]]*Inventory_Data[[#This Row],[Unit Cost]]</f>
        <v>141450</v>
      </c>
      <c r="O1547" t="str">
        <f>IF(Inventory_Data[[#This Row],[Closing Stock]]&lt;=Inventory_Data[[#This Row],[Reorder Level]],"Low Stock","In Stock")</f>
        <v>In Stock</v>
      </c>
      <c r="P1547" t="str">
        <f>TEXT(Inventory_Data[[#This Row],[Date]],"MMM")</f>
        <v>Nov</v>
      </c>
      <c r="Q1547" t="str">
        <f>TEXT(Inventory_Data[[#This Row],[Date]],"YYYY")</f>
        <v>2025</v>
      </c>
    </row>
    <row r="1548" spans="1:17" x14ac:dyDescent="0.3">
      <c r="A1548" s="1">
        <v>45989</v>
      </c>
      <c r="B1548" t="s">
        <v>38</v>
      </c>
      <c r="C1548" t="s">
        <v>17</v>
      </c>
      <c r="D1548" t="s">
        <v>26</v>
      </c>
      <c r="E1548" t="s">
        <v>15</v>
      </c>
      <c r="F1548">
        <v>16</v>
      </c>
      <c r="G1548">
        <v>6</v>
      </c>
      <c r="H1548">
        <v>2</v>
      </c>
      <c r="I1548">
        <v>20</v>
      </c>
      <c r="J1548">
        <v>27</v>
      </c>
      <c r="K1548">
        <v>16178</v>
      </c>
      <c r="L1548">
        <v>323560</v>
      </c>
      <c r="M1548">
        <f>Inventory_Data[[#This Row],[Opening Stock]]+Inventory_Data[[#This Row],[Purchase Qty]]-Inventory_Data[[#This Row],[Sales Qty]]-Inventory_Data[[#This Row],[Closing Stock]]</f>
        <v>0</v>
      </c>
      <c r="N1548">
        <f>Inventory_Data[[#This Row],[Purchase Qty]]*Inventory_Data[[#This Row],[Unit Cost]]</f>
        <v>97068</v>
      </c>
      <c r="O1548" t="str">
        <f>IF(Inventory_Data[[#This Row],[Closing Stock]]&lt;=Inventory_Data[[#This Row],[Reorder Level]],"Low Stock","In Stock")</f>
        <v>Low Stock</v>
      </c>
      <c r="P1548" t="str">
        <f>TEXT(Inventory_Data[[#This Row],[Date]],"MMM")</f>
        <v>Nov</v>
      </c>
      <c r="Q1548" t="str">
        <f>TEXT(Inventory_Data[[#This Row],[Date]],"YYYY")</f>
        <v>2025</v>
      </c>
    </row>
    <row r="1549" spans="1:17" x14ac:dyDescent="0.3">
      <c r="A1549" s="1">
        <v>45989</v>
      </c>
      <c r="B1549" t="s">
        <v>32</v>
      </c>
      <c r="C1549" t="s">
        <v>28</v>
      </c>
      <c r="D1549" t="s">
        <v>23</v>
      </c>
      <c r="E1549" t="s">
        <v>20</v>
      </c>
      <c r="F1549">
        <v>171</v>
      </c>
      <c r="G1549">
        <v>35</v>
      </c>
      <c r="H1549">
        <v>24</v>
      </c>
      <c r="I1549">
        <v>182</v>
      </c>
      <c r="J1549">
        <v>42</v>
      </c>
      <c r="K1549">
        <v>15784</v>
      </c>
      <c r="L1549">
        <v>2872688</v>
      </c>
      <c r="M1549">
        <f>Inventory_Data[[#This Row],[Opening Stock]]+Inventory_Data[[#This Row],[Purchase Qty]]-Inventory_Data[[#This Row],[Sales Qty]]-Inventory_Data[[#This Row],[Closing Stock]]</f>
        <v>0</v>
      </c>
      <c r="N1549">
        <f>Inventory_Data[[#This Row],[Purchase Qty]]*Inventory_Data[[#This Row],[Unit Cost]]</f>
        <v>552440</v>
      </c>
      <c r="O1549" t="str">
        <f>IF(Inventory_Data[[#This Row],[Closing Stock]]&lt;=Inventory_Data[[#This Row],[Reorder Level]],"Low Stock","In Stock")</f>
        <v>In Stock</v>
      </c>
      <c r="P1549" t="str">
        <f>TEXT(Inventory_Data[[#This Row],[Date]],"MMM")</f>
        <v>Nov</v>
      </c>
      <c r="Q1549" t="str">
        <f>TEXT(Inventory_Data[[#This Row],[Date]],"YYYY")</f>
        <v>2025</v>
      </c>
    </row>
    <row r="1550" spans="1:17" x14ac:dyDescent="0.3">
      <c r="A1550" s="1">
        <v>45989</v>
      </c>
      <c r="B1550" t="s">
        <v>35</v>
      </c>
      <c r="C1550" t="s">
        <v>22</v>
      </c>
      <c r="D1550" t="s">
        <v>14</v>
      </c>
      <c r="E1550" t="s">
        <v>24</v>
      </c>
      <c r="F1550">
        <v>393</v>
      </c>
      <c r="G1550">
        <v>181</v>
      </c>
      <c r="H1550">
        <v>24</v>
      </c>
      <c r="I1550">
        <v>550</v>
      </c>
      <c r="J1550">
        <v>93</v>
      </c>
      <c r="K1550">
        <v>450</v>
      </c>
      <c r="L1550">
        <v>247500</v>
      </c>
      <c r="M1550">
        <f>Inventory_Data[[#This Row],[Opening Stock]]+Inventory_Data[[#This Row],[Purchase Qty]]-Inventory_Data[[#This Row],[Sales Qty]]-Inventory_Data[[#This Row],[Closing Stock]]</f>
        <v>0</v>
      </c>
      <c r="N1550">
        <f>Inventory_Data[[#This Row],[Purchase Qty]]*Inventory_Data[[#This Row],[Unit Cost]]</f>
        <v>81450</v>
      </c>
      <c r="O1550" t="str">
        <f>IF(Inventory_Data[[#This Row],[Closing Stock]]&lt;=Inventory_Data[[#This Row],[Reorder Level]],"Low Stock","In Stock")</f>
        <v>In Stock</v>
      </c>
      <c r="P1550" t="str">
        <f>TEXT(Inventory_Data[[#This Row],[Date]],"MMM")</f>
        <v>Nov</v>
      </c>
      <c r="Q1550" t="str">
        <f>TEXT(Inventory_Data[[#This Row],[Date]],"YYYY")</f>
        <v>2025</v>
      </c>
    </row>
    <row r="1551" spans="1:17" x14ac:dyDescent="0.3">
      <c r="A1551" s="1">
        <v>45990</v>
      </c>
      <c r="B1551" t="s">
        <v>21</v>
      </c>
      <c r="C1551" t="s">
        <v>22</v>
      </c>
      <c r="D1551" t="s">
        <v>26</v>
      </c>
      <c r="E1551" t="s">
        <v>34</v>
      </c>
      <c r="F1551">
        <v>94</v>
      </c>
      <c r="G1551">
        <v>49</v>
      </c>
      <c r="H1551">
        <v>143</v>
      </c>
      <c r="I1551">
        <v>0</v>
      </c>
      <c r="J1551">
        <v>142</v>
      </c>
      <c r="K1551">
        <v>654</v>
      </c>
      <c r="L1551">
        <v>0</v>
      </c>
      <c r="M1551">
        <f>Inventory_Data[[#This Row],[Opening Stock]]+Inventory_Data[[#This Row],[Purchase Qty]]-Inventory_Data[[#This Row],[Sales Qty]]-Inventory_Data[[#This Row],[Closing Stock]]</f>
        <v>0</v>
      </c>
      <c r="N1551">
        <f>Inventory_Data[[#This Row],[Purchase Qty]]*Inventory_Data[[#This Row],[Unit Cost]]</f>
        <v>32046</v>
      </c>
      <c r="O1551" t="str">
        <f>IF(Inventory_Data[[#This Row],[Closing Stock]]&lt;=Inventory_Data[[#This Row],[Reorder Level]],"Low Stock","In Stock")</f>
        <v>Low Stock</v>
      </c>
      <c r="P1551" t="str">
        <f>TEXT(Inventory_Data[[#This Row],[Date]],"MMM")</f>
        <v>Nov</v>
      </c>
      <c r="Q1551" t="str">
        <f>TEXT(Inventory_Data[[#This Row],[Date]],"YYYY")</f>
        <v>2025</v>
      </c>
    </row>
    <row r="1552" spans="1:17" x14ac:dyDescent="0.3">
      <c r="A1552" s="1">
        <v>45990</v>
      </c>
      <c r="B1552" t="s">
        <v>32</v>
      </c>
      <c r="C1552" t="s">
        <v>28</v>
      </c>
      <c r="D1552" t="s">
        <v>14</v>
      </c>
      <c r="E1552" t="s">
        <v>29</v>
      </c>
      <c r="F1552">
        <v>104</v>
      </c>
      <c r="G1552">
        <v>118</v>
      </c>
      <c r="H1552">
        <v>35</v>
      </c>
      <c r="I1552">
        <v>187</v>
      </c>
      <c r="J1552">
        <v>24</v>
      </c>
      <c r="K1552">
        <v>2564</v>
      </c>
      <c r="L1552">
        <v>479468</v>
      </c>
      <c r="M1552">
        <f>Inventory_Data[[#This Row],[Opening Stock]]+Inventory_Data[[#This Row],[Purchase Qty]]-Inventory_Data[[#This Row],[Sales Qty]]-Inventory_Data[[#This Row],[Closing Stock]]</f>
        <v>0</v>
      </c>
      <c r="N1552">
        <f>Inventory_Data[[#This Row],[Purchase Qty]]*Inventory_Data[[#This Row],[Unit Cost]]</f>
        <v>302552</v>
      </c>
      <c r="O1552" t="str">
        <f>IF(Inventory_Data[[#This Row],[Closing Stock]]&lt;=Inventory_Data[[#This Row],[Reorder Level]],"Low Stock","In Stock")</f>
        <v>In Stock</v>
      </c>
      <c r="P1552" t="str">
        <f>TEXT(Inventory_Data[[#This Row],[Date]],"MMM")</f>
        <v>Nov</v>
      </c>
      <c r="Q1552" t="str">
        <f>TEXT(Inventory_Data[[#This Row],[Date]],"YYYY")</f>
        <v>2025</v>
      </c>
    </row>
    <row r="1553" spans="1:17" x14ac:dyDescent="0.3">
      <c r="A1553" s="1">
        <v>45990</v>
      </c>
      <c r="B1553" t="s">
        <v>36</v>
      </c>
      <c r="C1553" t="s">
        <v>22</v>
      </c>
      <c r="D1553" t="s">
        <v>14</v>
      </c>
      <c r="E1553" t="s">
        <v>18</v>
      </c>
      <c r="F1553">
        <v>406</v>
      </c>
      <c r="G1553">
        <v>81</v>
      </c>
      <c r="H1553">
        <v>204</v>
      </c>
      <c r="I1553">
        <v>283</v>
      </c>
      <c r="J1553">
        <v>127</v>
      </c>
      <c r="K1553">
        <v>485</v>
      </c>
      <c r="L1553">
        <v>137255</v>
      </c>
      <c r="M1553">
        <f>Inventory_Data[[#This Row],[Opening Stock]]+Inventory_Data[[#This Row],[Purchase Qty]]-Inventory_Data[[#This Row],[Sales Qty]]-Inventory_Data[[#This Row],[Closing Stock]]</f>
        <v>0</v>
      </c>
      <c r="N1553">
        <f>Inventory_Data[[#This Row],[Purchase Qty]]*Inventory_Data[[#This Row],[Unit Cost]]</f>
        <v>39285</v>
      </c>
      <c r="O1553" t="str">
        <f>IF(Inventory_Data[[#This Row],[Closing Stock]]&lt;=Inventory_Data[[#This Row],[Reorder Level]],"Low Stock","In Stock")</f>
        <v>In Stock</v>
      </c>
      <c r="P1553" t="str">
        <f>TEXT(Inventory_Data[[#This Row],[Date]],"MMM")</f>
        <v>Nov</v>
      </c>
      <c r="Q1553" t="str">
        <f>TEXT(Inventory_Data[[#This Row],[Date]],"YYYY")</f>
        <v>2025</v>
      </c>
    </row>
    <row r="1554" spans="1:17" x14ac:dyDescent="0.3">
      <c r="A1554" s="1">
        <v>45990</v>
      </c>
      <c r="B1554" t="s">
        <v>33</v>
      </c>
      <c r="C1554" t="s">
        <v>13</v>
      </c>
      <c r="D1554" t="s">
        <v>37</v>
      </c>
      <c r="E1554" t="s">
        <v>15</v>
      </c>
      <c r="F1554">
        <v>34</v>
      </c>
      <c r="G1554">
        <v>53</v>
      </c>
      <c r="H1554">
        <v>52</v>
      </c>
      <c r="I1554">
        <v>35</v>
      </c>
      <c r="J1554">
        <v>37</v>
      </c>
      <c r="K1554">
        <v>5342</v>
      </c>
      <c r="L1554">
        <v>186970</v>
      </c>
      <c r="M1554">
        <f>Inventory_Data[[#This Row],[Opening Stock]]+Inventory_Data[[#This Row],[Purchase Qty]]-Inventory_Data[[#This Row],[Sales Qty]]-Inventory_Data[[#This Row],[Closing Stock]]</f>
        <v>0</v>
      </c>
      <c r="N1554">
        <f>Inventory_Data[[#This Row],[Purchase Qty]]*Inventory_Data[[#This Row],[Unit Cost]]</f>
        <v>283126</v>
      </c>
      <c r="O1554" t="str">
        <f>IF(Inventory_Data[[#This Row],[Closing Stock]]&lt;=Inventory_Data[[#This Row],[Reorder Level]],"Low Stock","In Stock")</f>
        <v>Low Stock</v>
      </c>
      <c r="P1554" t="str">
        <f>TEXT(Inventory_Data[[#This Row],[Date]],"MMM")</f>
        <v>Nov</v>
      </c>
      <c r="Q1554" t="str">
        <f>TEXT(Inventory_Data[[#This Row],[Date]],"YYYY")</f>
        <v>2025</v>
      </c>
    </row>
    <row r="1555" spans="1:17" x14ac:dyDescent="0.3">
      <c r="A1555" s="1">
        <v>45990</v>
      </c>
      <c r="B1555" t="s">
        <v>31</v>
      </c>
      <c r="C1555" t="s">
        <v>22</v>
      </c>
      <c r="D1555" t="s">
        <v>37</v>
      </c>
      <c r="E1555" t="s">
        <v>24</v>
      </c>
      <c r="F1555">
        <v>176</v>
      </c>
      <c r="G1555">
        <v>75</v>
      </c>
      <c r="H1555">
        <v>54</v>
      </c>
      <c r="I1555">
        <v>197</v>
      </c>
      <c r="J1555">
        <v>89</v>
      </c>
      <c r="K1555">
        <v>20</v>
      </c>
      <c r="L1555">
        <v>3940</v>
      </c>
      <c r="M1555">
        <f>Inventory_Data[[#This Row],[Opening Stock]]+Inventory_Data[[#This Row],[Purchase Qty]]-Inventory_Data[[#This Row],[Sales Qty]]-Inventory_Data[[#This Row],[Closing Stock]]</f>
        <v>0</v>
      </c>
      <c r="N1555">
        <f>Inventory_Data[[#This Row],[Purchase Qty]]*Inventory_Data[[#This Row],[Unit Cost]]</f>
        <v>1500</v>
      </c>
      <c r="O1555" t="str">
        <f>IF(Inventory_Data[[#This Row],[Closing Stock]]&lt;=Inventory_Data[[#This Row],[Reorder Level]],"Low Stock","In Stock")</f>
        <v>In Stock</v>
      </c>
      <c r="P1555" t="str">
        <f>TEXT(Inventory_Data[[#This Row],[Date]],"MMM")</f>
        <v>Nov</v>
      </c>
      <c r="Q1555" t="str">
        <f>TEXT(Inventory_Data[[#This Row],[Date]],"YYYY")</f>
        <v>2025</v>
      </c>
    </row>
    <row r="1556" spans="1:17" x14ac:dyDescent="0.3">
      <c r="A1556" s="1">
        <v>45991</v>
      </c>
      <c r="B1556" t="s">
        <v>21</v>
      </c>
      <c r="C1556" t="s">
        <v>22</v>
      </c>
      <c r="D1556" t="s">
        <v>37</v>
      </c>
      <c r="E1556" t="s">
        <v>34</v>
      </c>
      <c r="F1556">
        <v>262</v>
      </c>
      <c r="G1556">
        <v>32</v>
      </c>
      <c r="H1556">
        <v>188</v>
      </c>
      <c r="I1556">
        <v>106</v>
      </c>
      <c r="J1556">
        <v>50</v>
      </c>
      <c r="K1556">
        <v>766</v>
      </c>
      <c r="L1556">
        <v>81196</v>
      </c>
      <c r="M1556">
        <f>Inventory_Data[[#This Row],[Opening Stock]]+Inventory_Data[[#This Row],[Purchase Qty]]-Inventory_Data[[#This Row],[Sales Qty]]-Inventory_Data[[#This Row],[Closing Stock]]</f>
        <v>0</v>
      </c>
      <c r="N1556">
        <f>Inventory_Data[[#This Row],[Purchase Qty]]*Inventory_Data[[#This Row],[Unit Cost]]</f>
        <v>24512</v>
      </c>
      <c r="O1556" t="str">
        <f>IF(Inventory_Data[[#This Row],[Closing Stock]]&lt;=Inventory_Data[[#This Row],[Reorder Level]],"Low Stock","In Stock")</f>
        <v>In Stock</v>
      </c>
      <c r="P1556" t="str">
        <f>TEXT(Inventory_Data[[#This Row],[Date]],"MMM")</f>
        <v>Nov</v>
      </c>
      <c r="Q1556" t="str">
        <f>TEXT(Inventory_Data[[#This Row],[Date]],"YYYY")</f>
        <v>2025</v>
      </c>
    </row>
    <row r="1557" spans="1:17" x14ac:dyDescent="0.3">
      <c r="A1557" s="1">
        <v>45991</v>
      </c>
      <c r="B1557" t="s">
        <v>40</v>
      </c>
      <c r="C1557" t="s">
        <v>28</v>
      </c>
      <c r="D1557" t="s">
        <v>23</v>
      </c>
      <c r="E1557" t="s">
        <v>24</v>
      </c>
      <c r="F1557">
        <v>149</v>
      </c>
      <c r="G1557">
        <v>82</v>
      </c>
      <c r="H1557">
        <v>41</v>
      </c>
      <c r="I1557">
        <v>190</v>
      </c>
      <c r="J1557">
        <v>45</v>
      </c>
      <c r="K1557">
        <v>26419</v>
      </c>
      <c r="L1557">
        <v>5019610</v>
      </c>
      <c r="M1557">
        <f>Inventory_Data[[#This Row],[Opening Stock]]+Inventory_Data[[#This Row],[Purchase Qty]]-Inventory_Data[[#This Row],[Sales Qty]]-Inventory_Data[[#This Row],[Closing Stock]]</f>
        <v>0</v>
      </c>
      <c r="N1557">
        <f>Inventory_Data[[#This Row],[Purchase Qty]]*Inventory_Data[[#This Row],[Unit Cost]]</f>
        <v>2166358</v>
      </c>
      <c r="O1557" t="str">
        <f>IF(Inventory_Data[[#This Row],[Closing Stock]]&lt;=Inventory_Data[[#This Row],[Reorder Level]],"Low Stock","In Stock")</f>
        <v>In Stock</v>
      </c>
      <c r="P1557" t="str">
        <f>TEXT(Inventory_Data[[#This Row],[Date]],"MMM")</f>
        <v>Nov</v>
      </c>
      <c r="Q1557" t="str">
        <f>TEXT(Inventory_Data[[#This Row],[Date]],"YYYY")</f>
        <v>2025</v>
      </c>
    </row>
    <row r="1558" spans="1:17" x14ac:dyDescent="0.3">
      <c r="A1558" s="1">
        <v>45991</v>
      </c>
      <c r="B1558" t="s">
        <v>38</v>
      </c>
      <c r="C1558" t="s">
        <v>17</v>
      </c>
      <c r="D1558" t="s">
        <v>26</v>
      </c>
      <c r="E1558" t="s">
        <v>29</v>
      </c>
      <c r="F1558">
        <v>58</v>
      </c>
      <c r="G1558">
        <v>45</v>
      </c>
      <c r="H1558">
        <v>20</v>
      </c>
      <c r="I1558">
        <v>83</v>
      </c>
      <c r="J1558">
        <v>14</v>
      </c>
      <c r="K1558">
        <v>6393</v>
      </c>
      <c r="L1558">
        <v>530619</v>
      </c>
      <c r="M1558">
        <f>Inventory_Data[[#This Row],[Opening Stock]]+Inventory_Data[[#This Row],[Purchase Qty]]-Inventory_Data[[#This Row],[Sales Qty]]-Inventory_Data[[#This Row],[Closing Stock]]</f>
        <v>0</v>
      </c>
      <c r="N1558">
        <f>Inventory_Data[[#This Row],[Purchase Qty]]*Inventory_Data[[#This Row],[Unit Cost]]</f>
        <v>287685</v>
      </c>
      <c r="O1558" t="str">
        <f>IF(Inventory_Data[[#This Row],[Closing Stock]]&lt;=Inventory_Data[[#This Row],[Reorder Level]],"Low Stock","In Stock")</f>
        <v>In Stock</v>
      </c>
      <c r="P1558" t="str">
        <f>TEXT(Inventory_Data[[#This Row],[Date]],"MMM")</f>
        <v>Nov</v>
      </c>
      <c r="Q1558" t="str">
        <f>TEXT(Inventory_Data[[#This Row],[Date]],"YYYY")</f>
        <v>2025</v>
      </c>
    </row>
    <row r="1559" spans="1:17" x14ac:dyDescent="0.3">
      <c r="A1559" s="1">
        <v>45991</v>
      </c>
      <c r="B1559" t="s">
        <v>36</v>
      </c>
      <c r="C1559" t="s">
        <v>22</v>
      </c>
      <c r="D1559" t="s">
        <v>26</v>
      </c>
      <c r="E1559" t="s">
        <v>34</v>
      </c>
      <c r="F1559">
        <v>248</v>
      </c>
      <c r="G1559">
        <v>190</v>
      </c>
      <c r="H1559">
        <v>35</v>
      </c>
      <c r="I1559">
        <v>403</v>
      </c>
      <c r="J1559">
        <v>94</v>
      </c>
      <c r="K1559">
        <v>1164</v>
      </c>
      <c r="L1559">
        <v>469092</v>
      </c>
      <c r="M1559">
        <f>Inventory_Data[[#This Row],[Opening Stock]]+Inventory_Data[[#This Row],[Purchase Qty]]-Inventory_Data[[#This Row],[Sales Qty]]-Inventory_Data[[#This Row],[Closing Stock]]</f>
        <v>0</v>
      </c>
      <c r="N1559">
        <f>Inventory_Data[[#This Row],[Purchase Qty]]*Inventory_Data[[#This Row],[Unit Cost]]</f>
        <v>221160</v>
      </c>
      <c r="O1559" t="str">
        <f>IF(Inventory_Data[[#This Row],[Closing Stock]]&lt;=Inventory_Data[[#This Row],[Reorder Level]],"Low Stock","In Stock")</f>
        <v>In Stock</v>
      </c>
      <c r="P1559" t="str">
        <f>TEXT(Inventory_Data[[#This Row],[Date]],"MMM")</f>
        <v>Nov</v>
      </c>
      <c r="Q1559" t="str">
        <f>TEXT(Inventory_Data[[#This Row],[Date]],"YYYY")</f>
        <v>2025</v>
      </c>
    </row>
    <row r="1560" spans="1:17" x14ac:dyDescent="0.3">
      <c r="A1560" s="1">
        <v>45991</v>
      </c>
      <c r="B1560" t="s">
        <v>38</v>
      </c>
      <c r="C1560" t="s">
        <v>17</v>
      </c>
      <c r="D1560" t="s">
        <v>14</v>
      </c>
      <c r="E1560" t="s">
        <v>34</v>
      </c>
      <c r="F1560">
        <v>24</v>
      </c>
      <c r="G1560">
        <v>46</v>
      </c>
      <c r="H1560">
        <v>27</v>
      </c>
      <c r="I1560">
        <v>43</v>
      </c>
      <c r="J1560">
        <v>21</v>
      </c>
      <c r="K1560">
        <v>10640</v>
      </c>
      <c r="L1560">
        <v>457520</v>
      </c>
      <c r="M1560">
        <f>Inventory_Data[[#This Row],[Opening Stock]]+Inventory_Data[[#This Row],[Purchase Qty]]-Inventory_Data[[#This Row],[Sales Qty]]-Inventory_Data[[#This Row],[Closing Stock]]</f>
        <v>0</v>
      </c>
      <c r="N1560">
        <f>Inventory_Data[[#This Row],[Purchase Qty]]*Inventory_Data[[#This Row],[Unit Cost]]</f>
        <v>489440</v>
      </c>
      <c r="O1560" t="str">
        <f>IF(Inventory_Data[[#This Row],[Closing Stock]]&lt;=Inventory_Data[[#This Row],[Reorder Level]],"Low Stock","In Stock")</f>
        <v>In Stock</v>
      </c>
      <c r="P1560" t="str">
        <f>TEXT(Inventory_Data[[#This Row],[Date]],"MMM")</f>
        <v>Nov</v>
      </c>
      <c r="Q1560" t="str">
        <f>TEXT(Inventory_Data[[#This Row],[Date]],"YYYY")</f>
        <v>2025</v>
      </c>
    </row>
    <row r="1561" spans="1:17" x14ac:dyDescent="0.3">
      <c r="A1561" s="1">
        <v>45991</v>
      </c>
      <c r="B1561" t="s">
        <v>21</v>
      </c>
      <c r="C1561" t="s">
        <v>22</v>
      </c>
      <c r="D1561" t="s">
        <v>26</v>
      </c>
      <c r="E1561" t="s">
        <v>24</v>
      </c>
      <c r="F1561">
        <v>430</v>
      </c>
      <c r="G1561">
        <v>81</v>
      </c>
      <c r="H1561">
        <v>36</v>
      </c>
      <c r="I1561">
        <v>475</v>
      </c>
      <c r="J1561">
        <v>77</v>
      </c>
      <c r="K1561">
        <v>770</v>
      </c>
      <c r="L1561">
        <v>365750</v>
      </c>
      <c r="M1561">
        <f>Inventory_Data[[#This Row],[Opening Stock]]+Inventory_Data[[#This Row],[Purchase Qty]]-Inventory_Data[[#This Row],[Sales Qty]]-Inventory_Data[[#This Row],[Closing Stock]]</f>
        <v>0</v>
      </c>
      <c r="N1561">
        <f>Inventory_Data[[#This Row],[Purchase Qty]]*Inventory_Data[[#This Row],[Unit Cost]]</f>
        <v>62370</v>
      </c>
      <c r="O1561" t="str">
        <f>IF(Inventory_Data[[#This Row],[Closing Stock]]&lt;=Inventory_Data[[#This Row],[Reorder Level]],"Low Stock","In Stock")</f>
        <v>In Stock</v>
      </c>
      <c r="P1561" t="str">
        <f>TEXT(Inventory_Data[[#This Row],[Date]],"MMM")</f>
        <v>Nov</v>
      </c>
      <c r="Q1561" t="str">
        <f>TEXT(Inventory_Data[[#This Row],[Date]],"YYYY")</f>
        <v>2025</v>
      </c>
    </row>
    <row r="1562" spans="1:17" x14ac:dyDescent="0.3">
      <c r="A1562" s="1">
        <v>45991</v>
      </c>
      <c r="B1562" t="s">
        <v>35</v>
      </c>
      <c r="C1562" t="s">
        <v>22</v>
      </c>
      <c r="D1562" t="s">
        <v>26</v>
      </c>
      <c r="E1562" t="s">
        <v>20</v>
      </c>
      <c r="F1562">
        <v>162</v>
      </c>
      <c r="G1562">
        <v>138</v>
      </c>
      <c r="H1562">
        <v>106</v>
      </c>
      <c r="I1562">
        <v>194</v>
      </c>
      <c r="J1562">
        <v>93</v>
      </c>
      <c r="K1562">
        <v>35</v>
      </c>
      <c r="L1562">
        <v>6790</v>
      </c>
      <c r="M1562">
        <f>Inventory_Data[[#This Row],[Opening Stock]]+Inventory_Data[[#This Row],[Purchase Qty]]-Inventory_Data[[#This Row],[Sales Qty]]-Inventory_Data[[#This Row],[Closing Stock]]</f>
        <v>0</v>
      </c>
      <c r="N1562">
        <f>Inventory_Data[[#This Row],[Purchase Qty]]*Inventory_Data[[#This Row],[Unit Cost]]</f>
        <v>4830</v>
      </c>
      <c r="O1562" t="str">
        <f>IF(Inventory_Data[[#This Row],[Closing Stock]]&lt;=Inventory_Data[[#This Row],[Reorder Level]],"Low Stock","In Stock")</f>
        <v>In Stock</v>
      </c>
      <c r="P1562" t="str">
        <f>TEXT(Inventory_Data[[#This Row],[Date]],"MMM")</f>
        <v>Nov</v>
      </c>
      <c r="Q1562" t="str">
        <f>TEXT(Inventory_Data[[#This Row],[Date]],"YYYY")</f>
        <v>2025</v>
      </c>
    </row>
    <row r="1563" spans="1:17" x14ac:dyDescent="0.3">
      <c r="A1563" s="1">
        <v>45991</v>
      </c>
      <c r="B1563" t="s">
        <v>41</v>
      </c>
      <c r="C1563" t="s">
        <v>22</v>
      </c>
      <c r="D1563" t="s">
        <v>14</v>
      </c>
      <c r="E1563" t="s">
        <v>29</v>
      </c>
      <c r="F1563">
        <v>333</v>
      </c>
      <c r="G1563">
        <v>83</v>
      </c>
      <c r="H1563">
        <v>76</v>
      </c>
      <c r="I1563">
        <v>340</v>
      </c>
      <c r="J1563">
        <v>112</v>
      </c>
      <c r="K1563">
        <v>651</v>
      </c>
      <c r="L1563">
        <v>221340</v>
      </c>
      <c r="M1563">
        <f>Inventory_Data[[#This Row],[Opening Stock]]+Inventory_Data[[#This Row],[Purchase Qty]]-Inventory_Data[[#This Row],[Sales Qty]]-Inventory_Data[[#This Row],[Closing Stock]]</f>
        <v>0</v>
      </c>
      <c r="N1563">
        <f>Inventory_Data[[#This Row],[Purchase Qty]]*Inventory_Data[[#This Row],[Unit Cost]]</f>
        <v>54033</v>
      </c>
      <c r="O1563" t="str">
        <f>IF(Inventory_Data[[#This Row],[Closing Stock]]&lt;=Inventory_Data[[#This Row],[Reorder Level]],"Low Stock","In Stock")</f>
        <v>In Stock</v>
      </c>
      <c r="P1563" t="str">
        <f>TEXT(Inventory_Data[[#This Row],[Date]],"MMM")</f>
        <v>Nov</v>
      </c>
      <c r="Q1563" t="str">
        <f>TEXT(Inventory_Data[[#This Row],[Date]],"YYYY")</f>
        <v>2025</v>
      </c>
    </row>
    <row r="1564" spans="1:17" x14ac:dyDescent="0.3">
      <c r="A1564" s="1">
        <v>45991</v>
      </c>
      <c r="B1564" t="s">
        <v>40</v>
      </c>
      <c r="C1564" t="s">
        <v>28</v>
      </c>
      <c r="D1564" t="s">
        <v>14</v>
      </c>
      <c r="E1564" t="s">
        <v>34</v>
      </c>
      <c r="F1564">
        <v>30</v>
      </c>
      <c r="G1564">
        <v>80</v>
      </c>
      <c r="H1564">
        <v>35</v>
      </c>
      <c r="I1564">
        <v>75</v>
      </c>
      <c r="J1564">
        <v>45</v>
      </c>
      <c r="K1564">
        <v>47607</v>
      </c>
      <c r="L1564">
        <v>3570525</v>
      </c>
      <c r="M1564">
        <f>Inventory_Data[[#This Row],[Opening Stock]]+Inventory_Data[[#This Row],[Purchase Qty]]-Inventory_Data[[#This Row],[Sales Qty]]-Inventory_Data[[#This Row],[Closing Stock]]</f>
        <v>0</v>
      </c>
      <c r="N1564">
        <f>Inventory_Data[[#This Row],[Purchase Qty]]*Inventory_Data[[#This Row],[Unit Cost]]</f>
        <v>3808560</v>
      </c>
      <c r="O1564" t="str">
        <f>IF(Inventory_Data[[#This Row],[Closing Stock]]&lt;=Inventory_Data[[#This Row],[Reorder Level]],"Low Stock","In Stock")</f>
        <v>In Stock</v>
      </c>
      <c r="P1564" t="str">
        <f>TEXT(Inventory_Data[[#This Row],[Date]],"MMM")</f>
        <v>Nov</v>
      </c>
      <c r="Q1564" t="str">
        <f>TEXT(Inventory_Data[[#This Row],[Date]],"YYYY")</f>
        <v>2025</v>
      </c>
    </row>
    <row r="1565" spans="1:17" x14ac:dyDescent="0.3">
      <c r="A1565" s="1">
        <v>45991</v>
      </c>
      <c r="B1565" t="s">
        <v>31</v>
      </c>
      <c r="C1565" t="s">
        <v>22</v>
      </c>
      <c r="D1565" t="s">
        <v>14</v>
      </c>
      <c r="E1565" t="s">
        <v>29</v>
      </c>
      <c r="F1565">
        <v>418</v>
      </c>
      <c r="G1565">
        <v>171</v>
      </c>
      <c r="H1565">
        <v>53</v>
      </c>
      <c r="I1565">
        <v>536</v>
      </c>
      <c r="J1565">
        <v>146</v>
      </c>
      <c r="K1565">
        <v>163</v>
      </c>
      <c r="L1565">
        <v>87368</v>
      </c>
      <c r="M1565">
        <f>Inventory_Data[[#This Row],[Opening Stock]]+Inventory_Data[[#This Row],[Purchase Qty]]-Inventory_Data[[#This Row],[Sales Qty]]-Inventory_Data[[#This Row],[Closing Stock]]</f>
        <v>0</v>
      </c>
      <c r="N1565">
        <f>Inventory_Data[[#This Row],[Purchase Qty]]*Inventory_Data[[#This Row],[Unit Cost]]</f>
        <v>27873</v>
      </c>
      <c r="O1565" t="str">
        <f>IF(Inventory_Data[[#This Row],[Closing Stock]]&lt;=Inventory_Data[[#This Row],[Reorder Level]],"Low Stock","In Stock")</f>
        <v>In Stock</v>
      </c>
      <c r="P1565" t="str">
        <f>TEXT(Inventory_Data[[#This Row],[Date]],"MMM")</f>
        <v>Nov</v>
      </c>
      <c r="Q1565" t="str">
        <f>TEXT(Inventory_Data[[#This Row],[Date]],"YYYY")</f>
        <v>2025</v>
      </c>
    </row>
    <row r="1566" spans="1:17" x14ac:dyDescent="0.3">
      <c r="A1566" s="1">
        <v>45991</v>
      </c>
      <c r="B1566" t="s">
        <v>12</v>
      </c>
      <c r="C1566" t="s">
        <v>13</v>
      </c>
      <c r="D1566" t="s">
        <v>26</v>
      </c>
      <c r="E1566" t="s">
        <v>15</v>
      </c>
      <c r="F1566">
        <v>115</v>
      </c>
      <c r="G1566">
        <v>26</v>
      </c>
      <c r="H1566">
        <v>32</v>
      </c>
      <c r="I1566">
        <v>109</v>
      </c>
      <c r="J1566">
        <v>19</v>
      </c>
      <c r="K1566">
        <v>4306</v>
      </c>
      <c r="L1566">
        <v>469354</v>
      </c>
      <c r="M1566">
        <f>Inventory_Data[[#This Row],[Opening Stock]]+Inventory_Data[[#This Row],[Purchase Qty]]-Inventory_Data[[#This Row],[Sales Qty]]-Inventory_Data[[#This Row],[Closing Stock]]</f>
        <v>0</v>
      </c>
      <c r="N1566">
        <f>Inventory_Data[[#This Row],[Purchase Qty]]*Inventory_Data[[#This Row],[Unit Cost]]</f>
        <v>111956</v>
      </c>
      <c r="O1566" t="str">
        <f>IF(Inventory_Data[[#This Row],[Closing Stock]]&lt;=Inventory_Data[[#This Row],[Reorder Level]],"Low Stock","In Stock")</f>
        <v>In Stock</v>
      </c>
      <c r="P1566" t="str">
        <f>TEXT(Inventory_Data[[#This Row],[Date]],"MMM")</f>
        <v>Nov</v>
      </c>
      <c r="Q1566" t="str">
        <f>TEXT(Inventory_Data[[#This Row],[Date]],"YYYY")</f>
        <v>2025</v>
      </c>
    </row>
    <row r="1567" spans="1:17" x14ac:dyDescent="0.3">
      <c r="A1567" s="1">
        <v>45991</v>
      </c>
      <c r="B1567" t="s">
        <v>40</v>
      </c>
      <c r="C1567" t="s">
        <v>28</v>
      </c>
      <c r="D1567" t="s">
        <v>14</v>
      </c>
      <c r="E1567" t="s">
        <v>15</v>
      </c>
      <c r="F1567">
        <v>39</v>
      </c>
      <c r="G1567">
        <v>86</v>
      </c>
      <c r="H1567">
        <v>95</v>
      </c>
      <c r="I1567">
        <v>30</v>
      </c>
      <c r="J1567">
        <v>54</v>
      </c>
      <c r="K1567">
        <v>57051</v>
      </c>
      <c r="L1567">
        <v>1711530</v>
      </c>
      <c r="M1567">
        <f>Inventory_Data[[#This Row],[Opening Stock]]+Inventory_Data[[#This Row],[Purchase Qty]]-Inventory_Data[[#This Row],[Sales Qty]]-Inventory_Data[[#This Row],[Closing Stock]]</f>
        <v>0</v>
      </c>
      <c r="N1567">
        <f>Inventory_Data[[#This Row],[Purchase Qty]]*Inventory_Data[[#This Row],[Unit Cost]]</f>
        <v>4906386</v>
      </c>
      <c r="O1567" t="str">
        <f>IF(Inventory_Data[[#This Row],[Closing Stock]]&lt;=Inventory_Data[[#This Row],[Reorder Level]],"Low Stock","In Stock")</f>
        <v>Low Stock</v>
      </c>
      <c r="P1567" t="str">
        <f>TEXT(Inventory_Data[[#This Row],[Date]],"MMM")</f>
        <v>Nov</v>
      </c>
      <c r="Q1567" t="str">
        <f>TEXT(Inventory_Data[[#This Row],[Date]],"YYYY")</f>
        <v>2025</v>
      </c>
    </row>
    <row r="1568" spans="1:17" x14ac:dyDescent="0.3">
      <c r="A1568" s="1">
        <v>45991</v>
      </c>
      <c r="B1568" t="s">
        <v>43</v>
      </c>
      <c r="C1568" t="s">
        <v>22</v>
      </c>
      <c r="D1568" t="s">
        <v>23</v>
      </c>
      <c r="E1568" t="s">
        <v>24</v>
      </c>
      <c r="F1568">
        <v>126</v>
      </c>
      <c r="G1568">
        <v>56</v>
      </c>
      <c r="H1568">
        <v>164</v>
      </c>
      <c r="I1568">
        <v>18</v>
      </c>
      <c r="J1568">
        <v>112</v>
      </c>
      <c r="K1568">
        <v>1115</v>
      </c>
      <c r="L1568">
        <v>20070</v>
      </c>
      <c r="M1568">
        <f>Inventory_Data[[#This Row],[Opening Stock]]+Inventory_Data[[#This Row],[Purchase Qty]]-Inventory_Data[[#This Row],[Sales Qty]]-Inventory_Data[[#This Row],[Closing Stock]]</f>
        <v>0</v>
      </c>
      <c r="N1568">
        <f>Inventory_Data[[#This Row],[Purchase Qty]]*Inventory_Data[[#This Row],[Unit Cost]]</f>
        <v>62440</v>
      </c>
      <c r="O1568" t="str">
        <f>IF(Inventory_Data[[#This Row],[Closing Stock]]&lt;=Inventory_Data[[#This Row],[Reorder Level]],"Low Stock","In Stock")</f>
        <v>Low Stock</v>
      </c>
      <c r="P1568" t="str">
        <f>TEXT(Inventory_Data[[#This Row],[Date]],"MMM")</f>
        <v>Nov</v>
      </c>
      <c r="Q1568" t="str">
        <f>TEXT(Inventory_Data[[#This Row],[Date]],"YYYY")</f>
        <v>2025</v>
      </c>
    </row>
    <row r="1569" spans="1:17" x14ac:dyDescent="0.3">
      <c r="A1569" s="1">
        <v>45991</v>
      </c>
      <c r="B1569" t="s">
        <v>19</v>
      </c>
      <c r="C1569" t="s">
        <v>13</v>
      </c>
      <c r="D1569" t="s">
        <v>37</v>
      </c>
      <c r="E1569" t="s">
        <v>18</v>
      </c>
      <c r="F1569">
        <v>17</v>
      </c>
      <c r="G1569">
        <v>61</v>
      </c>
      <c r="H1569">
        <v>35</v>
      </c>
      <c r="I1569">
        <v>43</v>
      </c>
      <c r="J1569">
        <v>21</v>
      </c>
      <c r="K1569">
        <v>2495</v>
      </c>
      <c r="L1569">
        <v>107285</v>
      </c>
      <c r="M1569">
        <f>Inventory_Data[[#This Row],[Opening Stock]]+Inventory_Data[[#This Row],[Purchase Qty]]-Inventory_Data[[#This Row],[Sales Qty]]-Inventory_Data[[#This Row],[Closing Stock]]</f>
        <v>0</v>
      </c>
      <c r="N1569">
        <f>Inventory_Data[[#This Row],[Purchase Qty]]*Inventory_Data[[#This Row],[Unit Cost]]</f>
        <v>152195</v>
      </c>
      <c r="O1569" t="str">
        <f>IF(Inventory_Data[[#This Row],[Closing Stock]]&lt;=Inventory_Data[[#This Row],[Reorder Level]],"Low Stock","In Stock")</f>
        <v>In Stock</v>
      </c>
      <c r="P1569" t="str">
        <f>TEXT(Inventory_Data[[#This Row],[Date]],"MMM")</f>
        <v>Nov</v>
      </c>
      <c r="Q1569" t="str">
        <f>TEXT(Inventory_Data[[#This Row],[Date]],"YYYY")</f>
        <v>2025</v>
      </c>
    </row>
    <row r="1570" spans="1:17" x14ac:dyDescent="0.3">
      <c r="A1570" s="1">
        <v>45991</v>
      </c>
      <c r="B1570" t="s">
        <v>44</v>
      </c>
      <c r="C1570" t="s">
        <v>28</v>
      </c>
      <c r="D1570" t="s">
        <v>23</v>
      </c>
      <c r="E1570" t="s">
        <v>29</v>
      </c>
      <c r="F1570">
        <v>54</v>
      </c>
      <c r="G1570">
        <v>39</v>
      </c>
      <c r="H1570">
        <v>93</v>
      </c>
      <c r="I1570">
        <v>0</v>
      </c>
      <c r="J1570">
        <v>22</v>
      </c>
      <c r="K1570">
        <v>33840</v>
      </c>
      <c r="L1570">
        <v>0</v>
      </c>
      <c r="M1570">
        <f>Inventory_Data[[#This Row],[Opening Stock]]+Inventory_Data[[#This Row],[Purchase Qty]]-Inventory_Data[[#This Row],[Sales Qty]]-Inventory_Data[[#This Row],[Closing Stock]]</f>
        <v>0</v>
      </c>
      <c r="N1570">
        <f>Inventory_Data[[#This Row],[Purchase Qty]]*Inventory_Data[[#This Row],[Unit Cost]]</f>
        <v>1319760</v>
      </c>
      <c r="O1570" t="str">
        <f>IF(Inventory_Data[[#This Row],[Closing Stock]]&lt;=Inventory_Data[[#This Row],[Reorder Level]],"Low Stock","In Stock")</f>
        <v>Low Stock</v>
      </c>
      <c r="P1570" t="str">
        <f>TEXT(Inventory_Data[[#This Row],[Date]],"MMM")</f>
        <v>Nov</v>
      </c>
      <c r="Q1570" t="str">
        <f>TEXT(Inventory_Data[[#This Row],[Date]],"YYYY")</f>
        <v>2025</v>
      </c>
    </row>
    <row r="1571" spans="1:17" x14ac:dyDescent="0.3">
      <c r="A1571" s="1">
        <v>45992</v>
      </c>
      <c r="B1571" t="s">
        <v>36</v>
      </c>
      <c r="C1571" t="s">
        <v>22</v>
      </c>
      <c r="D1571" t="s">
        <v>37</v>
      </c>
      <c r="E1571" t="s">
        <v>18</v>
      </c>
      <c r="F1571">
        <v>337</v>
      </c>
      <c r="G1571">
        <v>281</v>
      </c>
      <c r="H1571">
        <v>274</v>
      </c>
      <c r="I1571">
        <v>344</v>
      </c>
      <c r="J1571">
        <v>77</v>
      </c>
      <c r="K1571">
        <v>290</v>
      </c>
      <c r="L1571">
        <v>99760</v>
      </c>
      <c r="M1571">
        <f>Inventory_Data[[#This Row],[Opening Stock]]+Inventory_Data[[#This Row],[Purchase Qty]]-Inventory_Data[[#This Row],[Sales Qty]]-Inventory_Data[[#This Row],[Closing Stock]]</f>
        <v>0</v>
      </c>
      <c r="N1571">
        <f>Inventory_Data[[#This Row],[Purchase Qty]]*Inventory_Data[[#This Row],[Unit Cost]]</f>
        <v>81490</v>
      </c>
      <c r="O1571" t="str">
        <f>IF(Inventory_Data[[#This Row],[Closing Stock]]&lt;=Inventory_Data[[#This Row],[Reorder Level]],"Low Stock","In Stock")</f>
        <v>In Stock</v>
      </c>
      <c r="P1571" t="str">
        <f>TEXT(Inventory_Data[[#This Row],[Date]],"MMM")</f>
        <v>Dec</v>
      </c>
      <c r="Q1571" t="str">
        <f>TEXT(Inventory_Data[[#This Row],[Date]],"YYYY")</f>
        <v>2025</v>
      </c>
    </row>
    <row r="1572" spans="1:17" x14ac:dyDescent="0.3">
      <c r="A1572" s="1">
        <v>45992</v>
      </c>
      <c r="B1572" t="s">
        <v>38</v>
      </c>
      <c r="C1572" t="s">
        <v>17</v>
      </c>
      <c r="D1572" t="s">
        <v>37</v>
      </c>
      <c r="E1572" t="s">
        <v>20</v>
      </c>
      <c r="F1572">
        <v>21</v>
      </c>
      <c r="G1572">
        <v>51</v>
      </c>
      <c r="H1572">
        <v>15</v>
      </c>
      <c r="I1572">
        <v>57</v>
      </c>
      <c r="J1572">
        <v>26</v>
      </c>
      <c r="K1572">
        <v>22178</v>
      </c>
      <c r="L1572">
        <v>1264146</v>
      </c>
      <c r="M1572">
        <f>Inventory_Data[[#This Row],[Opening Stock]]+Inventory_Data[[#This Row],[Purchase Qty]]-Inventory_Data[[#This Row],[Sales Qty]]-Inventory_Data[[#This Row],[Closing Stock]]</f>
        <v>0</v>
      </c>
      <c r="N1572">
        <f>Inventory_Data[[#This Row],[Purchase Qty]]*Inventory_Data[[#This Row],[Unit Cost]]</f>
        <v>1131078</v>
      </c>
      <c r="O1572" t="str">
        <f>IF(Inventory_Data[[#This Row],[Closing Stock]]&lt;=Inventory_Data[[#This Row],[Reorder Level]],"Low Stock","In Stock")</f>
        <v>In Stock</v>
      </c>
      <c r="P1572" t="str">
        <f>TEXT(Inventory_Data[[#This Row],[Date]],"MMM")</f>
        <v>Dec</v>
      </c>
      <c r="Q1572" t="str">
        <f>TEXT(Inventory_Data[[#This Row],[Date]],"YYYY")</f>
        <v>2025</v>
      </c>
    </row>
    <row r="1573" spans="1:17" x14ac:dyDescent="0.3">
      <c r="A1573" s="1">
        <v>45992</v>
      </c>
      <c r="B1573" t="s">
        <v>43</v>
      </c>
      <c r="C1573" t="s">
        <v>22</v>
      </c>
      <c r="D1573" t="s">
        <v>26</v>
      </c>
      <c r="E1573" t="s">
        <v>34</v>
      </c>
      <c r="F1573">
        <v>449</v>
      </c>
      <c r="G1573">
        <v>195</v>
      </c>
      <c r="H1573">
        <v>269</v>
      </c>
      <c r="I1573">
        <v>375</v>
      </c>
      <c r="J1573">
        <v>149</v>
      </c>
      <c r="K1573">
        <v>1047</v>
      </c>
      <c r="L1573">
        <v>392625</v>
      </c>
      <c r="M1573">
        <f>Inventory_Data[[#This Row],[Opening Stock]]+Inventory_Data[[#This Row],[Purchase Qty]]-Inventory_Data[[#This Row],[Sales Qty]]-Inventory_Data[[#This Row],[Closing Stock]]</f>
        <v>0</v>
      </c>
      <c r="N1573">
        <f>Inventory_Data[[#This Row],[Purchase Qty]]*Inventory_Data[[#This Row],[Unit Cost]]</f>
        <v>204165</v>
      </c>
      <c r="O1573" t="str">
        <f>IF(Inventory_Data[[#This Row],[Closing Stock]]&lt;=Inventory_Data[[#This Row],[Reorder Level]],"Low Stock","In Stock")</f>
        <v>In Stock</v>
      </c>
      <c r="P1573" t="str">
        <f>TEXT(Inventory_Data[[#This Row],[Date]],"MMM")</f>
        <v>Dec</v>
      </c>
      <c r="Q1573" t="str">
        <f>TEXT(Inventory_Data[[#This Row],[Date]],"YYYY")</f>
        <v>2025</v>
      </c>
    </row>
    <row r="1574" spans="1:17" x14ac:dyDescent="0.3">
      <c r="A1574" s="1">
        <v>45992</v>
      </c>
      <c r="B1574" t="s">
        <v>40</v>
      </c>
      <c r="C1574" t="s">
        <v>28</v>
      </c>
      <c r="D1574" t="s">
        <v>26</v>
      </c>
      <c r="E1574" t="s">
        <v>34</v>
      </c>
      <c r="F1574">
        <v>110</v>
      </c>
      <c r="G1574">
        <v>60</v>
      </c>
      <c r="H1574">
        <v>67</v>
      </c>
      <c r="I1574">
        <v>103</v>
      </c>
      <c r="J1574">
        <v>57</v>
      </c>
      <c r="K1574">
        <v>11009</v>
      </c>
      <c r="L1574">
        <v>1133927</v>
      </c>
      <c r="M1574">
        <f>Inventory_Data[[#This Row],[Opening Stock]]+Inventory_Data[[#This Row],[Purchase Qty]]-Inventory_Data[[#This Row],[Sales Qty]]-Inventory_Data[[#This Row],[Closing Stock]]</f>
        <v>0</v>
      </c>
      <c r="N1574">
        <f>Inventory_Data[[#This Row],[Purchase Qty]]*Inventory_Data[[#This Row],[Unit Cost]]</f>
        <v>660540</v>
      </c>
      <c r="O1574" t="str">
        <f>IF(Inventory_Data[[#This Row],[Closing Stock]]&lt;=Inventory_Data[[#This Row],[Reorder Level]],"Low Stock","In Stock")</f>
        <v>In Stock</v>
      </c>
      <c r="P1574" t="str">
        <f>TEXT(Inventory_Data[[#This Row],[Date]],"MMM")</f>
        <v>Dec</v>
      </c>
      <c r="Q1574" t="str">
        <f>TEXT(Inventory_Data[[#This Row],[Date]],"YYYY")</f>
        <v>2025</v>
      </c>
    </row>
    <row r="1575" spans="1:17" x14ac:dyDescent="0.3">
      <c r="A1575" s="1">
        <v>45992</v>
      </c>
      <c r="B1575" t="s">
        <v>25</v>
      </c>
      <c r="C1575" t="s">
        <v>17</v>
      </c>
      <c r="D1575" t="s">
        <v>14</v>
      </c>
      <c r="E1575" t="s">
        <v>29</v>
      </c>
      <c r="F1575">
        <v>32</v>
      </c>
      <c r="G1575">
        <v>40</v>
      </c>
      <c r="H1575">
        <v>2</v>
      </c>
      <c r="I1575">
        <v>70</v>
      </c>
      <c r="J1575">
        <v>12</v>
      </c>
      <c r="K1575">
        <v>5027</v>
      </c>
      <c r="L1575">
        <v>351890</v>
      </c>
      <c r="M1575">
        <f>Inventory_Data[[#This Row],[Opening Stock]]+Inventory_Data[[#This Row],[Purchase Qty]]-Inventory_Data[[#This Row],[Sales Qty]]-Inventory_Data[[#This Row],[Closing Stock]]</f>
        <v>0</v>
      </c>
      <c r="N1575">
        <f>Inventory_Data[[#This Row],[Purchase Qty]]*Inventory_Data[[#This Row],[Unit Cost]]</f>
        <v>201080</v>
      </c>
      <c r="O1575" t="str">
        <f>IF(Inventory_Data[[#This Row],[Closing Stock]]&lt;=Inventory_Data[[#This Row],[Reorder Level]],"Low Stock","In Stock")</f>
        <v>In Stock</v>
      </c>
      <c r="P1575" t="str">
        <f>TEXT(Inventory_Data[[#This Row],[Date]],"MMM")</f>
        <v>Dec</v>
      </c>
      <c r="Q1575" t="str">
        <f>TEXT(Inventory_Data[[#This Row],[Date]],"YYYY")</f>
        <v>2025</v>
      </c>
    </row>
    <row r="1576" spans="1:17" x14ac:dyDescent="0.3">
      <c r="A1576" s="1">
        <v>45993</v>
      </c>
      <c r="B1576" t="s">
        <v>38</v>
      </c>
      <c r="C1576" t="s">
        <v>17</v>
      </c>
      <c r="D1576" t="s">
        <v>23</v>
      </c>
      <c r="E1576" t="s">
        <v>29</v>
      </c>
      <c r="F1576">
        <v>72</v>
      </c>
      <c r="G1576">
        <v>16</v>
      </c>
      <c r="H1576">
        <v>42</v>
      </c>
      <c r="I1576">
        <v>46</v>
      </c>
      <c r="J1576">
        <v>25</v>
      </c>
      <c r="K1576">
        <v>10191</v>
      </c>
      <c r="L1576">
        <v>468786</v>
      </c>
      <c r="M1576">
        <f>Inventory_Data[[#This Row],[Opening Stock]]+Inventory_Data[[#This Row],[Purchase Qty]]-Inventory_Data[[#This Row],[Sales Qty]]-Inventory_Data[[#This Row],[Closing Stock]]</f>
        <v>0</v>
      </c>
      <c r="N1576">
        <f>Inventory_Data[[#This Row],[Purchase Qty]]*Inventory_Data[[#This Row],[Unit Cost]]</f>
        <v>163056</v>
      </c>
      <c r="O1576" t="str">
        <f>IF(Inventory_Data[[#This Row],[Closing Stock]]&lt;=Inventory_Data[[#This Row],[Reorder Level]],"Low Stock","In Stock")</f>
        <v>In Stock</v>
      </c>
      <c r="P1576" t="str">
        <f>TEXT(Inventory_Data[[#This Row],[Date]],"MMM")</f>
        <v>Dec</v>
      </c>
      <c r="Q1576" t="str">
        <f>TEXT(Inventory_Data[[#This Row],[Date]],"YYYY")</f>
        <v>2025</v>
      </c>
    </row>
    <row r="1577" spans="1:17" x14ac:dyDescent="0.3">
      <c r="A1577" s="1">
        <v>45993</v>
      </c>
      <c r="B1577" t="s">
        <v>41</v>
      </c>
      <c r="C1577" t="s">
        <v>22</v>
      </c>
      <c r="D1577" t="s">
        <v>26</v>
      </c>
      <c r="E1577" t="s">
        <v>15</v>
      </c>
      <c r="F1577">
        <v>499</v>
      </c>
      <c r="G1577">
        <v>287</v>
      </c>
      <c r="H1577">
        <v>134</v>
      </c>
      <c r="I1577">
        <v>652</v>
      </c>
      <c r="J1577">
        <v>96</v>
      </c>
      <c r="K1577">
        <v>890</v>
      </c>
      <c r="L1577">
        <v>580280</v>
      </c>
      <c r="M1577">
        <f>Inventory_Data[[#This Row],[Opening Stock]]+Inventory_Data[[#This Row],[Purchase Qty]]-Inventory_Data[[#This Row],[Sales Qty]]-Inventory_Data[[#This Row],[Closing Stock]]</f>
        <v>0</v>
      </c>
      <c r="N1577">
        <f>Inventory_Data[[#This Row],[Purchase Qty]]*Inventory_Data[[#This Row],[Unit Cost]]</f>
        <v>255430</v>
      </c>
      <c r="O1577" t="str">
        <f>IF(Inventory_Data[[#This Row],[Closing Stock]]&lt;=Inventory_Data[[#This Row],[Reorder Level]],"Low Stock","In Stock")</f>
        <v>In Stock</v>
      </c>
      <c r="P1577" t="str">
        <f>TEXT(Inventory_Data[[#This Row],[Date]],"MMM")</f>
        <v>Dec</v>
      </c>
      <c r="Q1577" t="str">
        <f>TEXT(Inventory_Data[[#This Row],[Date]],"YYYY")</f>
        <v>2025</v>
      </c>
    </row>
    <row r="1578" spans="1:17" x14ac:dyDescent="0.3">
      <c r="A1578" s="1">
        <v>45993</v>
      </c>
      <c r="B1578" t="s">
        <v>16</v>
      </c>
      <c r="C1578" t="s">
        <v>17</v>
      </c>
      <c r="D1578" t="s">
        <v>23</v>
      </c>
      <c r="E1578" t="s">
        <v>20</v>
      </c>
      <c r="F1578">
        <v>98</v>
      </c>
      <c r="G1578">
        <v>14</v>
      </c>
      <c r="H1578">
        <v>30</v>
      </c>
      <c r="I1578">
        <v>82</v>
      </c>
      <c r="J1578">
        <v>15</v>
      </c>
      <c r="K1578">
        <v>18377</v>
      </c>
      <c r="L1578">
        <v>1506914</v>
      </c>
      <c r="M1578">
        <f>Inventory_Data[[#This Row],[Opening Stock]]+Inventory_Data[[#This Row],[Purchase Qty]]-Inventory_Data[[#This Row],[Sales Qty]]-Inventory_Data[[#This Row],[Closing Stock]]</f>
        <v>0</v>
      </c>
      <c r="N1578">
        <f>Inventory_Data[[#This Row],[Purchase Qty]]*Inventory_Data[[#This Row],[Unit Cost]]</f>
        <v>257278</v>
      </c>
      <c r="O1578" t="str">
        <f>IF(Inventory_Data[[#This Row],[Closing Stock]]&lt;=Inventory_Data[[#This Row],[Reorder Level]],"Low Stock","In Stock")</f>
        <v>In Stock</v>
      </c>
      <c r="P1578" t="str">
        <f>TEXT(Inventory_Data[[#This Row],[Date]],"MMM")</f>
        <v>Dec</v>
      </c>
      <c r="Q1578" t="str">
        <f>TEXT(Inventory_Data[[#This Row],[Date]],"YYYY")</f>
        <v>2025</v>
      </c>
    </row>
    <row r="1579" spans="1:17" x14ac:dyDescent="0.3">
      <c r="A1579" s="1">
        <v>45993</v>
      </c>
      <c r="B1579" t="s">
        <v>30</v>
      </c>
      <c r="C1579" t="s">
        <v>28</v>
      </c>
      <c r="D1579" t="s">
        <v>26</v>
      </c>
      <c r="E1579" t="s">
        <v>15</v>
      </c>
      <c r="F1579">
        <v>174</v>
      </c>
      <c r="G1579">
        <v>12</v>
      </c>
      <c r="H1579">
        <v>53</v>
      </c>
      <c r="I1579">
        <v>133</v>
      </c>
      <c r="J1579">
        <v>57</v>
      </c>
      <c r="K1579">
        <v>59892</v>
      </c>
      <c r="L1579">
        <v>7965636</v>
      </c>
      <c r="M1579">
        <f>Inventory_Data[[#This Row],[Opening Stock]]+Inventory_Data[[#This Row],[Purchase Qty]]-Inventory_Data[[#This Row],[Sales Qty]]-Inventory_Data[[#This Row],[Closing Stock]]</f>
        <v>0</v>
      </c>
      <c r="N1579">
        <f>Inventory_Data[[#This Row],[Purchase Qty]]*Inventory_Data[[#This Row],[Unit Cost]]</f>
        <v>718704</v>
      </c>
      <c r="O1579" t="str">
        <f>IF(Inventory_Data[[#This Row],[Closing Stock]]&lt;=Inventory_Data[[#This Row],[Reorder Level]],"Low Stock","In Stock")</f>
        <v>In Stock</v>
      </c>
      <c r="P1579" t="str">
        <f>TEXT(Inventory_Data[[#This Row],[Date]],"MMM")</f>
        <v>Dec</v>
      </c>
      <c r="Q1579" t="str">
        <f>TEXT(Inventory_Data[[#This Row],[Date]],"YYYY")</f>
        <v>2025</v>
      </c>
    </row>
    <row r="1580" spans="1:17" x14ac:dyDescent="0.3">
      <c r="A1580" s="1">
        <v>45994</v>
      </c>
      <c r="B1580" t="s">
        <v>30</v>
      </c>
      <c r="C1580" t="s">
        <v>28</v>
      </c>
      <c r="D1580" t="s">
        <v>37</v>
      </c>
      <c r="E1580" t="s">
        <v>29</v>
      </c>
      <c r="F1580">
        <v>142</v>
      </c>
      <c r="G1580">
        <v>77</v>
      </c>
      <c r="H1580">
        <v>49</v>
      </c>
      <c r="I1580">
        <v>170</v>
      </c>
      <c r="J1580">
        <v>38</v>
      </c>
      <c r="K1580">
        <v>55047</v>
      </c>
      <c r="L1580">
        <v>9357990</v>
      </c>
      <c r="M1580">
        <f>Inventory_Data[[#This Row],[Opening Stock]]+Inventory_Data[[#This Row],[Purchase Qty]]-Inventory_Data[[#This Row],[Sales Qty]]-Inventory_Data[[#This Row],[Closing Stock]]</f>
        <v>0</v>
      </c>
      <c r="N1580">
        <f>Inventory_Data[[#This Row],[Purchase Qty]]*Inventory_Data[[#This Row],[Unit Cost]]</f>
        <v>4238619</v>
      </c>
      <c r="O1580" t="str">
        <f>IF(Inventory_Data[[#This Row],[Closing Stock]]&lt;=Inventory_Data[[#This Row],[Reorder Level]],"Low Stock","In Stock")</f>
        <v>In Stock</v>
      </c>
      <c r="P1580" t="str">
        <f>TEXT(Inventory_Data[[#This Row],[Date]],"MMM")</f>
        <v>Dec</v>
      </c>
      <c r="Q1580" t="str">
        <f>TEXT(Inventory_Data[[#This Row],[Date]],"YYYY")</f>
        <v>2025</v>
      </c>
    </row>
    <row r="1581" spans="1:17" x14ac:dyDescent="0.3">
      <c r="A1581" s="1">
        <v>45994</v>
      </c>
      <c r="B1581" t="s">
        <v>43</v>
      </c>
      <c r="C1581" t="s">
        <v>22</v>
      </c>
      <c r="D1581" t="s">
        <v>14</v>
      </c>
      <c r="E1581" t="s">
        <v>29</v>
      </c>
      <c r="F1581">
        <v>445</v>
      </c>
      <c r="G1581">
        <v>145</v>
      </c>
      <c r="H1581">
        <v>278</v>
      </c>
      <c r="I1581">
        <v>312</v>
      </c>
      <c r="J1581">
        <v>105</v>
      </c>
      <c r="K1581">
        <v>354</v>
      </c>
      <c r="L1581">
        <v>110448</v>
      </c>
      <c r="M1581">
        <f>Inventory_Data[[#This Row],[Opening Stock]]+Inventory_Data[[#This Row],[Purchase Qty]]-Inventory_Data[[#This Row],[Sales Qty]]-Inventory_Data[[#This Row],[Closing Stock]]</f>
        <v>0</v>
      </c>
      <c r="N1581">
        <f>Inventory_Data[[#This Row],[Purchase Qty]]*Inventory_Data[[#This Row],[Unit Cost]]</f>
        <v>51330</v>
      </c>
      <c r="O1581" t="str">
        <f>IF(Inventory_Data[[#This Row],[Closing Stock]]&lt;=Inventory_Data[[#This Row],[Reorder Level]],"Low Stock","In Stock")</f>
        <v>In Stock</v>
      </c>
      <c r="P1581" t="str">
        <f>TEXT(Inventory_Data[[#This Row],[Date]],"MMM")</f>
        <v>Dec</v>
      </c>
      <c r="Q1581" t="str">
        <f>TEXT(Inventory_Data[[#This Row],[Date]],"YYYY")</f>
        <v>2025</v>
      </c>
    </row>
    <row r="1582" spans="1:17" x14ac:dyDescent="0.3">
      <c r="A1582" s="1">
        <v>45994</v>
      </c>
      <c r="B1582" t="s">
        <v>19</v>
      </c>
      <c r="C1582" t="s">
        <v>13</v>
      </c>
      <c r="D1582" t="s">
        <v>14</v>
      </c>
      <c r="E1582" t="s">
        <v>24</v>
      </c>
      <c r="F1582">
        <v>77</v>
      </c>
      <c r="G1582">
        <v>53</v>
      </c>
      <c r="H1582">
        <v>14</v>
      </c>
      <c r="I1582">
        <v>116</v>
      </c>
      <c r="J1582">
        <v>27</v>
      </c>
      <c r="K1582">
        <v>874</v>
      </c>
      <c r="L1582">
        <v>101384</v>
      </c>
      <c r="M1582">
        <f>Inventory_Data[[#This Row],[Opening Stock]]+Inventory_Data[[#This Row],[Purchase Qty]]-Inventory_Data[[#This Row],[Sales Qty]]-Inventory_Data[[#This Row],[Closing Stock]]</f>
        <v>0</v>
      </c>
      <c r="N1582">
        <f>Inventory_Data[[#This Row],[Purchase Qty]]*Inventory_Data[[#This Row],[Unit Cost]]</f>
        <v>46322</v>
      </c>
      <c r="O1582" t="str">
        <f>IF(Inventory_Data[[#This Row],[Closing Stock]]&lt;=Inventory_Data[[#This Row],[Reorder Level]],"Low Stock","In Stock")</f>
        <v>In Stock</v>
      </c>
      <c r="P1582" t="str">
        <f>TEXT(Inventory_Data[[#This Row],[Date]],"MMM")</f>
        <v>Dec</v>
      </c>
      <c r="Q1582" t="str">
        <f>TEXT(Inventory_Data[[#This Row],[Date]],"YYYY")</f>
        <v>2025</v>
      </c>
    </row>
    <row r="1583" spans="1:17" x14ac:dyDescent="0.3">
      <c r="A1583" s="1">
        <v>45994</v>
      </c>
      <c r="B1583" t="s">
        <v>25</v>
      </c>
      <c r="C1583" t="s">
        <v>17</v>
      </c>
      <c r="D1583" t="s">
        <v>14</v>
      </c>
      <c r="E1583" t="s">
        <v>18</v>
      </c>
      <c r="F1583">
        <v>97</v>
      </c>
      <c r="G1583">
        <v>7</v>
      </c>
      <c r="H1583">
        <v>31</v>
      </c>
      <c r="I1583">
        <v>73</v>
      </c>
      <c r="J1583">
        <v>28</v>
      </c>
      <c r="K1583">
        <v>14440</v>
      </c>
      <c r="L1583">
        <v>1054120</v>
      </c>
      <c r="M1583">
        <f>Inventory_Data[[#This Row],[Opening Stock]]+Inventory_Data[[#This Row],[Purchase Qty]]-Inventory_Data[[#This Row],[Sales Qty]]-Inventory_Data[[#This Row],[Closing Stock]]</f>
        <v>0</v>
      </c>
      <c r="N1583">
        <f>Inventory_Data[[#This Row],[Purchase Qty]]*Inventory_Data[[#This Row],[Unit Cost]]</f>
        <v>101080</v>
      </c>
      <c r="O1583" t="str">
        <f>IF(Inventory_Data[[#This Row],[Closing Stock]]&lt;=Inventory_Data[[#This Row],[Reorder Level]],"Low Stock","In Stock")</f>
        <v>In Stock</v>
      </c>
      <c r="P1583" t="str">
        <f>TEXT(Inventory_Data[[#This Row],[Date]],"MMM")</f>
        <v>Dec</v>
      </c>
      <c r="Q1583" t="str">
        <f>TEXT(Inventory_Data[[#This Row],[Date]],"YYYY")</f>
        <v>2025</v>
      </c>
    </row>
    <row r="1584" spans="1:17" x14ac:dyDescent="0.3">
      <c r="A1584" s="1">
        <v>45995</v>
      </c>
      <c r="B1584" t="s">
        <v>33</v>
      </c>
      <c r="C1584" t="s">
        <v>13</v>
      </c>
      <c r="D1584" t="s">
        <v>14</v>
      </c>
      <c r="E1584" t="s">
        <v>20</v>
      </c>
      <c r="F1584">
        <v>115</v>
      </c>
      <c r="G1584">
        <v>49</v>
      </c>
      <c r="H1584">
        <v>34</v>
      </c>
      <c r="I1584">
        <v>130</v>
      </c>
      <c r="J1584">
        <v>31</v>
      </c>
      <c r="K1584">
        <v>863</v>
      </c>
      <c r="L1584">
        <v>112190</v>
      </c>
      <c r="M1584">
        <f>Inventory_Data[[#This Row],[Opening Stock]]+Inventory_Data[[#This Row],[Purchase Qty]]-Inventory_Data[[#This Row],[Sales Qty]]-Inventory_Data[[#This Row],[Closing Stock]]</f>
        <v>0</v>
      </c>
      <c r="N1584">
        <f>Inventory_Data[[#This Row],[Purchase Qty]]*Inventory_Data[[#This Row],[Unit Cost]]</f>
        <v>42287</v>
      </c>
      <c r="O1584" t="str">
        <f>IF(Inventory_Data[[#This Row],[Closing Stock]]&lt;=Inventory_Data[[#This Row],[Reorder Level]],"Low Stock","In Stock")</f>
        <v>In Stock</v>
      </c>
      <c r="P1584" t="str">
        <f>TEXT(Inventory_Data[[#This Row],[Date]],"MMM")</f>
        <v>Dec</v>
      </c>
      <c r="Q1584" t="str">
        <f>TEXT(Inventory_Data[[#This Row],[Date]],"YYYY")</f>
        <v>2025</v>
      </c>
    </row>
    <row r="1585" spans="1:17" x14ac:dyDescent="0.3">
      <c r="A1585" s="1">
        <v>45995</v>
      </c>
      <c r="B1585" t="s">
        <v>16</v>
      </c>
      <c r="C1585" t="s">
        <v>17</v>
      </c>
      <c r="D1585" t="s">
        <v>14</v>
      </c>
      <c r="E1585" t="s">
        <v>20</v>
      </c>
      <c r="F1585">
        <v>62</v>
      </c>
      <c r="G1585">
        <v>28</v>
      </c>
      <c r="H1585">
        <v>27</v>
      </c>
      <c r="I1585">
        <v>63</v>
      </c>
      <c r="J1585">
        <v>22</v>
      </c>
      <c r="K1585">
        <v>22743</v>
      </c>
      <c r="L1585">
        <v>1432809</v>
      </c>
      <c r="M1585">
        <f>Inventory_Data[[#This Row],[Opening Stock]]+Inventory_Data[[#This Row],[Purchase Qty]]-Inventory_Data[[#This Row],[Sales Qty]]-Inventory_Data[[#This Row],[Closing Stock]]</f>
        <v>0</v>
      </c>
      <c r="N1585">
        <f>Inventory_Data[[#This Row],[Purchase Qty]]*Inventory_Data[[#This Row],[Unit Cost]]</f>
        <v>636804</v>
      </c>
      <c r="O1585" t="str">
        <f>IF(Inventory_Data[[#This Row],[Closing Stock]]&lt;=Inventory_Data[[#This Row],[Reorder Level]],"Low Stock","In Stock")</f>
        <v>In Stock</v>
      </c>
      <c r="P1585" t="str">
        <f>TEXT(Inventory_Data[[#This Row],[Date]],"MMM")</f>
        <v>Dec</v>
      </c>
      <c r="Q1585" t="str">
        <f>TEXT(Inventory_Data[[#This Row],[Date]],"YYYY")</f>
        <v>2025</v>
      </c>
    </row>
    <row r="1586" spans="1:17" x14ac:dyDescent="0.3">
      <c r="A1586" s="1">
        <v>45996</v>
      </c>
      <c r="B1586" t="s">
        <v>45</v>
      </c>
      <c r="C1586" t="s">
        <v>13</v>
      </c>
      <c r="D1586" t="s">
        <v>37</v>
      </c>
      <c r="E1586" t="s">
        <v>20</v>
      </c>
      <c r="F1586">
        <v>33</v>
      </c>
      <c r="G1586">
        <v>56</v>
      </c>
      <c r="H1586">
        <v>36</v>
      </c>
      <c r="I1586">
        <v>53</v>
      </c>
      <c r="J1586">
        <v>35</v>
      </c>
      <c r="K1586">
        <v>12760</v>
      </c>
      <c r="L1586">
        <v>676280</v>
      </c>
      <c r="M1586">
        <f>Inventory_Data[[#This Row],[Opening Stock]]+Inventory_Data[[#This Row],[Purchase Qty]]-Inventory_Data[[#This Row],[Sales Qty]]-Inventory_Data[[#This Row],[Closing Stock]]</f>
        <v>0</v>
      </c>
      <c r="N1586">
        <f>Inventory_Data[[#This Row],[Purchase Qty]]*Inventory_Data[[#This Row],[Unit Cost]]</f>
        <v>714560</v>
      </c>
      <c r="O1586" t="str">
        <f>IF(Inventory_Data[[#This Row],[Closing Stock]]&lt;=Inventory_Data[[#This Row],[Reorder Level]],"Low Stock","In Stock")</f>
        <v>In Stock</v>
      </c>
      <c r="P1586" t="str">
        <f>TEXT(Inventory_Data[[#This Row],[Date]],"MMM")</f>
        <v>Dec</v>
      </c>
      <c r="Q1586" t="str">
        <f>TEXT(Inventory_Data[[#This Row],[Date]],"YYYY")</f>
        <v>2025</v>
      </c>
    </row>
    <row r="1587" spans="1:17" x14ac:dyDescent="0.3">
      <c r="A1587" s="1">
        <v>45996</v>
      </c>
      <c r="B1587" t="s">
        <v>39</v>
      </c>
      <c r="C1587" t="s">
        <v>28</v>
      </c>
      <c r="D1587" t="s">
        <v>37</v>
      </c>
      <c r="E1587" t="s">
        <v>24</v>
      </c>
      <c r="F1587">
        <v>125</v>
      </c>
      <c r="G1587">
        <v>65</v>
      </c>
      <c r="H1587">
        <v>56</v>
      </c>
      <c r="I1587">
        <v>134</v>
      </c>
      <c r="J1587">
        <v>55</v>
      </c>
      <c r="K1587">
        <v>62861</v>
      </c>
      <c r="L1587">
        <v>8423374</v>
      </c>
      <c r="M1587">
        <f>Inventory_Data[[#This Row],[Opening Stock]]+Inventory_Data[[#This Row],[Purchase Qty]]-Inventory_Data[[#This Row],[Sales Qty]]-Inventory_Data[[#This Row],[Closing Stock]]</f>
        <v>0</v>
      </c>
      <c r="N1587">
        <f>Inventory_Data[[#This Row],[Purchase Qty]]*Inventory_Data[[#This Row],[Unit Cost]]</f>
        <v>4085965</v>
      </c>
      <c r="O1587" t="str">
        <f>IF(Inventory_Data[[#This Row],[Closing Stock]]&lt;=Inventory_Data[[#This Row],[Reorder Level]],"Low Stock","In Stock")</f>
        <v>In Stock</v>
      </c>
      <c r="P1587" t="str">
        <f>TEXT(Inventory_Data[[#This Row],[Date]],"MMM")</f>
        <v>Dec</v>
      </c>
      <c r="Q1587" t="str">
        <f>TEXT(Inventory_Data[[#This Row],[Date]],"YYYY")</f>
        <v>2025</v>
      </c>
    </row>
    <row r="1588" spans="1:17" x14ac:dyDescent="0.3">
      <c r="A1588" s="1">
        <v>45996</v>
      </c>
      <c r="B1588" t="s">
        <v>40</v>
      </c>
      <c r="C1588" t="s">
        <v>28</v>
      </c>
      <c r="D1588" t="s">
        <v>14</v>
      </c>
      <c r="E1588" t="s">
        <v>29</v>
      </c>
      <c r="F1588">
        <v>64</v>
      </c>
      <c r="G1588">
        <v>83</v>
      </c>
      <c r="H1588">
        <v>65</v>
      </c>
      <c r="I1588">
        <v>82</v>
      </c>
      <c r="J1588">
        <v>57</v>
      </c>
      <c r="K1588">
        <v>46506</v>
      </c>
      <c r="L1588">
        <v>3813492</v>
      </c>
      <c r="M1588">
        <f>Inventory_Data[[#This Row],[Opening Stock]]+Inventory_Data[[#This Row],[Purchase Qty]]-Inventory_Data[[#This Row],[Sales Qty]]-Inventory_Data[[#This Row],[Closing Stock]]</f>
        <v>0</v>
      </c>
      <c r="N1588">
        <f>Inventory_Data[[#This Row],[Purchase Qty]]*Inventory_Data[[#This Row],[Unit Cost]]</f>
        <v>3859998</v>
      </c>
      <c r="O1588" t="str">
        <f>IF(Inventory_Data[[#This Row],[Closing Stock]]&lt;=Inventory_Data[[#This Row],[Reorder Level]],"Low Stock","In Stock")</f>
        <v>In Stock</v>
      </c>
      <c r="P1588" t="str">
        <f>TEXT(Inventory_Data[[#This Row],[Date]],"MMM")</f>
        <v>Dec</v>
      </c>
      <c r="Q1588" t="str">
        <f>TEXT(Inventory_Data[[#This Row],[Date]],"YYYY")</f>
        <v>2025</v>
      </c>
    </row>
    <row r="1589" spans="1:17" x14ac:dyDescent="0.3">
      <c r="A1589" s="1">
        <v>45997</v>
      </c>
      <c r="B1589" t="s">
        <v>25</v>
      </c>
      <c r="C1589" t="s">
        <v>17</v>
      </c>
      <c r="D1589" t="s">
        <v>26</v>
      </c>
      <c r="E1589" t="s">
        <v>20</v>
      </c>
      <c r="F1589">
        <v>38</v>
      </c>
      <c r="G1589">
        <v>57</v>
      </c>
      <c r="H1589">
        <v>30</v>
      </c>
      <c r="I1589">
        <v>65</v>
      </c>
      <c r="J1589">
        <v>27</v>
      </c>
      <c r="K1589">
        <v>15508</v>
      </c>
      <c r="L1589">
        <v>1008020</v>
      </c>
      <c r="M1589">
        <f>Inventory_Data[[#This Row],[Opening Stock]]+Inventory_Data[[#This Row],[Purchase Qty]]-Inventory_Data[[#This Row],[Sales Qty]]-Inventory_Data[[#This Row],[Closing Stock]]</f>
        <v>0</v>
      </c>
      <c r="N1589">
        <f>Inventory_Data[[#This Row],[Purchase Qty]]*Inventory_Data[[#This Row],[Unit Cost]]</f>
        <v>883956</v>
      </c>
      <c r="O1589" t="str">
        <f>IF(Inventory_Data[[#This Row],[Closing Stock]]&lt;=Inventory_Data[[#This Row],[Reorder Level]],"Low Stock","In Stock")</f>
        <v>In Stock</v>
      </c>
      <c r="P1589" t="str">
        <f>TEXT(Inventory_Data[[#This Row],[Date]],"MMM")</f>
        <v>Dec</v>
      </c>
      <c r="Q1589" t="str">
        <f>TEXT(Inventory_Data[[#This Row],[Date]],"YYYY")</f>
        <v>2025</v>
      </c>
    </row>
    <row r="1590" spans="1:17" x14ac:dyDescent="0.3">
      <c r="A1590" s="1">
        <v>45997</v>
      </c>
      <c r="B1590" t="s">
        <v>19</v>
      </c>
      <c r="C1590" t="s">
        <v>13</v>
      </c>
      <c r="D1590" t="s">
        <v>37</v>
      </c>
      <c r="E1590" t="s">
        <v>20</v>
      </c>
      <c r="F1590">
        <v>37</v>
      </c>
      <c r="G1590">
        <v>46</v>
      </c>
      <c r="H1590">
        <v>19</v>
      </c>
      <c r="I1590">
        <v>64</v>
      </c>
      <c r="J1590">
        <v>27</v>
      </c>
      <c r="K1590">
        <v>2413</v>
      </c>
      <c r="L1590">
        <v>154432</v>
      </c>
      <c r="M1590">
        <f>Inventory_Data[[#This Row],[Opening Stock]]+Inventory_Data[[#This Row],[Purchase Qty]]-Inventory_Data[[#This Row],[Sales Qty]]-Inventory_Data[[#This Row],[Closing Stock]]</f>
        <v>0</v>
      </c>
      <c r="N1590">
        <f>Inventory_Data[[#This Row],[Purchase Qty]]*Inventory_Data[[#This Row],[Unit Cost]]</f>
        <v>110998</v>
      </c>
      <c r="O1590" t="str">
        <f>IF(Inventory_Data[[#This Row],[Closing Stock]]&lt;=Inventory_Data[[#This Row],[Reorder Level]],"Low Stock","In Stock")</f>
        <v>In Stock</v>
      </c>
      <c r="P1590" t="str">
        <f>TEXT(Inventory_Data[[#This Row],[Date]],"MMM")</f>
        <v>Dec</v>
      </c>
      <c r="Q1590" t="str">
        <f>TEXT(Inventory_Data[[#This Row],[Date]],"YYYY")</f>
        <v>2025</v>
      </c>
    </row>
    <row r="1591" spans="1:17" x14ac:dyDescent="0.3">
      <c r="A1591" s="1">
        <v>45997</v>
      </c>
      <c r="B1591" t="s">
        <v>16</v>
      </c>
      <c r="C1591" t="s">
        <v>17</v>
      </c>
      <c r="D1591" t="s">
        <v>23</v>
      </c>
      <c r="E1591" t="s">
        <v>34</v>
      </c>
      <c r="F1591">
        <v>56</v>
      </c>
      <c r="G1591">
        <v>8</v>
      </c>
      <c r="H1591">
        <v>22</v>
      </c>
      <c r="I1591">
        <v>42</v>
      </c>
      <c r="J1591">
        <v>17</v>
      </c>
      <c r="K1591">
        <v>18440</v>
      </c>
      <c r="L1591">
        <v>774480</v>
      </c>
      <c r="M1591">
        <f>Inventory_Data[[#This Row],[Opening Stock]]+Inventory_Data[[#This Row],[Purchase Qty]]-Inventory_Data[[#This Row],[Sales Qty]]-Inventory_Data[[#This Row],[Closing Stock]]</f>
        <v>0</v>
      </c>
      <c r="N1591">
        <f>Inventory_Data[[#This Row],[Purchase Qty]]*Inventory_Data[[#This Row],[Unit Cost]]</f>
        <v>147520</v>
      </c>
      <c r="O1591" t="str">
        <f>IF(Inventory_Data[[#This Row],[Closing Stock]]&lt;=Inventory_Data[[#This Row],[Reorder Level]],"Low Stock","In Stock")</f>
        <v>In Stock</v>
      </c>
      <c r="P1591" t="str">
        <f>TEXT(Inventory_Data[[#This Row],[Date]],"MMM")</f>
        <v>Dec</v>
      </c>
      <c r="Q1591" t="str">
        <f>TEXT(Inventory_Data[[#This Row],[Date]],"YYYY")</f>
        <v>2025</v>
      </c>
    </row>
    <row r="1592" spans="1:17" x14ac:dyDescent="0.3">
      <c r="A1592" s="1">
        <v>45997</v>
      </c>
      <c r="B1592" t="s">
        <v>44</v>
      </c>
      <c r="C1592" t="s">
        <v>28</v>
      </c>
      <c r="D1592" t="s">
        <v>14</v>
      </c>
      <c r="E1592" t="s">
        <v>18</v>
      </c>
      <c r="F1592">
        <v>64</v>
      </c>
      <c r="G1592">
        <v>105</v>
      </c>
      <c r="H1592">
        <v>70</v>
      </c>
      <c r="I1592">
        <v>99</v>
      </c>
      <c r="J1592">
        <v>28</v>
      </c>
      <c r="K1592">
        <v>8511</v>
      </c>
      <c r="L1592">
        <v>842589</v>
      </c>
      <c r="M1592">
        <f>Inventory_Data[[#This Row],[Opening Stock]]+Inventory_Data[[#This Row],[Purchase Qty]]-Inventory_Data[[#This Row],[Sales Qty]]-Inventory_Data[[#This Row],[Closing Stock]]</f>
        <v>0</v>
      </c>
      <c r="N1592">
        <f>Inventory_Data[[#This Row],[Purchase Qty]]*Inventory_Data[[#This Row],[Unit Cost]]</f>
        <v>893655</v>
      </c>
      <c r="O1592" t="str">
        <f>IF(Inventory_Data[[#This Row],[Closing Stock]]&lt;=Inventory_Data[[#This Row],[Reorder Level]],"Low Stock","In Stock")</f>
        <v>In Stock</v>
      </c>
      <c r="P1592" t="str">
        <f>TEXT(Inventory_Data[[#This Row],[Date]],"MMM")</f>
        <v>Dec</v>
      </c>
      <c r="Q1592" t="str">
        <f>TEXT(Inventory_Data[[#This Row],[Date]],"YYYY")</f>
        <v>2025</v>
      </c>
    </row>
    <row r="1593" spans="1:17" x14ac:dyDescent="0.3">
      <c r="A1593" s="1">
        <v>45997</v>
      </c>
      <c r="B1593" t="s">
        <v>16</v>
      </c>
      <c r="C1593" t="s">
        <v>17</v>
      </c>
      <c r="D1593" t="s">
        <v>26</v>
      </c>
      <c r="E1593" t="s">
        <v>29</v>
      </c>
      <c r="F1593">
        <v>64</v>
      </c>
      <c r="G1593">
        <v>20</v>
      </c>
      <c r="H1593">
        <v>44</v>
      </c>
      <c r="I1593">
        <v>40</v>
      </c>
      <c r="J1593">
        <v>25</v>
      </c>
      <c r="K1593">
        <v>20450</v>
      </c>
      <c r="L1593">
        <v>818000</v>
      </c>
      <c r="M1593">
        <f>Inventory_Data[[#This Row],[Opening Stock]]+Inventory_Data[[#This Row],[Purchase Qty]]-Inventory_Data[[#This Row],[Sales Qty]]-Inventory_Data[[#This Row],[Closing Stock]]</f>
        <v>0</v>
      </c>
      <c r="N1593">
        <f>Inventory_Data[[#This Row],[Purchase Qty]]*Inventory_Data[[#This Row],[Unit Cost]]</f>
        <v>409000</v>
      </c>
      <c r="O1593" t="str">
        <f>IF(Inventory_Data[[#This Row],[Closing Stock]]&lt;=Inventory_Data[[#This Row],[Reorder Level]],"Low Stock","In Stock")</f>
        <v>In Stock</v>
      </c>
      <c r="P1593" t="str">
        <f>TEXT(Inventory_Data[[#This Row],[Date]],"MMM")</f>
        <v>Dec</v>
      </c>
      <c r="Q1593" t="str">
        <f>TEXT(Inventory_Data[[#This Row],[Date]],"YYYY")</f>
        <v>2025</v>
      </c>
    </row>
    <row r="1594" spans="1:17" x14ac:dyDescent="0.3">
      <c r="A1594" s="1">
        <v>45997</v>
      </c>
      <c r="B1594" t="s">
        <v>33</v>
      </c>
      <c r="C1594" t="s">
        <v>13</v>
      </c>
      <c r="D1594" t="s">
        <v>23</v>
      </c>
      <c r="E1594" t="s">
        <v>34</v>
      </c>
      <c r="F1594">
        <v>66</v>
      </c>
      <c r="G1594">
        <v>68</v>
      </c>
      <c r="H1594">
        <v>54</v>
      </c>
      <c r="I1594">
        <v>80</v>
      </c>
      <c r="J1594">
        <v>31</v>
      </c>
      <c r="K1594">
        <v>8482</v>
      </c>
      <c r="L1594">
        <v>678560</v>
      </c>
      <c r="M1594">
        <f>Inventory_Data[[#This Row],[Opening Stock]]+Inventory_Data[[#This Row],[Purchase Qty]]-Inventory_Data[[#This Row],[Sales Qty]]-Inventory_Data[[#This Row],[Closing Stock]]</f>
        <v>0</v>
      </c>
      <c r="N1594">
        <f>Inventory_Data[[#This Row],[Purchase Qty]]*Inventory_Data[[#This Row],[Unit Cost]]</f>
        <v>576776</v>
      </c>
      <c r="O1594" t="str">
        <f>IF(Inventory_Data[[#This Row],[Closing Stock]]&lt;=Inventory_Data[[#This Row],[Reorder Level]],"Low Stock","In Stock")</f>
        <v>In Stock</v>
      </c>
      <c r="P1594" t="str">
        <f>TEXT(Inventory_Data[[#This Row],[Date]],"MMM")</f>
        <v>Dec</v>
      </c>
      <c r="Q1594" t="str">
        <f>TEXT(Inventory_Data[[#This Row],[Date]],"YYYY")</f>
        <v>2025</v>
      </c>
    </row>
    <row r="1595" spans="1:17" x14ac:dyDescent="0.3">
      <c r="A1595" s="1">
        <v>45997</v>
      </c>
      <c r="B1595" t="s">
        <v>40</v>
      </c>
      <c r="C1595" t="s">
        <v>28</v>
      </c>
      <c r="D1595" t="s">
        <v>26</v>
      </c>
      <c r="E1595" t="s">
        <v>18</v>
      </c>
      <c r="F1595">
        <v>148</v>
      </c>
      <c r="G1595">
        <v>63</v>
      </c>
      <c r="H1595">
        <v>62</v>
      </c>
      <c r="I1595">
        <v>149</v>
      </c>
      <c r="J1595">
        <v>38</v>
      </c>
      <c r="K1595">
        <v>59365</v>
      </c>
      <c r="L1595">
        <v>8845385</v>
      </c>
      <c r="M1595">
        <f>Inventory_Data[[#This Row],[Opening Stock]]+Inventory_Data[[#This Row],[Purchase Qty]]-Inventory_Data[[#This Row],[Sales Qty]]-Inventory_Data[[#This Row],[Closing Stock]]</f>
        <v>0</v>
      </c>
      <c r="N1595">
        <f>Inventory_Data[[#This Row],[Purchase Qty]]*Inventory_Data[[#This Row],[Unit Cost]]</f>
        <v>3739995</v>
      </c>
      <c r="O1595" t="str">
        <f>IF(Inventory_Data[[#This Row],[Closing Stock]]&lt;=Inventory_Data[[#This Row],[Reorder Level]],"Low Stock","In Stock")</f>
        <v>In Stock</v>
      </c>
      <c r="P1595" t="str">
        <f>TEXT(Inventory_Data[[#This Row],[Date]],"MMM")</f>
        <v>Dec</v>
      </c>
      <c r="Q1595" t="str">
        <f>TEXT(Inventory_Data[[#This Row],[Date]],"YYYY")</f>
        <v>2025</v>
      </c>
    </row>
    <row r="1596" spans="1:17" x14ac:dyDescent="0.3">
      <c r="A1596" s="1">
        <v>45997</v>
      </c>
      <c r="B1596" t="s">
        <v>32</v>
      </c>
      <c r="C1596" t="s">
        <v>28</v>
      </c>
      <c r="D1596" t="s">
        <v>14</v>
      </c>
      <c r="E1596" t="s">
        <v>29</v>
      </c>
      <c r="F1596">
        <v>116</v>
      </c>
      <c r="G1596">
        <v>115</v>
      </c>
      <c r="H1596">
        <v>12</v>
      </c>
      <c r="I1596">
        <v>219</v>
      </c>
      <c r="J1596">
        <v>48</v>
      </c>
      <c r="K1596">
        <v>54359</v>
      </c>
      <c r="L1596">
        <v>11904621</v>
      </c>
      <c r="M1596">
        <f>Inventory_Data[[#This Row],[Opening Stock]]+Inventory_Data[[#This Row],[Purchase Qty]]-Inventory_Data[[#This Row],[Sales Qty]]-Inventory_Data[[#This Row],[Closing Stock]]</f>
        <v>0</v>
      </c>
      <c r="N1596">
        <f>Inventory_Data[[#This Row],[Purchase Qty]]*Inventory_Data[[#This Row],[Unit Cost]]</f>
        <v>6251285</v>
      </c>
      <c r="O1596" t="str">
        <f>IF(Inventory_Data[[#This Row],[Closing Stock]]&lt;=Inventory_Data[[#This Row],[Reorder Level]],"Low Stock","In Stock")</f>
        <v>In Stock</v>
      </c>
      <c r="P1596" t="str">
        <f>TEXT(Inventory_Data[[#This Row],[Date]],"MMM")</f>
        <v>Dec</v>
      </c>
      <c r="Q1596" t="str">
        <f>TEXT(Inventory_Data[[#This Row],[Date]],"YYYY")</f>
        <v>2025</v>
      </c>
    </row>
    <row r="1597" spans="1:17" x14ac:dyDescent="0.3">
      <c r="A1597" s="1">
        <v>45998</v>
      </c>
      <c r="B1597" t="s">
        <v>25</v>
      </c>
      <c r="C1597" t="s">
        <v>17</v>
      </c>
      <c r="D1597" t="s">
        <v>14</v>
      </c>
      <c r="E1597" t="s">
        <v>34</v>
      </c>
      <c r="F1597">
        <v>67</v>
      </c>
      <c r="G1597">
        <v>19</v>
      </c>
      <c r="H1597">
        <v>21</v>
      </c>
      <c r="I1597">
        <v>65</v>
      </c>
      <c r="J1597">
        <v>21</v>
      </c>
      <c r="K1597">
        <v>20940</v>
      </c>
      <c r="L1597">
        <v>1361100</v>
      </c>
      <c r="M1597">
        <f>Inventory_Data[[#This Row],[Opening Stock]]+Inventory_Data[[#This Row],[Purchase Qty]]-Inventory_Data[[#This Row],[Sales Qty]]-Inventory_Data[[#This Row],[Closing Stock]]</f>
        <v>0</v>
      </c>
      <c r="N1597">
        <f>Inventory_Data[[#This Row],[Purchase Qty]]*Inventory_Data[[#This Row],[Unit Cost]]</f>
        <v>397860</v>
      </c>
      <c r="O1597" t="str">
        <f>IF(Inventory_Data[[#This Row],[Closing Stock]]&lt;=Inventory_Data[[#This Row],[Reorder Level]],"Low Stock","In Stock")</f>
        <v>In Stock</v>
      </c>
      <c r="P1597" t="str">
        <f>TEXT(Inventory_Data[[#This Row],[Date]],"MMM")</f>
        <v>Dec</v>
      </c>
      <c r="Q1597" t="str">
        <f>TEXT(Inventory_Data[[#This Row],[Date]],"YYYY")</f>
        <v>2025</v>
      </c>
    </row>
    <row r="1598" spans="1:17" x14ac:dyDescent="0.3">
      <c r="A1598" s="1">
        <v>45998</v>
      </c>
      <c r="B1598" t="s">
        <v>36</v>
      </c>
      <c r="C1598" t="s">
        <v>22</v>
      </c>
      <c r="D1598" t="s">
        <v>14</v>
      </c>
      <c r="E1598" t="s">
        <v>34</v>
      </c>
      <c r="F1598">
        <v>106</v>
      </c>
      <c r="G1598">
        <v>247</v>
      </c>
      <c r="H1598">
        <v>116</v>
      </c>
      <c r="I1598">
        <v>237</v>
      </c>
      <c r="J1598">
        <v>93</v>
      </c>
      <c r="K1598">
        <v>835</v>
      </c>
      <c r="L1598">
        <v>197895</v>
      </c>
      <c r="M1598">
        <f>Inventory_Data[[#This Row],[Opening Stock]]+Inventory_Data[[#This Row],[Purchase Qty]]-Inventory_Data[[#This Row],[Sales Qty]]-Inventory_Data[[#This Row],[Closing Stock]]</f>
        <v>0</v>
      </c>
      <c r="N1598">
        <f>Inventory_Data[[#This Row],[Purchase Qty]]*Inventory_Data[[#This Row],[Unit Cost]]</f>
        <v>206245</v>
      </c>
      <c r="O1598" t="str">
        <f>IF(Inventory_Data[[#This Row],[Closing Stock]]&lt;=Inventory_Data[[#This Row],[Reorder Level]],"Low Stock","In Stock")</f>
        <v>In Stock</v>
      </c>
      <c r="P1598" t="str">
        <f>TEXT(Inventory_Data[[#This Row],[Date]],"MMM")</f>
        <v>Dec</v>
      </c>
      <c r="Q1598" t="str">
        <f>TEXT(Inventory_Data[[#This Row],[Date]],"YYYY")</f>
        <v>2025</v>
      </c>
    </row>
    <row r="1599" spans="1:17" x14ac:dyDescent="0.3">
      <c r="A1599" s="1">
        <v>45999</v>
      </c>
      <c r="B1599" t="s">
        <v>16</v>
      </c>
      <c r="C1599" t="s">
        <v>17</v>
      </c>
      <c r="D1599" t="s">
        <v>37</v>
      </c>
      <c r="E1599" t="s">
        <v>29</v>
      </c>
      <c r="F1599">
        <v>59</v>
      </c>
      <c r="G1599">
        <v>42</v>
      </c>
      <c r="H1599">
        <v>38</v>
      </c>
      <c r="I1599">
        <v>63</v>
      </c>
      <c r="J1599">
        <v>28</v>
      </c>
      <c r="K1599">
        <v>1691</v>
      </c>
      <c r="L1599">
        <v>106533</v>
      </c>
      <c r="M1599">
        <f>Inventory_Data[[#This Row],[Opening Stock]]+Inventory_Data[[#This Row],[Purchase Qty]]-Inventory_Data[[#This Row],[Sales Qty]]-Inventory_Data[[#This Row],[Closing Stock]]</f>
        <v>0</v>
      </c>
      <c r="N1599">
        <f>Inventory_Data[[#This Row],[Purchase Qty]]*Inventory_Data[[#This Row],[Unit Cost]]</f>
        <v>71022</v>
      </c>
      <c r="O1599" t="str">
        <f>IF(Inventory_Data[[#This Row],[Closing Stock]]&lt;=Inventory_Data[[#This Row],[Reorder Level]],"Low Stock","In Stock")</f>
        <v>In Stock</v>
      </c>
      <c r="P1599" t="str">
        <f>TEXT(Inventory_Data[[#This Row],[Date]],"MMM")</f>
        <v>Dec</v>
      </c>
      <c r="Q1599" t="str">
        <f>TEXT(Inventory_Data[[#This Row],[Date]],"YYYY")</f>
        <v>2025</v>
      </c>
    </row>
    <row r="1600" spans="1:17" x14ac:dyDescent="0.3">
      <c r="A1600" s="1">
        <v>45999</v>
      </c>
      <c r="B1600" t="s">
        <v>25</v>
      </c>
      <c r="C1600" t="s">
        <v>17</v>
      </c>
      <c r="D1600" t="s">
        <v>14</v>
      </c>
      <c r="E1600" t="s">
        <v>18</v>
      </c>
      <c r="F1600">
        <v>22</v>
      </c>
      <c r="G1600">
        <v>59</v>
      </c>
      <c r="H1600">
        <v>18</v>
      </c>
      <c r="I1600">
        <v>63</v>
      </c>
      <c r="J1600">
        <v>21</v>
      </c>
      <c r="K1600">
        <v>8932</v>
      </c>
      <c r="L1600">
        <v>562716</v>
      </c>
      <c r="M1600">
        <f>Inventory_Data[[#This Row],[Opening Stock]]+Inventory_Data[[#This Row],[Purchase Qty]]-Inventory_Data[[#This Row],[Sales Qty]]-Inventory_Data[[#This Row],[Closing Stock]]</f>
        <v>0</v>
      </c>
      <c r="N1600">
        <f>Inventory_Data[[#This Row],[Purchase Qty]]*Inventory_Data[[#This Row],[Unit Cost]]</f>
        <v>526988</v>
      </c>
      <c r="O1600" t="str">
        <f>IF(Inventory_Data[[#This Row],[Closing Stock]]&lt;=Inventory_Data[[#This Row],[Reorder Level]],"Low Stock","In Stock")</f>
        <v>In Stock</v>
      </c>
      <c r="P1600" t="str">
        <f>TEXT(Inventory_Data[[#This Row],[Date]],"MMM")</f>
        <v>Dec</v>
      </c>
      <c r="Q1600" t="str">
        <f>TEXT(Inventory_Data[[#This Row],[Date]],"YYYY")</f>
        <v>2025</v>
      </c>
    </row>
    <row r="1601" spans="1:17" x14ac:dyDescent="0.3">
      <c r="A1601" s="1">
        <v>45999</v>
      </c>
      <c r="B1601" t="s">
        <v>30</v>
      </c>
      <c r="C1601" t="s">
        <v>28</v>
      </c>
      <c r="D1601" t="s">
        <v>23</v>
      </c>
      <c r="E1601" t="s">
        <v>24</v>
      </c>
      <c r="F1601">
        <v>66</v>
      </c>
      <c r="G1601">
        <v>77</v>
      </c>
      <c r="H1601">
        <v>96</v>
      </c>
      <c r="I1601">
        <v>47</v>
      </c>
      <c r="J1601">
        <v>57</v>
      </c>
      <c r="K1601">
        <v>46699</v>
      </c>
      <c r="L1601">
        <v>2194853</v>
      </c>
      <c r="M1601">
        <f>Inventory_Data[[#This Row],[Opening Stock]]+Inventory_Data[[#This Row],[Purchase Qty]]-Inventory_Data[[#This Row],[Sales Qty]]-Inventory_Data[[#This Row],[Closing Stock]]</f>
        <v>0</v>
      </c>
      <c r="N1601">
        <f>Inventory_Data[[#This Row],[Purchase Qty]]*Inventory_Data[[#This Row],[Unit Cost]]</f>
        <v>3595823</v>
      </c>
      <c r="O1601" t="str">
        <f>IF(Inventory_Data[[#This Row],[Closing Stock]]&lt;=Inventory_Data[[#This Row],[Reorder Level]],"Low Stock","In Stock")</f>
        <v>Low Stock</v>
      </c>
      <c r="P1601" t="str">
        <f>TEXT(Inventory_Data[[#This Row],[Date]],"MMM")</f>
        <v>Dec</v>
      </c>
      <c r="Q1601" t="str">
        <f>TEXT(Inventory_Data[[#This Row],[Date]],"YYYY")</f>
        <v>2025</v>
      </c>
    </row>
    <row r="1602" spans="1:17" x14ac:dyDescent="0.3">
      <c r="A1602" s="1">
        <v>45999</v>
      </c>
      <c r="B1602" t="s">
        <v>38</v>
      </c>
      <c r="C1602" t="s">
        <v>17</v>
      </c>
      <c r="D1602" t="s">
        <v>37</v>
      </c>
      <c r="E1602" t="s">
        <v>29</v>
      </c>
      <c r="F1602">
        <v>21</v>
      </c>
      <c r="G1602">
        <v>59</v>
      </c>
      <c r="H1602">
        <v>7</v>
      </c>
      <c r="I1602">
        <v>73</v>
      </c>
      <c r="J1602">
        <v>25</v>
      </c>
      <c r="K1602">
        <v>20752</v>
      </c>
      <c r="L1602">
        <v>1514896</v>
      </c>
      <c r="M1602">
        <f>Inventory_Data[[#This Row],[Opening Stock]]+Inventory_Data[[#This Row],[Purchase Qty]]-Inventory_Data[[#This Row],[Sales Qty]]-Inventory_Data[[#This Row],[Closing Stock]]</f>
        <v>0</v>
      </c>
      <c r="N1602">
        <f>Inventory_Data[[#This Row],[Purchase Qty]]*Inventory_Data[[#This Row],[Unit Cost]]</f>
        <v>1224368</v>
      </c>
      <c r="O1602" t="str">
        <f>IF(Inventory_Data[[#This Row],[Closing Stock]]&lt;=Inventory_Data[[#This Row],[Reorder Level]],"Low Stock","In Stock")</f>
        <v>In Stock</v>
      </c>
      <c r="P1602" t="str">
        <f>TEXT(Inventory_Data[[#This Row],[Date]],"MMM")</f>
        <v>Dec</v>
      </c>
      <c r="Q1602" t="str">
        <f>TEXT(Inventory_Data[[#This Row],[Date]],"YYYY")</f>
        <v>2025</v>
      </c>
    </row>
    <row r="1603" spans="1:17" x14ac:dyDescent="0.3">
      <c r="A1603" s="1">
        <v>45999</v>
      </c>
      <c r="B1603" t="s">
        <v>45</v>
      </c>
      <c r="C1603" t="s">
        <v>13</v>
      </c>
      <c r="D1603" t="s">
        <v>37</v>
      </c>
      <c r="E1603" t="s">
        <v>15</v>
      </c>
      <c r="F1603">
        <v>53</v>
      </c>
      <c r="G1603">
        <v>46</v>
      </c>
      <c r="H1603">
        <v>59</v>
      </c>
      <c r="I1603">
        <v>40</v>
      </c>
      <c r="J1603">
        <v>36</v>
      </c>
      <c r="K1603">
        <v>9651</v>
      </c>
      <c r="L1603">
        <v>386040</v>
      </c>
      <c r="M1603">
        <f>Inventory_Data[[#This Row],[Opening Stock]]+Inventory_Data[[#This Row],[Purchase Qty]]-Inventory_Data[[#This Row],[Sales Qty]]-Inventory_Data[[#This Row],[Closing Stock]]</f>
        <v>0</v>
      </c>
      <c r="N1603">
        <f>Inventory_Data[[#This Row],[Purchase Qty]]*Inventory_Data[[#This Row],[Unit Cost]]</f>
        <v>443946</v>
      </c>
      <c r="O1603" t="str">
        <f>IF(Inventory_Data[[#This Row],[Closing Stock]]&lt;=Inventory_Data[[#This Row],[Reorder Level]],"Low Stock","In Stock")</f>
        <v>In Stock</v>
      </c>
      <c r="P1603" t="str">
        <f>TEXT(Inventory_Data[[#This Row],[Date]],"MMM")</f>
        <v>Dec</v>
      </c>
      <c r="Q1603" t="str">
        <f>TEXT(Inventory_Data[[#This Row],[Date]],"YYYY")</f>
        <v>2025</v>
      </c>
    </row>
    <row r="1604" spans="1:17" x14ac:dyDescent="0.3">
      <c r="A1604" s="1">
        <v>45999</v>
      </c>
      <c r="B1604" t="s">
        <v>33</v>
      </c>
      <c r="C1604" t="s">
        <v>13</v>
      </c>
      <c r="D1604" t="s">
        <v>37</v>
      </c>
      <c r="E1604" t="s">
        <v>20</v>
      </c>
      <c r="F1604">
        <v>59</v>
      </c>
      <c r="G1604">
        <v>54</v>
      </c>
      <c r="H1604">
        <v>33</v>
      </c>
      <c r="I1604">
        <v>80</v>
      </c>
      <c r="J1604">
        <v>27</v>
      </c>
      <c r="K1604">
        <v>14781</v>
      </c>
      <c r="L1604">
        <v>1182480</v>
      </c>
      <c r="M1604">
        <f>Inventory_Data[[#This Row],[Opening Stock]]+Inventory_Data[[#This Row],[Purchase Qty]]-Inventory_Data[[#This Row],[Sales Qty]]-Inventory_Data[[#This Row],[Closing Stock]]</f>
        <v>0</v>
      </c>
      <c r="N1604">
        <f>Inventory_Data[[#This Row],[Purchase Qty]]*Inventory_Data[[#This Row],[Unit Cost]]</f>
        <v>798174</v>
      </c>
      <c r="O1604" t="str">
        <f>IF(Inventory_Data[[#This Row],[Closing Stock]]&lt;=Inventory_Data[[#This Row],[Reorder Level]],"Low Stock","In Stock")</f>
        <v>In Stock</v>
      </c>
      <c r="P1604" t="str">
        <f>TEXT(Inventory_Data[[#This Row],[Date]],"MMM")</f>
        <v>Dec</v>
      </c>
      <c r="Q1604" t="str">
        <f>TEXT(Inventory_Data[[#This Row],[Date]],"YYYY")</f>
        <v>2025</v>
      </c>
    </row>
    <row r="1605" spans="1:17" x14ac:dyDescent="0.3">
      <c r="A1605" s="1">
        <v>45999</v>
      </c>
      <c r="B1605" t="s">
        <v>33</v>
      </c>
      <c r="C1605" t="s">
        <v>13</v>
      </c>
      <c r="D1605" t="s">
        <v>37</v>
      </c>
      <c r="E1605" t="s">
        <v>15</v>
      </c>
      <c r="F1605">
        <v>70</v>
      </c>
      <c r="G1605">
        <v>63</v>
      </c>
      <c r="H1605">
        <v>7</v>
      </c>
      <c r="I1605">
        <v>126</v>
      </c>
      <c r="J1605">
        <v>39</v>
      </c>
      <c r="K1605">
        <v>10647</v>
      </c>
      <c r="L1605">
        <v>1341522</v>
      </c>
      <c r="M1605">
        <f>Inventory_Data[[#This Row],[Opening Stock]]+Inventory_Data[[#This Row],[Purchase Qty]]-Inventory_Data[[#This Row],[Sales Qty]]-Inventory_Data[[#This Row],[Closing Stock]]</f>
        <v>0</v>
      </c>
      <c r="N1605">
        <f>Inventory_Data[[#This Row],[Purchase Qty]]*Inventory_Data[[#This Row],[Unit Cost]]</f>
        <v>670761</v>
      </c>
      <c r="O1605" t="str">
        <f>IF(Inventory_Data[[#This Row],[Closing Stock]]&lt;=Inventory_Data[[#This Row],[Reorder Level]],"Low Stock","In Stock")</f>
        <v>In Stock</v>
      </c>
      <c r="P1605" t="str">
        <f>TEXT(Inventory_Data[[#This Row],[Date]],"MMM")</f>
        <v>Dec</v>
      </c>
      <c r="Q1605" t="str">
        <f>TEXT(Inventory_Data[[#This Row],[Date]],"YYYY")</f>
        <v>2025</v>
      </c>
    </row>
    <row r="1606" spans="1:17" x14ac:dyDescent="0.3">
      <c r="A1606" s="1">
        <v>45999</v>
      </c>
      <c r="B1606" t="s">
        <v>12</v>
      </c>
      <c r="C1606" t="s">
        <v>13</v>
      </c>
      <c r="D1606" t="s">
        <v>23</v>
      </c>
      <c r="E1606" t="s">
        <v>20</v>
      </c>
      <c r="F1606">
        <v>51</v>
      </c>
      <c r="G1606">
        <v>52</v>
      </c>
      <c r="H1606">
        <v>62</v>
      </c>
      <c r="I1606">
        <v>41</v>
      </c>
      <c r="J1606">
        <v>30</v>
      </c>
      <c r="K1606">
        <v>17899</v>
      </c>
      <c r="L1606">
        <v>733859</v>
      </c>
      <c r="M1606">
        <f>Inventory_Data[[#This Row],[Opening Stock]]+Inventory_Data[[#This Row],[Purchase Qty]]-Inventory_Data[[#This Row],[Sales Qty]]-Inventory_Data[[#This Row],[Closing Stock]]</f>
        <v>0</v>
      </c>
      <c r="N1606">
        <f>Inventory_Data[[#This Row],[Purchase Qty]]*Inventory_Data[[#This Row],[Unit Cost]]</f>
        <v>930748</v>
      </c>
      <c r="O1606" t="str">
        <f>IF(Inventory_Data[[#This Row],[Closing Stock]]&lt;=Inventory_Data[[#This Row],[Reorder Level]],"Low Stock","In Stock")</f>
        <v>In Stock</v>
      </c>
      <c r="P1606" t="str">
        <f>TEXT(Inventory_Data[[#This Row],[Date]],"MMM")</f>
        <v>Dec</v>
      </c>
      <c r="Q1606" t="str">
        <f>TEXT(Inventory_Data[[#This Row],[Date]],"YYYY")</f>
        <v>2025</v>
      </c>
    </row>
    <row r="1607" spans="1:17" x14ac:dyDescent="0.3">
      <c r="A1607" s="1">
        <v>46000</v>
      </c>
      <c r="B1607" t="s">
        <v>44</v>
      </c>
      <c r="C1607" t="s">
        <v>28</v>
      </c>
      <c r="D1607" t="s">
        <v>23</v>
      </c>
      <c r="E1607" t="s">
        <v>29</v>
      </c>
      <c r="F1607">
        <v>43</v>
      </c>
      <c r="G1607">
        <v>107</v>
      </c>
      <c r="H1607">
        <v>11</v>
      </c>
      <c r="I1607">
        <v>139</v>
      </c>
      <c r="J1607">
        <v>56</v>
      </c>
      <c r="K1607">
        <v>26565</v>
      </c>
      <c r="L1607">
        <v>3692535</v>
      </c>
      <c r="M1607">
        <f>Inventory_Data[[#This Row],[Opening Stock]]+Inventory_Data[[#This Row],[Purchase Qty]]-Inventory_Data[[#This Row],[Sales Qty]]-Inventory_Data[[#This Row],[Closing Stock]]</f>
        <v>0</v>
      </c>
      <c r="N1607">
        <f>Inventory_Data[[#This Row],[Purchase Qty]]*Inventory_Data[[#This Row],[Unit Cost]]</f>
        <v>2842455</v>
      </c>
      <c r="O1607" t="str">
        <f>IF(Inventory_Data[[#This Row],[Closing Stock]]&lt;=Inventory_Data[[#This Row],[Reorder Level]],"Low Stock","In Stock")</f>
        <v>In Stock</v>
      </c>
      <c r="P1607" t="str">
        <f>TEXT(Inventory_Data[[#This Row],[Date]],"MMM")</f>
        <v>Dec</v>
      </c>
      <c r="Q1607" t="str">
        <f>TEXT(Inventory_Data[[#This Row],[Date]],"YYYY")</f>
        <v>2025</v>
      </c>
    </row>
    <row r="1608" spans="1:17" x14ac:dyDescent="0.3">
      <c r="A1608" s="1">
        <v>46000</v>
      </c>
      <c r="B1608" t="s">
        <v>27</v>
      </c>
      <c r="C1608" t="s">
        <v>28</v>
      </c>
      <c r="D1608" t="s">
        <v>14</v>
      </c>
      <c r="E1608" t="s">
        <v>24</v>
      </c>
      <c r="F1608">
        <v>26</v>
      </c>
      <c r="G1608">
        <v>100</v>
      </c>
      <c r="H1608">
        <v>81</v>
      </c>
      <c r="I1608">
        <v>45</v>
      </c>
      <c r="J1608">
        <v>36</v>
      </c>
      <c r="K1608">
        <v>43986</v>
      </c>
      <c r="L1608">
        <v>1979370</v>
      </c>
      <c r="M1608">
        <f>Inventory_Data[[#This Row],[Opening Stock]]+Inventory_Data[[#This Row],[Purchase Qty]]-Inventory_Data[[#This Row],[Sales Qty]]-Inventory_Data[[#This Row],[Closing Stock]]</f>
        <v>0</v>
      </c>
      <c r="N1608">
        <f>Inventory_Data[[#This Row],[Purchase Qty]]*Inventory_Data[[#This Row],[Unit Cost]]</f>
        <v>4398600</v>
      </c>
      <c r="O1608" t="str">
        <f>IF(Inventory_Data[[#This Row],[Closing Stock]]&lt;=Inventory_Data[[#This Row],[Reorder Level]],"Low Stock","In Stock")</f>
        <v>In Stock</v>
      </c>
      <c r="P1608" t="str">
        <f>TEXT(Inventory_Data[[#This Row],[Date]],"MMM")</f>
        <v>Dec</v>
      </c>
      <c r="Q1608" t="str">
        <f>TEXT(Inventory_Data[[#This Row],[Date]],"YYYY")</f>
        <v>2025</v>
      </c>
    </row>
    <row r="1609" spans="1:17" x14ac:dyDescent="0.3">
      <c r="A1609" s="1">
        <v>46000</v>
      </c>
      <c r="B1609" t="s">
        <v>42</v>
      </c>
      <c r="C1609" t="s">
        <v>17</v>
      </c>
      <c r="D1609" t="s">
        <v>23</v>
      </c>
      <c r="E1609" t="s">
        <v>34</v>
      </c>
      <c r="F1609">
        <v>32</v>
      </c>
      <c r="G1609">
        <v>32</v>
      </c>
      <c r="H1609">
        <v>37</v>
      </c>
      <c r="I1609">
        <v>27</v>
      </c>
      <c r="J1609">
        <v>27</v>
      </c>
      <c r="K1609">
        <v>13282</v>
      </c>
      <c r="L1609">
        <v>358614</v>
      </c>
      <c r="M1609">
        <f>Inventory_Data[[#This Row],[Opening Stock]]+Inventory_Data[[#This Row],[Purchase Qty]]-Inventory_Data[[#This Row],[Sales Qty]]-Inventory_Data[[#This Row],[Closing Stock]]</f>
        <v>0</v>
      </c>
      <c r="N1609">
        <f>Inventory_Data[[#This Row],[Purchase Qty]]*Inventory_Data[[#This Row],[Unit Cost]]</f>
        <v>425024</v>
      </c>
      <c r="O1609" t="str">
        <f>IF(Inventory_Data[[#This Row],[Closing Stock]]&lt;=Inventory_Data[[#This Row],[Reorder Level]],"Low Stock","In Stock")</f>
        <v>Low Stock</v>
      </c>
      <c r="P1609" t="str">
        <f>TEXT(Inventory_Data[[#This Row],[Date]],"MMM")</f>
        <v>Dec</v>
      </c>
      <c r="Q1609" t="str">
        <f>TEXT(Inventory_Data[[#This Row],[Date]],"YYYY")</f>
        <v>2025</v>
      </c>
    </row>
    <row r="1610" spans="1:17" x14ac:dyDescent="0.3">
      <c r="A1610" s="1">
        <v>46000</v>
      </c>
      <c r="B1610" t="s">
        <v>36</v>
      </c>
      <c r="C1610" t="s">
        <v>22</v>
      </c>
      <c r="D1610" t="s">
        <v>14</v>
      </c>
      <c r="E1610" t="s">
        <v>15</v>
      </c>
      <c r="F1610">
        <v>474</v>
      </c>
      <c r="G1610">
        <v>88</v>
      </c>
      <c r="H1610">
        <v>191</v>
      </c>
      <c r="I1610">
        <v>371</v>
      </c>
      <c r="J1610">
        <v>71</v>
      </c>
      <c r="K1610">
        <v>477</v>
      </c>
      <c r="L1610">
        <v>176967</v>
      </c>
      <c r="M1610">
        <f>Inventory_Data[[#This Row],[Opening Stock]]+Inventory_Data[[#This Row],[Purchase Qty]]-Inventory_Data[[#This Row],[Sales Qty]]-Inventory_Data[[#This Row],[Closing Stock]]</f>
        <v>0</v>
      </c>
      <c r="N1610">
        <f>Inventory_Data[[#This Row],[Purchase Qty]]*Inventory_Data[[#This Row],[Unit Cost]]</f>
        <v>41976</v>
      </c>
      <c r="O1610" t="str">
        <f>IF(Inventory_Data[[#This Row],[Closing Stock]]&lt;=Inventory_Data[[#This Row],[Reorder Level]],"Low Stock","In Stock")</f>
        <v>In Stock</v>
      </c>
      <c r="P1610" t="str">
        <f>TEXT(Inventory_Data[[#This Row],[Date]],"MMM")</f>
        <v>Dec</v>
      </c>
      <c r="Q1610" t="str">
        <f>TEXT(Inventory_Data[[#This Row],[Date]],"YYYY")</f>
        <v>2025</v>
      </c>
    </row>
    <row r="1611" spans="1:17" x14ac:dyDescent="0.3">
      <c r="A1611" s="1">
        <v>46000</v>
      </c>
      <c r="B1611" t="s">
        <v>30</v>
      </c>
      <c r="C1611" t="s">
        <v>28</v>
      </c>
      <c r="D1611" t="s">
        <v>23</v>
      </c>
      <c r="E1611" t="s">
        <v>29</v>
      </c>
      <c r="F1611">
        <v>127</v>
      </c>
      <c r="G1611">
        <v>92</v>
      </c>
      <c r="H1611">
        <v>86</v>
      </c>
      <c r="I1611">
        <v>133</v>
      </c>
      <c r="J1611">
        <v>20</v>
      </c>
      <c r="K1611">
        <v>29550</v>
      </c>
      <c r="L1611">
        <v>3930150</v>
      </c>
      <c r="M1611">
        <f>Inventory_Data[[#This Row],[Opening Stock]]+Inventory_Data[[#This Row],[Purchase Qty]]-Inventory_Data[[#This Row],[Sales Qty]]-Inventory_Data[[#This Row],[Closing Stock]]</f>
        <v>0</v>
      </c>
      <c r="N1611">
        <f>Inventory_Data[[#This Row],[Purchase Qty]]*Inventory_Data[[#This Row],[Unit Cost]]</f>
        <v>2718600</v>
      </c>
      <c r="O1611" t="str">
        <f>IF(Inventory_Data[[#This Row],[Closing Stock]]&lt;=Inventory_Data[[#This Row],[Reorder Level]],"Low Stock","In Stock")</f>
        <v>In Stock</v>
      </c>
      <c r="P1611" t="str">
        <f>TEXT(Inventory_Data[[#This Row],[Date]],"MMM")</f>
        <v>Dec</v>
      </c>
      <c r="Q1611" t="str">
        <f>TEXT(Inventory_Data[[#This Row],[Date]],"YYYY")</f>
        <v>2025</v>
      </c>
    </row>
    <row r="1612" spans="1:17" x14ac:dyDescent="0.3">
      <c r="A1612" s="1">
        <v>46001</v>
      </c>
      <c r="B1612" t="s">
        <v>45</v>
      </c>
      <c r="C1612" t="s">
        <v>13</v>
      </c>
      <c r="D1612" t="s">
        <v>26</v>
      </c>
      <c r="E1612" t="s">
        <v>20</v>
      </c>
      <c r="F1612">
        <v>94</v>
      </c>
      <c r="G1612">
        <v>16</v>
      </c>
      <c r="H1612">
        <v>36</v>
      </c>
      <c r="I1612">
        <v>74</v>
      </c>
      <c r="J1612">
        <v>25</v>
      </c>
      <c r="K1612">
        <v>10370</v>
      </c>
      <c r="L1612">
        <v>767380</v>
      </c>
      <c r="M1612">
        <f>Inventory_Data[[#This Row],[Opening Stock]]+Inventory_Data[[#This Row],[Purchase Qty]]-Inventory_Data[[#This Row],[Sales Qty]]-Inventory_Data[[#This Row],[Closing Stock]]</f>
        <v>0</v>
      </c>
      <c r="N1612">
        <f>Inventory_Data[[#This Row],[Purchase Qty]]*Inventory_Data[[#This Row],[Unit Cost]]</f>
        <v>165920</v>
      </c>
      <c r="O1612" t="str">
        <f>IF(Inventory_Data[[#This Row],[Closing Stock]]&lt;=Inventory_Data[[#This Row],[Reorder Level]],"Low Stock","In Stock")</f>
        <v>In Stock</v>
      </c>
      <c r="P1612" t="str">
        <f>TEXT(Inventory_Data[[#This Row],[Date]],"MMM")</f>
        <v>Dec</v>
      </c>
      <c r="Q1612" t="str">
        <f>TEXT(Inventory_Data[[#This Row],[Date]],"YYYY")</f>
        <v>2025</v>
      </c>
    </row>
    <row r="1613" spans="1:17" x14ac:dyDescent="0.3">
      <c r="A1613" s="1">
        <v>46001</v>
      </c>
      <c r="B1613" t="s">
        <v>12</v>
      </c>
      <c r="C1613" t="s">
        <v>13</v>
      </c>
      <c r="D1613" t="s">
        <v>23</v>
      </c>
      <c r="E1613" t="s">
        <v>20</v>
      </c>
      <c r="F1613">
        <v>49</v>
      </c>
      <c r="G1613">
        <v>66</v>
      </c>
      <c r="H1613">
        <v>3</v>
      </c>
      <c r="I1613">
        <v>112</v>
      </c>
      <c r="J1613">
        <v>27</v>
      </c>
      <c r="K1613">
        <v>4948</v>
      </c>
      <c r="L1613">
        <v>554176</v>
      </c>
      <c r="M1613">
        <f>Inventory_Data[[#This Row],[Opening Stock]]+Inventory_Data[[#This Row],[Purchase Qty]]-Inventory_Data[[#This Row],[Sales Qty]]-Inventory_Data[[#This Row],[Closing Stock]]</f>
        <v>0</v>
      </c>
      <c r="N1613">
        <f>Inventory_Data[[#This Row],[Purchase Qty]]*Inventory_Data[[#This Row],[Unit Cost]]</f>
        <v>326568</v>
      </c>
      <c r="O1613" t="str">
        <f>IF(Inventory_Data[[#This Row],[Closing Stock]]&lt;=Inventory_Data[[#This Row],[Reorder Level]],"Low Stock","In Stock")</f>
        <v>In Stock</v>
      </c>
      <c r="P1613" t="str">
        <f>TEXT(Inventory_Data[[#This Row],[Date]],"MMM")</f>
        <v>Dec</v>
      </c>
      <c r="Q1613" t="str">
        <f>TEXT(Inventory_Data[[#This Row],[Date]],"YYYY")</f>
        <v>2025</v>
      </c>
    </row>
    <row r="1614" spans="1:17" x14ac:dyDescent="0.3">
      <c r="A1614" s="1">
        <v>46001</v>
      </c>
      <c r="B1614" t="s">
        <v>36</v>
      </c>
      <c r="C1614" t="s">
        <v>22</v>
      </c>
      <c r="D1614" t="s">
        <v>37</v>
      </c>
      <c r="E1614" t="s">
        <v>29</v>
      </c>
      <c r="F1614">
        <v>462</v>
      </c>
      <c r="G1614">
        <v>83</v>
      </c>
      <c r="H1614">
        <v>227</v>
      </c>
      <c r="I1614">
        <v>318</v>
      </c>
      <c r="J1614">
        <v>148</v>
      </c>
      <c r="K1614">
        <v>547</v>
      </c>
      <c r="L1614">
        <v>173946</v>
      </c>
      <c r="M1614">
        <f>Inventory_Data[[#This Row],[Opening Stock]]+Inventory_Data[[#This Row],[Purchase Qty]]-Inventory_Data[[#This Row],[Sales Qty]]-Inventory_Data[[#This Row],[Closing Stock]]</f>
        <v>0</v>
      </c>
      <c r="N1614">
        <f>Inventory_Data[[#This Row],[Purchase Qty]]*Inventory_Data[[#This Row],[Unit Cost]]</f>
        <v>45401</v>
      </c>
      <c r="O1614" t="str">
        <f>IF(Inventory_Data[[#This Row],[Closing Stock]]&lt;=Inventory_Data[[#This Row],[Reorder Level]],"Low Stock","In Stock")</f>
        <v>In Stock</v>
      </c>
      <c r="P1614" t="str">
        <f>TEXT(Inventory_Data[[#This Row],[Date]],"MMM")</f>
        <v>Dec</v>
      </c>
      <c r="Q1614" t="str">
        <f>TEXT(Inventory_Data[[#This Row],[Date]],"YYYY")</f>
        <v>2025</v>
      </c>
    </row>
    <row r="1615" spans="1:17" x14ac:dyDescent="0.3">
      <c r="A1615" s="1">
        <v>46001</v>
      </c>
      <c r="B1615" t="s">
        <v>42</v>
      </c>
      <c r="C1615" t="s">
        <v>17</v>
      </c>
      <c r="D1615" t="s">
        <v>37</v>
      </c>
      <c r="E1615" t="s">
        <v>18</v>
      </c>
      <c r="F1615">
        <v>77</v>
      </c>
      <c r="G1615">
        <v>16</v>
      </c>
      <c r="H1615">
        <v>38</v>
      </c>
      <c r="I1615">
        <v>55</v>
      </c>
      <c r="J1615">
        <v>20</v>
      </c>
      <c r="K1615">
        <v>13760</v>
      </c>
      <c r="L1615">
        <v>756800</v>
      </c>
      <c r="M1615">
        <f>Inventory_Data[[#This Row],[Opening Stock]]+Inventory_Data[[#This Row],[Purchase Qty]]-Inventory_Data[[#This Row],[Sales Qty]]-Inventory_Data[[#This Row],[Closing Stock]]</f>
        <v>0</v>
      </c>
      <c r="N1615">
        <f>Inventory_Data[[#This Row],[Purchase Qty]]*Inventory_Data[[#This Row],[Unit Cost]]</f>
        <v>220160</v>
      </c>
      <c r="O1615" t="str">
        <f>IF(Inventory_Data[[#This Row],[Closing Stock]]&lt;=Inventory_Data[[#This Row],[Reorder Level]],"Low Stock","In Stock")</f>
        <v>In Stock</v>
      </c>
      <c r="P1615" t="str">
        <f>TEXT(Inventory_Data[[#This Row],[Date]],"MMM")</f>
        <v>Dec</v>
      </c>
      <c r="Q1615" t="str">
        <f>TEXT(Inventory_Data[[#This Row],[Date]],"YYYY")</f>
        <v>2025</v>
      </c>
    </row>
    <row r="1616" spans="1:17" x14ac:dyDescent="0.3">
      <c r="A1616" s="1">
        <v>46001</v>
      </c>
      <c r="B1616" t="s">
        <v>40</v>
      </c>
      <c r="C1616" t="s">
        <v>28</v>
      </c>
      <c r="D1616" t="s">
        <v>37</v>
      </c>
      <c r="E1616" t="s">
        <v>29</v>
      </c>
      <c r="F1616">
        <v>30</v>
      </c>
      <c r="G1616">
        <v>71</v>
      </c>
      <c r="H1616">
        <v>81</v>
      </c>
      <c r="I1616">
        <v>20</v>
      </c>
      <c r="J1616">
        <v>44</v>
      </c>
      <c r="K1616">
        <v>15361</v>
      </c>
      <c r="L1616">
        <v>307220</v>
      </c>
      <c r="M1616">
        <f>Inventory_Data[[#This Row],[Opening Stock]]+Inventory_Data[[#This Row],[Purchase Qty]]-Inventory_Data[[#This Row],[Sales Qty]]-Inventory_Data[[#This Row],[Closing Stock]]</f>
        <v>0</v>
      </c>
      <c r="N1616">
        <f>Inventory_Data[[#This Row],[Purchase Qty]]*Inventory_Data[[#This Row],[Unit Cost]]</f>
        <v>1090631</v>
      </c>
      <c r="O1616" t="str">
        <f>IF(Inventory_Data[[#This Row],[Closing Stock]]&lt;=Inventory_Data[[#This Row],[Reorder Level]],"Low Stock","In Stock")</f>
        <v>Low Stock</v>
      </c>
      <c r="P1616" t="str">
        <f>TEXT(Inventory_Data[[#This Row],[Date]],"MMM")</f>
        <v>Dec</v>
      </c>
      <c r="Q1616" t="str">
        <f>TEXT(Inventory_Data[[#This Row],[Date]],"YYYY")</f>
        <v>2025</v>
      </c>
    </row>
    <row r="1617" spans="1:17" x14ac:dyDescent="0.3">
      <c r="A1617" s="1">
        <v>46002</v>
      </c>
      <c r="B1617" t="s">
        <v>35</v>
      </c>
      <c r="C1617" t="s">
        <v>22</v>
      </c>
      <c r="D1617" t="s">
        <v>14</v>
      </c>
      <c r="E1617" t="s">
        <v>29</v>
      </c>
      <c r="F1617">
        <v>66</v>
      </c>
      <c r="G1617">
        <v>79</v>
      </c>
      <c r="H1617">
        <v>144</v>
      </c>
      <c r="I1617">
        <v>1</v>
      </c>
      <c r="J1617">
        <v>99</v>
      </c>
      <c r="K1617">
        <v>649</v>
      </c>
      <c r="L1617">
        <v>649</v>
      </c>
      <c r="M1617">
        <f>Inventory_Data[[#This Row],[Opening Stock]]+Inventory_Data[[#This Row],[Purchase Qty]]-Inventory_Data[[#This Row],[Sales Qty]]-Inventory_Data[[#This Row],[Closing Stock]]</f>
        <v>0</v>
      </c>
      <c r="N1617">
        <f>Inventory_Data[[#This Row],[Purchase Qty]]*Inventory_Data[[#This Row],[Unit Cost]]</f>
        <v>51271</v>
      </c>
      <c r="O1617" t="str">
        <f>IF(Inventory_Data[[#This Row],[Closing Stock]]&lt;=Inventory_Data[[#This Row],[Reorder Level]],"Low Stock","In Stock")</f>
        <v>Low Stock</v>
      </c>
      <c r="P1617" t="str">
        <f>TEXT(Inventory_Data[[#This Row],[Date]],"MMM")</f>
        <v>Dec</v>
      </c>
      <c r="Q1617" t="str">
        <f>TEXT(Inventory_Data[[#This Row],[Date]],"YYYY")</f>
        <v>2025</v>
      </c>
    </row>
    <row r="1618" spans="1:17" x14ac:dyDescent="0.3">
      <c r="A1618" s="1">
        <v>46002</v>
      </c>
      <c r="B1618" t="s">
        <v>21</v>
      </c>
      <c r="C1618" t="s">
        <v>22</v>
      </c>
      <c r="D1618" t="s">
        <v>37</v>
      </c>
      <c r="E1618" t="s">
        <v>15</v>
      </c>
      <c r="F1618">
        <v>201</v>
      </c>
      <c r="G1618">
        <v>174</v>
      </c>
      <c r="H1618">
        <v>139</v>
      </c>
      <c r="I1618">
        <v>236</v>
      </c>
      <c r="J1618">
        <v>80</v>
      </c>
      <c r="K1618">
        <v>160</v>
      </c>
      <c r="L1618">
        <v>37760</v>
      </c>
      <c r="M1618">
        <f>Inventory_Data[[#This Row],[Opening Stock]]+Inventory_Data[[#This Row],[Purchase Qty]]-Inventory_Data[[#This Row],[Sales Qty]]-Inventory_Data[[#This Row],[Closing Stock]]</f>
        <v>0</v>
      </c>
      <c r="N1618">
        <f>Inventory_Data[[#This Row],[Purchase Qty]]*Inventory_Data[[#This Row],[Unit Cost]]</f>
        <v>27840</v>
      </c>
      <c r="O1618" t="str">
        <f>IF(Inventory_Data[[#This Row],[Closing Stock]]&lt;=Inventory_Data[[#This Row],[Reorder Level]],"Low Stock","In Stock")</f>
        <v>In Stock</v>
      </c>
      <c r="P1618" t="str">
        <f>TEXT(Inventory_Data[[#This Row],[Date]],"MMM")</f>
        <v>Dec</v>
      </c>
      <c r="Q1618" t="str">
        <f>TEXT(Inventory_Data[[#This Row],[Date]],"YYYY")</f>
        <v>2025</v>
      </c>
    </row>
    <row r="1619" spans="1:17" x14ac:dyDescent="0.3">
      <c r="A1619" s="1">
        <v>46002</v>
      </c>
      <c r="B1619" t="s">
        <v>38</v>
      </c>
      <c r="C1619" t="s">
        <v>17</v>
      </c>
      <c r="D1619" t="s">
        <v>26</v>
      </c>
      <c r="E1619" t="s">
        <v>29</v>
      </c>
      <c r="F1619">
        <v>28</v>
      </c>
      <c r="G1619">
        <v>35</v>
      </c>
      <c r="H1619">
        <v>27</v>
      </c>
      <c r="I1619">
        <v>36</v>
      </c>
      <c r="J1619">
        <v>13</v>
      </c>
      <c r="K1619">
        <v>18564</v>
      </c>
      <c r="L1619">
        <v>668304</v>
      </c>
      <c r="M1619">
        <f>Inventory_Data[[#This Row],[Opening Stock]]+Inventory_Data[[#This Row],[Purchase Qty]]-Inventory_Data[[#This Row],[Sales Qty]]-Inventory_Data[[#This Row],[Closing Stock]]</f>
        <v>0</v>
      </c>
      <c r="N1619">
        <f>Inventory_Data[[#This Row],[Purchase Qty]]*Inventory_Data[[#This Row],[Unit Cost]]</f>
        <v>649740</v>
      </c>
      <c r="O1619" t="str">
        <f>IF(Inventory_Data[[#This Row],[Closing Stock]]&lt;=Inventory_Data[[#This Row],[Reorder Level]],"Low Stock","In Stock")</f>
        <v>In Stock</v>
      </c>
      <c r="P1619" t="str">
        <f>TEXT(Inventory_Data[[#This Row],[Date]],"MMM")</f>
        <v>Dec</v>
      </c>
      <c r="Q1619" t="str">
        <f>TEXT(Inventory_Data[[#This Row],[Date]],"YYYY")</f>
        <v>2025</v>
      </c>
    </row>
    <row r="1620" spans="1:17" x14ac:dyDescent="0.3">
      <c r="A1620" s="1">
        <v>46002</v>
      </c>
      <c r="B1620" t="s">
        <v>27</v>
      </c>
      <c r="C1620" t="s">
        <v>28</v>
      </c>
      <c r="D1620" t="s">
        <v>23</v>
      </c>
      <c r="E1620" t="s">
        <v>34</v>
      </c>
      <c r="F1620">
        <v>97</v>
      </c>
      <c r="G1620">
        <v>48</v>
      </c>
      <c r="H1620">
        <v>94</v>
      </c>
      <c r="I1620">
        <v>51</v>
      </c>
      <c r="J1620">
        <v>43</v>
      </c>
      <c r="K1620">
        <v>42023</v>
      </c>
      <c r="L1620">
        <v>2143173</v>
      </c>
      <c r="M1620">
        <f>Inventory_Data[[#This Row],[Opening Stock]]+Inventory_Data[[#This Row],[Purchase Qty]]-Inventory_Data[[#This Row],[Sales Qty]]-Inventory_Data[[#This Row],[Closing Stock]]</f>
        <v>0</v>
      </c>
      <c r="N1620">
        <f>Inventory_Data[[#This Row],[Purchase Qty]]*Inventory_Data[[#This Row],[Unit Cost]]</f>
        <v>2017104</v>
      </c>
      <c r="O1620" t="str">
        <f>IF(Inventory_Data[[#This Row],[Closing Stock]]&lt;=Inventory_Data[[#This Row],[Reorder Level]],"Low Stock","In Stock")</f>
        <v>In Stock</v>
      </c>
      <c r="P1620" t="str">
        <f>TEXT(Inventory_Data[[#This Row],[Date]],"MMM")</f>
        <v>Dec</v>
      </c>
      <c r="Q1620" t="str">
        <f>TEXT(Inventory_Data[[#This Row],[Date]],"YYYY")</f>
        <v>2025</v>
      </c>
    </row>
    <row r="1621" spans="1:17" x14ac:dyDescent="0.3">
      <c r="A1621" s="1">
        <v>46003</v>
      </c>
      <c r="B1621" t="s">
        <v>43</v>
      </c>
      <c r="C1621" t="s">
        <v>22</v>
      </c>
      <c r="D1621" t="s">
        <v>23</v>
      </c>
      <c r="E1621" t="s">
        <v>29</v>
      </c>
      <c r="F1621">
        <v>121</v>
      </c>
      <c r="G1621">
        <v>299</v>
      </c>
      <c r="H1621">
        <v>75</v>
      </c>
      <c r="I1621">
        <v>345</v>
      </c>
      <c r="J1621">
        <v>117</v>
      </c>
      <c r="K1621">
        <v>899</v>
      </c>
      <c r="L1621">
        <v>310155</v>
      </c>
      <c r="M1621">
        <f>Inventory_Data[[#This Row],[Opening Stock]]+Inventory_Data[[#This Row],[Purchase Qty]]-Inventory_Data[[#This Row],[Sales Qty]]-Inventory_Data[[#This Row],[Closing Stock]]</f>
        <v>0</v>
      </c>
      <c r="N1621">
        <f>Inventory_Data[[#This Row],[Purchase Qty]]*Inventory_Data[[#This Row],[Unit Cost]]</f>
        <v>268801</v>
      </c>
      <c r="O1621" t="str">
        <f>IF(Inventory_Data[[#This Row],[Closing Stock]]&lt;=Inventory_Data[[#This Row],[Reorder Level]],"Low Stock","In Stock")</f>
        <v>In Stock</v>
      </c>
      <c r="P1621" t="str">
        <f>TEXT(Inventory_Data[[#This Row],[Date]],"MMM")</f>
        <v>Dec</v>
      </c>
      <c r="Q1621" t="str">
        <f>TEXT(Inventory_Data[[#This Row],[Date]],"YYYY")</f>
        <v>2025</v>
      </c>
    </row>
    <row r="1622" spans="1:17" x14ac:dyDescent="0.3">
      <c r="A1622" s="1">
        <v>46003</v>
      </c>
      <c r="B1622" t="s">
        <v>45</v>
      </c>
      <c r="C1622" t="s">
        <v>13</v>
      </c>
      <c r="D1622" t="s">
        <v>23</v>
      </c>
      <c r="E1622" t="s">
        <v>34</v>
      </c>
      <c r="F1622">
        <v>115</v>
      </c>
      <c r="G1622">
        <v>66</v>
      </c>
      <c r="H1622">
        <v>25</v>
      </c>
      <c r="I1622">
        <v>156</v>
      </c>
      <c r="J1622">
        <v>23</v>
      </c>
      <c r="K1622">
        <v>1850</v>
      </c>
      <c r="L1622">
        <v>288600</v>
      </c>
      <c r="M1622">
        <f>Inventory_Data[[#This Row],[Opening Stock]]+Inventory_Data[[#This Row],[Purchase Qty]]-Inventory_Data[[#This Row],[Sales Qty]]-Inventory_Data[[#This Row],[Closing Stock]]</f>
        <v>0</v>
      </c>
      <c r="N1622">
        <f>Inventory_Data[[#This Row],[Purchase Qty]]*Inventory_Data[[#This Row],[Unit Cost]]</f>
        <v>122100</v>
      </c>
      <c r="O1622" t="str">
        <f>IF(Inventory_Data[[#This Row],[Closing Stock]]&lt;=Inventory_Data[[#This Row],[Reorder Level]],"Low Stock","In Stock")</f>
        <v>In Stock</v>
      </c>
      <c r="P1622" t="str">
        <f>TEXT(Inventory_Data[[#This Row],[Date]],"MMM")</f>
        <v>Dec</v>
      </c>
      <c r="Q1622" t="str">
        <f>TEXT(Inventory_Data[[#This Row],[Date]],"YYYY")</f>
        <v>2025</v>
      </c>
    </row>
    <row r="1623" spans="1:17" x14ac:dyDescent="0.3">
      <c r="A1623" s="1">
        <v>46003</v>
      </c>
      <c r="B1623" t="s">
        <v>31</v>
      </c>
      <c r="C1623" t="s">
        <v>22</v>
      </c>
      <c r="D1623" t="s">
        <v>26</v>
      </c>
      <c r="E1623" t="s">
        <v>18</v>
      </c>
      <c r="F1623">
        <v>235</v>
      </c>
      <c r="G1623">
        <v>236</v>
      </c>
      <c r="H1623">
        <v>181</v>
      </c>
      <c r="I1623">
        <v>290</v>
      </c>
      <c r="J1623">
        <v>63</v>
      </c>
      <c r="K1623">
        <v>483</v>
      </c>
      <c r="L1623">
        <v>140070</v>
      </c>
      <c r="M1623">
        <f>Inventory_Data[[#This Row],[Opening Stock]]+Inventory_Data[[#This Row],[Purchase Qty]]-Inventory_Data[[#This Row],[Sales Qty]]-Inventory_Data[[#This Row],[Closing Stock]]</f>
        <v>0</v>
      </c>
      <c r="N1623">
        <f>Inventory_Data[[#This Row],[Purchase Qty]]*Inventory_Data[[#This Row],[Unit Cost]]</f>
        <v>113988</v>
      </c>
      <c r="O1623" t="str">
        <f>IF(Inventory_Data[[#This Row],[Closing Stock]]&lt;=Inventory_Data[[#This Row],[Reorder Level]],"Low Stock","In Stock")</f>
        <v>In Stock</v>
      </c>
      <c r="P1623" t="str">
        <f>TEXT(Inventory_Data[[#This Row],[Date]],"MMM")</f>
        <v>Dec</v>
      </c>
      <c r="Q1623" t="str">
        <f>TEXT(Inventory_Data[[#This Row],[Date]],"YYYY")</f>
        <v>2025</v>
      </c>
    </row>
    <row r="1624" spans="1:17" x14ac:dyDescent="0.3">
      <c r="A1624" s="1">
        <v>46004</v>
      </c>
      <c r="B1624" t="s">
        <v>25</v>
      </c>
      <c r="C1624" t="s">
        <v>17</v>
      </c>
      <c r="D1624" t="s">
        <v>26</v>
      </c>
      <c r="E1624" t="s">
        <v>34</v>
      </c>
      <c r="F1624">
        <v>23</v>
      </c>
      <c r="G1624">
        <v>52</v>
      </c>
      <c r="H1624">
        <v>40</v>
      </c>
      <c r="I1624">
        <v>35</v>
      </c>
      <c r="J1624">
        <v>21</v>
      </c>
      <c r="K1624">
        <v>1744</v>
      </c>
      <c r="L1624">
        <v>61040</v>
      </c>
      <c r="M1624">
        <f>Inventory_Data[[#This Row],[Opening Stock]]+Inventory_Data[[#This Row],[Purchase Qty]]-Inventory_Data[[#This Row],[Sales Qty]]-Inventory_Data[[#This Row],[Closing Stock]]</f>
        <v>0</v>
      </c>
      <c r="N1624">
        <f>Inventory_Data[[#This Row],[Purchase Qty]]*Inventory_Data[[#This Row],[Unit Cost]]</f>
        <v>90688</v>
      </c>
      <c r="O1624" t="str">
        <f>IF(Inventory_Data[[#This Row],[Closing Stock]]&lt;=Inventory_Data[[#This Row],[Reorder Level]],"Low Stock","In Stock")</f>
        <v>In Stock</v>
      </c>
      <c r="P1624" t="str">
        <f>TEXT(Inventory_Data[[#This Row],[Date]],"MMM")</f>
        <v>Dec</v>
      </c>
      <c r="Q1624" t="str">
        <f>TEXT(Inventory_Data[[#This Row],[Date]],"YYYY")</f>
        <v>2025</v>
      </c>
    </row>
    <row r="1625" spans="1:17" x14ac:dyDescent="0.3">
      <c r="A1625" s="1">
        <v>46004</v>
      </c>
      <c r="B1625" t="s">
        <v>35</v>
      </c>
      <c r="C1625" t="s">
        <v>22</v>
      </c>
      <c r="D1625" t="s">
        <v>37</v>
      </c>
      <c r="E1625" t="s">
        <v>24</v>
      </c>
      <c r="F1625">
        <v>442</v>
      </c>
      <c r="G1625">
        <v>130</v>
      </c>
      <c r="H1625">
        <v>46</v>
      </c>
      <c r="I1625">
        <v>526</v>
      </c>
      <c r="J1625">
        <v>101</v>
      </c>
      <c r="K1625">
        <v>111</v>
      </c>
      <c r="L1625">
        <v>58386</v>
      </c>
      <c r="M1625">
        <f>Inventory_Data[[#This Row],[Opening Stock]]+Inventory_Data[[#This Row],[Purchase Qty]]-Inventory_Data[[#This Row],[Sales Qty]]-Inventory_Data[[#This Row],[Closing Stock]]</f>
        <v>0</v>
      </c>
      <c r="N1625">
        <f>Inventory_Data[[#This Row],[Purchase Qty]]*Inventory_Data[[#This Row],[Unit Cost]]</f>
        <v>14430</v>
      </c>
      <c r="O1625" t="str">
        <f>IF(Inventory_Data[[#This Row],[Closing Stock]]&lt;=Inventory_Data[[#This Row],[Reorder Level]],"Low Stock","In Stock")</f>
        <v>In Stock</v>
      </c>
      <c r="P1625" t="str">
        <f>TEXT(Inventory_Data[[#This Row],[Date]],"MMM")</f>
        <v>Dec</v>
      </c>
      <c r="Q1625" t="str">
        <f>TEXT(Inventory_Data[[#This Row],[Date]],"YYYY")</f>
        <v>2025</v>
      </c>
    </row>
    <row r="1626" spans="1:17" x14ac:dyDescent="0.3">
      <c r="A1626" s="1">
        <v>46004</v>
      </c>
      <c r="B1626" t="s">
        <v>43</v>
      </c>
      <c r="C1626" t="s">
        <v>22</v>
      </c>
      <c r="D1626" t="s">
        <v>23</v>
      </c>
      <c r="E1626" t="s">
        <v>24</v>
      </c>
      <c r="F1626">
        <v>186</v>
      </c>
      <c r="G1626">
        <v>274</v>
      </c>
      <c r="H1626">
        <v>118</v>
      </c>
      <c r="I1626">
        <v>342</v>
      </c>
      <c r="J1626">
        <v>139</v>
      </c>
      <c r="K1626">
        <v>552</v>
      </c>
      <c r="L1626">
        <v>188784</v>
      </c>
      <c r="M1626">
        <f>Inventory_Data[[#This Row],[Opening Stock]]+Inventory_Data[[#This Row],[Purchase Qty]]-Inventory_Data[[#This Row],[Sales Qty]]-Inventory_Data[[#This Row],[Closing Stock]]</f>
        <v>0</v>
      </c>
      <c r="N1626">
        <f>Inventory_Data[[#This Row],[Purchase Qty]]*Inventory_Data[[#This Row],[Unit Cost]]</f>
        <v>151248</v>
      </c>
      <c r="O1626" t="str">
        <f>IF(Inventory_Data[[#This Row],[Closing Stock]]&lt;=Inventory_Data[[#This Row],[Reorder Level]],"Low Stock","In Stock")</f>
        <v>In Stock</v>
      </c>
      <c r="P1626" t="str">
        <f>TEXT(Inventory_Data[[#This Row],[Date]],"MMM")</f>
        <v>Dec</v>
      </c>
      <c r="Q1626" t="str">
        <f>TEXT(Inventory_Data[[#This Row],[Date]],"YYYY")</f>
        <v>2025</v>
      </c>
    </row>
    <row r="1627" spans="1:17" x14ac:dyDescent="0.3">
      <c r="A1627" s="1">
        <v>46004</v>
      </c>
      <c r="B1627" t="s">
        <v>35</v>
      </c>
      <c r="C1627" t="s">
        <v>22</v>
      </c>
      <c r="D1627" t="s">
        <v>23</v>
      </c>
      <c r="E1627" t="s">
        <v>20</v>
      </c>
      <c r="F1627">
        <v>221</v>
      </c>
      <c r="G1627">
        <v>229</v>
      </c>
      <c r="H1627">
        <v>85</v>
      </c>
      <c r="I1627">
        <v>365</v>
      </c>
      <c r="J1627">
        <v>110</v>
      </c>
      <c r="K1627">
        <v>391</v>
      </c>
      <c r="L1627">
        <v>142715</v>
      </c>
      <c r="M1627">
        <f>Inventory_Data[[#This Row],[Opening Stock]]+Inventory_Data[[#This Row],[Purchase Qty]]-Inventory_Data[[#This Row],[Sales Qty]]-Inventory_Data[[#This Row],[Closing Stock]]</f>
        <v>0</v>
      </c>
      <c r="N1627">
        <f>Inventory_Data[[#This Row],[Purchase Qty]]*Inventory_Data[[#This Row],[Unit Cost]]</f>
        <v>89539</v>
      </c>
      <c r="O1627" t="str">
        <f>IF(Inventory_Data[[#This Row],[Closing Stock]]&lt;=Inventory_Data[[#This Row],[Reorder Level]],"Low Stock","In Stock")</f>
        <v>In Stock</v>
      </c>
      <c r="P1627" t="str">
        <f>TEXT(Inventory_Data[[#This Row],[Date]],"MMM")</f>
        <v>Dec</v>
      </c>
      <c r="Q1627" t="str">
        <f>TEXT(Inventory_Data[[#This Row],[Date]],"YYYY")</f>
        <v>2025</v>
      </c>
    </row>
    <row r="1628" spans="1:17" x14ac:dyDescent="0.3">
      <c r="A1628" s="1">
        <v>46005</v>
      </c>
      <c r="B1628" t="s">
        <v>31</v>
      </c>
      <c r="C1628" t="s">
        <v>22</v>
      </c>
      <c r="D1628" t="s">
        <v>37</v>
      </c>
      <c r="E1628" t="s">
        <v>18</v>
      </c>
      <c r="F1628">
        <v>258</v>
      </c>
      <c r="G1628">
        <v>192</v>
      </c>
      <c r="H1628">
        <v>177</v>
      </c>
      <c r="I1628">
        <v>273</v>
      </c>
      <c r="J1628">
        <v>97</v>
      </c>
      <c r="K1628">
        <v>297</v>
      </c>
      <c r="L1628">
        <v>81081</v>
      </c>
      <c r="M1628">
        <f>Inventory_Data[[#This Row],[Opening Stock]]+Inventory_Data[[#This Row],[Purchase Qty]]-Inventory_Data[[#This Row],[Sales Qty]]-Inventory_Data[[#This Row],[Closing Stock]]</f>
        <v>0</v>
      </c>
      <c r="N1628">
        <f>Inventory_Data[[#This Row],[Purchase Qty]]*Inventory_Data[[#This Row],[Unit Cost]]</f>
        <v>57024</v>
      </c>
      <c r="O1628" t="str">
        <f>IF(Inventory_Data[[#This Row],[Closing Stock]]&lt;=Inventory_Data[[#This Row],[Reorder Level]],"Low Stock","In Stock")</f>
        <v>In Stock</v>
      </c>
      <c r="P1628" t="str">
        <f>TEXT(Inventory_Data[[#This Row],[Date]],"MMM")</f>
        <v>Dec</v>
      </c>
      <c r="Q1628" t="str">
        <f>TEXT(Inventory_Data[[#This Row],[Date]],"YYYY")</f>
        <v>2025</v>
      </c>
    </row>
    <row r="1629" spans="1:17" x14ac:dyDescent="0.3">
      <c r="A1629" s="1">
        <v>46005</v>
      </c>
      <c r="B1629" t="s">
        <v>12</v>
      </c>
      <c r="C1629" t="s">
        <v>13</v>
      </c>
      <c r="D1629" t="s">
        <v>37</v>
      </c>
      <c r="E1629" t="s">
        <v>18</v>
      </c>
      <c r="F1629">
        <v>116</v>
      </c>
      <c r="G1629">
        <v>26</v>
      </c>
      <c r="H1629">
        <v>17</v>
      </c>
      <c r="I1629">
        <v>125</v>
      </c>
      <c r="J1629">
        <v>29</v>
      </c>
      <c r="K1629">
        <v>7200</v>
      </c>
      <c r="L1629">
        <v>900000</v>
      </c>
      <c r="M1629">
        <f>Inventory_Data[[#This Row],[Opening Stock]]+Inventory_Data[[#This Row],[Purchase Qty]]-Inventory_Data[[#This Row],[Sales Qty]]-Inventory_Data[[#This Row],[Closing Stock]]</f>
        <v>0</v>
      </c>
      <c r="N1629">
        <f>Inventory_Data[[#This Row],[Purchase Qty]]*Inventory_Data[[#This Row],[Unit Cost]]</f>
        <v>187200</v>
      </c>
      <c r="O1629" t="str">
        <f>IF(Inventory_Data[[#This Row],[Closing Stock]]&lt;=Inventory_Data[[#This Row],[Reorder Level]],"Low Stock","In Stock")</f>
        <v>In Stock</v>
      </c>
      <c r="P1629" t="str">
        <f>TEXT(Inventory_Data[[#This Row],[Date]],"MMM")</f>
        <v>Dec</v>
      </c>
      <c r="Q1629" t="str">
        <f>TEXT(Inventory_Data[[#This Row],[Date]],"YYYY")</f>
        <v>2025</v>
      </c>
    </row>
    <row r="1630" spans="1:17" x14ac:dyDescent="0.3">
      <c r="A1630" s="1">
        <v>46005</v>
      </c>
      <c r="B1630" t="s">
        <v>32</v>
      </c>
      <c r="C1630" t="s">
        <v>28</v>
      </c>
      <c r="D1630" t="s">
        <v>37</v>
      </c>
      <c r="E1630" t="s">
        <v>24</v>
      </c>
      <c r="F1630">
        <v>109</v>
      </c>
      <c r="G1630">
        <v>95</v>
      </c>
      <c r="H1630">
        <v>74</v>
      </c>
      <c r="I1630">
        <v>130</v>
      </c>
      <c r="J1630">
        <v>33</v>
      </c>
      <c r="K1630">
        <v>15402</v>
      </c>
      <c r="L1630">
        <v>2002260</v>
      </c>
      <c r="M1630">
        <f>Inventory_Data[[#This Row],[Opening Stock]]+Inventory_Data[[#This Row],[Purchase Qty]]-Inventory_Data[[#This Row],[Sales Qty]]-Inventory_Data[[#This Row],[Closing Stock]]</f>
        <v>0</v>
      </c>
      <c r="N1630">
        <f>Inventory_Data[[#This Row],[Purchase Qty]]*Inventory_Data[[#This Row],[Unit Cost]]</f>
        <v>1463190</v>
      </c>
      <c r="O1630" t="str">
        <f>IF(Inventory_Data[[#This Row],[Closing Stock]]&lt;=Inventory_Data[[#This Row],[Reorder Level]],"Low Stock","In Stock")</f>
        <v>In Stock</v>
      </c>
      <c r="P1630" t="str">
        <f>TEXT(Inventory_Data[[#This Row],[Date]],"MMM")</f>
        <v>Dec</v>
      </c>
      <c r="Q1630" t="str">
        <f>TEXT(Inventory_Data[[#This Row],[Date]],"YYYY")</f>
        <v>2025</v>
      </c>
    </row>
    <row r="1631" spans="1:17" x14ac:dyDescent="0.3">
      <c r="A1631" s="1">
        <v>46005</v>
      </c>
      <c r="B1631" t="s">
        <v>36</v>
      </c>
      <c r="C1631" t="s">
        <v>22</v>
      </c>
      <c r="D1631" t="s">
        <v>23</v>
      </c>
      <c r="E1631" t="s">
        <v>34</v>
      </c>
      <c r="F1631">
        <v>280</v>
      </c>
      <c r="G1631">
        <v>219</v>
      </c>
      <c r="H1631">
        <v>234</v>
      </c>
      <c r="I1631">
        <v>265</v>
      </c>
      <c r="J1631">
        <v>126</v>
      </c>
      <c r="K1631">
        <v>652</v>
      </c>
      <c r="L1631">
        <v>172780</v>
      </c>
      <c r="M1631">
        <f>Inventory_Data[[#This Row],[Opening Stock]]+Inventory_Data[[#This Row],[Purchase Qty]]-Inventory_Data[[#This Row],[Sales Qty]]-Inventory_Data[[#This Row],[Closing Stock]]</f>
        <v>0</v>
      </c>
      <c r="N1631">
        <f>Inventory_Data[[#This Row],[Purchase Qty]]*Inventory_Data[[#This Row],[Unit Cost]]</f>
        <v>142788</v>
      </c>
      <c r="O1631" t="str">
        <f>IF(Inventory_Data[[#This Row],[Closing Stock]]&lt;=Inventory_Data[[#This Row],[Reorder Level]],"Low Stock","In Stock")</f>
        <v>In Stock</v>
      </c>
      <c r="P1631" t="str">
        <f>TEXT(Inventory_Data[[#This Row],[Date]],"MMM")</f>
        <v>Dec</v>
      </c>
      <c r="Q1631" t="str">
        <f>TEXT(Inventory_Data[[#This Row],[Date]],"YYYY")</f>
        <v>2025</v>
      </c>
    </row>
    <row r="1632" spans="1:17" x14ac:dyDescent="0.3">
      <c r="A1632" s="1">
        <v>46005</v>
      </c>
      <c r="B1632" t="s">
        <v>44</v>
      </c>
      <c r="C1632" t="s">
        <v>28</v>
      </c>
      <c r="D1632" t="s">
        <v>14</v>
      </c>
      <c r="E1632" t="s">
        <v>34</v>
      </c>
      <c r="F1632">
        <v>114</v>
      </c>
      <c r="G1632">
        <v>81</v>
      </c>
      <c r="H1632">
        <v>43</v>
      </c>
      <c r="I1632">
        <v>152</v>
      </c>
      <c r="J1632">
        <v>53</v>
      </c>
      <c r="K1632">
        <v>15289</v>
      </c>
      <c r="L1632">
        <v>2323928</v>
      </c>
      <c r="M1632">
        <f>Inventory_Data[[#This Row],[Opening Stock]]+Inventory_Data[[#This Row],[Purchase Qty]]-Inventory_Data[[#This Row],[Sales Qty]]-Inventory_Data[[#This Row],[Closing Stock]]</f>
        <v>0</v>
      </c>
      <c r="N1632">
        <f>Inventory_Data[[#This Row],[Purchase Qty]]*Inventory_Data[[#This Row],[Unit Cost]]</f>
        <v>1238409</v>
      </c>
      <c r="O1632" t="str">
        <f>IF(Inventory_Data[[#This Row],[Closing Stock]]&lt;=Inventory_Data[[#This Row],[Reorder Level]],"Low Stock","In Stock")</f>
        <v>In Stock</v>
      </c>
      <c r="P1632" t="str">
        <f>TEXT(Inventory_Data[[#This Row],[Date]],"MMM")</f>
        <v>Dec</v>
      </c>
      <c r="Q1632" t="str">
        <f>TEXT(Inventory_Data[[#This Row],[Date]],"YYYY")</f>
        <v>2025</v>
      </c>
    </row>
    <row r="1633" spans="1:17" x14ac:dyDescent="0.3">
      <c r="A1633" s="1">
        <v>46006</v>
      </c>
      <c r="B1633" t="s">
        <v>36</v>
      </c>
      <c r="C1633" t="s">
        <v>22</v>
      </c>
      <c r="D1633" t="s">
        <v>23</v>
      </c>
      <c r="E1633" t="s">
        <v>34</v>
      </c>
      <c r="F1633">
        <v>391</v>
      </c>
      <c r="G1633">
        <v>207</v>
      </c>
      <c r="H1633">
        <v>275</v>
      </c>
      <c r="I1633">
        <v>323</v>
      </c>
      <c r="J1633">
        <v>78</v>
      </c>
      <c r="K1633">
        <v>519</v>
      </c>
      <c r="L1633">
        <v>167637</v>
      </c>
      <c r="M1633">
        <f>Inventory_Data[[#This Row],[Opening Stock]]+Inventory_Data[[#This Row],[Purchase Qty]]-Inventory_Data[[#This Row],[Sales Qty]]-Inventory_Data[[#This Row],[Closing Stock]]</f>
        <v>0</v>
      </c>
      <c r="N1633">
        <f>Inventory_Data[[#This Row],[Purchase Qty]]*Inventory_Data[[#This Row],[Unit Cost]]</f>
        <v>107433</v>
      </c>
      <c r="O1633" t="str">
        <f>IF(Inventory_Data[[#This Row],[Closing Stock]]&lt;=Inventory_Data[[#This Row],[Reorder Level]],"Low Stock","In Stock")</f>
        <v>In Stock</v>
      </c>
      <c r="P1633" t="str">
        <f>TEXT(Inventory_Data[[#This Row],[Date]],"MMM")</f>
        <v>Dec</v>
      </c>
      <c r="Q1633" t="str">
        <f>TEXT(Inventory_Data[[#This Row],[Date]],"YYYY")</f>
        <v>2025</v>
      </c>
    </row>
    <row r="1634" spans="1:17" x14ac:dyDescent="0.3">
      <c r="A1634" s="1">
        <v>46006</v>
      </c>
      <c r="B1634" t="s">
        <v>21</v>
      </c>
      <c r="C1634" t="s">
        <v>22</v>
      </c>
      <c r="D1634" t="s">
        <v>14</v>
      </c>
      <c r="E1634" t="s">
        <v>24</v>
      </c>
      <c r="F1634">
        <v>245</v>
      </c>
      <c r="G1634">
        <v>140</v>
      </c>
      <c r="H1634">
        <v>267</v>
      </c>
      <c r="I1634">
        <v>118</v>
      </c>
      <c r="J1634">
        <v>98</v>
      </c>
      <c r="K1634">
        <v>1132</v>
      </c>
      <c r="L1634">
        <v>133576</v>
      </c>
      <c r="M1634">
        <f>Inventory_Data[[#This Row],[Opening Stock]]+Inventory_Data[[#This Row],[Purchase Qty]]-Inventory_Data[[#This Row],[Sales Qty]]-Inventory_Data[[#This Row],[Closing Stock]]</f>
        <v>0</v>
      </c>
      <c r="N1634">
        <f>Inventory_Data[[#This Row],[Purchase Qty]]*Inventory_Data[[#This Row],[Unit Cost]]</f>
        <v>158480</v>
      </c>
      <c r="O1634" t="str">
        <f>IF(Inventory_Data[[#This Row],[Closing Stock]]&lt;=Inventory_Data[[#This Row],[Reorder Level]],"Low Stock","In Stock")</f>
        <v>In Stock</v>
      </c>
      <c r="P1634" t="str">
        <f>TEXT(Inventory_Data[[#This Row],[Date]],"MMM")</f>
        <v>Dec</v>
      </c>
      <c r="Q1634" t="str">
        <f>TEXT(Inventory_Data[[#This Row],[Date]],"YYYY")</f>
        <v>2025</v>
      </c>
    </row>
    <row r="1635" spans="1:17" x14ac:dyDescent="0.3">
      <c r="A1635" s="1">
        <v>46007</v>
      </c>
      <c r="B1635" t="s">
        <v>35</v>
      </c>
      <c r="C1635" t="s">
        <v>22</v>
      </c>
      <c r="D1635" t="s">
        <v>37</v>
      </c>
      <c r="E1635" t="s">
        <v>24</v>
      </c>
      <c r="F1635">
        <v>107</v>
      </c>
      <c r="G1635">
        <v>241</v>
      </c>
      <c r="H1635">
        <v>139</v>
      </c>
      <c r="I1635">
        <v>209</v>
      </c>
      <c r="J1635">
        <v>50</v>
      </c>
      <c r="K1635">
        <v>30</v>
      </c>
      <c r="L1635">
        <v>6270</v>
      </c>
      <c r="M1635">
        <f>Inventory_Data[[#This Row],[Opening Stock]]+Inventory_Data[[#This Row],[Purchase Qty]]-Inventory_Data[[#This Row],[Sales Qty]]-Inventory_Data[[#This Row],[Closing Stock]]</f>
        <v>0</v>
      </c>
      <c r="N1635">
        <f>Inventory_Data[[#This Row],[Purchase Qty]]*Inventory_Data[[#This Row],[Unit Cost]]</f>
        <v>7230</v>
      </c>
      <c r="O1635" t="str">
        <f>IF(Inventory_Data[[#This Row],[Closing Stock]]&lt;=Inventory_Data[[#This Row],[Reorder Level]],"Low Stock","In Stock")</f>
        <v>In Stock</v>
      </c>
      <c r="P1635" t="str">
        <f>TEXT(Inventory_Data[[#This Row],[Date]],"MMM")</f>
        <v>Dec</v>
      </c>
      <c r="Q1635" t="str">
        <f>TEXT(Inventory_Data[[#This Row],[Date]],"YYYY")</f>
        <v>2025</v>
      </c>
    </row>
    <row r="1636" spans="1:17" x14ac:dyDescent="0.3">
      <c r="A1636" s="1">
        <v>46007</v>
      </c>
      <c r="B1636" t="s">
        <v>36</v>
      </c>
      <c r="C1636" t="s">
        <v>22</v>
      </c>
      <c r="D1636" t="s">
        <v>26</v>
      </c>
      <c r="E1636" t="s">
        <v>29</v>
      </c>
      <c r="F1636">
        <v>144</v>
      </c>
      <c r="G1636">
        <v>181</v>
      </c>
      <c r="H1636">
        <v>146</v>
      </c>
      <c r="I1636">
        <v>179</v>
      </c>
      <c r="J1636">
        <v>52</v>
      </c>
      <c r="K1636">
        <v>778</v>
      </c>
      <c r="L1636">
        <v>139262</v>
      </c>
      <c r="M1636">
        <f>Inventory_Data[[#This Row],[Opening Stock]]+Inventory_Data[[#This Row],[Purchase Qty]]-Inventory_Data[[#This Row],[Sales Qty]]-Inventory_Data[[#This Row],[Closing Stock]]</f>
        <v>0</v>
      </c>
      <c r="N1636">
        <f>Inventory_Data[[#This Row],[Purchase Qty]]*Inventory_Data[[#This Row],[Unit Cost]]</f>
        <v>140818</v>
      </c>
      <c r="O1636" t="str">
        <f>IF(Inventory_Data[[#This Row],[Closing Stock]]&lt;=Inventory_Data[[#This Row],[Reorder Level]],"Low Stock","In Stock")</f>
        <v>In Stock</v>
      </c>
      <c r="P1636" t="str">
        <f>TEXT(Inventory_Data[[#This Row],[Date]],"MMM")</f>
        <v>Dec</v>
      </c>
      <c r="Q1636" t="str">
        <f>TEXT(Inventory_Data[[#This Row],[Date]],"YYYY")</f>
        <v>2025</v>
      </c>
    </row>
    <row r="1637" spans="1:17" x14ac:dyDescent="0.3">
      <c r="A1637" s="1">
        <v>46007</v>
      </c>
      <c r="B1637" t="s">
        <v>27</v>
      </c>
      <c r="C1637" t="s">
        <v>28</v>
      </c>
      <c r="D1637" t="s">
        <v>26</v>
      </c>
      <c r="E1637" t="s">
        <v>18</v>
      </c>
      <c r="F1637">
        <v>26</v>
      </c>
      <c r="G1637">
        <v>104</v>
      </c>
      <c r="H1637">
        <v>78</v>
      </c>
      <c r="I1637">
        <v>52</v>
      </c>
      <c r="J1637">
        <v>32</v>
      </c>
      <c r="K1637">
        <v>30534</v>
      </c>
      <c r="L1637">
        <v>1587768</v>
      </c>
      <c r="M1637">
        <f>Inventory_Data[[#This Row],[Opening Stock]]+Inventory_Data[[#This Row],[Purchase Qty]]-Inventory_Data[[#This Row],[Sales Qty]]-Inventory_Data[[#This Row],[Closing Stock]]</f>
        <v>0</v>
      </c>
      <c r="N1637">
        <f>Inventory_Data[[#This Row],[Purchase Qty]]*Inventory_Data[[#This Row],[Unit Cost]]</f>
        <v>3175536</v>
      </c>
      <c r="O1637" t="str">
        <f>IF(Inventory_Data[[#This Row],[Closing Stock]]&lt;=Inventory_Data[[#This Row],[Reorder Level]],"Low Stock","In Stock")</f>
        <v>In Stock</v>
      </c>
      <c r="P1637" t="str">
        <f>TEXT(Inventory_Data[[#This Row],[Date]],"MMM")</f>
        <v>Dec</v>
      </c>
      <c r="Q1637" t="str">
        <f>TEXT(Inventory_Data[[#This Row],[Date]],"YYYY")</f>
        <v>2025</v>
      </c>
    </row>
    <row r="1638" spans="1:17" x14ac:dyDescent="0.3">
      <c r="A1638" s="1">
        <v>46007</v>
      </c>
      <c r="B1638" t="s">
        <v>32</v>
      </c>
      <c r="C1638" t="s">
        <v>28</v>
      </c>
      <c r="D1638" t="s">
        <v>26</v>
      </c>
      <c r="E1638" t="s">
        <v>29</v>
      </c>
      <c r="F1638">
        <v>45</v>
      </c>
      <c r="G1638">
        <v>46</v>
      </c>
      <c r="H1638">
        <v>17</v>
      </c>
      <c r="I1638">
        <v>74</v>
      </c>
      <c r="J1638">
        <v>24</v>
      </c>
      <c r="K1638">
        <v>43644</v>
      </c>
      <c r="L1638">
        <v>3229656</v>
      </c>
      <c r="M1638">
        <f>Inventory_Data[[#This Row],[Opening Stock]]+Inventory_Data[[#This Row],[Purchase Qty]]-Inventory_Data[[#This Row],[Sales Qty]]-Inventory_Data[[#This Row],[Closing Stock]]</f>
        <v>0</v>
      </c>
      <c r="N1638">
        <f>Inventory_Data[[#This Row],[Purchase Qty]]*Inventory_Data[[#This Row],[Unit Cost]]</f>
        <v>2007624</v>
      </c>
      <c r="O1638" t="str">
        <f>IF(Inventory_Data[[#This Row],[Closing Stock]]&lt;=Inventory_Data[[#This Row],[Reorder Level]],"Low Stock","In Stock")</f>
        <v>In Stock</v>
      </c>
      <c r="P1638" t="str">
        <f>TEXT(Inventory_Data[[#This Row],[Date]],"MMM")</f>
        <v>Dec</v>
      </c>
      <c r="Q1638" t="str">
        <f>TEXT(Inventory_Data[[#This Row],[Date]],"YYYY")</f>
        <v>2025</v>
      </c>
    </row>
    <row r="1639" spans="1:17" x14ac:dyDescent="0.3">
      <c r="A1639" s="1">
        <v>46007</v>
      </c>
      <c r="B1639" t="s">
        <v>39</v>
      </c>
      <c r="C1639" t="s">
        <v>28</v>
      </c>
      <c r="D1639" t="s">
        <v>26</v>
      </c>
      <c r="E1639" t="s">
        <v>18</v>
      </c>
      <c r="F1639">
        <v>103</v>
      </c>
      <c r="G1639">
        <v>30</v>
      </c>
      <c r="H1639">
        <v>97</v>
      </c>
      <c r="I1639">
        <v>36</v>
      </c>
      <c r="J1639">
        <v>44</v>
      </c>
      <c r="K1639">
        <v>35610</v>
      </c>
      <c r="L1639">
        <v>1281960</v>
      </c>
      <c r="M1639">
        <f>Inventory_Data[[#This Row],[Opening Stock]]+Inventory_Data[[#This Row],[Purchase Qty]]-Inventory_Data[[#This Row],[Sales Qty]]-Inventory_Data[[#This Row],[Closing Stock]]</f>
        <v>0</v>
      </c>
      <c r="N1639">
        <f>Inventory_Data[[#This Row],[Purchase Qty]]*Inventory_Data[[#This Row],[Unit Cost]]</f>
        <v>1068300</v>
      </c>
      <c r="O1639" t="str">
        <f>IF(Inventory_Data[[#This Row],[Closing Stock]]&lt;=Inventory_Data[[#This Row],[Reorder Level]],"Low Stock","In Stock")</f>
        <v>Low Stock</v>
      </c>
      <c r="P1639" t="str">
        <f>TEXT(Inventory_Data[[#This Row],[Date]],"MMM")</f>
        <v>Dec</v>
      </c>
      <c r="Q1639" t="str">
        <f>TEXT(Inventory_Data[[#This Row],[Date]],"YYYY")</f>
        <v>2025</v>
      </c>
    </row>
    <row r="1640" spans="1:17" x14ac:dyDescent="0.3">
      <c r="A1640" s="1">
        <v>46007</v>
      </c>
      <c r="B1640" t="s">
        <v>32</v>
      </c>
      <c r="C1640" t="s">
        <v>28</v>
      </c>
      <c r="D1640" t="s">
        <v>37</v>
      </c>
      <c r="E1640" t="s">
        <v>15</v>
      </c>
      <c r="F1640">
        <v>66</v>
      </c>
      <c r="G1640">
        <v>108</v>
      </c>
      <c r="H1640">
        <v>59</v>
      </c>
      <c r="I1640">
        <v>115</v>
      </c>
      <c r="J1640">
        <v>35</v>
      </c>
      <c r="K1640">
        <v>7879</v>
      </c>
      <c r="L1640">
        <v>906085</v>
      </c>
      <c r="M1640">
        <f>Inventory_Data[[#This Row],[Opening Stock]]+Inventory_Data[[#This Row],[Purchase Qty]]-Inventory_Data[[#This Row],[Sales Qty]]-Inventory_Data[[#This Row],[Closing Stock]]</f>
        <v>0</v>
      </c>
      <c r="N1640">
        <f>Inventory_Data[[#This Row],[Purchase Qty]]*Inventory_Data[[#This Row],[Unit Cost]]</f>
        <v>850932</v>
      </c>
      <c r="O1640" t="str">
        <f>IF(Inventory_Data[[#This Row],[Closing Stock]]&lt;=Inventory_Data[[#This Row],[Reorder Level]],"Low Stock","In Stock")</f>
        <v>In Stock</v>
      </c>
      <c r="P1640" t="str">
        <f>TEXT(Inventory_Data[[#This Row],[Date]],"MMM")</f>
        <v>Dec</v>
      </c>
      <c r="Q1640" t="str">
        <f>TEXT(Inventory_Data[[#This Row],[Date]],"YYYY")</f>
        <v>2025</v>
      </c>
    </row>
    <row r="1641" spans="1:17" x14ac:dyDescent="0.3">
      <c r="A1641" s="1">
        <v>46007</v>
      </c>
      <c r="B1641" t="s">
        <v>21</v>
      </c>
      <c r="C1641" t="s">
        <v>22</v>
      </c>
      <c r="D1641" t="s">
        <v>14</v>
      </c>
      <c r="E1641" t="s">
        <v>18</v>
      </c>
      <c r="F1641">
        <v>68</v>
      </c>
      <c r="G1641">
        <v>148</v>
      </c>
      <c r="H1641">
        <v>216</v>
      </c>
      <c r="I1641">
        <v>0</v>
      </c>
      <c r="J1641">
        <v>110</v>
      </c>
      <c r="K1641">
        <v>375</v>
      </c>
      <c r="L1641">
        <v>0</v>
      </c>
      <c r="M1641">
        <f>Inventory_Data[[#This Row],[Opening Stock]]+Inventory_Data[[#This Row],[Purchase Qty]]-Inventory_Data[[#This Row],[Sales Qty]]-Inventory_Data[[#This Row],[Closing Stock]]</f>
        <v>0</v>
      </c>
      <c r="N1641">
        <f>Inventory_Data[[#This Row],[Purchase Qty]]*Inventory_Data[[#This Row],[Unit Cost]]</f>
        <v>55500</v>
      </c>
      <c r="O1641" t="str">
        <f>IF(Inventory_Data[[#This Row],[Closing Stock]]&lt;=Inventory_Data[[#This Row],[Reorder Level]],"Low Stock","In Stock")</f>
        <v>Low Stock</v>
      </c>
      <c r="P1641" t="str">
        <f>TEXT(Inventory_Data[[#This Row],[Date]],"MMM")</f>
        <v>Dec</v>
      </c>
      <c r="Q1641" t="str">
        <f>TEXT(Inventory_Data[[#This Row],[Date]],"YYYY")</f>
        <v>2025</v>
      </c>
    </row>
    <row r="1642" spans="1:17" x14ac:dyDescent="0.3">
      <c r="A1642" s="1">
        <v>46008</v>
      </c>
      <c r="B1642" t="s">
        <v>39</v>
      </c>
      <c r="C1642" t="s">
        <v>28</v>
      </c>
      <c r="D1642" t="s">
        <v>37</v>
      </c>
      <c r="E1642" t="s">
        <v>20</v>
      </c>
      <c r="F1642">
        <v>97</v>
      </c>
      <c r="G1642">
        <v>63</v>
      </c>
      <c r="H1642">
        <v>51</v>
      </c>
      <c r="I1642">
        <v>109</v>
      </c>
      <c r="J1642">
        <v>48</v>
      </c>
      <c r="K1642">
        <v>39981</v>
      </c>
      <c r="L1642">
        <v>4357929</v>
      </c>
      <c r="M1642">
        <f>Inventory_Data[[#This Row],[Opening Stock]]+Inventory_Data[[#This Row],[Purchase Qty]]-Inventory_Data[[#This Row],[Sales Qty]]-Inventory_Data[[#This Row],[Closing Stock]]</f>
        <v>0</v>
      </c>
      <c r="N1642">
        <f>Inventory_Data[[#This Row],[Purchase Qty]]*Inventory_Data[[#This Row],[Unit Cost]]</f>
        <v>2518803</v>
      </c>
      <c r="O1642" t="str">
        <f>IF(Inventory_Data[[#This Row],[Closing Stock]]&lt;=Inventory_Data[[#This Row],[Reorder Level]],"Low Stock","In Stock")</f>
        <v>In Stock</v>
      </c>
      <c r="P1642" t="str">
        <f>TEXT(Inventory_Data[[#This Row],[Date]],"MMM")</f>
        <v>Dec</v>
      </c>
      <c r="Q1642" t="str">
        <f>TEXT(Inventory_Data[[#This Row],[Date]],"YYYY")</f>
        <v>2025</v>
      </c>
    </row>
    <row r="1643" spans="1:17" x14ac:dyDescent="0.3">
      <c r="A1643" s="1">
        <v>46008</v>
      </c>
      <c r="B1643" t="s">
        <v>19</v>
      </c>
      <c r="C1643" t="s">
        <v>13</v>
      </c>
      <c r="D1643" t="s">
        <v>23</v>
      </c>
      <c r="E1643" t="s">
        <v>24</v>
      </c>
      <c r="F1643">
        <v>72</v>
      </c>
      <c r="G1643">
        <v>35</v>
      </c>
      <c r="H1643">
        <v>40</v>
      </c>
      <c r="I1643">
        <v>67</v>
      </c>
      <c r="J1643">
        <v>27</v>
      </c>
      <c r="K1643">
        <v>1681</v>
      </c>
      <c r="L1643">
        <v>112627</v>
      </c>
      <c r="M1643">
        <f>Inventory_Data[[#This Row],[Opening Stock]]+Inventory_Data[[#This Row],[Purchase Qty]]-Inventory_Data[[#This Row],[Sales Qty]]-Inventory_Data[[#This Row],[Closing Stock]]</f>
        <v>0</v>
      </c>
      <c r="N1643">
        <f>Inventory_Data[[#This Row],[Purchase Qty]]*Inventory_Data[[#This Row],[Unit Cost]]</f>
        <v>58835</v>
      </c>
      <c r="O1643" t="str">
        <f>IF(Inventory_Data[[#This Row],[Closing Stock]]&lt;=Inventory_Data[[#This Row],[Reorder Level]],"Low Stock","In Stock")</f>
        <v>In Stock</v>
      </c>
      <c r="P1643" t="str">
        <f>TEXT(Inventory_Data[[#This Row],[Date]],"MMM")</f>
        <v>Dec</v>
      </c>
      <c r="Q1643" t="str">
        <f>TEXT(Inventory_Data[[#This Row],[Date]],"YYYY")</f>
        <v>2025</v>
      </c>
    </row>
    <row r="1644" spans="1:17" x14ac:dyDescent="0.3">
      <c r="A1644" s="1">
        <v>46008</v>
      </c>
      <c r="B1644" t="s">
        <v>25</v>
      </c>
      <c r="C1644" t="s">
        <v>17</v>
      </c>
      <c r="D1644" t="s">
        <v>37</v>
      </c>
      <c r="E1644" t="s">
        <v>20</v>
      </c>
      <c r="F1644">
        <v>24</v>
      </c>
      <c r="G1644">
        <v>20</v>
      </c>
      <c r="H1644">
        <v>14</v>
      </c>
      <c r="I1644">
        <v>30</v>
      </c>
      <c r="J1644">
        <v>29</v>
      </c>
      <c r="K1644">
        <v>4350</v>
      </c>
      <c r="L1644">
        <v>130500</v>
      </c>
      <c r="M1644">
        <f>Inventory_Data[[#This Row],[Opening Stock]]+Inventory_Data[[#This Row],[Purchase Qty]]-Inventory_Data[[#This Row],[Sales Qty]]-Inventory_Data[[#This Row],[Closing Stock]]</f>
        <v>0</v>
      </c>
      <c r="N1644">
        <f>Inventory_Data[[#This Row],[Purchase Qty]]*Inventory_Data[[#This Row],[Unit Cost]]</f>
        <v>87000</v>
      </c>
      <c r="O1644" t="str">
        <f>IF(Inventory_Data[[#This Row],[Closing Stock]]&lt;=Inventory_Data[[#This Row],[Reorder Level]],"Low Stock","In Stock")</f>
        <v>In Stock</v>
      </c>
      <c r="P1644" t="str">
        <f>TEXT(Inventory_Data[[#This Row],[Date]],"MMM")</f>
        <v>Dec</v>
      </c>
      <c r="Q1644" t="str">
        <f>TEXT(Inventory_Data[[#This Row],[Date]],"YYYY")</f>
        <v>2025</v>
      </c>
    </row>
    <row r="1645" spans="1:17" x14ac:dyDescent="0.3">
      <c r="A1645" s="1">
        <v>46008</v>
      </c>
      <c r="B1645" t="s">
        <v>38</v>
      </c>
      <c r="C1645" t="s">
        <v>17</v>
      </c>
      <c r="D1645" t="s">
        <v>23</v>
      </c>
      <c r="E1645" t="s">
        <v>34</v>
      </c>
      <c r="F1645">
        <v>15</v>
      </c>
      <c r="G1645">
        <v>6</v>
      </c>
      <c r="H1645">
        <v>14</v>
      </c>
      <c r="I1645">
        <v>7</v>
      </c>
      <c r="J1645">
        <v>20</v>
      </c>
      <c r="K1645">
        <v>5519</v>
      </c>
      <c r="L1645">
        <v>38633</v>
      </c>
      <c r="M1645">
        <f>Inventory_Data[[#This Row],[Opening Stock]]+Inventory_Data[[#This Row],[Purchase Qty]]-Inventory_Data[[#This Row],[Sales Qty]]-Inventory_Data[[#This Row],[Closing Stock]]</f>
        <v>0</v>
      </c>
      <c r="N1645">
        <f>Inventory_Data[[#This Row],[Purchase Qty]]*Inventory_Data[[#This Row],[Unit Cost]]</f>
        <v>33114</v>
      </c>
      <c r="O1645" t="str">
        <f>IF(Inventory_Data[[#This Row],[Closing Stock]]&lt;=Inventory_Data[[#This Row],[Reorder Level]],"Low Stock","In Stock")</f>
        <v>Low Stock</v>
      </c>
      <c r="P1645" t="str">
        <f>TEXT(Inventory_Data[[#This Row],[Date]],"MMM")</f>
        <v>Dec</v>
      </c>
      <c r="Q1645" t="str">
        <f>TEXT(Inventory_Data[[#This Row],[Date]],"YYYY")</f>
        <v>2025</v>
      </c>
    </row>
    <row r="1646" spans="1:17" x14ac:dyDescent="0.3">
      <c r="A1646" s="1">
        <v>46009</v>
      </c>
      <c r="B1646" t="s">
        <v>41</v>
      </c>
      <c r="C1646" t="s">
        <v>22</v>
      </c>
      <c r="D1646" t="s">
        <v>37</v>
      </c>
      <c r="E1646" t="s">
        <v>34</v>
      </c>
      <c r="F1646">
        <v>382</v>
      </c>
      <c r="G1646">
        <v>139</v>
      </c>
      <c r="H1646">
        <v>78</v>
      </c>
      <c r="I1646">
        <v>443</v>
      </c>
      <c r="J1646">
        <v>93</v>
      </c>
      <c r="K1646">
        <v>77</v>
      </c>
      <c r="L1646">
        <v>34111</v>
      </c>
      <c r="M1646">
        <f>Inventory_Data[[#This Row],[Opening Stock]]+Inventory_Data[[#This Row],[Purchase Qty]]-Inventory_Data[[#This Row],[Sales Qty]]-Inventory_Data[[#This Row],[Closing Stock]]</f>
        <v>0</v>
      </c>
      <c r="N1646">
        <f>Inventory_Data[[#This Row],[Purchase Qty]]*Inventory_Data[[#This Row],[Unit Cost]]</f>
        <v>10703</v>
      </c>
      <c r="O1646" t="str">
        <f>IF(Inventory_Data[[#This Row],[Closing Stock]]&lt;=Inventory_Data[[#This Row],[Reorder Level]],"Low Stock","In Stock")</f>
        <v>In Stock</v>
      </c>
      <c r="P1646" t="str">
        <f>TEXT(Inventory_Data[[#This Row],[Date]],"MMM")</f>
        <v>Dec</v>
      </c>
      <c r="Q1646" t="str">
        <f>TEXT(Inventory_Data[[#This Row],[Date]],"YYYY")</f>
        <v>2025</v>
      </c>
    </row>
    <row r="1647" spans="1:17" x14ac:dyDescent="0.3">
      <c r="A1647" s="1">
        <v>46009</v>
      </c>
      <c r="B1647" t="s">
        <v>21</v>
      </c>
      <c r="C1647" t="s">
        <v>22</v>
      </c>
      <c r="D1647" t="s">
        <v>26</v>
      </c>
      <c r="E1647" t="s">
        <v>29</v>
      </c>
      <c r="F1647">
        <v>143</v>
      </c>
      <c r="G1647">
        <v>68</v>
      </c>
      <c r="H1647">
        <v>90</v>
      </c>
      <c r="I1647">
        <v>121</v>
      </c>
      <c r="J1647">
        <v>133</v>
      </c>
      <c r="K1647">
        <v>206</v>
      </c>
      <c r="L1647">
        <v>24926</v>
      </c>
      <c r="M1647">
        <f>Inventory_Data[[#This Row],[Opening Stock]]+Inventory_Data[[#This Row],[Purchase Qty]]-Inventory_Data[[#This Row],[Sales Qty]]-Inventory_Data[[#This Row],[Closing Stock]]</f>
        <v>0</v>
      </c>
      <c r="N1647">
        <f>Inventory_Data[[#This Row],[Purchase Qty]]*Inventory_Data[[#This Row],[Unit Cost]]</f>
        <v>14008</v>
      </c>
      <c r="O1647" t="str">
        <f>IF(Inventory_Data[[#This Row],[Closing Stock]]&lt;=Inventory_Data[[#This Row],[Reorder Level]],"Low Stock","In Stock")</f>
        <v>Low Stock</v>
      </c>
      <c r="P1647" t="str">
        <f>TEXT(Inventory_Data[[#This Row],[Date]],"MMM")</f>
        <v>Dec</v>
      </c>
      <c r="Q1647" t="str">
        <f>TEXT(Inventory_Data[[#This Row],[Date]],"YYYY")</f>
        <v>2025</v>
      </c>
    </row>
    <row r="1648" spans="1:17" x14ac:dyDescent="0.3">
      <c r="A1648" s="1">
        <v>46009</v>
      </c>
      <c r="B1648" t="s">
        <v>21</v>
      </c>
      <c r="C1648" t="s">
        <v>22</v>
      </c>
      <c r="D1648" t="s">
        <v>26</v>
      </c>
      <c r="E1648" t="s">
        <v>15</v>
      </c>
      <c r="F1648">
        <v>463</v>
      </c>
      <c r="G1648">
        <v>67</v>
      </c>
      <c r="H1648">
        <v>106</v>
      </c>
      <c r="I1648">
        <v>424</v>
      </c>
      <c r="J1648">
        <v>72</v>
      </c>
      <c r="K1648">
        <v>127</v>
      </c>
      <c r="L1648">
        <v>53848</v>
      </c>
      <c r="M1648">
        <f>Inventory_Data[[#This Row],[Opening Stock]]+Inventory_Data[[#This Row],[Purchase Qty]]-Inventory_Data[[#This Row],[Sales Qty]]-Inventory_Data[[#This Row],[Closing Stock]]</f>
        <v>0</v>
      </c>
      <c r="N1648">
        <f>Inventory_Data[[#This Row],[Purchase Qty]]*Inventory_Data[[#This Row],[Unit Cost]]</f>
        <v>8509</v>
      </c>
      <c r="O1648" t="str">
        <f>IF(Inventory_Data[[#This Row],[Closing Stock]]&lt;=Inventory_Data[[#This Row],[Reorder Level]],"Low Stock","In Stock")</f>
        <v>In Stock</v>
      </c>
      <c r="P1648" t="str">
        <f>TEXT(Inventory_Data[[#This Row],[Date]],"MMM")</f>
        <v>Dec</v>
      </c>
      <c r="Q1648" t="str">
        <f>TEXT(Inventory_Data[[#This Row],[Date]],"YYYY")</f>
        <v>2025</v>
      </c>
    </row>
    <row r="1649" spans="1:17" x14ac:dyDescent="0.3">
      <c r="A1649" s="1">
        <v>46010</v>
      </c>
      <c r="B1649" t="s">
        <v>36</v>
      </c>
      <c r="C1649" t="s">
        <v>22</v>
      </c>
      <c r="D1649" t="s">
        <v>14</v>
      </c>
      <c r="E1649" t="s">
        <v>20</v>
      </c>
      <c r="F1649">
        <v>233</v>
      </c>
      <c r="G1649">
        <v>32</v>
      </c>
      <c r="H1649">
        <v>200</v>
      </c>
      <c r="I1649">
        <v>65</v>
      </c>
      <c r="J1649">
        <v>72</v>
      </c>
      <c r="K1649">
        <v>38</v>
      </c>
      <c r="L1649">
        <v>2470</v>
      </c>
      <c r="M1649">
        <f>Inventory_Data[[#This Row],[Opening Stock]]+Inventory_Data[[#This Row],[Purchase Qty]]-Inventory_Data[[#This Row],[Sales Qty]]-Inventory_Data[[#This Row],[Closing Stock]]</f>
        <v>0</v>
      </c>
      <c r="N1649">
        <f>Inventory_Data[[#This Row],[Purchase Qty]]*Inventory_Data[[#This Row],[Unit Cost]]</f>
        <v>1216</v>
      </c>
      <c r="O1649" t="str">
        <f>IF(Inventory_Data[[#This Row],[Closing Stock]]&lt;=Inventory_Data[[#This Row],[Reorder Level]],"Low Stock","In Stock")</f>
        <v>Low Stock</v>
      </c>
      <c r="P1649" t="str">
        <f>TEXT(Inventory_Data[[#This Row],[Date]],"MMM")</f>
        <v>Dec</v>
      </c>
      <c r="Q1649" t="str">
        <f>TEXT(Inventory_Data[[#This Row],[Date]],"YYYY")</f>
        <v>2025</v>
      </c>
    </row>
    <row r="1650" spans="1:17" x14ac:dyDescent="0.3">
      <c r="A1650" s="1">
        <v>46010</v>
      </c>
      <c r="B1650" t="s">
        <v>19</v>
      </c>
      <c r="C1650" t="s">
        <v>13</v>
      </c>
      <c r="D1650" t="s">
        <v>37</v>
      </c>
      <c r="E1650" t="s">
        <v>34</v>
      </c>
      <c r="F1650">
        <v>21</v>
      </c>
      <c r="G1650">
        <v>5</v>
      </c>
      <c r="H1650">
        <v>26</v>
      </c>
      <c r="I1650">
        <v>0</v>
      </c>
      <c r="J1650">
        <v>21</v>
      </c>
      <c r="K1650">
        <v>9117</v>
      </c>
      <c r="L1650">
        <v>0</v>
      </c>
      <c r="M1650">
        <f>Inventory_Data[[#This Row],[Opening Stock]]+Inventory_Data[[#This Row],[Purchase Qty]]-Inventory_Data[[#This Row],[Sales Qty]]-Inventory_Data[[#This Row],[Closing Stock]]</f>
        <v>0</v>
      </c>
      <c r="N1650">
        <f>Inventory_Data[[#This Row],[Purchase Qty]]*Inventory_Data[[#This Row],[Unit Cost]]</f>
        <v>45585</v>
      </c>
      <c r="O1650" t="str">
        <f>IF(Inventory_Data[[#This Row],[Closing Stock]]&lt;=Inventory_Data[[#This Row],[Reorder Level]],"Low Stock","In Stock")</f>
        <v>Low Stock</v>
      </c>
      <c r="P1650" t="str">
        <f>TEXT(Inventory_Data[[#This Row],[Date]],"MMM")</f>
        <v>Dec</v>
      </c>
      <c r="Q1650" t="str">
        <f>TEXT(Inventory_Data[[#This Row],[Date]],"YYYY")</f>
        <v>2025</v>
      </c>
    </row>
    <row r="1651" spans="1:17" x14ac:dyDescent="0.3">
      <c r="A1651" s="1">
        <v>46010</v>
      </c>
      <c r="B1651" t="s">
        <v>27</v>
      </c>
      <c r="C1651" t="s">
        <v>28</v>
      </c>
      <c r="D1651" t="s">
        <v>23</v>
      </c>
      <c r="E1651" t="s">
        <v>20</v>
      </c>
      <c r="F1651">
        <v>150</v>
      </c>
      <c r="G1651">
        <v>82</v>
      </c>
      <c r="H1651">
        <v>12</v>
      </c>
      <c r="I1651">
        <v>220</v>
      </c>
      <c r="J1651">
        <v>25</v>
      </c>
      <c r="K1651">
        <v>55424</v>
      </c>
      <c r="L1651">
        <v>12193280</v>
      </c>
      <c r="M1651">
        <f>Inventory_Data[[#This Row],[Opening Stock]]+Inventory_Data[[#This Row],[Purchase Qty]]-Inventory_Data[[#This Row],[Sales Qty]]-Inventory_Data[[#This Row],[Closing Stock]]</f>
        <v>0</v>
      </c>
      <c r="N1651">
        <f>Inventory_Data[[#This Row],[Purchase Qty]]*Inventory_Data[[#This Row],[Unit Cost]]</f>
        <v>4544768</v>
      </c>
      <c r="O1651" t="str">
        <f>IF(Inventory_Data[[#This Row],[Closing Stock]]&lt;=Inventory_Data[[#This Row],[Reorder Level]],"Low Stock","In Stock")</f>
        <v>In Stock</v>
      </c>
      <c r="P1651" t="str">
        <f>TEXT(Inventory_Data[[#This Row],[Date]],"MMM")</f>
        <v>Dec</v>
      </c>
      <c r="Q1651" t="str">
        <f>TEXT(Inventory_Data[[#This Row],[Date]],"YYYY")</f>
        <v>2025</v>
      </c>
    </row>
    <row r="1652" spans="1:17" x14ac:dyDescent="0.3">
      <c r="A1652" s="1">
        <v>46011</v>
      </c>
      <c r="B1652" t="s">
        <v>30</v>
      </c>
      <c r="C1652" t="s">
        <v>28</v>
      </c>
      <c r="D1652" t="s">
        <v>14</v>
      </c>
      <c r="E1652" t="s">
        <v>24</v>
      </c>
      <c r="F1652">
        <v>115</v>
      </c>
      <c r="G1652">
        <v>58</v>
      </c>
      <c r="H1652">
        <v>84</v>
      </c>
      <c r="I1652">
        <v>89</v>
      </c>
      <c r="J1652">
        <v>37</v>
      </c>
      <c r="K1652">
        <v>15491</v>
      </c>
      <c r="L1652">
        <v>1378699</v>
      </c>
      <c r="M1652">
        <f>Inventory_Data[[#This Row],[Opening Stock]]+Inventory_Data[[#This Row],[Purchase Qty]]-Inventory_Data[[#This Row],[Sales Qty]]-Inventory_Data[[#This Row],[Closing Stock]]</f>
        <v>0</v>
      </c>
      <c r="N1652">
        <f>Inventory_Data[[#This Row],[Purchase Qty]]*Inventory_Data[[#This Row],[Unit Cost]]</f>
        <v>898478</v>
      </c>
      <c r="O1652" t="str">
        <f>IF(Inventory_Data[[#This Row],[Closing Stock]]&lt;=Inventory_Data[[#This Row],[Reorder Level]],"Low Stock","In Stock")</f>
        <v>In Stock</v>
      </c>
      <c r="P1652" t="str">
        <f>TEXT(Inventory_Data[[#This Row],[Date]],"MMM")</f>
        <v>Dec</v>
      </c>
      <c r="Q1652" t="str">
        <f>TEXT(Inventory_Data[[#This Row],[Date]],"YYYY")</f>
        <v>2025</v>
      </c>
    </row>
    <row r="1653" spans="1:17" x14ac:dyDescent="0.3">
      <c r="A1653" s="1">
        <v>46011</v>
      </c>
      <c r="B1653" t="s">
        <v>45</v>
      </c>
      <c r="C1653" t="s">
        <v>13</v>
      </c>
      <c r="D1653" t="s">
        <v>37</v>
      </c>
      <c r="E1653" t="s">
        <v>24</v>
      </c>
      <c r="F1653">
        <v>77</v>
      </c>
      <c r="G1653">
        <v>23</v>
      </c>
      <c r="H1653">
        <v>51</v>
      </c>
      <c r="I1653">
        <v>49</v>
      </c>
      <c r="J1653">
        <v>35</v>
      </c>
      <c r="K1653">
        <v>4979</v>
      </c>
      <c r="L1653">
        <v>243971</v>
      </c>
      <c r="M1653">
        <f>Inventory_Data[[#This Row],[Opening Stock]]+Inventory_Data[[#This Row],[Purchase Qty]]-Inventory_Data[[#This Row],[Sales Qty]]-Inventory_Data[[#This Row],[Closing Stock]]</f>
        <v>0</v>
      </c>
      <c r="N1653">
        <f>Inventory_Data[[#This Row],[Purchase Qty]]*Inventory_Data[[#This Row],[Unit Cost]]</f>
        <v>114517</v>
      </c>
      <c r="O1653" t="str">
        <f>IF(Inventory_Data[[#This Row],[Closing Stock]]&lt;=Inventory_Data[[#This Row],[Reorder Level]],"Low Stock","In Stock")</f>
        <v>In Stock</v>
      </c>
      <c r="P1653" t="str">
        <f>TEXT(Inventory_Data[[#This Row],[Date]],"MMM")</f>
        <v>Dec</v>
      </c>
      <c r="Q1653" t="str">
        <f>TEXT(Inventory_Data[[#This Row],[Date]],"YYYY")</f>
        <v>2025</v>
      </c>
    </row>
    <row r="1654" spans="1:17" x14ac:dyDescent="0.3">
      <c r="A1654" s="1">
        <v>46011</v>
      </c>
      <c r="B1654" t="s">
        <v>32</v>
      </c>
      <c r="C1654" t="s">
        <v>28</v>
      </c>
      <c r="D1654" t="s">
        <v>14</v>
      </c>
      <c r="E1654" t="s">
        <v>18</v>
      </c>
      <c r="F1654">
        <v>49</v>
      </c>
      <c r="G1654">
        <v>81</v>
      </c>
      <c r="H1654">
        <v>67</v>
      </c>
      <c r="I1654">
        <v>63</v>
      </c>
      <c r="J1654">
        <v>45</v>
      </c>
      <c r="K1654">
        <v>5582</v>
      </c>
      <c r="L1654">
        <v>351666</v>
      </c>
      <c r="M1654">
        <f>Inventory_Data[[#This Row],[Opening Stock]]+Inventory_Data[[#This Row],[Purchase Qty]]-Inventory_Data[[#This Row],[Sales Qty]]-Inventory_Data[[#This Row],[Closing Stock]]</f>
        <v>0</v>
      </c>
      <c r="N1654">
        <f>Inventory_Data[[#This Row],[Purchase Qty]]*Inventory_Data[[#This Row],[Unit Cost]]</f>
        <v>452142</v>
      </c>
      <c r="O1654" t="str">
        <f>IF(Inventory_Data[[#This Row],[Closing Stock]]&lt;=Inventory_Data[[#This Row],[Reorder Level]],"Low Stock","In Stock")</f>
        <v>In Stock</v>
      </c>
      <c r="P1654" t="str">
        <f>TEXT(Inventory_Data[[#This Row],[Date]],"MMM")</f>
        <v>Dec</v>
      </c>
      <c r="Q1654" t="str">
        <f>TEXT(Inventory_Data[[#This Row],[Date]],"YYYY")</f>
        <v>2025</v>
      </c>
    </row>
    <row r="1655" spans="1:17" x14ac:dyDescent="0.3">
      <c r="A1655" s="1">
        <v>46011</v>
      </c>
      <c r="B1655" t="s">
        <v>45</v>
      </c>
      <c r="C1655" t="s">
        <v>13</v>
      </c>
      <c r="D1655" t="s">
        <v>37</v>
      </c>
      <c r="E1655" t="s">
        <v>34</v>
      </c>
      <c r="F1655">
        <v>46</v>
      </c>
      <c r="G1655">
        <v>55</v>
      </c>
      <c r="H1655">
        <v>60</v>
      </c>
      <c r="I1655">
        <v>41</v>
      </c>
      <c r="J1655">
        <v>28</v>
      </c>
      <c r="K1655">
        <v>1040</v>
      </c>
      <c r="L1655">
        <v>42640</v>
      </c>
      <c r="M1655">
        <f>Inventory_Data[[#This Row],[Opening Stock]]+Inventory_Data[[#This Row],[Purchase Qty]]-Inventory_Data[[#This Row],[Sales Qty]]-Inventory_Data[[#This Row],[Closing Stock]]</f>
        <v>0</v>
      </c>
      <c r="N1655">
        <f>Inventory_Data[[#This Row],[Purchase Qty]]*Inventory_Data[[#This Row],[Unit Cost]]</f>
        <v>57200</v>
      </c>
      <c r="O1655" t="str">
        <f>IF(Inventory_Data[[#This Row],[Closing Stock]]&lt;=Inventory_Data[[#This Row],[Reorder Level]],"Low Stock","In Stock")</f>
        <v>In Stock</v>
      </c>
      <c r="P1655" t="str">
        <f>TEXT(Inventory_Data[[#This Row],[Date]],"MMM")</f>
        <v>Dec</v>
      </c>
      <c r="Q1655" t="str">
        <f>TEXT(Inventory_Data[[#This Row],[Date]],"YYYY")</f>
        <v>2025</v>
      </c>
    </row>
    <row r="1656" spans="1:17" x14ac:dyDescent="0.3">
      <c r="A1656" s="1">
        <v>46011</v>
      </c>
      <c r="B1656" t="s">
        <v>27</v>
      </c>
      <c r="C1656" t="s">
        <v>28</v>
      </c>
      <c r="D1656" t="s">
        <v>14</v>
      </c>
      <c r="E1656" t="s">
        <v>20</v>
      </c>
      <c r="F1656">
        <v>75</v>
      </c>
      <c r="G1656">
        <v>109</v>
      </c>
      <c r="H1656">
        <v>21</v>
      </c>
      <c r="I1656">
        <v>163</v>
      </c>
      <c r="J1656">
        <v>42</v>
      </c>
      <c r="K1656">
        <v>57129</v>
      </c>
      <c r="L1656">
        <v>9312027</v>
      </c>
      <c r="M1656">
        <f>Inventory_Data[[#This Row],[Opening Stock]]+Inventory_Data[[#This Row],[Purchase Qty]]-Inventory_Data[[#This Row],[Sales Qty]]-Inventory_Data[[#This Row],[Closing Stock]]</f>
        <v>0</v>
      </c>
      <c r="N1656">
        <f>Inventory_Data[[#This Row],[Purchase Qty]]*Inventory_Data[[#This Row],[Unit Cost]]</f>
        <v>6227061</v>
      </c>
      <c r="O1656" t="str">
        <f>IF(Inventory_Data[[#This Row],[Closing Stock]]&lt;=Inventory_Data[[#This Row],[Reorder Level]],"Low Stock","In Stock")</f>
        <v>In Stock</v>
      </c>
      <c r="P1656" t="str">
        <f>TEXT(Inventory_Data[[#This Row],[Date]],"MMM")</f>
        <v>Dec</v>
      </c>
      <c r="Q1656" t="str">
        <f>TEXT(Inventory_Data[[#This Row],[Date]],"YYYY")</f>
        <v>2025</v>
      </c>
    </row>
    <row r="1657" spans="1:17" x14ac:dyDescent="0.3">
      <c r="A1657" s="1">
        <v>46012</v>
      </c>
      <c r="B1657" t="s">
        <v>36</v>
      </c>
      <c r="C1657" t="s">
        <v>22</v>
      </c>
      <c r="D1657" t="s">
        <v>14</v>
      </c>
      <c r="E1657" t="s">
        <v>34</v>
      </c>
      <c r="F1657">
        <v>249</v>
      </c>
      <c r="G1657">
        <v>147</v>
      </c>
      <c r="H1657">
        <v>272</v>
      </c>
      <c r="I1657">
        <v>124</v>
      </c>
      <c r="J1657">
        <v>95</v>
      </c>
      <c r="K1657">
        <v>1089</v>
      </c>
      <c r="L1657">
        <v>135036</v>
      </c>
      <c r="M1657">
        <f>Inventory_Data[[#This Row],[Opening Stock]]+Inventory_Data[[#This Row],[Purchase Qty]]-Inventory_Data[[#This Row],[Sales Qty]]-Inventory_Data[[#This Row],[Closing Stock]]</f>
        <v>0</v>
      </c>
      <c r="N1657">
        <f>Inventory_Data[[#This Row],[Purchase Qty]]*Inventory_Data[[#This Row],[Unit Cost]]</f>
        <v>160083</v>
      </c>
      <c r="O1657" t="str">
        <f>IF(Inventory_Data[[#This Row],[Closing Stock]]&lt;=Inventory_Data[[#This Row],[Reorder Level]],"Low Stock","In Stock")</f>
        <v>In Stock</v>
      </c>
      <c r="P1657" t="str">
        <f>TEXT(Inventory_Data[[#This Row],[Date]],"MMM")</f>
        <v>Dec</v>
      </c>
      <c r="Q1657" t="str">
        <f>TEXT(Inventory_Data[[#This Row],[Date]],"YYYY")</f>
        <v>2025</v>
      </c>
    </row>
    <row r="1658" spans="1:17" x14ac:dyDescent="0.3">
      <c r="A1658" s="1">
        <v>46012</v>
      </c>
      <c r="B1658" t="s">
        <v>16</v>
      </c>
      <c r="C1658" t="s">
        <v>17</v>
      </c>
      <c r="D1658" t="s">
        <v>37</v>
      </c>
      <c r="E1658" t="s">
        <v>29</v>
      </c>
      <c r="F1658">
        <v>81</v>
      </c>
      <c r="G1658">
        <v>54</v>
      </c>
      <c r="H1658">
        <v>44</v>
      </c>
      <c r="I1658">
        <v>91</v>
      </c>
      <c r="J1658">
        <v>28</v>
      </c>
      <c r="K1658">
        <v>20221</v>
      </c>
      <c r="L1658">
        <v>1840111</v>
      </c>
      <c r="M1658">
        <f>Inventory_Data[[#This Row],[Opening Stock]]+Inventory_Data[[#This Row],[Purchase Qty]]-Inventory_Data[[#This Row],[Sales Qty]]-Inventory_Data[[#This Row],[Closing Stock]]</f>
        <v>0</v>
      </c>
      <c r="N1658">
        <f>Inventory_Data[[#This Row],[Purchase Qty]]*Inventory_Data[[#This Row],[Unit Cost]]</f>
        <v>1091934</v>
      </c>
      <c r="O1658" t="str">
        <f>IF(Inventory_Data[[#This Row],[Closing Stock]]&lt;=Inventory_Data[[#This Row],[Reorder Level]],"Low Stock","In Stock")</f>
        <v>In Stock</v>
      </c>
      <c r="P1658" t="str">
        <f>TEXT(Inventory_Data[[#This Row],[Date]],"MMM")</f>
        <v>Dec</v>
      </c>
      <c r="Q1658" t="str">
        <f>TEXT(Inventory_Data[[#This Row],[Date]],"YYYY")</f>
        <v>2025</v>
      </c>
    </row>
    <row r="1659" spans="1:17" x14ac:dyDescent="0.3">
      <c r="A1659" s="1">
        <v>46012</v>
      </c>
      <c r="B1659" t="s">
        <v>42</v>
      </c>
      <c r="C1659" t="s">
        <v>17</v>
      </c>
      <c r="D1659" t="s">
        <v>37</v>
      </c>
      <c r="E1659" t="s">
        <v>18</v>
      </c>
      <c r="F1659">
        <v>28</v>
      </c>
      <c r="G1659">
        <v>45</v>
      </c>
      <c r="H1659">
        <v>32</v>
      </c>
      <c r="I1659">
        <v>41</v>
      </c>
      <c r="J1659">
        <v>27</v>
      </c>
      <c r="K1659">
        <v>7122</v>
      </c>
      <c r="L1659">
        <v>292002</v>
      </c>
      <c r="M1659">
        <f>Inventory_Data[[#This Row],[Opening Stock]]+Inventory_Data[[#This Row],[Purchase Qty]]-Inventory_Data[[#This Row],[Sales Qty]]-Inventory_Data[[#This Row],[Closing Stock]]</f>
        <v>0</v>
      </c>
      <c r="N1659">
        <f>Inventory_Data[[#This Row],[Purchase Qty]]*Inventory_Data[[#This Row],[Unit Cost]]</f>
        <v>320490</v>
      </c>
      <c r="O1659" t="str">
        <f>IF(Inventory_Data[[#This Row],[Closing Stock]]&lt;=Inventory_Data[[#This Row],[Reorder Level]],"Low Stock","In Stock")</f>
        <v>In Stock</v>
      </c>
      <c r="P1659" t="str">
        <f>TEXT(Inventory_Data[[#This Row],[Date]],"MMM")</f>
        <v>Dec</v>
      </c>
      <c r="Q1659" t="str">
        <f>TEXT(Inventory_Data[[#This Row],[Date]],"YYYY")</f>
        <v>2025</v>
      </c>
    </row>
    <row r="1660" spans="1:17" x14ac:dyDescent="0.3">
      <c r="A1660" s="1">
        <v>46012</v>
      </c>
      <c r="B1660" t="s">
        <v>38</v>
      </c>
      <c r="C1660" t="s">
        <v>17</v>
      </c>
      <c r="D1660" t="s">
        <v>26</v>
      </c>
      <c r="E1660" t="s">
        <v>24</v>
      </c>
      <c r="F1660">
        <v>86</v>
      </c>
      <c r="G1660">
        <v>34</v>
      </c>
      <c r="H1660">
        <v>35</v>
      </c>
      <c r="I1660">
        <v>85</v>
      </c>
      <c r="J1660">
        <v>12</v>
      </c>
      <c r="K1660">
        <v>13695</v>
      </c>
      <c r="L1660">
        <v>1164075</v>
      </c>
      <c r="M1660">
        <f>Inventory_Data[[#This Row],[Opening Stock]]+Inventory_Data[[#This Row],[Purchase Qty]]-Inventory_Data[[#This Row],[Sales Qty]]-Inventory_Data[[#This Row],[Closing Stock]]</f>
        <v>0</v>
      </c>
      <c r="N1660">
        <f>Inventory_Data[[#This Row],[Purchase Qty]]*Inventory_Data[[#This Row],[Unit Cost]]</f>
        <v>465630</v>
      </c>
      <c r="O1660" t="str">
        <f>IF(Inventory_Data[[#This Row],[Closing Stock]]&lt;=Inventory_Data[[#This Row],[Reorder Level]],"Low Stock","In Stock")</f>
        <v>In Stock</v>
      </c>
      <c r="P1660" t="str">
        <f>TEXT(Inventory_Data[[#This Row],[Date]],"MMM")</f>
        <v>Dec</v>
      </c>
      <c r="Q1660" t="str">
        <f>TEXT(Inventory_Data[[#This Row],[Date]],"YYYY")</f>
        <v>2025</v>
      </c>
    </row>
    <row r="1661" spans="1:17" x14ac:dyDescent="0.3">
      <c r="A1661" s="1">
        <v>46013</v>
      </c>
      <c r="B1661" t="s">
        <v>39</v>
      </c>
      <c r="C1661" t="s">
        <v>28</v>
      </c>
      <c r="D1661" t="s">
        <v>23</v>
      </c>
      <c r="E1661" t="s">
        <v>29</v>
      </c>
      <c r="F1661">
        <v>133</v>
      </c>
      <c r="G1661">
        <v>33</v>
      </c>
      <c r="H1661">
        <v>31</v>
      </c>
      <c r="I1661">
        <v>135</v>
      </c>
      <c r="J1661">
        <v>57</v>
      </c>
      <c r="K1661">
        <v>16324</v>
      </c>
      <c r="L1661">
        <v>2203740</v>
      </c>
      <c r="M1661">
        <f>Inventory_Data[[#This Row],[Opening Stock]]+Inventory_Data[[#This Row],[Purchase Qty]]-Inventory_Data[[#This Row],[Sales Qty]]-Inventory_Data[[#This Row],[Closing Stock]]</f>
        <v>0</v>
      </c>
      <c r="N1661">
        <f>Inventory_Data[[#This Row],[Purchase Qty]]*Inventory_Data[[#This Row],[Unit Cost]]</f>
        <v>538692</v>
      </c>
      <c r="O1661" t="str">
        <f>IF(Inventory_Data[[#This Row],[Closing Stock]]&lt;=Inventory_Data[[#This Row],[Reorder Level]],"Low Stock","In Stock")</f>
        <v>In Stock</v>
      </c>
      <c r="P1661" t="str">
        <f>TEXT(Inventory_Data[[#This Row],[Date]],"MMM")</f>
        <v>Dec</v>
      </c>
      <c r="Q1661" t="str">
        <f>TEXT(Inventory_Data[[#This Row],[Date]],"YYYY")</f>
        <v>2025</v>
      </c>
    </row>
    <row r="1662" spans="1:17" x14ac:dyDescent="0.3">
      <c r="A1662" s="1">
        <v>46013</v>
      </c>
      <c r="B1662" t="s">
        <v>21</v>
      </c>
      <c r="C1662" t="s">
        <v>22</v>
      </c>
      <c r="D1662" t="s">
        <v>23</v>
      </c>
      <c r="E1662" t="s">
        <v>20</v>
      </c>
      <c r="F1662">
        <v>405</v>
      </c>
      <c r="G1662">
        <v>116</v>
      </c>
      <c r="H1662">
        <v>87</v>
      </c>
      <c r="I1662">
        <v>434</v>
      </c>
      <c r="J1662">
        <v>116</v>
      </c>
      <c r="K1662">
        <v>947</v>
      </c>
      <c r="L1662">
        <v>410998</v>
      </c>
      <c r="M1662">
        <f>Inventory_Data[[#This Row],[Opening Stock]]+Inventory_Data[[#This Row],[Purchase Qty]]-Inventory_Data[[#This Row],[Sales Qty]]-Inventory_Data[[#This Row],[Closing Stock]]</f>
        <v>0</v>
      </c>
      <c r="N1662">
        <f>Inventory_Data[[#This Row],[Purchase Qty]]*Inventory_Data[[#This Row],[Unit Cost]]</f>
        <v>109852</v>
      </c>
      <c r="O1662" t="str">
        <f>IF(Inventory_Data[[#This Row],[Closing Stock]]&lt;=Inventory_Data[[#This Row],[Reorder Level]],"Low Stock","In Stock")</f>
        <v>In Stock</v>
      </c>
      <c r="P1662" t="str">
        <f>TEXT(Inventory_Data[[#This Row],[Date]],"MMM")</f>
        <v>Dec</v>
      </c>
      <c r="Q1662" t="str">
        <f>TEXT(Inventory_Data[[#This Row],[Date]],"YYYY")</f>
        <v>2025</v>
      </c>
    </row>
    <row r="1663" spans="1:17" x14ac:dyDescent="0.3">
      <c r="A1663" s="1">
        <v>46013</v>
      </c>
      <c r="B1663" t="s">
        <v>16</v>
      </c>
      <c r="C1663" t="s">
        <v>17</v>
      </c>
      <c r="D1663" t="s">
        <v>26</v>
      </c>
      <c r="E1663" t="s">
        <v>20</v>
      </c>
      <c r="F1663">
        <v>80</v>
      </c>
      <c r="G1663">
        <v>11</v>
      </c>
      <c r="H1663">
        <v>33</v>
      </c>
      <c r="I1663">
        <v>58</v>
      </c>
      <c r="J1663">
        <v>21</v>
      </c>
      <c r="K1663">
        <v>17187</v>
      </c>
      <c r="L1663">
        <v>996846</v>
      </c>
      <c r="M1663">
        <f>Inventory_Data[[#This Row],[Opening Stock]]+Inventory_Data[[#This Row],[Purchase Qty]]-Inventory_Data[[#This Row],[Sales Qty]]-Inventory_Data[[#This Row],[Closing Stock]]</f>
        <v>0</v>
      </c>
      <c r="N1663">
        <f>Inventory_Data[[#This Row],[Purchase Qty]]*Inventory_Data[[#This Row],[Unit Cost]]</f>
        <v>189057</v>
      </c>
      <c r="O1663" t="str">
        <f>IF(Inventory_Data[[#This Row],[Closing Stock]]&lt;=Inventory_Data[[#This Row],[Reorder Level]],"Low Stock","In Stock")</f>
        <v>In Stock</v>
      </c>
      <c r="P1663" t="str">
        <f>TEXT(Inventory_Data[[#This Row],[Date]],"MMM")</f>
        <v>Dec</v>
      </c>
      <c r="Q1663" t="str">
        <f>TEXT(Inventory_Data[[#This Row],[Date]],"YYYY")</f>
        <v>2025</v>
      </c>
    </row>
    <row r="1664" spans="1:17" x14ac:dyDescent="0.3">
      <c r="A1664" s="1">
        <v>46013</v>
      </c>
      <c r="B1664" t="s">
        <v>44</v>
      </c>
      <c r="C1664" t="s">
        <v>28</v>
      </c>
      <c r="D1664" t="s">
        <v>14</v>
      </c>
      <c r="E1664" t="s">
        <v>15</v>
      </c>
      <c r="F1664">
        <v>167</v>
      </c>
      <c r="G1664">
        <v>57</v>
      </c>
      <c r="H1664">
        <v>76</v>
      </c>
      <c r="I1664">
        <v>148</v>
      </c>
      <c r="J1664">
        <v>45</v>
      </c>
      <c r="K1664">
        <v>28512</v>
      </c>
      <c r="L1664">
        <v>4219776</v>
      </c>
      <c r="M1664">
        <f>Inventory_Data[[#This Row],[Opening Stock]]+Inventory_Data[[#This Row],[Purchase Qty]]-Inventory_Data[[#This Row],[Sales Qty]]-Inventory_Data[[#This Row],[Closing Stock]]</f>
        <v>0</v>
      </c>
      <c r="N1664">
        <f>Inventory_Data[[#This Row],[Purchase Qty]]*Inventory_Data[[#This Row],[Unit Cost]]</f>
        <v>1625184</v>
      </c>
      <c r="O1664" t="str">
        <f>IF(Inventory_Data[[#This Row],[Closing Stock]]&lt;=Inventory_Data[[#This Row],[Reorder Level]],"Low Stock","In Stock")</f>
        <v>In Stock</v>
      </c>
      <c r="P1664" t="str">
        <f>TEXT(Inventory_Data[[#This Row],[Date]],"MMM")</f>
        <v>Dec</v>
      </c>
      <c r="Q1664" t="str">
        <f>TEXT(Inventory_Data[[#This Row],[Date]],"YYYY")</f>
        <v>2025</v>
      </c>
    </row>
    <row r="1665" spans="1:17" x14ac:dyDescent="0.3">
      <c r="A1665" s="1">
        <v>46014</v>
      </c>
      <c r="B1665" t="s">
        <v>41</v>
      </c>
      <c r="C1665" t="s">
        <v>22</v>
      </c>
      <c r="D1665" t="s">
        <v>23</v>
      </c>
      <c r="E1665" t="s">
        <v>24</v>
      </c>
      <c r="F1665">
        <v>269</v>
      </c>
      <c r="G1665">
        <v>128</v>
      </c>
      <c r="H1665">
        <v>245</v>
      </c>
      <c r="I1665">
        <v>152</v>
      </c>
      <c r="J1665">
        <v>65</v>
      </c>
      <c r="K1665">
        <v>738</v>
      </c>
      <c r="L1665">
        <v>112176</v>
      </c>
      <c r="M1665">
        <f>Inventory_Data[[#This Row],[Opening Stock]]+Inventory_Data[[#This Row],[Purchase Qty]]-Inventory_Data[[#This Row],[Sales Qty]]-Inventory_Data[[#This Row],[Closing Stock]]</f>
        <v>0</v>
      </c>
      <c r="N1665">
        <f>Inventory_Data[[#This Row],[Purchase Qty]]*Inventory_Data[[#This Row],[Unit Cost]]</f>
        <v>94464</v>
      </c>
      <c r="O1665" t="str">
        <f>IF(Inventory_Data[[#This Row],[Closing Stock]]&lt;=Inventory_Data[[#This Row],[Reorder Level]],"Low Stock","In Stock")</f>
        <v>In Stock</v>
      </c>
      <c r="P1665" t="str">
        <f>TEXT(Inventory_Data[[#This Row],[Date]],"MMM")</f>
        <v>Dec</v>
      </c>
      <c r="Q1665" t="str">
        <f>TEXT(Inventory_Data[[#This Row],[Date]],"YYYY")</f>
        <v>2025</v>
      </c>
    </row>
    <row r="1666" spans="1:17" x14ac:dyDescent="0.3">
      <c r="A1666" s="1">
        <v>46014</v>
      </c>
      <c r="B1666" t="s">
        <v>41</v>
      </c>
      <c r="C1666" t="s">
        <v>22</v>
      </c>
      <c r="D1666" t="s">
        <v>37</v>
      </c>
      <c r="E1666" t="s">
        <v>20</v>
      </c>
      <c r="F1666">
        <v>494</v>
      </c>
      <c r="G1666">
        <v>42</v>
      </c>
      <c r="H1666">
        <v>151</v>
      </c>
      <c r="I1666">
        <v>385</v>
      </c>
      <c r="J1666">
        <v>93</v>
      </c>
      <c r="K1666">
        <v>1158</v>
      </c>
      <c r="L1666">
        <v>445830</v>
      </c>
      <c r="M1666">
        <f>Inventory_Data[[#This Row],[Opening Stock]]+Inventory_Data[[#This Row],[Purchase Qty]]-Inventory_Data[[#This Row],[Sales Qty]]-Inventory_Data[[#This Row],[Closing Stock]]</f>
        <v>0</v>
      </c>
      <c r="N1666">
        <f>Inventory_Data[[#This Row],[Purchase Qty]]*Inventory_Data[[#This Row],[Unit Cost]]</f>
        <v>48636</v>
      </c>
      <c r="O1666" t="str">
        <f>IF(Inventory_Data[[#This Row],[Closing Stock]]&lt;=Inventory_Data[[#This Row],[Reorder Level]],"Low Stock","In Stock")</f>
        <v>In Stock</v>
      </c>
      <c r="P1666" t="str">
        <f>TEXT(Inventory_Data[[#This Row],[Date]],"MMM")</f>
        <v>Dec</v>
      </c>
      <c r="Q1666" t="str">
        <f>TEXT(Inventory_Data[[#This Row],[Date]],"YYYY")</f>
        <v>2025</v>
      </c>
    </row>
    <row r="1667" spans="1:17" x14ac:dyDescent="0.3">
      <c r="A1667" s="1">
        <v>46014</v>
      </c>
      <c r="B1667" t="s">
        <v>12</v>
      </c>
      <c r="C1667" t="s">
        <v>13</v>
      </c>
      <c r="D1667" t="s">
        <v>14</v>
      </c>
      <c r="E1667" t="s">
        <v>29</v>
      </c>
      <c r="F1667">
        <v>62</v>
      </c>
      <c r="G1667">
        <v>36</v>
      </c>
      <c r="H1667">
        <v>13</v>
      </c>
      <c r="I1667">
        <v>85</v>
      </c>
      <c r="J1667">
        <v>19</v>
      </c>
      <c r="K1667">
        <v>13068</v>
      </c>
      <c r="L1667">
        <v>1110780</v>
      </c>
      <c r="M1667">
        <f>Inventory_Data[[#This Row],[Opening Stock]]+Inventory_Data[[#This Row],[Purchase Qty]]-Inventory_Data[[#This Row],[Sales Qty]]-Inventory_Data[[#This Row],[Closing Stock]]</f>
        <v>0</v>
      </c>
      <c r="N1667">
        <f>Inventory_Data[[#This Row],[Purchase Qty]]*Inventory_Data[[#This Row],[Unit Cost]]</f>
        <v>470448</v>
      </c>
      <c r="O1667" t="str">
        <f>IF(Inventory_Data[[#This Row],[Closing Stock]]&lt;=Inventory_Data[[#This Row],[Reorder Level]],"Low Stock","In Stock")</f>
        <v>In Stock</v>
      </c>
      <c r="P1667" t="str">
        <f>TEXT(Inventory_Data[[#This Row],[Date]],"MMM")</f>
        <v>Dec</v>
      </c>
      <c r="Q1667" t="str">
        <f>TEXT(Inventory_Data[[#This Row],[Date]],"YYYY")</f>
        <v>2025</v>
      </c>
    </row>
    <row r="1668" spans="1:17" x14ac:dyDescent="0.3">
      <c r="A1668" s="1">
        <v>46014</v>
      </c>
      <c r="B1668" t="s">
        <v>44</v>
      </c>
      <c r="C1668" t="s">
        <v>28</v>
      </c>
      <c r="D1668" t="s">
        <v>26</v>
      </c>
      <c r="E1668" t="s">
        <v>18</v>
      </c>
      <c r="F1668">
        <v>81</v>
      </c>
      <c r="G1668">
        <v>71</v>
      </c>
      <c r="H1668">
        <v>42</v>
      </c>
      <c r="I1668">
        <v>110</v>
      </c>
      <c r="J1668">
        <v>43</v>
      </c>
      <c r="K1668">
        <v>51769</v>
      </c>
      <c r="L1668">
        <v>5694590</v>
      </c>
      <c r="M1668">
        <f>Inventory_Data[[#This Row],[Opening Stock]]+Inventory_Data[[#This Row],[Purchase Qty]]-Inventory_Data[[#This Row],[Sales Qty]]-Inventory_Data[[#This Row],[Closing Stock]]</f>
        <v>0</v>
      </c>
      <c r="N1668">
        <f>Inventory_Data[[#This Row],[Purchase Qty]]*Inventory_Data[[#This Row],[Unit Cost]]</f>
        <v>3675599</v>
      </c>
      <c r="O1668" t="str">
        <f>IF(Inventory_Data[[#This Row],[Closing Stock]]&lt;=Inventory_Data[[#This Row],[Reorder Level]],"Low Stock","In Stock")</f>
        <v>In Stock</v>
      </c>
      <c r="P1668" t="str">
        <f>TEXT(Inventory_Data[[#This Row],[Date]],"MMM")</f>
        <v>Dec</v>
      </c>
      <c r="Q1668" t="str">
        <f>TEXT(Inventory_Data[[#This Row],[Date]],"YYYY")</f>
        <v>2025</v>
      </c>
    </row>
    <row r="1669" spans="1:17" x14ac:dyDescent="0.3">
      <c r="A1669" s="1">
        <v>46015</v>
      </c>
      <c r="B1669" t="s">
        <v>36</v>
      </c>
      <c r="C1669" t="s">
        <v>22</v>
      </c>
      <c r="D1669" t="s">
        <v>23</v>
      </c>
      <c r="E1669" t="s">
        <v>34</v>
      </c>
      <c r="F1669">
        <v>457</v>
      </c>
      <c r="G1669">
        <v>185</v>
      </c>
      <c r="H1669">
        <v>17</v>
      </c>
      <c r="I1669">
        <v>625</v>
      </c>
      <c r="J1669">
        <v>141</v>
      </c>
      <c r="K1669">
        <v>1165</v>
      </c>
      <c r="L1669">
        <v>728125</v>
      </c>
      <c r="M1669">
        <f>Inventory_Data[[#This Row],[Opening Stock]]+Inventory_Data[[#This Row],[Purchase Qty]]-Inventory_Data[[#This Row],[Sales Qty]]-Inventory_Data[[#This Row],[Closing Stock]]</f>
        <v>0</v>
      </c>
      <c r="N1669">
        <f>Inventory_Data[[#This Row],[Purchase Qty]]*Inventory_Data[[#This Row],[Unit Cost]]</f>
        <v>215525</v>
      </c>
      <c r="O1669" t="str">
        <f>IF(Inventory_Data[[#This Row],[Closing Stock]]&lt;=Inventory_Data[[#This Row],[Reorder Level]],"Low Stock","In Stock")</f>
        <v>In Stock</v>
      </c>
      <c r="P1669" t="str">
        <f>TEXT(Inventory_Data[[#This Row],[Date]],"MMM")</f>
        <v>Dec</v>
      </c>
      <c r="Q1669" t="str">
        <f>TEXT(Inventory_Data[[#This Row],[Date]],"YYYY")</f>
        <v>2025</v>
      </c>
    </row>
    <row r="1670" spans="1:17" x14ac:dyDescent="0.3">
      <c r="A1670" s="1">
        <v>46015</v>
      </c>
      <c r="B1670" t="s">
        <v>36</v>
      </c>
      <c r="C1670" t="s">
        <v>22</v>
      </c>
      <c r="D1670" t="s">
        <v>37</v>
      </c>
      <c r="E1670" t="s">
        <v>29</v>
      </c>
      <c r="F1670">
        <v>320</v>
      </c>
      <c r="G1670">
        <v>228</v>
      </c>
      <c r="H1670">
        <v>155</v>
      </c>
      <c r="I1670">
        <v>393</v>
      </c>
      <c r="J1670">
        <v>110</v>
      </c>
      <c r="K1670">
        <v>937</v>
      </c>
      <c r="L1670">
        <v>368241</v>
      </c>
      <c r="M1670">
        <f>Inventory_Data[[#This Row],[Opening Stock]]+Inventory_Data[[#This Row],[Purchase Qty]]-Inventory_Data[[#This Row],[Sales Qty]]-Inventory_Data[[#This Row],[Closing Stock]]</f>
        <v>0</v>
      </c>
      <c r="N1670">
        <f>Inventory_Data[[#This Row],[Purchase Qty]]*Inventory_Data[[#This Row],[Unit Cost]]</f>
        <v>213636</v>
      </c>
      <c r="O1670" t="str">
        <f>IF(Inventory_Data[[#This Row],[Closing Stock]]&lt;=Inventory_Data[[#This Row],[Reorder Level]],"Low Stock","In Stock")</f>
        <v>In Stock</v>
      </c>
      <c r="P1670" t="str">
        <f>TEXT(Inventory_Data[[#This Row],[Date]],"MMM")</f>
        <v>Dec</v>
      </c>
      <c r="Q1670" t="str">
        <f>TEXT(Inventory_Data[[#This Row],[Date]],"YYYY")</f>
        <v>2025</v>
      </c>
    </row>
    <row r="1671" spans="1:17" x14ac:dyDescent="0.3">
      <c r="A1671" s="1">
        <v>46015</v>
      </c>
      <c r="B1671" t="s">
        <v>16</v>
      </c>
      <c r="C1671" t="s">
        <v>17</v>
      </c>
      <c r="D1671" t="s">
        <v>37</v>
      </c>
      <c r="E1671" t="s">
        <v>34</v>
      </c>
      <c r="F1671">
        <v>57</v>
      </c>
      <c r="G1671">
        <v>56</v>
      </c>
      <c r="H1671">
        <v>25</v>
      </c>
      <c r="I1671">
        <v>88</v>
      </c>
      <c r="J1671">
        <v>24</v>
      </c>
      <c r="K1671">
        <v>19768</v>
      </c>
      <c r="L1671">
        <v>1739584</v>
      </c>
      <c r="M1671">
        <f>Inventory_Data[[#This Row],[Opening Stock]]+Inventory_Data[[#This Row],[Purchase Qty]]-Inventory_Data[[#This Row],[Sales Qty]]-Inventory_Data[[#This Row],[Closing Stock]]</f>
        <v>0</v>
      </c>
      <c r="N1671">
        <f>Inventory_Data[[#This Row],[Purchase Qty]]*Inventory_Data[[#This Row],[Unit Cost]]</f>
        <v>1107008</v>
      </c>
      <c r="O1671" t="str">
        <f>IF(Inventory_Data[[#This Row],[Closing Stock]]&lt;=Inventory_Data[[#This Row],[Reorder Level]],"Low Stock","In Stock")</f>
        <v>In Stock</v>
      </c>
      <c r="P1671" t="str">
        <f>TEXT(Inventory_Data[[#This Row],[Date]],"MMM")</f>
        <v>Dec</v>
      </c>
      <c r="Q1671" t="str">
        <f>TEXT(Inventory_Data[[#This Row],[Date]],"YYYY")</f>
        <v>2025</v>
      </c>
    </row>
    <row r="1672" spans="1:17" x14ac:dyDescent="0.3">
      <c r="A1672" s="1">
        <v>46015</v>
      </c>
      <c r="B1672" t="s">
        <v>25</v>
      </c>
      <c r="C1672" t="s">
        <v>17</v>
      </c>
      <c r="D1672" t="s">
        <v>26</v>
      </c>
      <c r="E1672" t="s">
        <v>18</v>
      </c>
      <c r="F1672">
        <v>46</v>
      </c>
      <c r="G1672">
        <v>34</v>
      </c>
      <c r="H1672">
        <v>35</v>
      </c>
      <c r="I1672">
        <v>45</v>
      </c>
      <c r="J1672">
        <v>26</v>
      </c>
      <c r="K1672">
        <v>3565</v>
      </c>
      <c r="L1672">
        <v>160425</v>
      </c>
      <c r="M1672">
        <f>Inventory_Data[[#This Row],[Opening Stock]]+Inventory_Data[[#This Row],[Purchase Qty]]-Inventory_Data[[#This Row],[Sales Qty]]-Inventory_Data[[#This Row],[Closing Stock]]</f>
        <v>0</v>
      </c>
      <c r="N1672">
        <f>Inventory_Data[[#This Row],[Purchase Qty]]*Inventory_Data[[#This Row],[Unit Cost]]</f>
        <v>121210</v>
      </c>
      <c r="O1672" t="str">
        <f>IF(Inventory_Data[[#This Row],[Closing Stock]]&lt;=Inventory_Data[[#This Row],[Reorder Level]],"Low Stock","In Stock")</f>
        <v>In Stock</v>
      </c>
      <c r="P1672" t="str">
        <f>TEXT(Inventory_Data[[#This Row],[Date]],"MMM")</f>
        <v>Dec</v>
      </c>
      <c r="Q1672" t="str">
        <f>TEXT(Inventory_Data[[#This Row],[Date]],"YYYY")</f>
        <v>2025</v>
      </c>
    </row>
    <row r="1673" spans="1:17" x14ac:dyDescent="0.3">
      <c r="A1673" s="1">
        <v>46015</v>
      </c>
      <c r="B1673" t="s">
        <v>44</v>
      </c>
      <c r="C1673" t="s">
        <v>28</v>
      </c>
      <c r="D1673" t="s">
        <v>23</v>
      </c>
      <c r="E1673" t="s">
        <v>29</v>
      </c>
      <c r="F1673">
        <v>117</v>
      </c>
      <c r="G1673">
        <v>37</v>
      </c>
      <c r="H1673">
        <v>6</v>
      </c>
      <c r="I1673">
        <v>148</v>
      </c>
      <c r="J1673">
        <v>32</v>
      </c>
      <c r="K1673">
        <v>27773</v>
      </c>
      <c r="L1673">
        <v>4110404</v>
      </c>
      <c r="M1673">
        <f>Inventory_Data[[#This Row],[Opening Stock]]+Inventory_Data[[#This Row],[Purchase Qty]]-Inventory_Data[[#This Row],[Sales Qty]]-Inventory_Data[[#This Row],[Closing Stock]]</f>
        <v>0</v>
      </c>
      <c r="N1673">
        <f>Inventory_Data[[#This Row],[Purchase Qty]]*Inventory_Data[[#This Row],[Unit Cost]]</f>
        <v>1027601</v>
      </c>
      <c r="O1673" t="str">
        <f>IF(Inventory_Data[[#This Row],[Closing Stock]]&lt;=Inventory_Data[[#This Row],[Reorder Level]],"Low Stock","In Stock")</f>
        <v>In Stock</v>
      </c>
      <c r="P1673" t="str">
        <f>TEXT(Inventory_Data[[#This Row],[Date]],"MMM")</f>
        <v>Dec</v>
      </c>
      <c r="Q1673" t="str">
        <f>TEXT(Inventory_Data[[#This Row],[Date]],"YYYY")</f>
        <v>2025</v>
      </c>
    </row>
    <row r="1674" spans="1:17" x14ac:dyDescent="0.3">
      <c r="A1674" s="1">
        <v>46015</v>
      </c>
      <c r="B1674" t="s">
        <v>31</v>
      </c>
      <c r="C1674" t="s">
        <v>22</v>
      </c>
      <c r="D1674" t="s">
        <v>26</v>
      </c>
      <c r="E1674" t="s">
        <v>18</v>
      </c>
      <c r="F1674">
        <v>171</v>
      </c>
      <c r="G1674">
        <v>119</v>
      </c>
      <c r="H1674">
        <v>202</v>
      </c>
      <c r="I1674">
        <v>88</v>
      </c>
      <c r="J1674">
        <v>70</v>
      </c>
      <c r="K1674">
        <v>775</v>
      </c>
      <c r="L1674">
        <v>68200</v>
      </c>
      <c r="M1674">
        <f>Inventory_Data[[#This Row],[Opening Stock]]+Inventory_Data[[#This Row],[Purchase Qty]]-Inventory_Data[[#This Row],[Sales Qty]]-Inventory_Data[[#This Row],[Closing Stock]]</f>
        <v>0</v>
      </c>
      <c r="N1674">
        <f>Inventory_Data[[#This Row],[Purchase Qty]]*Inventory_Data[[#This Row],[Unit Cost]]</f>
        <v>92225</v>
      </c>
      <c r="O1674" t="str">
        <f>IF(Inventory_Data[[#This Row],[Closing Stock]]&lt;=Inventory_Data[[#This Row],[Reorder Level]],"Low Stock","In Stock")</f>
        <v>In Stock</v>
      </c>
      <c r="P1674" t="str">
        <f>TEXT(Inventory_Data[[#This Row],[Date]],"MMM")</f>
        <v>Dec</v>
      </c>
      <c r="Q1674" t="str">
        <f>TEXT(Inventory_Data[[#This Row],[Date]],"YYYY")</f>
        <v>2025</v>
      </c>
    </row>
    <row r="1675" spans="1:17" x14ac:dyDescent="0.3">
      <c r="A1675" s="1">
        <v>46016</v>
      </c>
      <c r="B1675" t="s">
        <v>31</v>
      </c>
      <c r="C1675" t="s">
        <v>22</v>
      </c>
      <c r="D1675" t="s">
        <v>37</v>
      </c>
      <c r="E1675" t="s">
        <v>34</v>
      </c>
      <c r="F1675">
        <v>85</v>
      </c>
      <c r="G1675">
        <v>63</v>
      </c>
      <c r="H1675">
        <v>97</v>
      </c>
      <c r="I1675">
        <v>51</v>
      </c>
      <c r="J1675">
        <v>65</v>
      </c>
      <c r="K1675">
        <v>677</v>
      </c>
      <c r="L1675">
        <v>34527</v>
      </c>
      <c r="M1675">
        <f>Inventory_Data[[#This Row],[Opening Stock]]+Inventory_Data[[#This Row],[Purchase Qty]]-Inventory_Data[[#This Row],[Sales Qty]]-Inventory_Data[[#This Row],[Closing Stock]]</f>
        <v>0</v>
      </c>
      <c r="N1675">
        <f>Inventory_Data[[#This Row],[Purchase Qty]]*Inventory_Data[[#This Row],[Unit Cost]]</f>
        <v>42651</v>
      </c>
      <c r="O1675" t="str">
        <f>IF(Inventory_Data[[#This Row],[Closing Stock]]&lt;=Inventory_Data[[#This Row],[Reorder Level]],"Low Stock","In Stock")</f>
        <v>Low Stock</v>
      </c>
      <c r="P1675" t="str">
        <f>TEXT(Inventory_Data[[#This Row],[Date]],"MMM")</f>
        <v>Dec</v>
      </c>
      <c r="Q1675" t="str">
        <f>TEXT(Inventory_Data[[#This Row],[Date]],"YYYY")</f>
        <v>2025</v>
      </c>
    </row>
    <row r="1676" spans="1:17" x14ac:dyDescent="0.3">
      <c r="A1676" s="1">
        <v>46016</v>
      </c>
      <c r="B1676" t="s">
        <v>19</v>
      </c>
      <c r="C1676" t="s">
        <v>13</v>
      </c>
      <c r="D1676" t="s">
        <v>26</v>
      </c>
      <c r="E1676" t="s">
        <v>24</v>
      </c>
      <c r="F1676">
        <v>75</v>
      </c>
      <c r="G1676">
        <v>72</v>
      </c>
      <c r="H1676">
        <v>27</v>
      </c>
      <c r="I1676">
        <v>120</v>
      </c>
      <c r="J1676">
        <v>20</v>
      </c>
      <c r="K1676">
        <v>8533</v>
      </c>
      <c r="L1676">
        <v>1023960</v>
      </c>
      <c r="M1676">
        <f>Inventory_Data[[#This Row],[Opening Stock]]+Inventory_Data[[#This Row],[Purchase Qty]]-Inventory_Data[[#This Row],[Sales Qty]]-Inventory_Data[[#This Row],[Closing Stock]]</f>
        <v>0</v>
      </c>
      <c r="N1676">
        <f>Inventory_Data[[#This Row],[Purchase Qty]]*Inventory_Data[[#This Row],[Unit Cost]]</f>
        <v>614376</v>
      </c>
      <c r="O1676" t="str">
        <f>IF(Inventory_Data[[#This Row],[Closing Stock]]&lt;=Inventory_Data[[#This Row],[Reorder Level]],"Low Stock","In Stock")</f>
        <v>In Stock</v>
      </c>
      <c r="P1676" t="str">
        <f>TEXT(Inventory_Data[[#This Row],[Date]],"MMM")</f>
        <v>Dec</v>
      </c>
      <c r="Q1676" t="str">
        <f>TEXT(Inventory_Data[[#This Row],[Date]],"YYYY")</f>
        <v>2025</v>
      </c>
    </row>
    <row r="1677" spans="1:17" x14ac:dyDescent="0.3">
      <c r="A1677" s="1">
        <v>46016</v>
      </c>
      <c r="B1677" t="s">
        <v>19</v>
      </c>
      <c r="C1677" t="s">
        <v>13</v>
      </c>
      <c r="D1677" t="s">
        <v>26</v>
      </c>
      <c r="E1677" t="s">
        <v>24</v>
      </c>
      <c r="F1677">
        <v>70</v>
      </c>
      <c r="G1677">
        <v>27</v>
      </c>
      <c r="H1677">
        <v>64</v>
      </c>
      <c r="I1677">
        <v>33</v>
      </c>
      <c r="J1677">
        <v>22</v>
      </c>
      <c r="K1677">
        <v>8610</v>
      </c>
      <c r="L1677">
        <v>284130</v>
      </c>
      <c r="M1677">
        <f>Inventory_Data[[#This Row],[Opening Stock]]+Inventory_Data[[#This Row],[Purchase Qty]]-Inventory_Data[[#This Row],[Sales Qty]]-Inventory_Data[[#This Row],[Closing Stock]]</f>
        <v>0</v>
      </c>
      <c r="N1677">
        <f>Inventory_Data[[#This Row],[Purchase Qty]]*Inventory_Data[[#This Row],[Unit Cost]]</f>
        <v>232470</v>
      </c>
      <c r="O1677" t="str">
        <f>IF(Inventory_Data[[#This Row],[Closing Stock]]&lt;=Inventory_Data[[#This Row],[Reorder Level]],"Low Stock","In Stock")</f>
        <v>In Stock</v>
      </c>
      <c r="P1677" t="str">
        <f>TEXT(Inventory_Data[[#This Row],[Date]],"MMM")</f>
        <v>Dec</v>
      </c>
      <c r="Q1677" t="str">
        <f>TEXT(Inventory_Data[[#This Row],[Date]],"YYYY")</f>
        <v>2025</v>
      </c>
    </row>
    <row r="1678" spans="1:17" x14ac:dyDescent="0.3">
      <c r="A1678" s="1">
        <v>46016</v>
      </c>
      <c r="B1678" t="s">
        <v>42</v>
      </c>
      <c r="C1678" t="s">
        <v>17</v>
      </c>
      <c r="D1678" t="s">
        <v>26</v>
      </c>
      <c r="E1678" t="s">
        <v>18</v>
      </c>
      <c r="F1678">
        <v>41</v>
      </c>
      <c r="G1678">
        <v>45</v>
      </c>
      <c r="H1678">
        <v>13</v>
      </c>
      <c r="I1678">
        <v>73</v>
      </c>
      <c r="J1678">
        <v>17</v>
      </c>
      <c r="K1678">
        <v>23267</v>
      </c>
      <c r="L1678">
        <v>1698491</v>
      </c>
      <c r="M1678">
        <f>Inventory_Data[[#This Row],[Opening Stock]]+Inventory_Data[[#This Row],[Purchase Qty]]-Inventory_Data[[#This Row],[Sales Qty]]-Inventory_Data[[#This Row],[Closing Stock]]</f>
        <v>0</v>
      </c>
      <c r="N1678">
        <f>Inventory_Data[[#This Row],[Purchase Qty]]*Inventory_Data[[#This Row],[Unit Cost]]</f>
        <v>1047015</v>
      </c>
      <c r="O1678" t="str">
        <f>IF(Inventory_Data[[#This Row],[Closing Stock]]&lt;=Inventory_Data[[#This Row],[Reorder Level]],"Low Stock","In Stock")</f>
        <v>In Stock</v>
      </c>
      <c r="P1678" t="str">
        <f>TEXT(Inventory_Data[[#This Row],[Date]],"MMM")</f>
        <v>Dec</v>
      </c>
      <c r="Q1678" t="str">
        <f>TEXT(Inventory_Data[[#This Row],[Date]],"YYYY")</f>
        <v>2025</v>
      </c>
    </row>
    <row r="1679" spans="1:17" x14ac:dyDescent="0.3">
      <c r="A1679" s="1">
        <v>46016</v>
      </c>
      <c r="B1679" t="s">
        <v>19</v>
      </c>
      <c r="C1679" t="s">
        <v>13</v>
      </c>
      <c r="D1679" t="s">
        <v>37</v>
      </c>
      <c r="E1679" t="s">
        <v>34</v>
      </c>
      <c r="F1679">
        <v>35</v>
      </c>
      <c r="G1679">
        <v>61</v>
      </c>
      <c r="H1679">
        <v>43</v>
      </c>
      <c r="I1679">
        <v>53</v>
      </c>
      <c r="J1679">
        <v>24</v>
      </c>
      <c r="K1679">
        <v>7814</v>
      </c>
      <c r="L1679">
        <v>414142</v>
      </c>
      <c r="M1679">
        <f>Inventory_Data[[#This Row],[Opening Stock]]+Inventory_Data[[#This Row],[Purchase Qty]]-Inventory_Data[[#This Row],[Sales Qty]]-Inventory_Data[[#This Row],[Closing Stock]]</f>
        <v>0</v>
      </c>
      <c r="N1679">
        <f>Inventory_Data[[#This Row],[Purchase Qty]]*Inventory_Data[[#This Row],[Unit Cost]]</f>
        <v>476654</v>
      </c>
      <c r="O1679" t="str">
        <f>IF(Inventory_Data[[#This Row],[Closing Stock]]&lt;=Inventory_Data[[#This Row],[Reorder Level]],"Low Stock","In Stock")</f>
        <v>In Stock</v>
      </c>
      <c r="P1679" t="str">
        <f>TEXT(Inventory_Data[[#This Row],[Date]],"MMM")</f>
        <v>Dec</v>
      </c>
      <c r="Q1679" t="str">
        <f>TEXT(Inventory_Data[[#This Row],[Date]],"YYYY")</f>
        <v>2025</v>
      </c>
    </row>
    <row r="1680" spans="1:17" x14ac:dyDescent="0.3">
      <c r="A1680" s="1">
        <v>46016</v>
      </c>
      <c r="B1680" t="s">
        <v>30</v>
      </c>
      <c r="C1680" t="s">
        <v>28</v>
      </c>
      <c r="D1680" t="s">
        <v>37</v>
      </c>
      <c r="E1680" t="s">
        <v>18</v>
      </c>
      <c r="F1680">
        <v>110</v>
      </c>
      <c r="G1680">
        <v>99</v>
      </c>
      <c r="H1680">
        <v>82</v>
      </c>
      <c r="I1680">
        <v>127</v>
      </c>
      <c r="J1680">
        <v>48</v>
      </c>
      <c r="K1680">
        <v>54321</v>
      </c>
      <c r="L1680">
        <v>6898767</v>
      </c>
      <c r="M1680">
        <f>Inventory_Data[[#This Row],[Opening Stock]]+Inventory_Data[[#This Row],[Purchase Qty]]-Inventory_Data[[#This Row],[Sales Qty]]-Inventory_Data[[#This Row],[Closing Stock]]</f>
        <v>0</v>
      </c>
      <c r="N1680">
        <f>Inventory_Data[[#This Row],[Purchase Qty]]*Inventory_Data[[#This Row],[Unit Cost]]</f>
        <v>5377779</v>
      </c>
      <c r="O1680" t="str">
        <f>IF(Inventory_Data[[#This Row],[Closing Stock]]&lt;=Inventory_Data[[#This Row],[Reorder Level]],"Low Stock","In Stock")</f>
        <v>In Stock</v>
      </c>
      <c r="P1680" t="str">
        <f>TEXT(Inventory_Data[[#This Row],[Date]],"MMM")</f>
        <v>Dec</v>
      </c>
      <c r="Q1680" t="str">
        <f>TEXT(Inventory_Data[[#This Row],[Date]],"YYYY")</f>
        <v>2025</v>
      </c>
    </row>
    <row r="1681" spans="1:17" x14ac:dyDescent="0.3">
      <c r="A1681" s="1">
        <v>46016</v>
      </c>
      <c r="B1681" t="s">
        <v>21</v>
      </c>
      <c r="C1681" t="s">
        <v>22</v>
      </c>
      <c r="D1681" t="s">
        <v>37</v>
      </c>
      <c r="E1681" t="s">
        <v>34</v>
      </c>
      <c r="F1681">
        <v>64</v>
      </c>
      <c r="G1681">
        <v>104</v>
      </c>
      <c r="H1681">
        <v>43</v>
      </c>
      <c r="I1681">
        <v>125</v>
      </c>
      <c r="J1681">
        <v>124</v>
      </c>
      <c r="K1681">
        <v>215</v>
      </c>
      <c r="L1681">
        <v>26875</v>
      </c>
      <c r="M1681">
        <f>Inventory_Data[[#This Row],[Opening Stock]]+Inventory_Data[[#This Row],[Purchase Qty]]-Inventory_Data[[#This Row],[Sales Qty]]-Inventory_Data[[#This Row],[Closing Stock]]</f>
        <v>0</v>
      </c>
      <c r="N1681">
        <f>Inventory_Data[[#This Row],[Purchase Qty]]*Inventory_Data[[#This Row],[Unit Cost]]</f>
        <v>22360</v>
      </c>
      <c r="O1681" t="str">
        <f>IF(Inventory_Data[[#This Row],[Closing Stock]]&lt;=Inventory_Data[[#This Row],[Reorder Level]],"Low Stock","In Stock")</f>
        <v>In Stock</v>
      </c>
      <c r="P1681" t="str">
        <f>TEXT(Inventory_Data[[#This Row],[Date]],"MMM")</f>
        <v>Dec</v>
      </c>
      <c r="Q1681" t="str">
        <f>TEXT(Inventory_Data[[#This Row],[Date]],"YYYY")</f>
        <v>2025</v>
      </c>
    </row>
    <row r="1682" spans="1:17" x14ac:dyDescent="0.3">
      <c r="A1682" s="1">
        <v>46017</v>
      </c>
      <c r="B1682" t="s">
        <v>19</v>
      </c>
      <c r="C1682" t="s">
        <v>13</v>
      </c>
      <c r="D1682" t="s">
        <v>23</v>
      </c>
      <c r="E1682" t="s">
        <v>29</v>
      </c>
      <c r="F1682">
        <v>87</v>
      </c>
      <c r="G1682">
        <v>44</v>
      </c>
      <c r="H1682">
        <v>56</v>
      </c>
      <c r="I1682">
        <v>75</v>
      </c>
      <c r="J1682">
        <v>21</v>
      </c>
      <c r="K1682">
        <v>16268</v>
      </c>
      <c r="L1682">
        <v>1220100</v>
      </c>
      <c r="M1682">
        <f>Inventory_Data[[#This Row],[Opening Stock]]+Inventory_Data[[#This Row],[Purchase Qty]]-Inventory_Data[[#This Row],[Sales Qty]]-Inventory_Data[[#This Row],[Closing Stock]]</f>
        <v>0</v>
      </c>
      <c r="N1682">
        <f>Inventory_Data[[#This Row],[Purchase Qty]]*Inventory_Data[[#This Row],[Unit Cost]]</f>
        <v>715792</v>
      </c>
      <c r="O1682" t="str">
        <f>IF(Inventory_Data[[#This Row],[Closing Stock]]&lt;=Inventory_Data[[#This Row],[Reorder Level]],"Low Stock","In Stock")</f>
        <v>In Stock</v>
      </c>
      <c r="P1682" t="str">
        <f>TEXT(Inventory_Data[[#This Row],[Date]],"MMM")</f>
        <v>Dec</v>
      </c>
      <c r="Q1682" t="str">
        <f>TEXT(Inventory_Data[[#This Row],[Date]],"YYYY")</f>
        <v>2025</v>
      </c>
    </row>
    <row r="1683" spans="1:17" x14ac:dyDescent="0.3">
      <c r="A1683" s="1">
        <v>46017</v>
      </c>
      <c r="B1683" t="s">
        <v>38</v>
      </c>
      <c r="C1683" t="s">
        <v>17</v>
      </c>
      <c r="D1683" t="s">
        <v>14</v>
      </c>
      <c r="E1683" t="s">
        <v>34</v>
      </c>
      <c r="F1683">
        <v>10</v>
      </c>
      <c r="G1683">
        <v>58</v>
      </c>
      <c r="H1683">
        <v>5</v>
      </c>
      <c r="I1683">
        <v>63</v>
      </c>
      <c r="J1683">
        <v>21</v>
      </c>
      <c r="K1683">
        <v>10489</v>
      </c>
      <c r="L1683">
        <v>660807</v>
      </c>
      <c r="M1683">
        <f>Inventory_Data[[#This Row],[Opening Stock]]+Inventory_Data[[#This Row],[Purchase Qty]]-Inventory_Data[[#This Row],[Sales Qty]]-Inventory_Data[[#This Row],[Closing Stock]]</f>
        <v>0</v>
      </c>
      <c r="N1683">
        <f>Inventory_Data[[#This Row],[Purchase Qty]]*Inventory_Data[[#This Row],[Unit Cost]]</f>
        <v>608362</v>
      </c>
      <c r="O1683" t="str">
        <f>IF(Inventory_Data[[#This Row],[Closing Stock]]&lt;=Inventory_Data[[#This Row],[Reorder Level]],"Low Stock","In Stock")</f>
        <v>In Stock</v>
      </c>
      <c r="P1683" t="str">
        <f>TEXT(Inventory_Data[[#This Row],[Date]],"MMM")</f>
        <v>Dec</v>
      </c>
      <c r="Q1683" t="str">
        <f>TEXT(Inventory_Data[[#This Row],[Date]],"YYYY")</f>
        <v>2025</v>
      </c>
    </row>
    <row r="1684" spans="1:17" x14ac:dyDescent="0.3">
      <c r="A1684" s="1">
        <v>46017</v>
      </c>
      <c r="B1684" t="s">
        <v>38</v>
      </c>
      <c r="C1684" t="s">
        <v>17</v>
      </c>
      <c r="D1684" t="s">
        <v>26</v>
      </c>
      <c r="E1684" t="s">
        <v>15</v>
      </c>
      <c r="F1684">
        <v>49</v>
      </c>
      <c r="G1684">
        <v>17</v>
      </c>
      <c r="H1684">
        <v>27</v>
      </c>
      <c r="I1684">
        <v>39</v>
      </c>
      <c r="J1684">
        <v>20</v>
      </c>
      <c r="K1684">
        <v>4201</v>
      </c>
      <c r="L1684">
        <v>163839</v>
      </c>
      <c r="M1684">
        <f>Inventory_Data[[#This Row],[Opening Stock]]+Inventory_Data[[#This Row],[Purchase Qty]]-Inventory_Data[[#This Row],[Sales Qty]]-Inventory_Data[[#This Row],[Closing Stock]]</f>
        <v>0</v>
      </c>
      <c r="N1684">
        <f>Inventory_Data[[#This Row],[Purchase Qty]]*Inventory_Data[[#This Row],[Unit Cost]]</f>
        <v>71417</v>
      </c>
      <c r="O1684" t="str">
        <f>IF(Inventory_Data[[#This Row],[Closing Stock]]&lt;=Inventory_Data[[#This Row],[Reorder Level]],"Low Stock","In Stock")</f>
        <v>In Stock</v>
      </c>
      <c r="P1684" t="str">
        <f>TEXT(Inventory_Data[[#This Row],[Date]],"MMM")</f>
        <v>Dec</v>
      </c>
      <c r="Q1684" t="str">
        <f>TEXT(Inventory_Data[[#This Row],[Date]],"YYYY")</f>
        <v>2025</v>
      </c>
    </row>
    <row r="1685" spans="1:17" x14ac:dyDescent="0.3">
      <c r="A1685" s="1">
        <v>46017</v>
      </c>
      <c r="B1685" t="s">
        <v>25</v>
      </c>
      <c r="C1685" t="s">
        <v>17</v>
      </c>
      <c r="D1685" t="s">
        <v>37</v>
      </c>
      <c r="E1685" t="s">
        <v>24</v>
      </c>
      <c r="F1685">
        <v>32</v>
      </c>
      <c r="G1685">
        <v>29</v>
      </c>
      <c r="H1685">
        <v>2</v>
      </c>
      <c r="I1685">
        <v>59</v>
      </c>
      <c r="J1685">
        <v>24</v>
      </c>
      <c r="K1685">
        <v>2349</v>
      </c>
      <c r="L1685">
        <v>138591</v>
      </c>
      <c r="M1685">
        <f>Inventory_Data[[#This Row],[Opening Stock]]+Inventory_Data[[#This Row],[Purchase Qty]]-Inventory_Data[[#This Row],[Sales Qty]]-Inventory_Data[[#This Row],[Closing Stock]]</f>
        <v>0</v>
      </c>
      <c r="N1685">
        <f>Inventory_Data[[#This Row],[Purchase Qty]]*Inventory_Data[[#This Row],[Unit Cost]]</f>
        <v>68121</v>
      </c>
      <c r="O1685" t="str">
        <f>IF(Inventory_Data[[#This Row],[Closing Stock]]&lt;=Inventory_Data[[#This Row],[Reorder Level]],"Low Stock","In Stock")</f>
        <v>In Stock</v>
      </c>
      <c r="P1685" t="str">
        <f>TEXT(Inventory_Data[[#This Row],[Date]],"MMM")</f>
        <v>Dec</v>
      </c>
      <c r="Q1685" t="str">
        <f>TEXT(Inventory_Data[[#This Row],[Date]],"YYYY")</f>
        <v>2025</v>
      </c>
    </row>
    <row r="1686" spans="1:17" x14ac:dyDescent="0.3">
      <c r="A1686" s="1">
        <v>46018</v>
      </c>
      <c r="B1686" t="s">
        <v>42</v>
      </c>
      <c r="C1686" t="s">
        <v>17</v>
      </c>
      <c r="D1686" t="s">
        <v>26</v>
      </c>
      <c r="E1686" t="s">
        <v>15</v>
      </c>
      <c r="F1686">
        <v>86</v>
      </c>
      <c r="G1686">
        <v>40</v>
      </c>
      <c r="H1686">
        <v>10</v>
      </c>
      <c r="I1686">
        <v>116</v>
      </c>
      <c r="J1686">
        <v>28</v>
      </c>
      <c r="K1686">
        <v>24489</v>
      </c>
      <c r="L1686">
        <v>2840724</v>
      </c>
      <c r="M1686">
        <f>Inventory_Data[[#This Row],[Opening Stock]]+Inventory_Data[[#This Row],[Purchase Qty]]-Inventory_Data[[#This Row],[Sales Qty]]-Inventory_Data[[#This Row],[Closing Stock]]</f>
        <v>0</v>
      </c>
      <c r="N1686">
        <f>Inventory_Data[[#This Row],[Purchase Qty]]*Inventory_Data[[#This Row],[Unit Cost]]</f>
        <v>979560</v>
      </c>
      <c r="O1686" t="str">
        <f>IF(Inventory_Data[[#This Row],[Closing Stock]]&lt;=Inventory_Data[[#This Row],[Reorder Level]],"Low Stock","In Stock")</f>
        <v>In Stock</v>
      </c>
      <c r="P1686" t="str">
        <f>TEXT(Inventory_Data[[#This Row],[Date]],"MMM")</f>
        <v>Dec</v>
      </c>
      <c r="Q1686" t="str">
        <f>TEXT(Inventory_Data[[#This Row],[Date]],"YYYY")</f>
        <v>2025</v>
      </c>
    </row>
    <row r="1687" spans="1:17" x14ac:dyDescent="0.3">
      <c r="A1687" s="1">
        <v>46018</v>
      </c>
      <c r="B1687" t="s">
        <v>27</v>
      </c>
      <c r="C1687" t="s">
        <v>28</v>
      </c>
      <c r="D1687" t="s">
        <v>23</v>
      </c>
      <c r="E1687" t="s">
        <v>18</v>
      </c>
      <c r="F1687">
        <v>32</v>
      </c>
      <c r="G1687">
        <v>27</v>
      </c>
      <c r="H1687">
        <v>25</v>
      </c>
      <c r="I1687">
        <v>34</v>
      </c>
      <c r="J1687">
        <v>20</v>
      </c>
      <c r="K1687">
        <v>9359</v>
      </c>
      <c r="L1687">
        <v>318206</v>
      </c>
      <c r="M1687">
        <f>Inventory_Data[[#This Row],[Opening Stock]]+Inventory_Data[[#This Row],[Purchase Qty]]-Inventory_Data[[#This Row],[Sales Qty]]-Inventory_Data[[#This Row],[Closing Stock]]</f>
        <v>0</v>
      </c>
      <c r="N1687">
        <f>Inventory_Data[[#This Row],[Purchase Qty]]*Inventory_Data[[#This Row],[Unit Cost]]</f>
        <v>252693</v>
      </c>
      <c r="O1687" t="str">
        <f>IF(Inventory_Data[[#This Row],[Closing Stock]]&lt;=Inventory_Data[[#This Row],[Reorder Level]],"Low Stock","In Stock")</f>
        <v>In Stock</v>
      </c>
      <c r="P1687" t="str">
        <f>TEXT(Inventory_Data[[#This Row],[Date]],"MMM")</f>
        <v>Dec</v>
      </c>
      <c r="Q1687" t="str">
        <f>TEXT(Inventory_Data[[#This Row],[Date]],"YYYY")</f>
        <v>2025</v>
      </c>
    </row>
    <row r="1688" spans="1:17" x14ac:dyDescent="0.3">
      <c r="A1688" s="1">
        <v>46018</v>
      </c>
      <c r="B1688" t="s">
        <v>43</v>
      </c>
      <c r="C1688" t="s">
        <v>22</v>
      </c>
      <c r="D1688" t="s">
        <v>23</v>
      </c>
      <c r="E1688" t="s">
        <v>18</v>
      </c>
      <c r="F1688">
        <v>290</v>
      </c>
      <c r="G1688">
        <v>100</v>
      </c>
      <c r="H1688">
        <v>225</v>
      </c>
      <c r="I1688">
        <v>165</v>
      </c>
      <c r="J1688">
        <v>90</v>
      </c>
      <c r="K1688">
        <v>98</v>
      </c>
      <c r="L1688">
        <v>16170</v>
      </c>
      <c r="M1688">
        <f>Inventory_Data[[#This Row],[Opening Stock]]+Inventory_Data[[#This Row],[Purchase Qty]]-Inventory_Data[[#This Row],[Sales Qty]]-Inventory_Data[[#This Row],[Closing Stock]]</f>
        <v>0</v>
      </c>
      <c r="N1688">
        <f>Inventory_Data[[#This Row],[Purchase Qty]]*Inventory_Data[[#This Row],[Unit Cost]]</f>
        <v>9800</v>
      </c>
      <c r="O1688" t="str">
        <f>IF(Inventory_Data[[#This Row],[Closing Stock]]&lt;=Inventory_Data[[#This Row],[Reorder Level]],"Low Stock","In Stock")</f>
        <v>In Stock</v>
      </c>
      <c r="P1688" t="str">
        <f>TEXT(Inventory_Data[[#This Row],[Date]],"MMM")</f>
        <v>Dec</v>
      </c>
      <c r="Q1688" t="str">
        <f>TEXT(Inventory_Data[[#This Row],[Date]],"YYYY")</f>
        <v>2025</v>
      </c>
    </row>
    <row r="1689" spans="1:17" x14ac:dyDescent="0.3">
      <c r="A1689" s="1">
        <v>46019</v>
      </c>
      <c r="B1689" t="s">
        <v>40</v>
      </c>
      <c r="C1689" t="s">
        <v>28</v>
      </c>
      <c r="D1689" t="s">
        <v>23</v>
      </c>
      <c r="E1689" t="s">
        <v>20</v>
      </c>
      <c r="F1689">
        <v>131</v>
      </c>
      <c r="G1689">
        <v>117</v>
      </c>
      <c r="H1689">
        <v>21</v>
      </c>
      <c r="I1689">
        <v>227</v>
      </c>
      <c r="J1689">
        <v>28</v>
      </c>
      <c r="K1689">
        <v>5317</v>
      </c>
      <c r="L1689">
        <v>1206959</v>
      </c>
      <c r="M1689">
        <f>Inventory_Data[[#This Row],[Opening Stock]]+Inventory_Data[[#This Row],[Purchase Qty]]-Inventory_Data[[#This Row],[Sales Qty]]-Inventory_Data[[#This Row],[Closing Stock]]</f>
        <v>0</v>
      </c>
      <c r="N1689">
        <f>Inventory_Data[[#This Row],[Purchase Qty]]*Inventory_Data[[#This Row],[Unit Cost]]</f>
        <v>622089</v>
      </c>
      <c r="O1689" t="str">
        <f>IF(Inventory_Data[[#This Row],[Closing Stock]]&lt;=Inventory_Data[[#This Row],[Reorder Level]],"Low Stock","In Stock")</f>
        <v>In Stock</v>
      </c>
      <c r="P1689" t="str">
        <f>TEXT(Inventory_Data[[#This Row],[Date]],"MMM")</f>
        <v>Dec</v>
      </c>
      <c r="Q1689" t="str">
        <f>TEXT(Inventory_Data[[#This Row],[Date]],"YYYY")</f>
        <v>2025</v>
      </c>
    </row>
    <row r="1690" spans="1:17" x14ac:dyDescent="0.3">
      <c r="A1690" s="1">
        <v>46019</v>
      </c>
      <c r="B1690" t="s">
        <v>40</v>
      </c>
      <c r="C1690" t="s">
        <v>28</v>
      </c>
      <c r="D1690" t="s">
        <v>37</v>
      </c>
      <c r="E1690" t="s">
        <v>29</v>
      </c>
      <c r="F1690">
        <v>59</v>
      </c>
      <c r="G1690">
        <v>67</v>
      </c>
      <c r="H1690">
        <v>82</v>
      </c>
      <c r="I1690">
        <v>44</v>
      </c>
      <c r="J1690">
        <v>52</v>
      </c>
      <c r="K1690">
        <v>50153</v>
      </c>
      <c r="L1690">
        <v>2206732</v>
      </c>
      <c r="M1690">
        <f>Inventory_Data[[#This Row],[Opening Stock]]+Inventory_Data[[#This Row],[Purchase Qty]]-Inventory_Data[[#This Row],[Sales Qty]]-Inventory_Data[[#This Row],[Closing Stock]]</f>
        <v>0</v>
      </c>
      <c r="N1690">
        <f>Inventory_Data[[#This Row],[Purchase Qty]]*Inventory_Data[[#This Row],[Unit Cost]]</f>
        <v>3360251</v>
      </c>
      <c r="O1690" t="str">
        <f>IF(Inventory_Data[[#This Row],[Closing Stock]]&lt;=Inventory_Data[[#This Row],[Reorder Level]],"Low Stock","In Stock")</f>
        <v>Low Stock</v>
      </c>
      <c r="P1690" t="str">
        <f>TEXT(Inventory_Data[[#This Row],[Date]],"MMM")</f>
        <v>Dec</v>
      </c>
      <c r="Q1690" t="str">
        <f>TEXT(Inventory_Data[[#This Row],[Date]],"YYYY")</f>
        <v>2025</v>
      </c>
    </row>
    <row r="1691" spans="1:17" x14ac:dyDescent="0.3">
      <c r="A1691" s="1">
        <v>46019</v>
      </c>
      <c r="B1691" t="s">
        <v>27</v>
      </c>
      <c r="C1691" t="s">
        <v>28</v>
      </c>
      <c r="D1691" t="s">
        <v>26</v>
      </c>
      <c r="E1691" t="s">
        <v>20</v>
      </c>
      <c r="F1691">
        <v>112</v>
      </c>
      <c r="G1691">
        <v>74</v>
      </c>
      <c r="H1691">
        <v>72</v>
      </c>
      <c r="I1691">
        <v>114</v>
      </c>
      <c r="J1691">
        <v>51</v>
      </c>
      <c r="K1691">
        <v>3231</v>
      </c>
      <c r="L1691">
        <v>368334</v>
      </c>
      <c r="M1691">
        <f>Inventory_Data[[#This Row],[Opening Stock]]+Inventory_Data[[#This Row],[Purchase Qty]]-Inventory_Data[[#This Row],[Sales Qty]]-Inventory_Data[[#This Row],[Closing Stock]]</f>
        <v>0</v>
      </c>
      <c r="N1691">
        <f>Inventory_Data[[#This Row],[Purchase Qty]]*Inventory_Data[[#This Row],[Unit Cost]]</f>
        <v>239094</v>
      </c>
      <c r="O1691" t="str">
        <f>IF(Inventory_Data[[#This Row],[Closing Stock]]&lt;=Inventory_Data[[#This Row],[Reorder Level]],"Low Stock","In Stock")</f>
        <v>In Stock</v>
      </c>
      <c r="P1691" t="str">
        <f>TEXT(Inventory_Data[[#This Row],[Date]],"MMM")</f>
        <v>Dec</v>
      </c>
      <c r="Q1691" t="str">
        <f>TEXT(Inventory_Data[[#This Row],[Date]],"YYYY")</f>
        <v>2025</v>
      </c>
    </row>
    <row r="1692" spans="1:17" x14ac:dyDescent="0.3">
      <c r="A1692" s="1">
        <v>46019</v>
      </c>
      <c r="B1692" t="s">
        <v>35</v>
      </c>
      <c r="C1692" t="s">
        <v>22</v>
      </c>
      <c r="D1692" t="s">
        <v>14</v>
      </c>
      <c r="E1692" t="s">
        <v>20</v>
      </c>
      <c r="F1692">
        <v>430</v>
      </c>
      <c r="G1692">
        <v>183</v>
      </c>
      <c r="H1692">
        <v>171</v>
      </c>
      <c r="I1692">
        <v>442</v>
      </c>
      <c r="J1692">
        <v>127</v>
      </c>
      <c r="K1692">
        <v>38</v>
      </c>
      <c r="L1692">
        <v>16796</v>
      </c>
      <c r="M1692">
        <f>Inventory_Data[[#This Row],[Opening Stock]]+Inventory_Data[[#This Row],[Purchase Qty]]-Inventory_Data[[#This Row],[Sales Qty]]-Inventory_Data[[#This Row],[Closing Stock]]</f>
        <v>0</v>
      </c>
      <c r="N1692">
        <f>Inventory_Data[[#This Row],[Purchase Qty]]*Inventory_Data[[#This Row],[Unit Cost]]</f>
        <v>6954</v>
      </c>
      <c r="O1692" t="str">
        <f>IF(Inventory_Data[[#This Row],[Closing Stock]]&lt;=Inventory_Data[[#This Row],[Reorder Level]],"Low Stock","In Stock")</f>
        <v>In Stock</v>
      </c>
      <c r="P1692" t="str">
        <f>TEXT(Inventory_Data[[#This Row],[Date]],"MMM")</f>
        <v>Dec</v>
      </c>
      <c r="Q1692" t="str">
        <f>TEXT(Inventory_Data[[#This Row],[Date]],"YYYY")</f>
        <v>2025</v>
      </c>
    </row>
    <row r="1693" spans="1:17" x14ac:dyDescent="0.3">
      <c r="A1693" s="1">
        <v>46019</v>
      </c>
      <c r="B1693" t="s">
        <v>42</v>
      </c>
      <c r="C1693" t="s">
        <v>17</v>
      </c>
      <c r="D1693" t="s">
        <v>14</v>
      </c>
      <c r="E1693" t="s">
        <v>18</v>
      </c>
      <c r="F1693">
        <v>86</v>
      </c>
      <c r="G1693">
        <v>19</v>
      </c>
      <c r="H1693">
        <v>6</v>
      </c>
      <c r="I1693">
        <v>99</v>
      </c>
      <c r="J1693">
        <v>12</v>
      </c>
      <c r="K1693">
        <v>3768</v>
      </c>
      <c r="L1693">
        <v>373032</v>
      </c>
      <c r="M1693">
        <f>Inventory_Data[[#This Row],[Opening Stock]]+Inventory_Data[[#This Row],[Purchase Qty]]-Inventory_Data[[#This Row],[Sales Qty]]-Inventory_Data[[#This Row],[Closing Stock]]</f>
        <v>0</v>
      </c>
      <c r="N1693">
        <f>Inventory_Data[[#This Row],[Purchase Qty]]*Inventory_Data[[#This Row],[Unit Cost]]</f>
        <v>71592</v>
      </c>
      <c r="O1693" t="str">
        <f>IF(Inventory_Data[[#This Row],[Closing Stock]]&lt;=Inventory_Data[[#This Row],[Reorder Level]],"Low Stock","In Stock")</f>
        <v>In Stock</v>
      </c>
      <c r="P1693" t="str">
        <f>TEXT(Inventory_Data[[#This Row],[Date]],"MMM")</f>
        <v>Dec</v>
      </c>
      <c r="Q1693" t="str">
        <f>TEXT(Inventory_Data[[#This Row],[Date]],"YYYY")</f>
        <v>2025</v>
      </c>
    </row>
    <row r="1694" spans="1:17" x14ac:dyDescent="0.3">
      <c r="A1694" s="1">
        <v>46019</v>
      </c>
      <c r="B1694" t="s">
        <v>35</v>
      </c>
      <c r="C1694" t="s">
        <v>22</v>
      </c>
      <c r="D1694" t="s">
        <v>26</v>
      </c>
      <c r="E1694" t="s">
        <v>34</v>
      </c>
      <c r="F1694">
        <v>244</v>
      </c>
      <c r="G1694">
        <v>123</v>
      </c>
      <c r="H1694">
        <v>144</v>
      </c>
      <c r="I1694">
        <v>223</v>
      </c>
      <c r="J1694">
        <v>68</v>
      </c>
      <c r="K1694">
        <v>735</v>
      </c>
      <c r="L1694">
        <v>163905</v>
      </c>
      <c r="M1694">
        <f>Inventory_Data[[#This Row],[Opening Stock]]+Inventory_Data[[#This Row],[Purchase Qty]]-Inventory_Data[[#This Row],[Sales Qty]]-Inventory_Data[[#This Row],[Closing Stock]]</f>
        <v>0</v>
      </c>
      <c r="N1694">
        <f>Inventory_Data[[#This Row],[Purchase Qty]]*Inventory_Data[[#This Row],[Unit Cost]]</f>
        <v>90405</v>
      </c>
      <c r="O1694" t="str">
        <f>IF(Inventory_Data[[#This Row],[Closing Stock]]&lt;=Inventory_Data[[#This Row],[Reorder Level]],"Low Stock","In Stock")</f>
        <v>In Stock</v>
      </c>
      <c r="P1694" t="str">
        <f>TEXT(Inventory_Data[[#This Row],[Date]],"MMM")</f>
        <v>Dec</v>
      </c>
      <c r="Q1694" t="str">
        <f>TEXT(Inventory_Data[[#This Row],[Date]],"YYYY")</f>
        <v>2025</v>
      </c>
    </row>
    <row r="1695" spans="1:17" x14ac:dyDescent="0.3">
      <c r="A1695" s="1">
        <v>46019</v>
      </c>
      <c r="B1695" t="s">
        <v>16</v>
      </c>
      <c r="C1695" t="s">
        <v>17</v>
      </c>
      <c r="D1695" t="s">
        <v>23</v>
      </c>
      <c r="E1695" t="s">
        <v>24</v>
      </c>
      <c r="F1695">
        <v>78</v>
      </c>
      <c r="G1695">
        <v>56</v>
      </c>
      <c r="H1695">
        <v>42</v>
      </c>
      <c r="I1695">
        <v>92</v>
      </c>
      <c r="J1695">
        <v>20</v>
      </c>
      <c r="K1695">
        <v>4131</v>
      </c>
      <c r="L1695">
        <v>380052</v>
      </c>
      <c r="M1695">
        <f>Inventory_Data[[#This Row],[Opening Stock]]+Inventory_Data[[#This Row],[Purchase Qty]]-Inventory_Data[[#This Row],[Sales Qty]]-Inventory_Data[[#This Row],[Closing Stock]]</f>
        <v>0</v>
      </c>
      <c r="N1695">
        <f>Inventory_Data[[#This Row],[Purchase Qty]]*Inventory_Data[[#This Row],[Unit Cost]]</f>
        <v>231336</v>
      </c>
      <c r="O1695" t="str">
        <f>IF(Inventory_Data[[#This Row],[Closing Stock]]&lt;=Inventory_Data[[#This Row],[Reorder Level]],"Low Stock","In Stock")</f>
        <v>In Stock</v>
      </c>
      <c r="P1695" t="str">
        <f>TEXT(Inventory_Data[[#This Row],[Date]],"MMM")</f>
        <v>Dec</v>
      </c>
      <c r="Q1695" t="str">
        <f>TEXT(Inventory_Data[[#This Row],[Date]],"YYYY")</f>
        <v>2025</v>
      </c>
    </row>
    <row r="1696" spans="1:17" x14ac:dyDescent="0.3">
      <c r="A1696" s="1">
        <v>46019</v>
      </c>
      <c r="B1696" t="s">
        <v>44</v>
      </c>
      <c r="C1696" t="s">
        <v>28</v>
      </c>
      <c r="D1696" t="s">
        <v>23</v>
      </c>
      <c r="E1696" t="s">
        <v>20</v>
      </c>
      <c r="F1696">
        <v>66</v>
      </c>
      <c r="G1696">
        <v>22</v>
      </c>
      <c r="H1696">
        <v>26</v>
      </c>
      <c r="I1696">
        <v>62</v>
      </c>
      <c r="J1696">
        <v>40</v>
      </c>
      <c r="K1696">
        <v>24469</v>
      </c>
      <c r="L1696">
        <v>1517078</v>
      </c>
      <c r="M1696">
        <f>Inventory_Data[[#This Row],[Opening Stock]]+Inventory_Data[[#This Row],[Purchase Qty]]-Inventory_Data[[#This Row],[Sales Qty]]-Inventory_Data[[#This Row],[Closing Stock]]</f>
        <v>0</v>
      </c>
      <c r="N1696">
        <f>Inventory_Data[[#This Row],[Purchase Qty]]*Inventory_Data[[#This Row],[Unit Cost]]</f>
        <v>538318</v>
      </c>
      <c r="O1696" t="str">
        <f>IF(Inventory_Data[[#This Row],[Closing Stock]]&lt;=Inventory_Data[[#This Row],[Reorder Level]],"Low Stock","In Stock")</f>
        <v>In Stock</v>
      </c>
      <c r="P1696" t="str">
        <f>TEXT(Inventory_Data[[#This Row],[Date]],"MMM")</f>
        <v>Dec</v>
      </c>
      <c r="Q1696" t="str">
        <f>TEXT(Inventory_Data[[#This Row],[Date]],"YYYY")</f>
        <v>2025</v>
      </c>
    </row>
    <row r="1697" spans="1:17" x14ac:dyDescent="0.3">
      <c r="A1697" s="1">
        <v>46019</v>
      </c>
      <c r="B1697" t="s">
        <v>31</v>
      </c>
      <c r="C1697" t="s">
        <v>22</v>
      </c>
      <c r="D1697" t="s">
        <v>37</v>
      </c>
      <c r="E1697" t="s">
        <v>20</v>
      </c>
      <c r="F1697">
        <v>223</v>
      </c>
      <c r="G1697">
        <v>119</v>
      </c>
      <c r="H1697">
        <v>222</v>
      </c>
      <c r="I1697">
        <v>120</v>
      </c>
      <c r="J1697">
        <v>141</v>
      </c>
      <c r="K1697">
        <v>80</v>
      </c>
      <c r="L1697">
        <v>9600</v>
      </c>
      <c r="M1697">
        <f>Inventory_Data[[#This Row],[Opening Stock]]+Inventory_Data[[#This Row],[Purchase Qty]]-Inventory_Data[[#This Row],[Sales Qty]]-Inventory_Data[[#This Row],[Closing Stock]]</f>
        <v>0</v>
      </c>
      <c r="N1697">
        <f>Inventory_Data[[#This Row],[Purchase Qty]]*Inventory_Data[[#This Row],[Unit Cost]]</f>
        <v>9520</v>
      </c>
      <c r="O1697" t="str">
        <f>IF(Inventory_Data[[#This Row],[Closing Stock]]&lt;=Inventory_Data[[#This Row],[Reorder Level]],"Low Stock","In Stock")</f>
        <v>Low Stock</v>
      </c>
      <c r="P1697" t="str">
        <f>TEXT(Inventory_Data[[#This Row],[Date]],"MMM")</f>
        <v>Dec</v>
      </c>
      <c r="Q1697" t="str">
        <f>TEXT(Inventory_Data[[#This Row],[Date]],"YYYY")</f>
        <v>2025</v>
      </c>
    </row>
    <row r="1698" spans="1:17" x14ac:dyDescent="0.3">
      <c r="A1698" s="1">
        <v>46020</v>
      </c>
      <c r="B1698" t="s">
        <v>30</v>
      </c>
      <c r="C1698" t="s">
        <v>28</v>
      </c>
      <c r="D1698" t="s">
        <v>37</v>
      </c>
      <c r="E1698" t="s">
        <v>29</v>
      </c>
      <c r="F1698">
        <v>37</v>
      </c>
      <c r="G1698">
        <v>47</v>
      </c>
      <c r="H1698">
        <v>19</v>
      </c>
      <c r="I1698">
        <v>65</v>
      </c>
      <c r="J1698">
        <v>44</v>
      </c>
      <c r="K1698">
        <v>47071</v>
      </c>
      <c r="L1698">
        <v>3059615</v>
      </c>
      <c r="M1698">
        <f>Inventory_Data[[#This Row],[Opening Stock]]+Inventory_Data[[#This Row],[Purchase Qty]]-Inventory_Data[[#This Row],[Sales Qty]]-Inventory_Data[[#This Row],[Closing Stock]]</f>
        <v>0</v>
      </c>
      <c r="N1698">
        <f>Inventory_Data[[#This Row],[Purchase Qty]]*Inventory_Data[[#This Row],[Unit Cost]]</f>
        <v>2212337</v>
      </c>
      <c r="O1698" t="str">
        <f>IF(Inventory_Data[[#This Row],[Closing Stock]]&lt;=Inventory_Data[[#This Row],[Reorder Level]],"Low Stock","In Stock")</f>
        <v>In Stock</v>
      </c>
      <c r="P1698" t="str">
        <f>TEXT(Inventory_Data[[#This Row],[Date]],"MMM")</f>
        <v>Dec</v>
      </c>
      <c r="Q1698" t="str">
        <f>TEXT(Inventory_Data[[#This Row],[Date]],"YYYY")</f>
        <v>2025</v>
      </c>
    </row>
    <row r="1699" spans="1:17" x14ac:dyDescent="0.3">
      <c r="A1699" s="1">
        <v>46020</v>
      </c>
      <c r="B1699" t="s">
        <v>39</v>
      </c>
      <c r="C1699" t="s">
        <v>28</v>
      </c>
      <c r="D1699" t="s">
        <v>26</v>
      </c>
      <c r="E1699" t="s">
        <v>34</v>
      </c>
      <c r="F1699">
        <v>143</v>
      </c>
      <c r="G1699">
        <v>79</v>
      </c>
      <c r="H1699">
        <v>92</v>
      </c>
      <c r="I1699">
        <v>130</v>
      </c>
      <c r="J1699">
        <v>42</v>
      </c>
      <c r="K1699">
        <v>48875</v>
      </c>
      <c r="L1699">
        <v>6353750</v>
      </c>
      <c r="M1699">
        <f>Inventory_Data[[#This Row],[Opening Stock]]+Inventory_Data[[#This Row],[Purchase Qty]]-Inventory_Data[[#This Row],[Sales Qty]]-Inventory_Data[[#This Row],[Closing Stock]]</f>
        <v>0</v>
      </c>
      <c r="N1699">
        <f>Inventory_Data[[#This Row],[Purchase Qty]]*Inventory_Data[[#This Row],[Unit Cost]]</f>
        <v>3861125</v>
      </c>
      <c r="O1699" t="str">
        <f>IF(Inventory_Data[[#This Row],[Closing Stock]]&lt;=Inventory_Data[[#This Row],[Reorder Level]],"Low Stock","In Stock")</f>
        <v>In Stock</v>
      </c>
      <c r="P1699" t="str">
        <f>TEXT(Inventory_Data[[#This Row],[Date]],"MMM")</f>
        <v>Dec</v>
      </c>
      <c r="Q1699" t="str">
        <f>TEXT(Inventory_Data[[#This Row],[Date]],"YYYY")</f>
        <v>2025</v>
      </c>
    </row>
    <row r="1700" spans="1:17" x14ac:dyDescent="0.3">
      <c r="A1700" s="1">
        <v>46020</v>
      </c>
      <c r="B1700" t="s">
        <v>35</v>
      </c>
      <c r="C1700" t="s">
        <v>22</v>
      </c>
      <c r="D1700" t="s">
        <v>26</v>
      </c>
      <c r="E1700" t="s">
        <v>29</v>
      </c>
      <c r="F1700">
        <v>445</v>
      </c>
      <c r="G1700">
        <v>247</v>
      </c>
      <c r="H1700">
        <v>150</v>
      </c>
      <c r="I1700">
        <v>542</v>
      </c>
      <c r="J1700">
        <v>131</v>
      </c>
      <c r="K1700">
        <v>977</v>
      </c>
      <c r="L1700">
        <v>529534</v>
      </c>
      <c r="M1700">
        <f>Inventory_Data[[#This Row],[Opening Stock]]+Inventory_Data[[#This Row],[Purchase Qty]]-Inventory_Data[[#This Row],[Sales Qty]]-Inventory_Data[[#This Row],[Closing Stock]]</f>
        <v>0</v>
      </c>
      <c r="N1700">
        <f>Inventory_Data[[#This Row],[Purchase Qty]]*Inventory_Data[[#This Row],[Unit Cost]]</f>
        <v>241319</v>
      </c>
      <c r="O1700" t="str">
        <f>IF(Inventory_Data[[#This Row],[Closing Stock]]&lt;=Inventory_Data[[#This Row],[Reorder Level]],"Low Stock","In Stock")</f>
        <v>In Stock</v>
      </c>
      <c r="P1700" t="str">
        <f>TEXT(Inventory_Data[[#This Row],[Date]],"MMM")</f>
        <v>Dec</v>
      </c>
      <c r="Q1700" t="str">
        <f>TEXT(Inventory_Data[[#This Row],[Date]],"YYYY")</f>
        <v>2025</v>
      </c>
    </row>
    <row r="1701" spans="1:17" x14ac:dyDescent="0.3">
      <c r="A1701" s="1">
        <v>46020</v>
      </c>
      <c r="B1701" t="s">
        <v>44</v>
      </c>
      <c r="C1701" t="s">
        <v>28</v>
      </c>
      <c r="D1701" t="s">
        <v>37</v>
      </c>
      <c r="E1701" t="s">
        <v>24</v>
      </c>
      <c r="F1701">
        <v>64</v>
      </c>
      <c r="G1701">
        <v>98</v>
      </c>
      <c r="H1701">
        <v>57</v>
      </c>
      <c r="I1701">
        <v>105</v>
      </c>
      <c r="J1701">
        <v>55</v>
      </c>
      <c r="K1701">
        <v>47049</v>
      </c>
      <c r="L1701">
        <v>4940145</v>
      </c>
      <c r="M1701">
        <f>Inventory_Data[[#This Row],[Opening Stock]]+Inventory_Data[[#This Row],[Purchase Qty]]-Inventory_Data[[#This Row],[Sales Qty]]-Inventory_Data[[#This Row],[Closing Stock]]</f>
        <v>0</v>
      </c>
      <c r="N1701">
        <f>Inventory_Data[[#This Row],[Purchase Qty]]*Inventory_Data[[#This Row],[Unit Cost]]</f>
        <v>4610802</v>
      </c>
      <c r="O1701" t="str">
        <f>IF(Inventory_Data[[#This Row],[Closing Stock]]&lt;=Inventory_Data[[#This Row],[Reorder Level]],"Low Stock","In Stock")</f>
        <v>In Stock</v>
      </c>
      <c r="P1701" t="str">
        <f>TEXT(Inventory_Data[[#This Row],[Date]],"MMM")</f>
        <v>Dec</v>
      </c>
      <c r="Q1701" t="str">
        <f>TEXT(Inventory_Data[[#This Row],[Date]],"YYYY")</f>
        <v>2025</v>
      </c>
    </row>
    <row r="1702" spans="1:17" x14ac:dyDescent="0.3">
      <c r="A1702" s="1">
        <v>46020</v>
      </c>
      <c r="B1702" t="s">
        <v>41</v>
      </c>
      <c r="C1702" t="s">
        <v>22</v>
      </c>
      <c r="D1702" t="s">
        <v>14</v>
      </c>
      <c r="E1702" t="s">
        <v>24</v>
      </c>
      <c r="F1702">
        <v>355</v>
      </c>
      <c r="G1702">
        <v>234</v>
      </c>
      <c r="H1702">
        <v>26</v>
      </c>
      <c r="I1702">
        <v>563</v>
      </c>
      <c r="J1702">
        <v>133</v>
      </c>
      <c r="K1702">
        <v>563</v>
      </c>
      <c r="L1702">
        <v>316969</v>
      </c>
      <c r="M1702">
        <f>Inventory_Data[[#This Row],[Opening Stock]]+Inventory_Data[[#This Row],[Purchase Qty]]-Inventory_Data[[#This Row],[Sales Qty]]-Inventory_Data[[#This Row],[Closing Stock]]</f>
        <v>0</v>
      </c>
      <c r="N1702">
        <f>Inventory_Data[[#This Row],[Purchase Qty]]*Inventory_Data[[#This Row],[Unit Cost]]</f>
        <v>131742</v>
      </c>
      <c r="O1702" t="str">
        <f>IF(Inventory_Data[[#This Row],[Closing Stock]]&lt;=Inventory_Data[[#This Row],[Reorder Level]],"Low Stock","In Stock")</f>
        <v>In Stock</v>
      </c>
      <c r="P1702" t="str">
        <f>TEXT(Inventory_Data[[#This Row],[Date]],"MMM")</f>
        <v>Dec</v>
      </c>
      <c r="Q1702" t="str">
        <f>TEXT(Inventory_Data[[#This Row],[Date]],"YYYY")</f>
        <v>2025</v>
      </c>
    </row>
    <row r="1703" spans="1:17" x14ac:dyDescent="0.3">
      <c r="A1703" s="1">
        <v>46020</v>
      </c>
      <c r="B1703" t="s">
        <v>38</v>
      </c>
      <c r="C1703" t="s">
        <v>17</v>
      </c>
      <c r="D1703" t="s">
        <v>37</v>
      </c>
      <c r="E1703" t="s">
        <v>29</v>
      </c>
      <c r="F1703">
        <v>38</v>
      </c>
      <c r="G1703">
        <v>47</v>
      </c>
      <c r="H1703">
        <v>40</v>
      </c>
      <c r="I1703">
        <v>45</v>
      </c>
      <c r="J1703">
        <v>28</v>
      </c>
      <c r="K1703">
        <v>5277</v>
      </c>
      <c r="L1703">
        <v>237465</v>
      </c>
      <c r="M1703">
        <f>Inventory_Data[[#This Row],[Opening Stock]]+Inventory_Data[[#This Row],[Purchase Qty]]-Inventory_Data[[#This Row],[Sales Qty]]-Inventory_Data[[#This Row],[Closing Stock]]</f>
        <v>0</v>
      </c>
      <c r="N1703">
        <f>Inventory_Data[[#This Row],[Purchase Qty]]*Inventory_Data[[#This Row],[Unit Cost]]</f>
        <v>248019</v>
      </c>
      <c r="O1703" t="str">
        <f>IF(Inventory_Data[[#This Row],[Closing Stock]]&lt;=Inventory_Data[[#This Row],[Reorder Level]],"Low Stock","In Stock")</f>
        <v>In Stock</v>
      </c>
      <c r="P1703" t="str">
        <f>TEXT(Inventory_Data[[#This Row],[Date]],"MMM")</f>
        <v>Dec</v>
      </c>
      <c r="Q1703" t="str">
        <f>TEXT(Inventory_Data[[#This Row],[Date]],"YYYY")</f>
        <v>2025</v>
      </c>
    </row>
    <row r="1704" spans="1:17" x14ac:dyDescent="0.3">
      <c r="A1704" s="1">
        <v>46020</v>
      </c>
      <c r="B1704" t="s">
        <v>27</v>
      </c>
      <c r="C1704" t="s">
        <v>28</v>
      </c>
      <c r="D1704" t="s">
        <v>14</v>
      </c>
      <c r="E1704" t="s">
        <v>29</v>
      </c>
      <c r="F1704">
        <v>70</v>
      </c>
      <c r="G1704">
        <v>81</v>
      </c>
      <c r="H1704">
        <v>29</v>
      </c>
      <c r="I1704">
        <v>122</v>
      </c>
      <c r="J1704">
        <v>54</v>
      </c>
      <c r="K1704">
        <v>9583</v>
      </c>
      <c r="L1704">
        <v>1169126</v>
      </c>
      <c r="M1704">
        <f>Inventory_Data[[#This Row],[Opening Stock]]+Inventory_Data[[#This Row],[Purchase Qty]]-Inventory_Data[[#This Row],[Sales Qty]]-Inventory_Data[[#This Row],[Closing Stock]]</f>
        <v>0</v>
      </c>
      <c r="N1704">
        <f>Inventory_Data[[#This Row],[Purchase Qty]]*Inventory_Data[[#This Row],[Unit Cost]]</f>
        <v>776223</v>
      </c>
      <c r="O1704" t="str">
        <f>IF(Inventory_Data[[#This Row],[Closing Stock]]&lt;=Inventory_Data[[#This Row],[Reorder Level]],"Low Stock","In Stock")</f>
        <v>In Stock</v>
      </c>
      <c r="P1704" t="str">
        <f>TEXT(Inventory_Data[[#This Row],[Date]],"MMM")</f>
        <v>Dec</v>
      </c>
      <c r="Q1704" t="str">
        <f>TEXT(Inventory_Data[[#This Row],[Date]],"YYYY")</f>
        <v>2025</v>
      </c>
    </row>
    <row r="1705" spans="1:17" x14ac:dyDescent="0.3">
      <c r="A1705" s="1">
        <v>46020</v>
      </c>
      <c r="B1705" t="s">
        <v>33</v>
      </c>
      <c r="C1705" t="s">
        <v>13</v>
      </c>
      <c r="D1705" t="s">
        <v>37</v>
      </c>
      <c r="E1705" t="s">
        <v>15</v>
      </c>
      <c r="F1705">
        <v>115</v>
      </c>
      <c r="G1705">
        <v>57</v>
      </c>
      <c r="H1705">
        <v>26</v>
      </c>
      <c r="I1705">
        <v>146</v>
      </c>
      <c r="J1705">
        <v>16</v>
      </c>
      <c r="K1705">
        <v>13043</v>
      </c>
      <c r="L1705">
        <v>1904278</v>
      </c>
      <c r="M1705">
        <f>Inventory_Data[[#This Row],[Opening Stock]]+Inventory_Data[[#This Row],[Purchase Qty]]-Inventory_Data[[#This Row],[Sales Qty]]-Inventory_Data[[#This Row],[Closing Stock]]</f>
        <v>0</v>
      </c>
      <c r="N1705">
        <f>Inventory_Data[[#This Row],[Purchase Qty]]*Inventory_Data[[#This Row],[Unit Cost]]</f>
        <v>743451</v>
      </c>
      <c r="O1705" t="str">
        <f>IF(Inventory_Data[[#This Row],[Closing Stock]]&lt;=Inventory_Data[[#This Row],[Reorder Level]],"Low Stock","In Stock")</f>
        <v>In Stock</v>
      </c>
      <c r="P1705" t="str">
        <f>TEXT(Inventory_Data[[#This Row],[Date]],"MMM")</f>
        <v>Dec</v>
      </c>
      <c r="Q1705" t="str">
        <f>TEXT(Inventory_Data[[#This Row],[Date]],"YYYY")</f>
        <v>2025</v>
      </c>
    </row>
    <row r="1706" spans="1:17" x14ac:dyDescent="0.3">
      <c r="A1706" s="1">
        <v>46020</v>
      </c>
      <c r="B1706" t="s">
        <v>31</v>
      </c>
      <c r="C1706" t="s">
        <v>22</v>
      </c>
      <c r="D1706" t="s">
        <v>23</v>
      </c>
      <c r="E1706" t="s">
        <v>34</v>
      </c>
      <c r="F1706">
        <v>242</v>
      </c>
      <c r="G1706">
        <v>210</v>
      </c>
      <c r="H1706">
        <v>38</v>
      </c>
      <c r="I1706">
        <v>414</v>
      </c>
      <c r="J1706">
        <v>60</v>
      </c>
      <c r="K1706">
        <v>168</v>
      </c>
      <c r="L1706">
        <v>69552</v>
      </c>
      <c r="M1706">
        <f>Inventory_Data[[#This Row],[Opening Stock]]+Inventory_Data[[#This Row],[Purchase Qty]]-Inventory_Data[[#This Row],[Sales Qty]]-Inventory_Data[[#This Row],[Closing Stock]]</f>
        <v>0</v>
      </c>
      <c r="N1706">
        <f>Inventory_Data[[#This Row],[Purchase Qty]]*Inventory_Data[[#This Row],[Unit Cost]]</f>
        <v>35280</v>
      </c>
      <c r="O1706" t="str">
        <f>IF(Inventory_Data[[#This Row],[Closing Stock]]&lt;=Inventory_Data[[#This Row],[Reorder Level]],"Low Stock","In Stock")</f>
        <v>In Stock</v>
      </c>
      <c r="P1706" t="str">
        <f>TEXT(Inventory_Data[[#This Row],[Date]],"MMM")</f>
        <v>Dec</v>
      </c>
      <c r="Q1706" t="str">
        <f>TEXT(Inventory_Data[[#This Row],[Date]],"YYYY")</f>
        <v>2025</v>
      </c>
    </row>
    <row r="1707" spans="1:17" x14ac:dyDescent="0.3">
      <c r="A1707" s="1">
        <v>46020</v>
      </c>
      <c r="B1707" t="s">
        <v>44</v>
      </c>
      <c r="C1707" t="s">
        <v>28</v>
      </c>
      <c r="D1707" t="s">
        <v>23</v>
      </c>
      <c r="E1707" t="s">
        <v>29</v>
      </c>
      <c r="F1707">
        <v>146</v>
      </c>
      <c r="G1707">
        <v>22</v>
      </c>
      <c r="H1707">
        <v>60</v>
      </c>
      <c r="I1707">
        <v>108</v>
      </c>
      <c r="J1707">
        <v>33</v>
      </c>
      <c r="K1707">
        <v>18401</v>
      </c>
      <c r="L1707">
        <v>1987308</v>
      </c>
      <c r="M1707">
        <f>Inventory_Data[[#This Row],[Opening Stock]]+Inventory_Data[[#This Row],[Purchase Qty]]-Inventory_Data[[#This Row],[Sales Qty]]-Inventory_Data[[#This Row],[Closing Stock]]</f>
        <v>0</v>
      </c>
      <c r="N1707">
        <f>Inventory_Data[[#This Row],[Purchase Qty]]*Inventory_Data[[#This Row],[Unit Cost]]</f>
        <v>404822</v>
      </c>
      <c r="O1707" t="str">
        <f>IF(Inventory_Data[[#This Row],[Closing Stock]]&lt;=Inventory_Data[[#This Row],[Reorder Level]],"Low Stock","In Stock")</f>
        <v>In Stock</v>
      </c>
      <c r="P1707" t="str">
        <f>TEXT(Inventory_Data[[#This Row],[Date]],"MMM")</f>
        <v>Dec</v>
      </c>
      <c r="Q1707" t="str">
        <f>TEXT(Inventory_Data[[#This Row],[Date]],"YYYY")</f>
        <v>2025</v>
      </c>
    </row>
    <row r="1708" spans="1:17" x14ac:dyDescent="0.3">
      <c r="A1708" s="1">
        <v>46021</v>
      </c>
      <c r="B1708" t="s">
        <v>19</v>
      </c>
      <c r="C1708" t="s">
        <v>13</v>
      </c>
      <c r="D1708" t="s">
        <v>26</v>
      </c>
      <c r="E1708" t="s">
        <v>29</v>
      </c>
      <c r="F1708">
        <v>38</v>
      </c>
      <c r="G1708">
        <v>78</v>
      </c>
      <c r="H1708">
        <v>32</v>
      </c>
      <c r="I1708">
        <v>84</v>
      </c>
      <c r="J1708">
        <v>28</v>
      </c>
      <c r="K1708">
        <v>2806</v>
      </c>
      <c r="L1708">
        <v>235704</v>
      </c>
      <c r="M1708">
        <f>Inventory_Data[[#This Row],[Opening Stock]]+Inventory_Data[[#This Row],[Purchase Qty]]-Inventory_Data[[#This Row],[Sales Qty]]-Inventory_Data[[#This Row],[Closing Stock]]</f>
        <v>0</v>
      </c>
      <c r="N1708">
        <f>Inventory_Data[[#This Row],[Purchase Qty]]*Inventory_Data[[#This Row],[Unit Cost]]</f>
        <v>218868</v>
      </c>
      <c r="O1708" t="str">
        <f>IF(Inventory_Data[[#This Row],[Closing Stock]]&lt;=Inventory_Data[[#This Row],[Reorder Level]],"Low Stock","In Stock")</f>
        <v>In Stock</v>
      </c>
      <c r="P1708" t="str">
        <f>TEXT(Inventory_Data[[#This Row],[Date]],"MMM")</f>
        <v>Dec</v>
      </c>
      <c r="Q1708" t="str">
        <f>TEXT(Inventory_Data[[#This Row],[Date]],"YYYY")</f>
        <v>2025</v>
      </c>
    </row>
    <row r="1709" spans="1:17" x14ac:dyDescent="0.3">
      <c r="A1709" s="1">
        <v>46021</v>
      </c>
      <c r="B1709" t="s">
        <v>30</v>
      </c>
      <c r="C1709" t="s">
        <v>28</v>
      </c>
      <c r="D1709" t="s">
        <v>26</v>
      </c>
      <c r="E1709" t="s">
        <v>20</v>
      </c>
      <c r="F1709">
        <v>88</v>
      </c>
      <c r="G1709">
        <v>83</v>
      </c>
      <c r="H1709">
        <v>32</v>
      </c>
      <c r="I1709">
        <v>139</v>
      </c>
      <c r="J1709">
        <v>33</v>
      </c>
      <c r="K1709">
        <v>44142</v>
      </c>
      <c r="L1709">
        <v>6135738</v>
      </c>
      <c r="M1709">
        <f>Inventory_Data[[#This Row],[Opening Stock]]+Inventory_Data[[#This Row],[Purchase Qty]]-Inventory_Data[[#This Row],[Sales Qty]]-Inventory_Data[[#This Row],[Closing Stock]]</f>
        <v>0</v>
      </c>
      <c r="N1709">
        <f>Inventory_Data[[#This Row],[Purchase Qty]]*Inventory_Data[[#This Row],[Unit Cost]]</f>
        <v>3663786</v>
      </c>
      <c r="O1709" t="str">
        <f>IF(Inventory_Data[[#This Row],[Closing Stock]]&lt;=Inventory_Data[[#This Row],[Reorder Level]],"Low Stock","In Stock")</f>
        <v>In Stock</v>
      </c>
      <c r="P1709" t="str">
        <f>TEXT(Inventory_Data[[#This Row],[Date]],"MMM")</f>
        <v>Dec</v>
      </c>
      <c r="Q1709" t="str">
        <f>TEXT(Inventory_Data[[#This Row],[Date]],"YYYY")</f>
        <v>2025</v>
      </c>
    </row>
    <row r="1710" spans="1:17" x14ac:dyDescent="0.3">
      <c r="A1710" s="1">
        <v>46021</v>
      </c>
      <c r="B1710" t="s">
        <v>41</v>
      </c>
      <c r="C1710" t="s">
        <v>22</v>
      </c>
      <c r="D1710" t="s">
        <v>23</v>
      </c>
      <c r="E1710" t="s">
        <v>29</v>
      </c>
      <c r="F1710">
        <v>152</v>
      </c>
      <c r="G1710">
        <v>79</v>
      </c>
      <c r="H1710">
        <v>119</v>
      </c>
      <c r="I1710">
        <v>112</v>
      </c>
      <c r="J1710">
        <v>69</v>
      </c>
      <c r="K1710">
        <v>107</v>
      </c>
      <c r="L1710">
        <v>11984</v>
      </c>
      <c r="M1710">
        <f>Inventory_Data[[#This Row],[Opening Stock]]+Inventory_Data[[#This Row],[Purchase Qty]]-Inventory_Data[[#This Row],[Sales Qty]]-Inventory_Data[[#This Row],[Closing Stock]]</f>
        <v>0</v>
      </c>
      <c r="N1710">
        <f>Inventory_Data[[#This Row],[Purchase Qty]]*Inventory_Data[[#This Row],[Unit Cost]]</f>
        <v>8453</v>
      </c>
      <c r="O1710" t="str">
        <f>IF(Inventory_Data[[#This Row],[Closing Stock]]&lt;=Inventory_Data[[#This Row],[Reorder Level]],"Low Stock","In Stock")</f>
        <v>In Stock</v>
      </c>
      <c r="P1710" t="str">
        <f>TEXT(Inventory_Data[[#This Row],[Date]],"MMM")</f>
        <v>Dec</v>
      </c>
      <c r="Q1710" t="str">
        <f>TEXT(Inventory_Data[[#This Row],[Date]],"YYYY")</f>
        <v>2025</v>
      </c>
    </row>
    <row r="1711" spans="1:17" x14ac:dyDescent="0.3">
      <c r="A1711" s="1">
        <v>46021</v>
      </c>
      <c r="B1711" t="s">
        <v>16</v>
      </c>
      <c r="C1711" t="s">
        <v>17</v>
      </c>
      <c r="D1711" t="s">
        <v>14</v>
      </c>
      <c r="E1711" t="s">
        <v>15</v>
      </c>
      <c r="F1711">
        <v>87</v>
      </c>
      <c r="G1711">
        <v>43</v>
      </c>
      <c r="H1711">
        <v>12</v>
      </c>
      <c r="I1711">
        <v>118</v>
      </c>
      <c r="J1711">
        <v>17</v>
      </c>
      <c r="K1711">
        <v>12608</v>
      </c>
      <c r="L1711">
        <v>1487744</v>
      </c>
      <c r="M1711">
        <f>Inventory_Data[[#This Row],[Opening Stock]]+Inventory_Data[[#This Row],[Purchase Qty]]-Inventory_Data[[#This Row],[Sales Qty]]-Inventory_Data[[#This Row],[Closing Stock]]</f>
        <v>0</v>
      </c>
      <c r="N1711">
        <f>Inventory_Data[[#This Row],[Purchase Qty]]*Inventory_Data[[#This Row],[Unit Cost]]</f>
        <v>542144</v>
      </c>
      <c r="O1711" t="str">
        <f>IF(Inventory_Data[[#This Row],[Closing Stock]]&lt;=Inventory_Data[[#This Row],[Reorder Level]],"Low Stock","In Stock")</f>
        <v>In Stock</v>
      </c>
      <c r="P1711" t="str">
        <f>TEXT(Inventory_Data[[#This Row],[Date]],"MMM")</f>
        <v>Dec</v>
      </c>
      <c r="Q1711" t="str">
        <f>TEXT(Inventory_Data[[#This Row],[Date]],"YYYY")</f>
        <v>2025</v>
      </c>
    </row>
    <row r="1712" spans="1:17" x14ac:dyDescent="0.3">
      <c r="A1712" s="1">
        <v>46021</v>
      </c>
      <c r="B1712" t="s">
        <v>40</v>
      </c>
      <c r="C1712" t="s">
        <v>28</v>
      </c>
      <c r="D1712" t="s">
        <v>26</v>
      </c>
      <c r="E1712" t="s">
        <v>34</v>
      </c>
      <c r="F1712">
        <v>142</v>
      </c>
      <c r="G1712">
        <v>52</v>
      </c>
      <c r="H1712">
        <v>25</v>
      </c>
      <c r="I1712">
        <v>169</v>
      </c>
      <c r="J1712">
        <v>35</v>
      </c>
      <c r="K1712">
        <v>33974</v>
      </c>
      <c r="L1712">
        <v>5741606</v>
      </c>
      <c r="M1712">
        <f>Inventory_Data[[#This Row],[Opening Stock]]+Inventory_Data[[#This Row],[Purchase Qty]]-Inventory_Data[[#This Row],[Sales Qty]]-Inventory_Data[[#This Row],[Closing Stock]]</f>
        <v>0</v>
      </c>
      <c r="N1712">
        <f>Inventory_Data[[#This Row],[Purchase Qty]]*Inventory_Data[[#This Row],[Unit Cost]]</f>
        <v>1766648</v>
      </c>
      <c r="O1712" t="str">
        <f>IF(Inventory_Data[[#This Row],[Closing Stock]]&lt;=Inventory_Data[[#This Row],[Reorder Level]],"Low Stock","In Stock")</f>
        <v>In Stock</v>
      </c>
      <c r="P1712" t="str">
        <f>TEXT(Inventory_Data[[#This Row],[Date]],"MMM")</f>
        <v>Dec</v>
      </c>
      <c r="Q1712" t="str">
        <f>TEXT(Inventory_Data[[#This Row],[Date]],"YYYY")</f>
        <v>2025</v>
      </c>
    </row>
    <row r="1713" spans="1:17" x14ac:dyDescent="0.3">
      <c r="A1713" s="1">
        <v>46021</v>
      </c>
      <c r="B1713" t="s">
        <v>27</v>
      </c>
      <c r="C1713" t="s">
        <v>28</v>
      </c>
      <c r="D1713" t="s">
        <v>26</v>
      </c>
      <c r="E1713" t="s">
        <v>34</v>
      </c>
      <c r="F1713">
        <v>131</v>
      </c>
      <c r="G1713">
        <v>34</v>
      </c>
      <c r="H1713">
        <v>11</v>
      </c>
      <c r="I1713">
        <v>154</v>
      </c>
      <c r="J1713">
        <v>47</v>
      </c>
      <c r="K1713">
        <v>43525</v>
      </c>
      <c r="L1713">
        <v>6702850</v>
      </c>
      <c r="M1713">
        <f>Inventory_Data[[#This Row],[Opening Stock]]+Inventory_Data[[#This Row],[Purchase Qty]]-Inventory_Data[[#This Row],[Sales Qty]]-Inventory_Data[[#This Row],[Closing Stock]]</f>
        <v>0</v>
      </c>
      <c r="N1713">
        <f>Inventory_Data[[#This Row],[Purchase Qty]]*Inventory_Data[[#This Row],[Unit Cost]]</f>
        <v>1479850</v>
      </c>
      <c r="O1713" t="str">
        <f>IF(Inventory_Data[[#This Row],[Closing Stock]]&lt;=Inventory_Data[[#This Row],[Reorder Level]],"Low Stock","In Stock")</f>
        <v>In Stock</v>
      </c>
      <c r="P1713" t="str">
        <f>TEXT(Inventory_Data[[#This Row],[Date]],"MMM")</f>
        <v>Dec</v>
      </c>
      <c r="Q1713" t="str">
        <f>TEXT(Inventory_Data[[#This Row],[Date]],"YYYY")</f>
        <v>2025</v>
      </c>
    </row>
    <row r="1714" spans="1:17" x14ac:dyDescent="0.3">
      <c r="A1714" s="1">
        <v>46021</v>
      </c>
      <c r="B1714" t="s">
        <v>27</v>
      </c>
      <c r="C1714" t="s">
        <v>28</v>
      </c>
      <c r="D1714" t="s">
        <v>26</v>
      </c>
      <c r="E1714" t="s">
        <v>34</v>
      </c>
      <c r="F1714">
        <v>74</v>
      </c>
      <c r="G1714">
        <v>37</v>
      </c>
      <c r="H1714">
        <v>48</v>
      </c>
      <c r="I1714">
        <v>63</v>
      </c>
      <c r="J1714">
        <v>57</v>
      </c>
      <c r="K1714">
        <v>11632</v>
      </c>
      <c r="L1714">
        <v>732816</v>
      </c>
      <c r="M1714">
        <f>Inventory_Data[[#This Row],[Opening Stock]]+Inventory_Data[[#This Row],[Purchase Qty]]-Inventory_Data[[#This Row],[Sales Qty]]-Inventory_Data[[#This Row],[Closing Stock]]</f>
        <v>0</v>
      </c>
      <c r="N1714">
        <f>Inventory_Data[[#This Row],[Purchase Qty]]*Inventory_Data[[#This Row],[Unit Cost]]</f>
        <v>430384</v>
      </c>
      <c r="O1714" t="str">
        <f>IF(Inventory_Data[[#This Row],[Closing Stock]]&lt;=Inventory_Data[[#This Row],[Reorder Level]],"Low Stock","In Stock")</f>
        <v>In Stock</v>
      </c>
      <c r="P1714" t="str">
        <f>TEXT(Inventory_Data[[#This Row],[Date]],"MMM")</f>
        <v>Dec</v>
      </c>
      <c r="Q1714" t="str">
        <f>TEXT(Inventory_Data[[#This Row],[Date]],"YYYY")</f>
        <v>2025</v>
      </c>
    </row>
    <row r="1715" spans="1:17" x14ac:dyDescent="0.3">
      <c r="A1715" s="1">
        <v>46021</v>
      </c>
      <c r="B1715" t="s">
        <v>40</v>
      </c>
      <c r="C1715" t="s">
        <v>28</v>
      </c>
      <c r="D1715" t="s">
        <v>14</v>
      </c>
      <c r="E1715" t="s">
        <v>34</v>
      </c>
      <c r="F1715">
        <v>114</v>
      </c>
      <c r="G1715">
        <v>20</v>
      </c>
      <c r="H1715">
        <v>72</v>
      </c>
      <c r="I1715">
        <v>62</v>
      </c>
      <c r="J1715">
        <v>37</v>
      </c>
      <c r="K1715">
        <v>42650</v>
      </c>
      <c r="L1715">
        <v>2644300</v>
      </c>
      <c r="M1715">
        <f>Inventory_Data[[#This Row],[Opening Stock]]+Inventory_Data[[#This Row],[Purchase Qty]]-Inventory_Data[[#This Row],[Sales Qty]]-Inventory_Data[[#This Row],[Closing Stock]]</f>
        <v>0</v>
      </c>
      <c r="N1715">
        <f>Inventory_Data[[#This Row],[Purchase Qty]]*Inventory_Data[[#This Row],[Unit Cost]]</f>
        <v>853000</v>
      </c>
      <c r="O1715" t="str">
        <f>IF(Inventory_Data[[#This Row],[Closing Stock]]&lt;=Inventory_Data[[#This Row],[Reorder Level]],"Low Stock","In Stock")</f>
        <v>In Stock</v>
      </c>
      <c r="P1715" t="str">
        <f>TEXT(Inventory_Data[[#This Row],[Date]],"MMM")</f>
        <v>Dec</v>
      </c>
      <c r="Q1715" t="str">
        <f>TEXT(Inventory_Data[[#This Row],[Date]],"YYYY")</f>
        <v>2025</v>
      </c>
    </row>
    <row r="1716" spans="1:17" x14ac:dyDescent="0.3">
      <c r="A1716" s="1">
        <v>46022</v>
      </c>
      <c r="B1716" t="s">
        <v>31</v>
      </c>
      <c r="C1716" t="s">
        <v>22</v>
      </c>
      <c r="D1716" t="s">
        <v>23</v>
      </c>
      <c r="E1716" t="s">
        <v>34</v>
      </c>
      <c r="F1716">
        <v>203</v>
      </c>
      <c r="G1716">
        <v>43</v>
      </c>
      <c r="H1716">
        <v>196</v>
      </c>
      <c r="I1716">
        <v>50</v>
      </c>
      <c r="J1716">
        <v>56</v>
      </c>
      <c r="K1716">
        <v>902</v>
      </c>
      <c r="L1716">
        <v>45100</v>
      </c>
      <c r="M1716">
        <f>Inventory_Data[[#This Row],[Opening Stock]]+Inventory_Data[[#This Row],[Purchase Qty]]-Inventory_Data[[#This Row],[Sales Qty]]-Inventory_Data[[#This Row],[Closing Stock]]</f>
        <v>0</v>
      </c>
      <c r="N1716">
        <f>Inventory_Data[[#This Row],[Purchase Qty]]*Inventory_Data[[#This Row],[Unit Cost]]</f>
        <v>38786</v>
      </c>
      <c r="O1716" t="str">
        <f>IF(Inventory_Data[[#This Row],[Closing Stock]]&lt;=Inventory_Data[[#This Row],[Reorder Level]],"Low Stock","In Stock")</f>
        <v>Low Stock</v>
      </c>
      <c r="P1716" t="str">
        <f>TEXT(Inventory_Data[[#This Row],[Date]],"MMM")</f>
        <v>Dec</v>
      </c>
      <c r="Q1716" t="str">
        <f>TEXT(Inventory_Data[[#This Row],[Date]],"YYYY")</f>
        <v>2025</v>
      </c>
    </row>
    <row r="1717" spans="1:17" x14ac:dyDescent="0.3">
      <c r="A1717" s="1">
        <v>46022</v>
      </c>
      <c r="B1717" t="s">
        <v>12</v>
      </c>
      <c r="C1717" t="s">
        <v>13</v>
      </c>
      <c r="D1717" t="s">
        <v>26</v>
      </c>
      <c r="E1717" t="s">
        <v>24</v>
      </c>
      <c r="F1717">
        <v>85</v>
      </c>
      <c r="G1717">
        <v>71</v>
      </c>
      <c r="H1717">
        <v>17</v>
      </c>
      <c r="I1717">
        <v>139</v>
      </c>
      <c r="J1717">
        <v>32</v>
      </c>
      <c r="K1717">
        <v>14488</v>
      </c>
      <c r="L1717">
        <v>2013832</v>
      </c>
      <c r="M1717">
        <f>Inventory_Data[[#This Row],[Opening Stock]]+Inventory_Data[[#This Row],[Purchase Qty]]-Inventory_Data[[#This Row],[Sales Qty]]-Inventory_Data[[#This Row],[Closing Stock]]</f>
        <v>0</v>
      </c>
      <c r="N1717">
        <f>Inventory_Data[[#This Row],[Purchase Qty]]*Inventory_Data[[#This Row],[Unit Cost]]</f>
        <v>1028648</v>
      </c>
      <c r="O1717" t="str">
        <f>IF(Inventory_Data[[#This Row],[Closing Stock]]&lt;=Inventory_Data[[#This Row],[Reorder Level]],"Low Stock","In Stock")</f>
        <v>In Stock</v>
      </c>
      <c r="P1717" t="str">
        <f>TEXT(Inventory_Data[[#This Row],[Date]],"MMM")</f>
        <v>Dec</v>
      </c>
      <c r="Q1717" t="str">
        <f>TEXT(Inventory_Data[[#This Row],[Date]],"YYYY")</f>
        <v>2025</v>
      </c>
    </row>
    <row r="1718" spans="1:17" x14ac:dyDescent="0.3">
      <c r="A1718" s="1">
        <v>46022</v>
      </c>
      <c r="B1718" t="s">
        <v>43</v>
      </c>
      <c r="C1718" t="s">
        <v>22</v>
      </c>
      <c r="D1718" t="s">
        <v>23</v>
      </c>
      <c r="E1718" t="s">
        <v>15</v>
      </c>
      <c r="F1718">
        <v>423</v>
      </c>
      <c r="G1718">
        <v>66</v>
      </c>
      <c r="H1718">
        <v>241</v>
      </c>
      <c r="I1718">
        <v>248</v>
      </c>
      <c r="J1718">
        <v>129</v>
      </c>
      <c r="K1718">
        <v>1136</v>
      </c>
      <c r="L1718">
        <v>281728</v>
      </c>
      <c r="M1718">
        <f>Inventory_Data[[#This Row],[Opening Stock]]+Inventory_Data[[#This Row],[Purchase Qty]]-Inventory_Data[[#This Row],[Sales Qty]]-Inventory_Data[[#This Row],[Closing Stock]]</f>
        <v>0</v>
      </c>
      <c r="N1718">
        <f>Inventory_Data[[#This Row],[Purchase Qty]]*Inventory_Data[[#This Row],[Unit Cost]]</f>
        <v>74976</v>
      </c>
      <c r="O1718" t="str">
        <f>IF(Inventory_Data[[#This Row],[Closing Stock]]&lt;=Inventory_Data[[#This Row],[Reorder Level]],"Low Stock","In Stock")</f>
        <v>In Stock</v>
      </c>
      <c r="P1718" t="str">
        <f>TEXT(Inventory_Data[[#This Row],[Date]],"MMM")</f>
        <v>Dec</v>
      </c>
      <c r="Q1718" t="str">
        <f>TEXT(Inventory_Data[[#This Row],[Date]],"YYYY")</f>
        <v>2025</v>
      </c>
    </row>
    <row r="1719" spans="1:17" x14ac:dyDescent="0.3">
      <c r="A1719" s="1">
        <v>46022</v>
      </c>
      <c r="B1719" t="s">
        <v>36</v>
      </c>
      <c r="C1719" t="s">
        <v>22</v>
      </c>
      <c r="D1719" t="s">
        <v>37</v>
      </c>
      <c r="E1719" t="s">
        <v>29</v>
      </c>
      <c r="F1719">
        <v>271</v>
      </c>
      <c r="G1719">
        <v>133</v>
      </c>
      <c r="H1719">
        <v>120</v>
      </c>
      <c r="I1719">
        <v>284</v>
      </c>
      <c r="J1719">
        <v>148</v>
      </c>
      <c r="K1719">
        <v>447</v>
      </c>
      <c r="L1719">
        <v>126948</v>
      </c>
      <c r="M1719">
        <f>Inventory_Data[[#This Row],[Opening Stock]]+Inventory_Data[[#This Row],[Purchase Qty]]-Inventory_Data[[#This Row],[Sales Qty]]-Inventory_Data[[#This Row],[Closing Stock]]</f>
        <v>0</v>
      </c>
      <c r="N1719">
        <f>Inventory_Data[[#This Row],[Purchase Qty]]*Inventory_Data[[#This Row],[Unit Cost]]</f>
        <v>59451</v>
      </c>
      <c r="O1719" t="str">
        <f>IF(Inventory_Data[[#This Row],[Closing Stock]]&lt;=Inventory_Data[[#This Row],[Reorder Level]],"Low Stock","In Stock")</f>
        <v>In Stock</v>
      </c>
      <c r="P1719" t="str">
        <f>TEXT(Inventory_Data[[#This Row],[Date]],"MMM")</f>
        <v>Dec</v>
      </c>
      <c r="Q1719" t="str">
        <f>TEXT(Inventory_Data[[#This Row],[Date]],"YYYY")</f>
        <v>2025</v>
      </c>
    </row>
    <row r="1720" spans="1:17" x14ac:dyDescent="0.3">
      <c r="A1720" s="1">
        <v>46022</v>
      </c>
      <c r="B1720" t="s">
        <v>21</v>
      </c>
      <c r="C1720" t="s">
        <v>22</v>
      </c>
      <c r="D1720" t="s">
        <v>37</v>
      </c>
      <c r="E1720" t="s">
        <v>34</v>
      </c>
      <c r="F1720">
        <v>417</v>
      </c>
      <c r="G1720">
        <v>87</v>
      </c>
      <c r="H1720">
        <v>87</v>
      </c>
      <c r="I1720">
        <v>417</v>
      </c>
      <c r="J1720">
        <v>91</v>
      </c>
      <c r="K1720">
        <v>1118</v>
      </c>
      <c r="L1720">
        <v>466206</v>
      </c>
      <c r="M1720">
        <f>Inventory_Data[[#This Row],[Opening Stock]]+Inventory_Data[[#This Row],[Purchase Qty]]-Inventory_Data[[#This Row],[Sales Qty]]-Inventory_Data[[#This Row],[Closing Stock]]</f>
        <v>0</v>
      </c>
      <c r="N1720">
        <f>Inventory_Data[[#This Row],[Purchase Qty]]*Inventory_Data[[#This Row],[Unit Cost]]</f>
        <v>97266</v>
      </c>
      <c r="O1720" t="str">
        <f>IF(Inventory_Data[[#This Row],[Closing Stock]]&lt;=Inventory_Data[[#This Row],[Reorder Level]],"Low Stock","In Stock")</f>
        <v>In Stock</v>
      </c>
      <c r="P1720" t="str">
        <f>TEXT(Inventory_Data[[#This Row],[Date]],"MMM")</f>
        <v>Dec</v>
      </c>
      <c r="Q1720" t="str">
        <f>TEXT(Inventory_Data[[#This Row],[Date]],"YYYY")</f>
        <v>2025</v>
      </c>
    </row>
    <row r="1721" spans="1:17" x14ac:dyDescent="0.3">
      <c r="A1721" s="1">
        <v>46023</v>
      </c>
      <c r="B1721" t="s">
        <v>43</v>
      </c>
      <c r="C1721" t="s">
        <v>22</v>
      </c>
      <c r="D1721" t="s">
        <v>26</v>
      </c>
      <c r="E1721" t="s">
        <v>20</v>
      </c>
      <c r="F1721">
        <v>211</v>
      </c>
      <c r="G1721">
        <v>256</v>
      </c>
      <c r="H1721">
        <v>239</v>
      </c>
      <c r="I1721">
        <v>228</v>
      </c>
      <c r="J1721">
        <v>99</v>
      </c>
      <c r="K1721">
        <v>389</v>
      </c>
      <c r="L1721">
        <v>88692</v>
      </c>
      <c r="M1721">
        <f>Inventory_Data[[#This Row],[Opening Stock]]+Inventory_Data[[#This Row],[Purchase Qty]]-Inventory_Data[[#This Row],[Sales Qty]]-Inventory_Data[[#This Row],[Closing Stock]]</f>
        <v>0</v>
      </c>
      <c r="N1721">
        <f>Inventory_Data[[#This Row],[Purchase Qty]]*Inventory_Data[[#This Row],[Unit Cost]]</f>
        <v>99584</v>
      </c>
      <c r="O1721" t="str">
        <f>IF(Inventory_Data[[#This Row],[Closing Stock]]&lt;=Inventory_Data[[#This Row],[Reorder Level]],"Low Stock","In Stock")</f>
        <v>In Stock</v>
      </c>
      <c r="P1721" t="str">
        <f>TEXT(Inventory_Data[[#This Row],[Date]],"MMM")</f>
        <v>Jan</v>
      </c>
      <c r="Q1721" t="str">
        <f>TEXT(Inventory_Data[[#This Row],[Date]],"YYYY")</f>
        <v>2026</v>
      </c>
    </row>
    <row r="1722" spans="1:17" x14ac:dyDescent="0.3">
      <c r="A1722" s="1">
        <v>46023</v>
      </c>
      <c r="B1722" t="s">
        <v>44</v>
      </c>
      <c r="C1722" t="s">
        <v>28</v>
      </c>
      <c r="D1722" t="s">
        <v>23</v>
      </c>
      <c r="E1722" t="s">
        <v>29</v>
      </c>
      <c r="F1722">
        <v>23</v>
      </c>
      <c r="G1722">
        <v>96</v>
      </c>
      <c r="H1722">
        <v>59</v>
      </c>
      <c r="I1722">
        <v>60</v>
      </c>
      <c r="J1722">
        <v>44</v>
      </c>
      <c r="K1722">
        <v>54475</v>
      </c>
      <c r="L1722">
        <v>3268500</v>
      </c>
      <c r="M1722">
        <f>Inventory_Data[[#This Row],[Opening Stock]]+Inventory_Data[[#This Row],[Purchase Qty]]-Inventory_Data[[#This Row],[Sales Qty]]-Inventory_Data[[#This Row],[Closing Stock]]</f>
        <v>0</v>
      </c>
      <c r="N1722">
        <f>Inventory_Data[[#This Row],[Purchase Qty]]*Inventory_Data[[#This Row],[Unit Cost]]</f>
        <v>5229600</v>
      </c>
      <c r="O1722" t="str">
        <f>IF(Inventory_Data[[#This Row],[Closing Stock]]&lt;=Inventory_Data[[#This Row],[Reorder Level]],"Low Stock","In Stock")</f>
        <v>In Stock</v>
      </c>
      <c r="P1722" t="str">
        <f>TEXT(Inventory_Data[[#This Row],[Date]],"MMM")</f>
        <v>Jan</v>
      </c>
      <c r="Q1722" t="str">
        <f>TEXT(Inventory_Data[[#This Row],[Date]],"YYYY")</f>
        <v>2026</v>
      </c>
    </row>
    <row r="1723" spans="1:17" x14ac:dyDescent="0.3">
      <c r="A1723" s="1">
        <v>46023</v>
      </c>
      <c r="B1723" t="s">
        <v>19</v>
      </c>
      <c r="C1723" t="s">
        <v>13</v>
      </c>
      <c r="D1723" t="s">
        <v>26</v>
      </c>
      <c r="E1723" t="s">
        <v>20</v>
      </c>
      <c r="F1723">
        <v>96</v>
      </c>
      <c r="G1723">
        <v>67</v>
      </c>
      <c r="H1723">
        <v>24</v>
      </c>
      <c r="I1723">
        <v>139</v>
      </c>
      <c r="J1723">
        <v>23</v>
      </c>
      <c r="K1723">
        <v>16157</v>
      </c>
      <c r="L1723">
        <v>2245823</v>
      </c>
      <c r="M1723">
        <f>Inventory_Data[[#This Row],[Opening Stock]]+Inventory_Data[[#This Row],[Purchase Qty]]-Inventory_Data[[#This Row],[Sales Qty]]-Inventory_Data[[#This Row],[Closing Stock]]</f>
        <v>0</v>
      </c>
      <c r="N1723">
        <f>Inventory_Data[[#This Row],[Purchase Qty]]*Inventory_Data[[#This Row],[Unit Cost]]</f>
        <v>1082519</v>
      </c>
      <c r="O1723" t="str">
        <f>IF(Inventory_Data[[#This Row],[Closing Stock]]&lt;=Inventory_Data[[#This Row],[Reorder Level]],"Low Stock","In Stock")</f>
        <v>In Stock</v>
      </c>
      <c r="P1723" t="str">
        <f>TEXT(Inventory_Data[[#This Row],[Date]],"MMM")</f>
        <v>Jan</v>
      </c>
      <c r="Q1723" t="str">
        <f>TEXT(Inventory_Data[[#This Row],[Date]],"YYYY")</f>
        <v>2026</v>
      </c>
    </row>
    <row r="1724" spans="1:17" x14ac:dyDescent="0.3">
      <c r="A1724" s="1">
        <v>46023</v>
      </c>
      <c r="B1724" t="s">
        <v>27</v>
      </c>
      <c r="C1724" t="s">
        <v>28</v>
      </c>
      <c r="D1724" t="s">
        <v>26</v>
      </c>
      <c r="E1724" t="s">
        <v>24</v>
      </c>
      <c r="F1724">
        <v>35</v>
      </c>
      <c r="G1724">
        <v>68</v>
      </c>
      <c r="H1724">
        <v>57</v>
      </c>
      <c r="I1724">
        <v>46</v>
      </c>
      <c r="J1724">
        <v>53</v>
      </c>
      <c r="K1724">
        <v>13106</v>
      </c>
      <c r="L1724">
        <v>602876</v>
      </c>
      <c r="M1724">
        <f>Inventory_Data[[#This Row],[Opening Stock]]+Inventory_Data[[#This Row],[Purchase Qty]]-Inventory_Data[[#This Row],[Sales Qty]]-Inventory_Data[[#This Row],[Closing Stock]]</f>
        <v>0</v>
      </c>
      <c r="N1724">
        <f>Inventory_Data[[#This Row],[Purchase Qty]]*Inventory_Data[[#This Row],[Unit Cost]]</f>
        <v>891208</v>
      </c>
      <c r="O1724" t="str">
        <f>IF(Inventory_Data[[#This Row],[Closing Stock]]&lt;=Inventory_Data[[#This Row],[Reorder Level]],"Low Stock","In Stock")</f>
        <v>Low Stock</v>
      </c>
      <c r="P1724" t="str">
        <f>TEXT(Inventory_Data[[#This Row],[Date]],"MMM")</f>
        <v>Jan</v>
      </c>
      <c r="Q1724" t="str">
        <f>TEXT(Inventory_Data[[#This Row],[Date]],"YYYY")</f>
        <v>2026</v>
      </c>
    </row>
    <row r="1725" spans="1:17" x14ac:dyDescent="0.3">
      <c r="A1725" s="1">
        <v>46024</v>
      </c>
      <c r="B1725" t="s">
        <v>16</v>
      </c>
      <c r="C1725" t="s">
        <v>17</v>
      </c>
      <c r="D1725" t="s">
        <v>23</v>
      </c>
      <c r="E1725" t="s">
        <v>24</v>
      </c>
      <c r="F1725">
        <v>91</v>
      </c>
      <c r="G1725">
        <v>42</v>
      </c>
      <c r="H1725">
        <v>13</v>
      </c>
      <c r="I1725">
        <v>120</v>
      </c>
      <c r="J1725">
        <v>15</v>
      </c>
      <c r="K1725">
        <v>5098</v>
      </c>
      <c r="L1725">
        <v>611760</v>
      </c>
      <c r="M1725">
        <f>Inventory_Data[[#This Row],[Opening Stock]]+Inventory_Data[[#This Row],[Purchase Qty]]-Inventory_Data[[#This Row],[Sales Qty]]-Inventory_Data[[#This Row],[Closing Stock]]</f>
        <v>0</v>
      </c>
      <c r="N1725">
        <f>Inventory_Data[[#This Row],[Purchase Qty]]*Inventory_Data[[#This Row],[Unit Cost]]</f>
        <v>214116</v>
      </c>
      <c r="O1725" t="str">
        <f>IF(Inventory_Data[[#This Row],[Closing Stock]]&lt;=Inventory_Data[[#This Row],[Reorder Level]],"Low Stock","In Stock")</f>
        <v>In Stock</v>
      </c>
      <c r="P1725" t="str">
        <f>TEXT(Inventory_Data[[#This Row],[Date]],"MMM")</f>
        <v>Jan</v>
      </c>
      <c r="Q1725" t="str">
        <f>TEXT(Inventory_Data[[#This Row],[Date]],"YYYY")</f>
        <v>2026</v>
      </c>
    </row>
    <row r="1726" spans="1:17" x14ac:dyDescent="0.3">
      <c r="A1726" s="1">
        <v>46024</v>
      </c>
      <c r="B1726" t="s">
        <v>32</v>
      </c>
      <c r="C1726" t="s">
        <v>28</v>
      </c>
      <c r="D1726" t="s">
        <v>37</v>
      </c>
      <c r="E1726" t="s">
        <v>15</v>
      </c>
      <c r="F1726">
        <v>167</v>
      </c>
      <c r="G1726">
        <v>92</v>
      </c>
      <c r="H1726">
        <v>15</v>
      </c>
      <c r="I1726">
        <v>244</v>
      </c>
      <c r="J1726">
        <v>22</v>
      </c>
      <c r="K1726">
        <v>9863</v>
      </c>
      <c r="L1726">
        <v>2406572</v>
      </c>
      <c r="M1726">
        <f>Inventory_Data[[#This Row],[Opening Stock]]+Inventory_Data[[#This Row],[Purchase Qty]]-Inventory_Data[[#This Row],[Sales Qty]]-Inventory_Data[[#This Row],[Closing Stock]]</f>
        <v>0</v>
      </c>
      <c r="N1726">
        <f>Inventory_Data[[#This Row],[Purchase Qty]]*Inventory_Data[[#This Row],[Unit Cost]]</f>
        <v>907396</v>
      </c>
      <c r="O1726" t="str">
        <f>IF(Inventory_Data[[#This Row],[Closing Stock]]&lt;=Inventory_Data[[#This Row],[Reorder Level]],"Low Stock","In Stock")</f>
        <v>In Stock</v>
      </c>
      <c r="P1726" t="str">
        <f>TEXT(Inventory_Data[[#This Row],[Date]],"MMM")</f>
        <v>Jan</v>
      </c>
      <c r="Q1726" t="str">
        <f>TEXT(Inventory_Data[[#This Row],[Date]],"YYYY")</f>
        <v>2026</v>
      </c>
    </row>
    <row r="1727" spans="1:17" x14ac:dyDescent="0.3">
      <c r="A1727" s="1">
        <v>46024</v>
      </c>
      <c r="B1727" t="s">
        <v>27</v>
      </c>
      <c r="C1727" t="s">
        <v>28</v>
      </c>
      <c r="D1727" t="s">
        <v>26</v>
      </c>
      <c r="E1727" t="s">
        <v>15</v>
      </c>
      <c r="F1727">
        <v>92</v>
      </c>
      <c r="G1727">
        <v>112</v>
      </c>
      <c r="H1727">
        <v>23</v>
      </c>
      <c r="I1727">
        <v>181</v>
      </c>
      <c r="J1727">
        <v>25</v>
      </c>
      <c r="K1727">
        <v>14661</v>
      </c>
      <c r="L1727">
        <v>2653641</v>
      </c>
      <c r="M1727">
        <f>Inventory_Data[[#This Row],[Opening Stock]]+Inventory_Data[[#This Row],[Purchase Qty]]-Inventory_Data[[#This Row],[Sales Qty]]-Inventory_Data[[#This Row],[Closing Stock]]</f>
        <v>0</v>
      </c>
      <c r="N1727">
        <f>Inventory_Data[[#This Row],[Purchase Qty]]*Inventory_Data[[#This Row],[Unit Cost]]</f>
        <v>1642032</v>
      </c>
      <c r="O1727" t="str">
        <f>IF(Inventory_Data[[#This Row],[Closing Stock]]&lt;=Inventory_Data[[#This Row],[Reorder Level]],"Low Stock","In Stock")</f>
        <v>In Stock</v>
      </c>
      <c r="P1727" t="str">
        <f>TEXT(Inventory_Data[[#This Row],[Date]],"MMM")</f>
        <v>Jan</v>
      </c>
      <c r="Q1727" t="str">
        <f>TEXT(Inventory_Data[[#This Row],[Date]],"YYYY")</f>
        <v>2026</v>
      </c>
    </row>
    <row r="1728" spans="1:17" x14ac:dyDescent="0.3">
      <c r="A1728" s="1">
        <v>46024</v>
      </c>
      <c r="B1728" t="s">
        <v>45</v>
      </c>
      <c r="C1728" t="s">
        <v>13</v>
      </c>
      <c r="D1728" t="s">
        <v>23</v>
      </c>
      <c r="E1728" t="s">
        <v>29</v>
      </c>
      <c r="F1728">
        <v>111</v>
      </c>
      <c r="G1728">
        <v>74</v>
      </c>
      <c r="H1728">
        <v>62</v>
      </c>
      <c r="I1728">
        <v>123</v>
      </c>
      <c r="J1728">
        <v>17</v>
      </c>
      <c r="K1728">
        <v>12932</v>
      </c>
      <c r="L1728">
        <v>1590636</v>
      </c>
      <c r="M1728">
        <f>Inventory_Data[[#This Row],[Opening Stock]]+Inventory_Data[[#This Row],[Purchase Qty]]-Inventory_Data[[#This Row],[Sales Qty]]-Inventory_Data[[#This Row],[Closing Stock]]</f>
        <v>0</v>
      </c>
      <c r="N1728">
        <f>Inventory_Data[[#This Row],[Purchase Qty]]*Inventory_Data[[#This Row],[Unit Cost]]</f>
        <v>956968</v>
      </c>
      <c r="O1728" t="str">
        <f>IF(Inventory_Data[[#This Row],[Closing Stock]]&lt;=Inventory_Data[[#This Row],[Reorder Level]],"Low Stock","In Stock")</f>
        <v>In Stock</v>
      </c>
      <c r="P1728" t="str">
        <f>TEXT(Inventory_Data[[#This Row],[Date]],"MMM")</f>
        <v>Jan</v>
      </c>
      <c r="Q1728" t="str">
        <f>TEXT(Inventory_Data[[#This Row],[Date]],"YYYY")</f>
        <v>2026</v>
      </c>
    </row>
    <row r="1729" spans="1:17" x14ac:dyDescent="0.3">
      <c r="A1729" s="1">
        <v>46024</v>
      </c>
      <c r="B1729" t="s">
        <v>33</v>
      </c>
      <c r="C1729" t="s">
        <v>13</v>
      </c>
      <c r="D1729" t="s">
        <v>23</v>
      </c>
      <c r="E1729" t="s">
        <v>15</v>
      </c>
      <c r="F1729">
        <v>118</v>
      </c>
      <c r="G1729">
        <v>22</v>
      </c>
      <c r="H1729">
        <v>58</v>
      </c>
      <c r="I1729">
        <v>82</v>
      </c>
      <c r="J1729">
        <v>20</v>
      </c>
      <c r="K1729">
        <v>14046</v>
      </c>
      <c r="L1729">
        <v>1151772</v>
      </c>
      <c r="M1729">
        <f>Inventory_Data[[#This Row],[Opening Stock]]+Inventory_Data[[#This Row],[Purchase Qty]]-Inventory_Data[[#This Row],[Sales Qty]]-Inventory_Data[[#This Row],[Closing Stock]]</f>
        <v>0</v>
      </c>
      <c r="N1729">
        <f>Inventory_Data[[#This Row],[Purchase Qty]]*Inventory_Data[[#This Row],[Unit Cost]]</f>
        <v>309012</v>
      </c>
      <c r="O1729" t="str">
        <f>IF(Inventory_Data[[#This Row],[Closing Stock]]&lt;=Inventory_Data[[#This Row],[Reorder Level]],"Low Stock","In Stock")</f>
        <v>In Stock</v>
      </c>
      <c r="P1729" t="str">
        <f>TEXT(Inventory_Data[[#This Row],[Date]],"MMM")</f>
        <v>Jan</v>
      </c>
      <c r="Q1729" t="str">
        <f>TEXT(Inventory_Data[[#This Row],[Date]],"YYYY")</f>
        <v>2026</v>
      </c>
    </row>
    <row r="1730" spans="1:17" x14ac:dyDescent="0.3">
      <c r="A1730" s="1">
        <v>46025</v>
      </c>
      <c r="B1730" t="s">
        <v>31</v>
      </c>
      <c r="C1730" t="s">
        <v>22</v>
      </c>
      <c r="D1730" t="s">
        <v>14</v>
      </c>
      <c r="E1730" t="s">
        <v>20</v>
      </c>
      <c r="F1730">
        <v>92</v>
      </c>
      <c r="G1730">
        <v>195</v>
      </c>
      <c r="H1730">
        <v>51</v>
      </c>
      <c r="I1730">
        <v>236</v>
      </c>
      <c r="J1730">
        <v>97</v>
      </c>
      <c r="K1730">
        <v>475</v>
      </c>
      <c r="L1730">
        <v>112100</v>
      </c>
      <c r="M1730">
        <f>Inventory_Data[[#This Row],[Opening Stock]]+Inventory_Data[[#This Row],[Purchase Qty]]-Inventory_Data[[#This Row],[Sales Qty]]-Inventory_Data[[#This Row],[Closing Stock]]</f>
        <v>0</v>
      </c>
      <c r="N1730">
        <f>Inventory_Data[[#This Row],[Purchase Qty]]*Inventory_Data[[#This Row],[Unit Cost]]</f>
        <v>92625</v>
      </c>
      <c r="O1730" t="str">
        <f>IF(Inventory_Data[[#This Row],[Closing Stock]]&lt;=Inventory_Data[[#This Row],[Reorder Level]],"Low Stock","In Stock")</f>
        <v>In Stock</v>
      </c>
      <c r="P1730" t="str">
        <f>TEXT(Inventory_Data[[#This Row],[Date]],"MMM")</f>
        <v>Jan</v>
      </c>
      <c r="Q1730" t="str">
        <f>TEXT(Inventory_Data[[#This Row],[Date]],"YYYY")</f>
        <v>2026</v>
      </c>
    </row>
    <row r="1731" spans="1:17" x14ac:dyDescent="0.3">
      <c r="A1731" s="1">
        <v>46025</v>
      </c>
      <c r="B1731" t="s">
        <v>16</v>
      </c>
      <c r="C1731" t="s">
        <v>17</v>
      </c>
      <c r="D1731" t="s">
        <v>26</v>
      </c>
      <c r="E1731" t="s">
        <v>15</v>
      </c>
      <c r="F1731">
        <v>85</v>
      </c>
      <c r="G1731">
        <v>13</v>
      </c>
      <c r="H1731">
        <v>11</v>
      </c>
      <c r="I1731">
        <v>87</v>
      </c>
      <c r="J1731">
        <v>19</v>
      </c>
      <c r="K1731">
        <v>24523</v>
      </c>
      <c r="L1731">
        <v>2133501</v>
      </c>
      <c r="M1731">
        <f>Inventory_Data[[#This Row],[Opening Stock]]+Inventory_Data[[#This Row],[Purchase Qty]]-Inventory_Data[[#This Row],[Sales Qty]]-Inventory_Data[[#This Row],[Closing Stock]]</f>
        <v>0</v>
      </c>
      <c r="N1731">
        <f>Inventory_Data[[#This Row],[Purchase Qty]]*Inventory_Data[[#This Row],[Unit Cost]]</f>
        <v>318799</v>
      </c>
      <c r="O1731" t="str">
        <f>IF(Inventory_Data[[#This Row],[Closing Stock]]&lt;=Inventory_Data[[#This Row],[Reorder Level]],"Low Stock","In Stock")</f>
        <v>In Stock</v>
      </c>
      <c r="P1731" t="str">
        <f>TEXT(Inventory_Data[[#This Row],[Date]],"MMM")</f>
        <v>Jan</v>
      </c>
      <c r="Q1731" t="str">
        <f>TEXT(Inventory_Data[[#This Row],[Date]],"YYYY")</f>
        <v>2026</v>
      </c>
    </row>
    <row r="1732" spans="1:17" x14ac:dyDescent="0.3">
      <c r="A1732" s="1">
        <v>46026</v>
      </c>
      <c r="B1732" t="s">
        <v>43</v>
      </c>
      <c r="C1732" t="s">
        <v>22</v>
      </c>
      <c r="D1732" t="s">
        <v>26</v>
      </c>
      <c r="E1732" t="s">
        <v>24</v>
      </c>
      <c r="F1732">
        <v>159</v>
      </c>
      <c r="G1732">
        <v>96</v>
      </c>
      <c r="H1732">
        <v>95</v>
      </c>
      <c r="I1732">
        <v>160</v>
      </c>
      <c r="J1732">
        <v>148</v>
      </c>
      <c r="K1732">
        <v>806</v>
      </c>
      <c r="L1732">
        <v>128960</v>
      </c>
      <c r="M1732">
        <f>Inventory_Data[[#This Row],[Opening Stock]]+Inventory_Data[[#This Row],[Purchase Qty]]-Inventory_Data[[#This Row],[Sales Qty]]-Inventory_Data[[#This Row],[Closing Stock]]</f>
        <v>0</v>
      </c>
      <c r="N1732">
        <f>Inventory_Data[[#This Row],[Purchase Qty]]*Inventory_Data[[#This Row],[Unit Cost]]</f>
        <v>77376</v>
      </c>
      <c r="O1732" t="str">
        <f>IF(Inventory_Data[[#This Row],[Closing Stock]]&lt;=Inventory_Data[[#This Row],[Reorder Level]],"Low Stock","In Stock")</f>
        <v>In Stock</v>
      </c>
      <c r="P1732" t="str">
        <f>TEXT(Inventory_Data[[#This Row],[Date]],"MMM")</f>
        <v>Jan</v>
      </c>
      <c r="Q1732" t="str">
        <f>TEXT(Inventory_Data[[#This Row],[Date]],"YYYY")</f>
        <v>2026</v>
      </c>
    </row>
    <row r="1733" spans="1:17" x14ac:dyDescent="0.3">
      <c r="A1733" s="1">
        <v>46026</v>
      </c>
      <c r="B1733" t="s">
        <v>43</v>
      </c>
      <c r="C1733" t="s">
        <v>22</v>
      </c>
      <c r="D1733" t="s">
        <v>14</v>
      </c>
      <c r="E1733" t="s">
        <v>24</v>
      </c>
      <c r="F1733">
        <v>403</v>
      </c>
      <c r="G1733">
        <v>168</v>
      </c>
      <c r="H1733">
        <v>108</v>
      </c>
      <c r="I1733">
        <v>463</v>
      </c>
      <c r="J1733">
        <v>113</v>
      </c>
      <c r="K1733">
        <v>336</v>
      </c>
      <c r="L1733">
        <v>155568</v>
      </c>
      <c r="M1733">
        <f>Inventory_Data[[#This Row],[Opening Stock]]+Inventory_Data[[#This Row],[Purchase Qty]]-Inventory_Data[[#This Row],[Sales Qty]]-Inventory_Data[[#This Row],[Closing Stock]]</f>
        <v>0</v>
      </c>
      <c r="N1733">
        <f>Inventory_Data[[#This Row],[Purchase Qty]]*Inventory_Data[[#This Row],[Unit Cost]]</f>
        <v>56448</v>
      </c>
      <c r="O1733" t="str">
        <f>IF(Inventory_Data[[#This Row],[Closing Stock]]&lt;=Inventory_Data[[#This Row],[Reorder Level]],"Low Stock","In Stock")</f>
        <v>In Stock</v>
      </c>
      <c r="P1733" t="str">
        <f>TEXT(Inventory_Data[[#This Row],[Date]],"MMM")</f>
        <v>Jan</v>
      </c>
      <c r="Q1733" t="str">
        <f>TEXT(Inventory_Data[[#This Row],[Date]],"YYYY")</f>
        <v>2026</v>
      </c>
    </row>
    <row r="1734" spans="1:17" x14ac:dyDescent="0.3">
      <c r="A1734" s="1">
        <v>46027</v>
      </c>
      <c r="B1734" t="s">
        <v>35</v>
      </c>
      <c r="C1734" t="s">
        <v>22</v>
      </c>
      <c r="D1734" t="s">
        <v>26</v>
      </c>
      <c r="E1734" t="s">
        <v>34</v>
      </c>
      <c r="F1734">
        <v>224</v>
      </c>
      <c r="G1734">
        <v>105</v>
      </c>
      <c r="H1734">
        <v>123</v>
      </c>
      <c r="I1734">
        <v>206</v>
      </c>
      <c r="J1734">
        <v>104</v>
      </c>
      <c r="K1734">
        <v>1154</v>
      </c>
      <c r="L1734">
        <v>237724</v>
      </c>
      <c r="M1734">
        <f>Inventory_Data[[#This Row],[Opening Stock]]+Inventory_Data[[#This Row],[Purchase Qty]]-Inventory_Data[[#This Row],[Sales Qty]]-Inventory_Data[[#This Row],[Closing Stock]]</f>
        <v>0</v>
      </c>
      <c r="N1734">
        <f>Inventory_Data[[#This Row],[Purchase Qty]]*Inventory_Data[[#This Row],[Unit Cost]]</f>
        <v>121170</v>
      </c>
      <c r="O1734" t="str">
        <f>IF(Inventory_Data[[#This Row],[Closing Stock]]&lt;=Inventory_Data[[#This Row],[Reorder Level]],"Low Stock","In Stock")</f>
        <v>In Stock</v>
      </c>
      <c r="P1734" t="str">
        <f>TEXT(Inventory_Data[[#This Row],[Date]],"MMM")</f>
        <v>Jan</v>
      </c>
      <c r="Q1734" t="str">
        <f>TEXT(Inventory_Data[[#This Row],[Date]],"YYYY")</f>
        <v>2026</v>
      </c>
    </row>
    <row r="1735" spans="1:17" x14ac:dyDescent="0.3">
      <c r="A1735" s="1">
        <v>46027</v>
      </c>
      <c r="B1735" t="s">
        <v>35</v>
      </c>
      <c r="C1735" t="s">
        <v>22</v>
      </c>
      <c r="D1735" t="s">
        <v>37</v>
      </c>
      <c r="E1735" t="s">
        <v>24</v>
      </c>
      <c r="F1735">
        <v>313</v>
      </c>
      <c r="G1735">
        <v>142</v>
      </c>
      <c r="H1735">
        <v>39</v>
      </c>
      <c r="I1735">
        <v>416</v>
      </c>
      <c r="J1735">
        <v>116</v>
      </c>
      <c r="K1735">
        <v>666</v>
      </c>
      <c r="L1735">
        <v>277056</v>
      </c>
      <c r="M1735">
        <f>Inventory_Data[[#This Row],[Opening Stock]]+Inventory_Data[[#This Row],[Purchase Qty]]-Inventory_Data[[#This Row],[Sales Qty]]-Inventory_Data[[#This Row],[Closing Stock]]</f>
        <v>0</v>
      </c>
      <c r="N1735">
        <f>Inventory_Data[[#This Row],[Purchase Qty]]*Inventory_Data[[#This Row],[Unit Cost]]</f>
        <v>94572</v>
      </c>
      <c r="O1735" t="str">
        <f>IF(Inventory_Data[[#This Row],[Closing Stock]]&lt;=Inventory_Data[[#This Row],[Reorder Level]],"Low Stock","In Stock")</f>
        <v>In Stock</v>
      </c>
      <c r="P1735" t="str">
        <f>TEXT(Inventory_Data[[#This Row],[Date]],"MMM")</f>
        <v>Jan</v>
      </c>
      <c r="Q1735" t="str">
        <f>TEXT(Inventory_Data[[#This Row],[Date]],"YYYY")</f>
        <v>2026</v>
      </c>
    </row>
    <row r="1736" spans="1:17" x14ac:dyDescent="0.3">
      <c r="A1736" s="1">
        <v>46028</v>
      </c>
      <c r="B1736" t="s">
        <v>40</v>
      </c>
      <c r="C1736" t="s">
        <v>28</v>
      </c>
      <c r="D1736" t="s">
        <v>37</v>
      </c>
      <c r="E1736" t="s">
        <v>20</v>
      </c>
      <c r="F1736">
        <v>87</v>
      </c>
      <c r="G1736">
        <v>95</v>
      </c>
      <c r="H1736">
        <v>94</v>
      </c>
      <c r="I1736">
        <v>88</v>
      </c>
      <c r="J1736">
        <v>55</v>
      </c>
      <c r="K1736">
        <v>56272</v>
      </c>
      <c r="L1736">
        <v>4951936</v>
      </c>
      <c r="M1736">
        <f>Inventory_Data[[#This Row],[Opening Stock]]+Inventory_Data[[#This Row],[Purchase Qty]]-Inventory_Data[[#This Row],[Sales Qty]]-Inventory_Data[[#This Row],[Closing Stock]]</f>
        <v>0</v>
      </c>
      <c r="N1736">
        <f>Inventory_Data[[#This Row],[Purchase Qty]]*Inventory_Data[[#This Row],[Unit Cost]]</f>
        <v>5345840</v>
      </c>
      <c r="O1736" t="str">
        <f>IF(Inventory_Data[[#This Row],[Closing Stock]]&lt;=Inventory_Data[[#This Row],[Reorder Level]],"Low Stock","In Stock")</f>
        <v>In Stock</v>
      </c>
      <c r="P1736" t="str">
        <f>TEXT(Inventory_Data[[#This Row],[Date]],"MMM")</f>
        <v>Jan</v>
      </c>
      <c r="Q1736" t="str">
        <f>TEXT(Inventory_Data[[#This Row],[Date]],"YYYY")</f>
        <v>2026</v>
      </c>
    </row>
    <row r="1737" spans="1:17" x14ac:dyDescent="0.3">
      <c r="A1737" s="1">
        <v>46028</v>
      </c>
      <c r="B1737" t="s">
        <v>21</v>
      </c>
      <c r="C1737" t="s">
        <v>22</v>
      </c>
      <c r="D1737" t="s">
        <v>14</v>
      </c>
      <c r="E1737" t="s">
        <v>34</v>
      </c>
      <c r="F1737">
        <v>473</v>
      </c>
      <c r="G1737">
        <v>135</v>
      </c>
      <c r="H1737">
        <v>176</v>
      </c>
      <c r="I1737">
        <v>432</v>
      </c>
      <c r="J1737">
        <v>81</v>
      </c>
      <c r="K1737">
        <v>868</v>
      </c>
      <c r="L1737">
        <v>374976</v>
      </c>
      <c r="M1737">
        <f>Inventory_Data[[#This Row],[Opening Stock]]+Inventory_Data[[#This Row],[Purchase Qty]]-Inventory_Data[[#This Row],[Sales Qty]]-Inventory_Data[[#This Row],[Closing Stock]]</f>
        <v>0</v>
      </c>
      <c r="N1737">
        <f>Inventory_Data[[#This Row],[Purchase Qty]]*Inventory_Data[[#This Row],[Unit Cost]]</f>
        <v>117180</v>
      </c>
      <c r="O1737" t="str">
        <f>IF(Inventory_Data[[#This Row],[Closing Stock]]&lt;=Inventory_Data[[#This Row],[Reorder Level]],"Low Stock","In Stock")</f>
        <v>In Stock</v>
      </c>
      <c r="P1737" t="str">
        <f>TEXT(Inventory_Data[[#This Row],[Date]],"MMM")</f>
        <v>Jan</v>
      </c>
      <c r="Q1737" t="str">
        <f>TEXT(Inventory_Data[[#This Row],[Date]],"YYYY")</f>
        <v>2026</v>
      </c>
    </row>
    <row r="1738" spans="1:17" x14ac:dyDescent="0.3">
      <c r="A1738" s="1">
        <v>46028</v>
      </c>
      <c r="B1738" t="s">
        <v>39</v>
      </c>
      <c r="C1738" t="s">
        <v>28</v>
      </c>
      <c r="D1738" t="s">
        <v>23</v>
      </c>
      <c r="E1738" t="s">
        <v>18</v>
      </c>
      <c r="F1738">
        <v>32</v>
      </c>
      <c r="G1738">
        <v>72</v>
      </c>
      <c r="H1738">
        <v>70</v>
      </c>
      <c r="I1738">
        <v>34</v>
      </c>
      <c r="J1738">
        <v>24</v>
      </c>
      <c r="K1738">
        <v>60569</v>
      </c>
      <c r="L1738">
        <v>2059346</v>
      </c>
      <c r="M1738">
        <f>Inventory_Data[[#This Row],[Opening Stock]]+Inventory_Data[[#This Row],[Purchase Qty]]-Inventory_Data[[#This Row],[Sales Qty]]-Inventory_Data[[#This Row],[Closing Stock]]</f>
        <v>0</v>
      </c>
      <c r="N1738">
        <f>Inventory_Data[[#This Row],[Purchase Qty]]*Inventory_Data[[#This Row],[Unit Cost]]</f>
        <v>4360968</v>
      </c>
      <c r="O1738" t="str">
        <f>IF(Inventory_Data[[#This Row],[Closing Stock]]&lt;=Inventory_Data[[#This Row],[Reorder Level]],"Low Stock","In Stock")</f>
        <v>In Stock</v>
      </c>
      <c r="P1738" t="str">
        <f>TEXT(Inventory_Data[[#This Row],[Date]],"MMM")</f>
        <v>Jan</v>
      </c>
      <c r="Q1738" t="str">
        <f>TEXT(Inventory_Data[[#This Row],[Date]],"YYYY")</f>
        <v>2026</v>
      </c>
    </row>
    <row r="1739" spans="1:17" x14ac:dyDescent="0.3">
      <c r="A1739" s="1">
        <v>46028</v>
      </c>
      <c r="B1739" t="s">
        <v>30</v>
      </c>
      <c r="C1739" t="s">
        <v>28</v>
      </c>
      <c r="D1739" t="s">
        <v>37</v>
      </c>
      <c r="E1739" t="s">
        <v>18</v>
      </c>
      <c r="F1739">
        <v>94</v>
      </c>
      <c r="G1739">
        <v>82</v>
      </c>
      <c r="H1739">
        <v>82</v>
      </c>
      <c r="I1739">
        <v>94</v>
      </c>
      <c r="J1739">
        <v>28</v>
      </c>
      <c r="K1739">
        <v>10782</v>
      </c>
      <c r="L1739">
        <v>1013508</v>
      </c>
      <c r="M1739">
        <f>Inventory_Data[[#This Row],[Opening Stock]]+Inventory_Data[[#This Row],[Purchase Qty]]-Inventory_Data[[#This Row],[Sales Qty]]-Inventory_Data[[#This Row],[Closing Stock]]</f>
        <v>0</v>
      </c>
      <c r="N1739">
        <f>Inventory_Data[[#This Row],[Purchase Qty]]*Inventory_Data[[#This Row],[Unit Cost]]</f>
        <v>884124</v>
      </c>
      <c r="O1739" t="str">
        <f>IF(Inventory_Data[[#This Row],[Closing Stock]]&lt;=Inventory_Data[[#This Row],[Reorder Level]],"Low Stock","In Stock")</f>
        <v>In Stock</v>
      </c>
      <c r="P1739" t="str">
        <f>TEXT(Inventory_Data[[#This Row],[Date]],"MMM")</f>
        <v>Jan</v>
      </c>
      <c r="Q1739" t="str">
        <f>TEXT(Inventory_Data[[#This Row],[Date]],"YYYY")</f>
        <v>2026</v>
      </c>
    </row>
    <row r="1740" spans="1:17" x14ac:dyDescent="0.3">
      <c r="A1740" s="1">
        <v>46028</v>
      </c>
      <c r="B1740" t="s">
        <v>39</v>
      </c>
      <c r="C1740" t="s">
        <v>28</v>
      </c>
      <c r="D1740" t="s">
        <v>23</v>
      </c>
      <c r="E1740" t="s">
        <v>15</v>
      </c>
      <c r="F1740">
        <v>122</v>
      </c>
      <c r="G1740">
        <v>115</v>
      </c>
      <c r="H1740">
        <v>61</v>
      </c>
      <c r="I1740">
        <v>176</v>
      </c>
      <c r="J1740">
        <v>54</v>
      </c>
      <c r="K1740">
        <v>40687</v>
      </c>
      <c r="L1740">
        <v>7160912</v>
      </c>
      <c r="M1740">
        <f>Inventory_Data[[#This Row],[Opening Stock]]+Inventory_Data[[#This Row],[Purchase Qty]]-Inventory_Data[[#This Row],[Sales Qty]]-Inventory_Data[[#This Row],[Closing Stock]]</f>
        <v>0</v>
      </c>
      <c r="N1740">
        <f>Inventory_Data[[#This Row],[Purchase Qty]]*Inventory_Data[[#This Row],[Unit Cost]]</f>
        <v>4679005</v>
      </c>
      <c r="O1740" t="str">
        <f>IF(Inventory_Data[[#This Row],[Closing Stock]]&lt;=Inventory_Data[[#This Row],[Reorder Level]],"Low Stock","In Stock")</f>
        <v>In Stock</v>
      </c>
      <c r="P1740" t="str">
        <f>TEXT(Inventory_Data[[#This Row],[Date]],"MMM")</f>
        <v>Jan</v>
      </c>
      <c r="Q1740" t="str">
        <f>TEXT(Inventory_Data[[#This Row],[Date]],"YYYY")</f>
        <v>2026</v>
      </c>
    </row>
    <row r="1741" spans="1:17" x14ac:dyDescent="0.3">
      <c r="A1741" s="1">
        <v>46028</v>
      </c>
      <c r="B1741" t="s">
        <v>38</v>
      </c>
      <c r="C1741" t="s">
        <v>17</v>
      </c>
      <c r="D1741" t="s">
        <v>23</v>
      </c>
      <c r="E1741" t="s">
        <v>20</v>
      </c>
      <c r="F1741">
        <v>46</v>
      </c>
      <c r="G1741">
        <v>43</v>
      </c>
      <c r="H1741">
        <v>20</v>
      </c>
      <c r="I1741">
        <v>69</v>
      </c>
      <c r="J1741">
        <v>26</v>
      </c>
      <c r="K1741">
        <v>16000</v>
      </c>
      <c r="L1741">
        <v>1104000</v>
      </c>
      <c r="M1741">
        <f>Inventory_Data[[#This Row],[Opening Stock]]+Inventory_Data[[#This Row],[Purchase Qty]]-Inventory_Data[[#This Row],[Sales Qty]]-Inventory_Data[[#This Row],[Closing Stock]]</f>
        <v>0</v>
      </c>
      <c r="N1741">
        <f>Inventory_Data[[#This Row],[Purchase Qty]]*Inventory_Data[[#This Row],[Unit Cost]]</f>
        <v>688000</v>
      </c>
      <c r="O1741" t="str">
        <f>IF(Inventory_Data[[#This Row],[Closing Stock]]&lt;=Inventory_Data[[#This Row],[Reorder Level]],"Low Stock","In Stock")</f>
        <v>In Stock</v>
      </c>
      <c r="P1741" t="str">
        <f>TEXT(Inventory_Data[[#This Row],[Date]],"MMM")</f>
        <v>Jan</v>
      </c>
      <c r="Q1741" t="str">
        <f>TEXT(Inventory_Data[[#This Row],[Date]],"YYYY")</f>
        <v>2026</v>
      </c>
    </row>
    <row r="1742" spans="1:17" x14ac:dyDescent="0.3">
      <c r="A1742" s="1">
        <v>46028</v>
      </c>
      <c r="B1742" t="s">
        <v>25</v>
      </c>
      <c r="C1742" t="s">
        <v>17</v>
      </c>
      <c r="D1742" t="s">
        <v>23</v>
      </c>
      <c r="E1742" t="s">
        <v>34</v>
      </c>
      <c r="F1742">
        <v>10</v>
      </c>
      <c r="G1742">
        <v>46</v>
      </c>
      <c r="H1742">
        <v>3</v>
      </c>
      <c r="I1742">
        <v>53</v>
      </c>
      <c r="J1742">
        <v>16</v>
      </c>
      <c r="K1742">
        <v>16684</v>
      </c>
      <c r="L1742">
        <v>884252</v>
      </c>
      <c r="M1742">
        <f>Inventory_Data[[#This Row],[Opening Stock]]+Inventory_Data[[#This Row],[Purchase Qty]]-Inventory_Data[[#This Row],[Sales Qty]]-Inventory_Data[[#This Row],[Closing Stock]]</f>
        <v>0</v>
      </c>
      <c r="N1742">
        <f>Inventory_Data[[#This Row],[Purchase Qty]]*Inventory_Data[[#This Row],[Unit Cost]]</f>
        <v>767464</v>
      </c>
      <c r="O1742" t="str">
        <f>IF(Inventory_Data[[#This Row],[Closing Stock]]&lt;=Inventory_Data[[#This Row],[Reorder Level]],"Low Stock","In Stock")</f>
        <v>In Stock</v>
      </c>
      <c r="P1742" t="str">
        <f>TEXT(Inventory_Data[[#This Row],[Date]],"MMM")</f>
        <v>Jan</v>
      </c>
      <c r="Q1742" t="str">
        <f>TEXT(Inventory_Data[[#This Row],[Date]],"YYYY")</f>
        <v>2026</v>
      </c>
    </row>
    <row r="1743" spans="1:17" x14ac:dyDescent="0.3">
      <c r="A1743" s="1">
        <v>46028</v>
      </c>
      <c r="B1743" t="s">
        <v>21</v>
      </c>
      <c r="C1743" t="s">
        <v>22</v>
      </c>
      <c r="D1743" t="s">
        <v>23</v>
      </c>
      <c r="E1743" t="s">
        <v>24</v>
      </c>
      <c r="F1743">
        <v>148</v>
      </c>
      <c r="G1743">
        <v>76</v>
      </c>
      <c r="H1743">
        <v>76</v>
      </c>
      <c r="I1743">
        <v>148</v>
      </c>
      <c r="J1743">
        <v>88</v>
      </c>
      <c r="K1743">
        <v>81</v>
      </c>
      <c r="L1743">
        <v>11988</v>
      </c>
      <c r="M1743">
        <f>Inventory_Data[[#This Row],[Opening Stock]]+Inventory_Data[[#This Row],[Purchase Qty]]-Inventory_Data[[#This Row],[Sales Qty]]-Inventory_Data[[#This Row],[Closing Stock]]</f>
        <v>0</v>
      </c>
      <c r="N1743">
        <f>Inventory_Data[[#This Row],[Purchase Qty]]*Inventory_Data[[#This Row],[Unit Cost]]</f>
        <v>6156</v>
      </c>
      <c r="O1743" t="str">
        <f>IF(Inventory_Data[[#This Row],[Closing Stock]]&lt;=Inventory_Data[[#This Row],[Reorder Level]],"Low Stock","In Stock")</f>
        <v>In Stock</v>
      </c>
      <c r="P1743" t="str">
        <f>TEXT(Inventory_Data[[#This Row],[Date]],"MMM")</f>
        <v>Jan</v>
      </c>
      <c r="Q1743" t="str">
        <f>TEXT(Inventory_Data[[#This Row],[Date]],"YYYY")</f>
        <v>2026</v>
      </c>
    </row>
    <row r="1744" spans="1:17" x14ac:dyDescent="0.3">
      <c r="A1744" s="1">
        <v>46028</v>
      </c>
      <c r="B1744" t="s">
        <v>44</v>
      </c>
      <c r="C1744" t="s">
        <v>28</v>
      </c>
      <c r="D1744" t="s">
        <v>26</v>
      </c>
      <c r="E1744" t="s">
        <v>24</v>
      </c>
      <c r="F1744">
        <v>142</v>
      </c>
      <c r="G1744">
        <v>17</v>
      </c>
      <c r="H1744">
        <v>73</v>
      </c>
      <c r="I1744">
        <v>86</v>
      </c>
      <c r="J1744">
        <v>28</v>
      </c>
      <c r="K1744">
        <v>50899</v>
      </c>
      <c r="L1744">
        <v>4377314</v>
      </c>
      <c r="M1744">
        <f>Inventory_Data[[#This Row],[Opening Stock]]+Inventory_Data[[#This Row],[Purchase Qty]]-Inventory_Data[[#This Row],[Sales Qty]]-Inventory_Data[[#This Row],[Closing Stock]]</f>
        <v>0</v>
      </c>
      <c r="N1744">
        <f>Inventory_Data[[#This Row],[Purchase Qty]]*Inventory_Data[[#This Row],[Unit Cost]]</f>
        <v>865283</v>
      </c>
      <c r="O1744" t="str">
        <f>IF(Inventory_Data[[#This Row],[Closing Stock]]&lt;=Inventory_Data[[#This Row],[Reorder Level]],"Low Stock","In Stock")</f>
        <v>In Stock</v>
      </c>
      <c r="P1744" t="str">
        <f>TEXT(Inventory_Data[[#This Row],[Date]],"MMM")</f>
        <v>Jan</v>
      </c>
      <c r="Q1744" t="str">
        <f>TEXT(Inventory_Data[[#This Row],[Date]],"YYYY")</f>
        <v>2026</v>
      </c>
    </row>
    <row r="1745" spans="1:17" x14ac:dyDescent="0.3">
      <c r="A1745" s="1">
        <v>46029</v>
      </c>
      <c r="B1745" t="s">
        <v>44</v>
      </c>
      <c r="C1745" t="s">
        <v>28</v>
      </c>
      <c r="D1745" t="s">
        <v>14</v>
      </c>
      <c r="E1745" t="s">
        <v>24</v>
      </c>
      <c r="F1745">
        <v>143</v>
      </c>
      <c r="G1745">
        <v>24</v>
      </c>
      <c r="H1745">
        <v>40</v>
      </c>
      <c r="I1745">
        <v>127</v>
      </c>
      <c r="J1745">
        <v>41</v>
      </c>
      <c r="K1745">
        <v>50254</v>
      </c>
      <c r="L1745">
        <v>6382258</v>
      </c>
      <c r="M1745">
        <f>Inventory_Data[[#This Row],[Opening Stock]]+Inventory_Data[[#This Row],[Purchase Qty]]-Inventory_Data[[#This Row],[Sales Qty]]-Inventory_Data[[#This Row],[Closing Stock]]</f>
        <v>0</v>
      </c>
      <c r="N1745">
        <f>Inventory_Data[[#This Row],[Purchase Qty]]*Inventory_Data[[#This Row],[Unit Cost]]</f>
        <v>1206096</v>
      </c>
      <c r="O1745" t="str">
        <f>IF(Inventory_Data[[#This Row],[Closing Stock]]&lt;=Inventory_Data[[#This Row],[Reorder Level]],"Low Stock","In Stock")</f>
        <v>In Stock</v>
      </c>
      <c r="P1745" t="str">
        <f>TEXT(Inventory_Data[[#This Row],[Date]],"MMM")</f>
        <v>Jan</v>
      </c>
      <c r="Q1745" t="str">
        <f>TEXT(Inventory_Data[[#This Row],[Date]],"YYYY")</f>
        <v>2026</v>
      </c>
    </row>
    <row r="1746" spans="1:17" x14ac:dyDescent="0.3">
      <c r="A1746" s="1">
        <v>46029</v>
      </c>
      <c r="B1746" t="s">
        <v>35</v>
      </c>
      <c r="C1746" t="s">
        <v>22</v>
      </c>
      <c r="D1746" t="s">
        <v>26</v>
      </c>
      <c r="E1746" t="s">
        <v>34</v>
      </c>
      <c r="F1746">
        <v>154</v>
      </c>
      <c r="G1746">
        <v>117</v>
      </c>
      <c r="H1746">
        <v>11</v>
      </c>
      <c r="I1746">
        <v>260</v>
      </c>
      <c r="J1746">
        <v>147</v>
      </c>
      <c r="K1746">
        <v>103</v>
      </c>
      <c r="L1746">
        <v>26780</v>
      </c>
      <c r="M1746">
        <f>Inventory_Data[[#This Row],[Opening Stock]]+Inventory_Data[[#This Row],[Purchase Qty]]-Inventory_Data[[#This Row],[Sales Qty]]-Inventory_Data[[#This Row],[Closing Stock]]</f>
        <v>0</v>
      </c>
      <c r="N1746">
        <f>Inventory_Data[[#This Row],[Purchase Qty]]*Inventory_Data[[#This Row],[Unit Cost]]</f>
        <v>12051</v>
      </c>
      <c r="O1746" t="str">
        <f>IF(Inventory_Data[[#This Row],[Closing Stock]]&lt;=Inventory_Data[[#This Row],[Reorder Level]],"Low Stock","In Stock")</f>
        <v>In Stock</v>
      </c>
      <c r="P1746" t="str">
        <f>TEXT(Inventory_Data[[#This Row],[Date]],"MMM")</f>
        <v>Jan</v>
      </c>
      <c r="Q1746" t="str">
        <f>TEXT(Inventory_Data[[#This Row],[Date]],"YYYY")</f>
        <v>2026</v>
      </c>
    </row>
    <row r="1747" spans="1:17" x14ac:dyDescent="0.3">
      <c r="A1747" s="1">
        <v>46029</v>
      </c>
      <c r="B1747" t="s">
        <v>30</v>
      </c>
      <c r="C1747" t="s">
        <v>28</v>
      </c>
      <c r="D1747" t="s">
        <v>26</v>
      </c>
      <c r="E1747" t="s">
        <v>18</v>
      </c>
      <c r="F1747">
        <v>152</v>
      </c>
      <c r="G1747">
        <v>76</v>
      </c>
      <c r="H1747">
        <v>15</v>
      </c>
      <c r="I1747">
        <v>213</v>
      </c>
      <c r="J1747">
        <v>49</v>
      </c>
      <c r="K1747">
        <v>33688</v>
      </c>
      <c r="L1747">
        <v>7175544</v>
      </c>
      <c r="M1747">
        <f>Inventory_Data[[#This Row],[Opening Stock]]+Inventory_Data[[#This Row],[Purchase Qty]]-Inventory_Data[[#This Row],[Sales Qty]]-Inventory_Data[[#This Row],[Closing Stock]]</f>
        <v>0</v>
      </c>
      <c r="N1747">
        <f>Inventory_Data[[#This Row],[Purchase Qty]]*Inventory_Data[[#This Row],[Unit Cost]]</f>
        <v>2560288</v>
      </c>
      <c r="O1747" t="str">
        <f>IF(Inventory_Data[[#This Row],[Closing Stock]]&lt;=Inventory_Data[[#This Row],[Reorder Level]],"Low Stock","In Stock")</f>
        <v>In Stock</v>
      </c>
      <c r="P1747" t="str">
        <f>TEXT(Inventory_Data[[#This Row],[Date]],"MMM")</f>
        <v>Jan</v>
      </c>
      <c r="Q1747" t="str">
        <f>TEXT(Inventory_Data[[#This Row],[Date]],"YYYY")</f>
        <v>2026</v>
      </c>
    </row>
    <row r="1748" spans="1:17" x14ac:dyDescent="0.3">
      <c r="A1748" s="1">
        <v>46030</v>
      </c>
      <c r="B1748" t="s">
        <v>21</v>
      </c>
      <c r="C1748" t="s">
        <v>22</v>
      </c>
      <c r="D1748" t="s">
        <v>37</v>
      </c>
      <c r="E1748" t="s">
        <v>20</v>
      </c>
      <c r="F1748">
        <v>153</v>
      </c>
      <c r="G1748">
        <v>274</v>
      </c>
      <c r="H1748">
        <v>178</v>
      </c>
      <c r="I1748">
        <v>249</v>
      </c>
      <c r="J1748">
        <v>74</v>
      </c>
      <c r="K1748">
        <v>497</v>
      </c>
      <c r="L1748">
        <v>123753</v>
      </c>
      <c r="M1748">
        <f>Inventory_Data[[#This Row],[Opening Stock]]+Inventory_Data[[#This Row],[Purchase Qty]]-Inventory_Data[[#This Row],[Sales Qty]]-Inventory_Data[[#This Row],[Closing Stock]]</f>
        <v>0</v>
      </c>
      <c r="N1748">
        <f>Inventory_Data[[#This Row],[Purchase Qty]]*Inventory_Data[[#This Row],[Unit Cost]]</f>
        <v>136178</v>
      </c>
      <c r="O1748" t="str">
        <f>IF(Inventory_Data[[#This Row],[Closing Stock]]&lt;=Inventory_Data[[#This Row],[Reorder Level]],"Low Stock","In Stock")</f>
        <v>In Stock</v>
      </c>
      <c r="P1748" t="str">
        <f>TEXT(Inventory_Data[[#This Row],[Date]],"MMM")</f>
        <v>Jan</v>
      </c>
      <c r="Q1748" t="str">
        <f>TEXT(Inventory_Data[[#This Row],[Date]],"YYYY")</f>
        <v>2026</v>
      </c>
    </row>
    <row r="1749" spans="1:17" x14ac:dyDescent="0.3">
      <c r="A1749" s="1">
        <v>46030</v>
      </c>
      <c r="B1749" t="s">
        <v>31</v>
      </c>
      <c r="C1749" t="s">
        <v>22</v>
      </c>
      <c r="D1749" t="s">
        <v>26</v>
      </c>
      <c r="E1749" t="s">
        <v>34</v>
      </c>
      <c r="F1749">
        <v>201</v>
      </c>
      <c r="G1749">
        <v>112</v>
      </c>
      <c r="H1749">
        <v>143</v>
      </c>
      <c r="I1749">
        <v>170</v>
      </c>
      <c r="J1749">
        <v>88</v>
      </c>
      <c r="K1749">
        <v>691</v>
      </c>
      <c r="L1749">
        <v>117470</v>
      </c>
      <c r="M1749">
        <f>Inventory_Data[[#This Row],[Opening Stock]]+Inventory_Data[[#This Row],[Purchase Qty]]-Inventory_Data[[#This Row],[Sales Qty]]-Inventory_Data[[#This Row],[Closing Stock]]</f>
        <v>0</v>
      </c>
      <c r="N1749">
        <f>Inventory_Data[[#This Row],[Purchase Qty]]*Inventory_Data[[#This Row],[Unit Cost]]</f>
        <v>77392</v>
      </c>
      <c r="O1749" t="str">
        <f>IF(Inventory_Data[[#This Row],[Closing Stock]]&lt;=Inventory_Data[[#This Row],[Reorder Level]],"Low Stock","In Stock")</f>
        <v>In Stock</v>
      </c>
      <c r="P1749" t="str">
        <f>TEXT(Inventory_Data[[#This Row],[Date]],"MMM")</f>
        <v>Jan</v>
      </c>
      <c r="Q1749" t="str">
        <f>TEXT(Inventory_Data[[#This Row],[Date]],"YYYY")</f>
        <v>2026</v>
      </c>
    </row>
    <row r="1750" spans="1:17" x14ac:dyDescent="0.3">
      <c r="A1750" s="1">
        <v>46030</v>
      </c>
      <c r="B1750" t="s">
        <v>31</v>
      </c>
      <c r="C1750" t="s">
        <v>22</v>
      </c>
      <c r="D1750" t="s">
        <v>37</v>
      </c>
      <c r="E1750" t="s">
        <v>18</v>
      </c>
      <c r="F1750">
        <v>103</v>
      </c>
      <c r="G1750">
        <v>288</v>
      </c>
      <c r="H1750">
        <v>153</v>
      </c>
      <c r="I1750">
        <v>238</v>
      </c>
      <c r="J1750">
        <v>106</v>
      </c>
      <c r="K1750">
        <v>490</v>
      </c>
      <c r="L1750">
        <v>116620</v>
      </c>
      <c r="M1750">
        <f>Inventory_Data[[#This Row],[Opening Stock]]+Inventory_Data[[#This Row],[Purchase Qty]]-Inventory_Data[[#This Row],[Sales Qty]]-Inventory_Data[[#This Row],[Closing Stock]]</f>
        <v>0</v>
      </c>
      <c r="N1750">
        <f>Inventory_Data[[#This Row],[Purchase Qty]]*Inventory_Data[[#This Row],[Unit Cost]]</f>
        <v>141120</v>
      </c>
      <c r="O1750" t="str">
        <f>IF(Inventory_Data[[#This Row],[Closing Stock]]&lt;=Inventory_Data[[#This Row],[Reorder Level]],"Low Stock","In Stock")</f>
        <v>In Stock</v>
      </c>
      <c r="P1750" t="str">
        <f>TEXT(Inventory_Data[[#This Row],[Date]],"MMM")</f>
        <v>Jan</v>
      </c>
      <c r="Q1750" t="str">
        <f>TEXT(Inventory_Data[[#This Row],[Date]],"YYYY")</f>
        <v>2026</v>
      </c>
    </row>
    <row r="1751" spans="1:17" x14ac:dyDescent="0.3">
      <c r="A1751" s="1">
        <v>46030</v>
      </c>
      <c r="B1751" t="s">
        <v>21</v>
      </c>
      <c r="C1751" t="s">
        <v>22</v>
      </c>
      <c r="D1751" t="s">
        <v>37</v>
      </c>
      <c r="E1751" t="s">
        <v>34</v>
      </c>
      <c r="F1751">
        <v>466</v>
      </c>
      <c r="G1751">
        <v>60</v>
      </c>
      <c r="H1751">
        <v>56</v>
      </c>
      <c r="I1751">
        <v>470</v>
      </c>
      <c r="J1751">
        <v>121</v>
      </c>
      <c r="K1751">
        <v>127</v>
      </c>
      <c r="L1751">
        <v>59690</v>
      </c>
      <c r="M1751">
        <f>Inventory_Data[[#This Row],[Opening Stock]]+Inventory_Data[[#This Row],[Purchase Qty]]-Inventory_Data[[#This Row],[Sales Qty]]-Inventory_Data[[#This Row],[Closing Stock]]</f>
        <v>0</v>
      </c>
      <c r="N1751">
        <f>Inventory_Data[[#This Row],[Purchase Qty]]*Inventory_Data[[#This Row],[Unit Cost]]</f>
        <v>7620</v>
      </c>
      <c r="O1751" t="str">
        <f>IF(Inventory_Data[[#This Row],[Closing Stock]]&lt;=Inventory_Data[[#This Row],[Reorder Level]],"Low Stock","In Stock")</f>
        <v>In Stock</v>
      </c>
      <c r="P1751" t="str">
        <f>TEXT(Inventory_Data[[#This Row],[Date]],"MMM")</f>
        <v>Jan</v>
      </c>
      <c r="Q1751" t="str">
        <f>TEXT(Inventory_Data[[#This Row],[Date]],"YYYY")</f>
        <v>2026</v>
      </c>
    </row>
    <row r="1752" spans="1:17" x14ac:dyDescent="0.3">
      <c r="A1752" s="1">
        <v>46031</v>
      </c>
      <c r="B1752" t="s">
        <v>44</v>
      </c>
      <c r="C1752" t="s">
        <v>28</v>
      </c>
      <c r="D1752" t="s">
        <v>14</v>
      </c>
      <c r="E1752" t="s">
        <v>18</v>
      </c>
      <c r="F1752">
        <v>61</v>
      </c>
      <c r="G1752">
        <v>56</v>
      </c>
      <c r="H1752">
        <v>41</v>
      </c>
      <c r="I1752">
        <v>76</v>
      </c>
      <c r="J1752">
        <v>35</v>
      </c>
      <c r="K1752">
        <v>18453</v>
      </c>
      <c r="L1752">
        <v>1402428</v>
      </c>
      <c r="M1752">
        <f>Inventory_Data[[#This Row],[Opening Stock]]+Inventory_Data[[#This Row],[Purchase Qty]]-Inventory_Data[[#This Row],[Sales Qty]]-Inventory_Data[[#This Row],[Closing Stock]]</f>
        <v>0</v>
      </c>
      <c r="N1752">
        <f>Inventory_Data[[#This Row],[Purchase Qty]]*Inventory_Data[[#This Row],[Unit Cost]]</f>
        <v>1033368</v>
      </c>
      <c r="O1752" t="str">
        <f>IF(Inventory_Data[[#This Row],[Closing Stock]]&lt;=Inventory_Data[[#This Row],[Reorder Level]],"Low Stock","In Stock")</f>
        <v>In Stock</v>
      </c>
      <c r="P1752" t="str">
        <f>TEXT(Inventory_Data[[#This Row],[Date]],"MMM")</f>
        <v>Jan</v>
      </c>
      <c r="Q1752" t="str">
        <f>TEXT(Inventory_Data[[#This Row],[Date]],"YYYY")</f>
        <v>2026</v>
      </c>
    </row>
    <row r="1753" spans="1:17" x14ac:dyDescent="0.3">
      <c r="A1753" s="1">
        <v>46031</v>
      </c>
      <c r="B1753" t="s">
        <v>33</v>
      </c>
      <c r="C1753" t="s">
        <v>13</v>
      </c>
      <c r="D1753" t="s">
        <v>26</v>
      </c>
      <c r="E1753" t="s">
        <v>15</v>
      </c>
      <c r="F1753">
        <v>28</v>
      </c>
      <c r="G1753">
        <v>39</v>
      </c>
      <c r="H1753">
        <v>30</v>
      </c>
      <c r="I1753">
        <v>37</v>
      </c>
      <c r="J1753">
        <v>21</v>
      </c>
      <c r="K1753">
        <v>10005</v>
      </c>
      <c r="L1753">
        <v>370185</v>
      </c>
      <c r="M1753">
        <f>Inventory_Data[[#This Row],[Opening Stock]]+Inventory_Data[[#This Row],[Purchase Qty]]-Inventory_Data[[#This Row],[Sales Qty]]-Inventory_Data[[#This Row],[Closing Stock]]</f>
        <v>0</v>
      </c>
      <c r="N1753">
        <f>Inventory_Data[[#This Row],[Purchase Qty]]*Inventory_Data[[#This Row],[Unit Cost]]</f>
        <v>390195</v>
      </c>
      <c r="O1753" t="str">
        <f>IF(Inventory_Data[[#This Row],[Closing Stock]]&lt;=Inventory_Data[[#This Row],[Reorder Level]],"Low Stock","In Stock")</f>
        <v>In Stock</v>
      </c>
      <c r="P1753" t="str">
        <f>TEXT(Inventory_Data[[#This Row],[Date]],"MMM")</f>
        <v>Jan</v>
      </c>
      <c r="Q1753" t="str">
        <f>TEXT(Inventory_Data[[#This Row],[Date]],"YYYY")</f>
        <v>2026</v>
      </c>
    </row>
    <row r="1754" spans="1:17" x14ac:dyDescent="0.3">
      <c r="A1754" s="1">
        <v>46031</v>
      </c>
      <c r="B1754" t="s">
        <v>33</v>
      </c>
      <c r="C1754" t="s">
        <v>13</v>
      </c>
      <c r="D1754" t="s">
        <v>37</v>
      </c>
      <c r="E1754" t="s">
        <v>34</v>
      </c>
      <c r="F1754">
        <v>53</v>
      </c>
      <c r="G1754">
        <v>45</v>
      </c>
      <c r="H1754">
        <v>51</v>
      </c>
      <c r="I1754">
        <v>47</v>
      </c>
      <c r="J1754">
        <v>28</v>
      </c>
      <c r="K1754">
        <v>12243</v>
      </c>
      <c r="L1754">
        <v>575421</v>
      </c>
      <c r="M1754">
        <f>Inventory_Data[[#This Row],[Opening Stock]]+Inventory_Data[[#This Row],[Purchase Qty]]-Inventory_Data[[#This Row],[Sales Qty]]-Inventory_Data[[#This Row],[Closing Stock]]</f>
        <v>0</v>
      </c>
      <c r="N1754">
        <f>Inventory_Data[[#This Row],[Purchase Qty]]*Inventory_Data[[#This Row],[Unit Cost]]</f>
        <v>550935</v>
      </c>
      <c r="O1754" t="str">
        <f>IF(Inventory_Data[[#This Row],[Closing Stock]]&lt;=Inventory_Data[[#This Row],[Reorder Level]],"Low Stock","In Stock")</f>
        <v>In Stock</v>
      </c>
      <c r="P1754" t="str">
        <f>TEXT(Inventory_Data[[#This Row],[Date]],"MMM")</f>
        <v>Jan</v>
      </c>
      <c r="Q1754" t="str">
        <f>TEXT(Inventory_Data[[#This Row],[Date]],"YYYY")</f>
        <v>2026</v>
      </c>
    </row>
    <row r="1755" spans="1:17" x14ac:dyDescent="0.3">
      <c r="A1755" s="1">
        <v>46031</v>
      </c>
      <c r="B1755" t="s">
        <v>41</v>
      </c>
      <c r="C1755" t="s">
        <v>22</v>
      </c>
      <c r="D1755" t="s">
        <v>26</v>
      </c>
      <c r="E1755" t="s">
        <v>15</v>
      </c>
      <c r="F1755">
        <v>118</v>
      </c>
      <c r="G1755">
        <v>74</v>
      </c>
      <c r="H1755">
        <v>146</v>
      </c>
      <c r="I1755">
        <v>46</v>
      </c>
      <c r="J1755">
        <v>81</v>
      </c>
      <c r="K1755">
        <v>253</v>
      </c>
      <c r="L1755">
        <v>11638</v>
      </c>
      <c r="M1755">
        <f>Inventory_Data[[#This Row],[Opening Stock]]+Inventory_Data[[#This Row],[Purchase Qty]]-Inventory_Data[[#This Row],[Sales Qty]]-Inventory_Data[[#This Row],[Closing Stock]]</f>
        <v>0</v>
      </c>
      <c r="N1755">
        <f>Inventory_Data[[#This Row],[Purchase Qty]]*Inventory_Data[[#This Row],[Unit Cost]]</f>
        <v>18722</v>
      </c>
      <c r="O1755" t="str">
        <f>IF(Inventory_Data[[#This Row],[Closing Stock]]&lt;=Inventory_Data[[#This Row],[Reorder Level]],"Low Stock","In Stock")</f>
        <v>Low Stock</v>
      </c>
      <c r="P1755" t="str">
        <f>TEXT(Inventory_Data[[#This Row],[Date]],"MMM")</f>
        <v>Jan</v>
      </c>
      <c r="Q1755" t="str">
        <f>TEXT(Inventory_Data[[#This Row],[Date]],"YYYY")</f>
        <v>2026</v>
      </c>
    </row>
    <row r="1756" spans="1:17" x14ac:dyDescent="0.3">
      <c r="A1756" s="1">
        <v>46032</v>
      </c>
      <c r="B1756" t="s">
        <v>43</v>
      </c>
      <c r="C1756" t="s">
        <v>22</v>
      </c>
      <c r="D1756" t="s">
        <v>26</v>
      </c>
      <c r="E1756" t="s">
        <v>18</v>
      </c>
      <c r="F1756">
        <v>211</v>
      </c>
      <c r="G1756">
        <v>263</v>
      </c>
      <c r="H1756">
        <v>153</v>
      </c>
      <c r="I1756">
        <v>321</v>
      </c>
      <c r="J1756">
        <v>115</v>
      </c>
      <c r="K1756">
        <v>341</v>
      </c>
      <c r="L1756">
        <v>109461</v>
      </c>
      <c r="M1756">
        <f>Inventory_Data[[#This Row],[Opening Stock]]+Inventory_Data[[#This Row],[Purchase Qty]]-Inventory_Data[[#This Row],[Sales Qty]]-Inventory_Data[[#This Row],[Closing Stock]]</f>
        <v>0</v>
      </c>
      <c r="N1756">
        <f>Inventory_Data[[#This Row],[Purchase Qty]]*Inventory_Data[[#This Row],[Unit Cost]]</f>
        <v>89683</v>
      </c>
      <c r="O1756" t="str">
        <f>IF(Inventory_Data[[#This Row],[Closing Stock]]&lt;=Inventory_Data[[#This Row],[Reorder Level]],"Low Stock","In Stock")</f>
        <v>In Stock</v>
      </c>
      <c r="P1756" t="str">
        <f>TEXT(Inventory_Data[[#This Row],[Date]],"MMM")</f>
        <v>Jan</v>
      </c>
      <c r="Q1756" t="str">
        <f>TEXT(Inventory_Data[[#This Row],[Date]],"YYYY")</f>
        <v>2026</v>
      </c>
    </row>
    <row r="1757" spans="1:17" x14ac:dyDescent="0.3">
      <c r="A1757" s="1">
        <v>46032</v>
      </c>
      <c r="B1757" t="s">
        <v>19</v>
      </c>
      <c r="C1757" t="s">
        <v>13</v>
      </c>
      <c r="D1757" t="s">
        <v>23</v>
      </c>
      <c r="E1757" t="s">
        <v>34</v>
      </c>
      <c r="F1757">
        <v>22</v>
      </c>
      <c r="G1757">
        <v>5</v>
      </c>
      <c r="H1757">
        <v>27</v>
      </c>
      <c r="I1757">
        <v>0</v>
      </c>
      <c r="J1757">
        <v>20</v>
      </c>
      <c r="K1757">
        <v>10691</v>
      </c>
      <c r="L1757">
        <v>0</v>
      </c>
      <c r="M1757">
        <f>Inventory_Data[[#This Row],[Opening Stock]]+Inventory_Data[[#This Row],[Purchase Qty]]-Inventory_Data[[#This Row],[Sales Qty]]-Inventory_Data[[#This Row],[Closing Stock]]</f>
        <v>0</v>
      </c>
      <c r="N1757">
        <f>Inventory_Data[[#This Row],[Purchase Qty]]*Inventory_Data[[#This Row],[Unit Cost]]</f>
        <v>53455</v>
      </c>
      <c r="O1757" t="str">
        <f>IF(Inventory_Data[[#This Row],[Closing Stock]]&lt;=Inventory_Data[[#This Row],[Reorder Level]],"Low Stock","In Stock")</f>
        <v>Low Stock</v>
      </c>
      <c r="P1757" t="str">
        <f>TEXT(Inventory_Data[[#This Row],[Date]],"MMM")</f>
        <v>Jan</v>
      </c>
      <c r="Q1757" t="str">
        <f>TEXT(Inventory_Data[[#This Row],[Date]],"YYYY")</f>
        <v>2026</v>
      </c>
    </row>
    <row r="1758" spans="1:17" x14ac:dyDescent="0.3">
      <c r="A1758" s="1">
        <v>46032</v>
      </c>
      <c r="B1758" t="s">
        <v>16</v>
      </c>
      <c r="C1758" t="s">
        <v>17</v>
      </c>
      <c r="D1758" t="s">
        <v>23</v>
      </c>
      <c r="E1758" t="s">
        <v>20</v>
      </c>
      <c r="F1758">
        <v>83</v>
      </c>
      <c r="G1758">
        <v>58</v>
      </c>
      <c r="H1758">
        <v>21</v>
      </c>
      <c r="I1758">
        <v>120</v>
      </c>
      <c r="J1758">
        <v>16</v>
      </c>
      <c r="K1758">
        <v>21290</v>
      </c>
      <c r="L1758">
        <v>2554800</v>
      </c>
      <c r="M1758">
        <f>Inventory_Data[[#This Row],[Opening Stock]]+Inventory_Data[[#This Row],[Purchase Qty]]-Inventory_Data[[#This Row],[Sales Qty]]-Inventory_Data[[#This Row],[Closing Stock]]</f>
        <v>0</v>
      </c>
      <c r="N1758">
        <f>Inventory_Data[[#This Row],[Purchase Qty]]*Inventory_Data[[#This Row],[Unit Cost]]</f>
        <v>1234820</v>
      </c>
      <c r="O1758" t="str">
        <f>IF(Inventory_Data[[#This Row],[Closing Stock]]&lt;=Inventory_Data[[#This Row],[Reorder Level]],"Low Stock","In Stock")</f>
        <v>In Stock</v>
      </c>
      <c r="P1758" t="str">
        <f>TEXT(Inventory_Data[[#This Row],[Date]],"MMM")</f>
        <v>Jan</v>
      </c>
      <c r="Q1758" t="str">
        <f>TEXT(Inventory_Data[[#This Row],[Date]],"YYYY")</f>
        <v>2026</v>
      </c>
    </row>
    <row r="1759" spans="1:17" x14ac:dyDescent="0.3">
      <c r="A1759" s="1">
        <v>46032</v>
      </c>
      <c r="B1759" t="s">
        <v>42</v>
      </c>
      <c r="C1759" t="s">
        <v>17</v>
      </c>
      <c r="D1759" t="s">
        <v>23</v>
      </c>
      <c r="E1759" t="s">
        <v>24</v>
      </c>
      <c r="F1759">
        <v>62</v>
      </c>
      <c r="G1759">
        <v>43</v>
      </c>
      <c r="H1759">
        <v>21</v>
      </c>
      <c r="I1759">
        <v>84</v>
      </c>
      <c r="J1759">
        <v>22</v>
      </c>
      <c r="K1759">
        <v>9459</v>
      </c>
      <c r="L1759">
        <v>794556</v>
      </c>
      <c r="M1759">
        <f>Inventory_Data[[#This Row],[Opening Stock]]+Inventory_Data[[#This Row],[Purchase Qty]]-Inventory_Data[[#This Row],[Sales Qty]]-Inventory_Data[[#This Row],[Closing Stock]]</f>
        <v>0</v>
      </c>
      <c r="N1759">
        <f>Inventory_Data[[#This Row],[Purchase Qty]]*Inventory_Data[[#This Row],[Unit Cost]]</f>
        <v>406737</v>
      </c>
      <c r="O1759" t="str">
        <f>IF(Inventory_Data[[#This Row],[Closing Stock]]&lt;=Inventory_Data[[#This Row],[Reorder Level]],"Low Stock","In Stock")</f>
        <v>In Stock</v>
      </c>
      <c r="P1759" t="str">
        <f>TEXT(Inventory_Data[[#This Row],[Date]],"MMM")</f>
        <v>Jan</v>
      </c>
      <c r="Q1759" t="str">
        <f>TEXT(Inventory_Data[[#This Row],[Date]],"YYYY")</f>
        <v>2026</v>
      </c>
    </row>
    <row r="1760" spans="1:17" x14ac:dyDescent="0.3">
      <c r="A1760" s="1">
        <v>46032</v>
      </c>
      <c r="B1760" t="s">
        <v>38</v>
      </c>
      <c r="C1760" t="s">
        <v>17</v>
      </c>
      <c r="D1760" t="s">
        <v>23</v>
      </c>
      <c r="E1760" t="s">
        <v>24</v>
      </c>
      <c r="F1760">
        <v>15</v>
      </c>
      <c r="G1760">
        <v>59</v>
      </c>
      <c r="H1760">
        <v>37</v>
      </c>
      <c r="I1760">
        <v>37</v>
      </c>
      <c r="J1760">
        <v>28</v>
      </c>
      <c r="K1760">
        <v>24782</v>
      </c>
      <c r="L1760">
        <v>916934</v>
      </c>
      <c r="M1760">
        <f>Inventory_Data[[#This Row],[Opening Stock]]+Inventory_Data[[#This Row],[Purchase Qty]]-Inventory_Data[[#This Row],[Sales Qty]]-Inventory_Data[[#This Row],[Closing Stock]]</f>
        <v>0</v>
      </c>
      <c r="N1760">
        <f>Inventory_Data[[#This Row],[Purchase Qty]]*Inventory_Data[[#This Row],[Unit Cost]]</f>
        <v>1462138</v>
      </c>
      <c r="O1760" t="str">
        <f>IF(Inventory_Data[[#This Row],[Closing Stock]]&lt;=Inventory_Data[[#This Row],[Reorder Level]],"Low Stock","In Stock")</f>
        <v>In Stock</v>
      </c>
      <c r="P1760" t="str">
        <f>TEXT(Inventory_Data[[#This Row],[Date]],"MMM")</f>
        <v>Jan</v>
      </c>
      <c r="Q1760" t="str">
        <f>TEXT(Inventory_Data[[#This Row],[Date]],"YYYY")</f>
        <v>2026</v>
      </c>
    </row>
    <row r="1761" spans="1:17" x14ac:dyDescent="0.3">
      <c r="A1761" s="1">
        <v>46032</v>
      </c>
      <c r="B1761" t="s">
        <v>41</v>
      </c>
      <c r="C1761" t="s">
        <v>22</v>
      </c>
      <c r="D1761" t="s">
        <v>14</v>
      </c>
      <c r="E1761" t="s">
        <v>24</v>
      </c>
      <c r="F1761">
        <v>101</v>
      </c>
      <c r="G1761">
        <v>241</v>
      </c>
      <c r="H1761">
        <v>50</v>
      </c>
      <c r="I1761">
        <v>292</v>
      </c>
      <c r="J1761">
        <v>140</v>
      </c>
      <c r="K1761">
        <v>835</v>
      </c>
      <c r="L1761">
        <v>243820</v>
      </c>
      <c r="M1761">
        <f>Inventory_Data[[#This Row],[Opening Stock]]+Inventory_Data[[#This Row],[Purchase Qty]]-Inventory_Data[[#This Row],[Sales Qty]]-Inventory_Data[[#This Row],[Closing Stock]]</f>
        <v>0</v>
      </c>
      <c r="N1761">
        <f>Inventory_Data[[#This Row],[Purchase Qty]]*Inventory_Data[[#This Row],[Unit Cost]]</f>
        <v>201235</v>
      </c>
      <c r="O1761" t="str">
        <f>IF(Inventory_Data[[#This Row],[Closing Stock]]&lt;=Inventory_Data[[#This Row],[Reorder Level]],"Low Stock","In Stock")</f>
        <v>In Stock</v>
      </c>
      <c r="P1761" t="str">
        <f>TEXT(Inventory_Data[[#This Row],[Date]],"MMM")</f>
        <v>Jan</v>
      </c>
      <c r="Q1761" t="str">
        <f>TEXT(Inventory_Data[[#This Row],[Date]],"YYYY")</f>
        <v>2026</v>
      </c>
    </row>
    <row r="1762" spans="1:17" x14ac:dyDescent="0.3">
      <c r="A1762" s="1">
        <v>46032</v>
      </c>
      <c r="B1762" t="s">
        <v>19</v>
      </c>
      <c r="C1762" t="s">
        <v>13</v>
      </c>
      <c r="D1762" t="s">
        <v>14</v>
      </c>
      <c r="E1762" t="s">
        <v>34</v>
      </c>
      <c r="F1762">
        <v>29</v>
      </c>
      <c r="G1762">
        <v>32</v>
      </c>
      <c r="H1762">
        <v>15</v>
      </c>
      <c r="I1762">
        <v>46</v>
      </c>
      <c r="J1762">
        <v>34</v>
      </c>
      <c r="K1762">
        <v>5421</v>
      </c>
      <c r="L1762">
        <v>249366</v>
      </c>
      <c r="M1762">
        <f>Inventory_Data[[#This Row],[Opening Stock]]+Inventory_Data[[#This Row],[Purchase Qty]]-Inventory_Data[[#This Row],[Sales Qty]]-Inventory_Data[[#This Row],[Closing Stock]]</f>
        <v>0</v>
      </c>
      <c r="N1762">
        <f>Inventory_Data[[#This Row],[Purchase Qty]]*Inventory_Data[[#This Row],[Unit Cost]]</f>
        <v>173472</v>
      </c>
      <c r="O1762" t="str">
        <f>IF(Inventory_Data[[#This Row],[Closing Stock]]&lt;=Inventory_Data[[#This Row],[Reorder Level]],"Low Stock","In Stock")</f>
        <v>In Stock</v>
      </c>
      <c r="P1762" t="str">
        <f>TEXT(Inventory_Data[[#This Row],[Date]],"MMM")</f>
        <v>Jan</v>
      </c>
      <c r="Q1762" t="str">
        <f>TEXT(Inventory_Data[[#This Row],[Date]],"YYYY")</f>
        <v>2026</v>
      </c>
    </row>
    <row r="1763" spans="1:17" x14ac:dyDescent="0.3">
      <c r="A1763" s="1">
        <v>46032</v>
      </c>
      <c r="B1763" t="s">
        <v>32</v>
      </c>
      <c r="C1763" t="s">
        <v>28</v>
      </c>
      <c r="D1763" t="s">
        <v>23</v>
      </c>
      <c r="E1763" t="s">
        <v>29</v>
      </c>
      <c r="F1763">
        <v>133</v>
      </c>
      <c r="G1763">
        <v>25</v>
      </c>
      <c r="H1763">
        <v>87</v>
      </c>
      <c r="I1763">
        <v>71</v>
      </c>
      <c r="J1763">
        <v>37</v>
      </c>
      <c r="K1763">
        <v>12242</v>
      </c>
      <c r="L1763">
        <v>869182</v>
      </c>
      <c r="M1763">
        <f>Inventory_Data[[#This Row],[Opening Stock]]+Inventory_Data[[#This Row],[Purchase Qty]]-Inventory_Data[[#This Row],[Sales Qty]]-Inventory_Data[[#This Row],[Closing Stock]]</f>
        <v>0</v>
      </c>
      <c r="N1763">
        <f>Inventory_Data[[#This Row],[Purchase Qty]]*Inventory_Data[[#This Row],[Unit Cost]]</f>
        <v>306050</v>
      </c>
      <c r="O1763" t="str">
        <f>IF(Inventory_Data[[#This Row],[Closing Stock]]&lt;=Inventory_Data[[#This Row],[Reorder Level]],"Low Stock","In Stock")</f>
        <v>In Stock</v>
      </c>
      <c r="P1763" t="str">
        <f>TEXT(Inventory_Data[[#This Row],[Date]],"MMM")</f>
        <v>Jan</v>
      </c>
      <c r="Q1763" t="str">
        <f>TEXT(Inventory_Data[[#This Row],[Date]],"YYYY")</f>
        <v>2026</v>
      </c>
    </row>
    <row r="1764" spans="1:17" x14ac:dyDescent="0.3">
      <c r="A1764" s="1">
        <v>46033</v>
      </c>
      <c r="B1764" t="s">
        <v>33</v>
      </c>
      <c r="C1764" t="s">
        <v>13</v>
      </c>
      <c r="D1764" t="s">
        <v>37</v>
      </c>
      <c r="E1764" t="s">
        <v>15</v>
      </c>
      <c r="F1764">
        <v>61</v>
      </c>
      <c r="G1764">
        <v>13</v>
      </c>
      <c r="H1764">
        <v>15</v>
      </c>
      <c r="I1764">
        <v>59</v>
      </c>
      <c r="J1764">
        <v>29</v>
      </c>
      <c r="K1764">
        <v>854</v>
      </c>
      <c r="L1764">
        <v>50386</v>
      </c>
      <c r="M1764">
        <f>Inventory_Data[[#This Row],[Opening Stock]]+Inventory_Data[[#This Row],[Purchase Qty]]-Inventory_Data[[#This Row],[Sales Qty]]-Inventory_Data[[#This Row],[Closing Stock]]</f>
        <v>0</v>
      </c>
      <c r="N1764">
        <f>Inventory_Data[[#This Row],[Purchase Qty]]*Inventory_Data[[#This Row],[Unit Cost]]</f>
        <v>11102</v>
      </c>
      <c r="O1764" t="str">
        <f>IF(Inventory_Data[[#This Row],[Closing Stock]]&lt;=Inventory_Data[[#This Row],[Reorder Level]],"Low Stock","In Stock")</f>
        <v>In Stock</v>
      </c>
      <c r="P1764" t="str">
        <f>TEXT(Inventory_Data[[#This Row],[Date]],"MMM")</f>
        <v>Jan</v>
      </c>
      <c r="Q1764" t="str">
        <f>TEXT(Inventory_Data[[#This Row],[Date]],"YYYY")</f>
        <v>2026</v>
      </c>
    </row>
    <row r="1765" spans="1:17" x14ac:dyDescent="0.3">
      <c r="A1765" s="1">
        <v>46033</v>
      </c>
      <c r="B1765" t="s">
        <v>25</v>
      </c>
      <c r="C1765" t="s">
        <v>17</v>
      </c>
      <c r="D1765" t="s">
        <v>26</v>
      </c>
      <c r="E1765" t="s">
        <v>18</v>
      </c>
      <c r="F1765">
        <v>96</v>
      </c>
      <c r="G1765">
        <v>39</v>
      </c>
      <c r="H1765">
        <v>8</v>
      </c>
      <c r="I1765">
        <v>127</v>
      </c>
      <c r="J1765">
        <v>29</v>
      </c>
      <c r="K1765">
        <v>16272</v>
      </c>
      <c r="L1765">
        <v>2066544</v>
      </c>
      <c r="M1765">
        <f>Inventory_Data[[#This Row],[Opening Stock]]+Inventory_Data[[#This Row],[Purchase Qty]]-Inventory_Data[[#This Row],[Sales Qty]]-Inventory_Data[[#This Row],[Closing Stock]]</f>
        <v>0</v>
      </c>
      <c r="N1765">
        <f>Inventory_Data[[#This Row],[Purchase Qty]]*Inventory_Data[[#This Row],[Unit Cost]]</f>
        <v>634608</v>
      </c>
      <c r="O1765" t="str">
        <f>IF(Inventory_Data[[#This Row],[Closing Stock]]&lt;=Inventory_Data[[#This Row],[Reorder Level]],"Low Stock","In Stock")</f>
        <v>In Stock</v>
      </c>
      <c r="P1765" t="str">
        <f>TEXT(Inventory_Data[[#This Row],[Date]],"MMM")</f>
        <v>Jan</v>
      </c>
      <c r="Q1765" t="str">
        <f>TEXT(Inventory_Data[[#This Row],[Date]],"YYYY")</f>
        <v>2026</v>
      </c>
    </row>
    <row r="1766" spans="1:17" x14ac:dyDescent="0.3">
      <c r="A1766" s="1">
        <v>46033</v>
      </c>
      <c r="B1766" t="s">
        <v>19</v>
      </c>
      <c r="C1766" t="s">
        <v>13</v>
      </c>
      <c r="D1766" t="s">
        <v>26</v>
      </c>
      <c r="E1766" t="s">
        <v>15</v>
      </c>
      <c r="F1766">
        <v>98</v>
      </c>
      <c r="G1766">
        <v>79</v>
      </c>
      <c r="H1766">
        <v>60</v>
      </c>
      <c r="I1766">
        <v>117</v>
      </c>
      <c r="J1766">
        <v>37</v>
      </c>
      <c r="K1766">
        <v>4997</v>
      </c>
      <c r="L1766">
        <v>584649</v>
      </c>
      <c r="M1766">
        <f>Inventory_Data[[#This Row],[Opening Stock]]+Inventory_Data[[#This Row],[Purchase Qty]]-Inventory_Data[[#This Row],[Sales Qty]]-Inventory_Data[[#This Row],[Closing Stock]]</f>
        <v>0</v>
      </c>
      <c r="N1766">
        <f>Inventory_Data[[#This Row],[Purchase Qty]]*Inventory_Data[[#This Row],[Unit Cost]]</f>
        <v>394763</v>
      </c>
      <c r="O1766" t="str">
        <f>IF(Inventory_Data[[#This Row],[Closing Stock]]&lt;=Inventory_Data[[#This Row],[Reorder Level]],"Low Stock","In Stock")</f>
        <v>In Stock</v>
      </c>
      <c r="P1766" t="str">
        <f>TEXT(Inventory_Data[[#This Row],[Date]],"MMM")</f>
        <v>Jan</v>
      </c>
      <c r="Q1766" t="str">
        <f>TEXT(Inventory_Data[[#This Row],[Date]],"YYYY")</f>
        <v>2026</v>
      </c>
    </row>
    <row r="1767" spans="1:17" x14ac:dyDescent="0.3">
      <c r="A1767" s="1">
        <v>46033</v>
      </c>
      <c r="B1767" t="s">
        <v>31</v>
      </c>
      <c r="C1767" t="s">
        <v>22</v>
      </c>
      <c r="D1767" t="s">
        <v>23</v>
      </c>
      <c r="E1767" t="s">
        <v>29</v>
      </c>
      <c r="F1767">
        <v>281</v>
      </c>
      <c r="G1767">
        <v>242</v>
      </c>
      <c r="H1767">
        <v>88</v>
      </c>
      <c r="I1767">
        <v>435</v>
      </c>
      <c r="J1767">
        <v>141</v>
      </c>
      <c r="K1767">
        <v>647</v>
      </c>
      <c r="L1767">
        <v>281445</v>
      </c>
      <c r="M1767">
        <f>Inventory_Data[[#This Row],[Opening Stock]]+Inventory_Data[[#This Row],[Purchase Qty]]-Inventory_Data[[#This Row],[Sales Qty]]-Inventory_Data[[#This Row],[Closing Stock]]</f>
        <v>0</v>
      </c>
      <c r="N1767">
        <f>Inventory_Data[[#This Row],[Purchase Qty]]*Inventory_Data[[#This Row],[Unit Cost]]</f>
        <v>156574</v>
      </c>
      <c r="O1767" t="str">
        <f>IF(Inventory_Data[[#This Row],[Closing Stock]]&lt;=Inventory_Data[[#This Row],[Reorder Level]],"Low Stock","In Stock")</f>
        <v>In Stock</v>
      </c>
      <c r="P1767" t="str">
        <f>TEXT(Inventory_Data[[#This Row],[Date]],"MMM")</f>
        <v>Jan</v>
      </c>
      <c r="Q1767" t="str">
        <f>TEXT(Inventory_Data[[#This Row],[Date]],"YYYY")</f>
        <v>2026</v>
      </c>
    </row>
    <row r="1768" spans="1:17" x14ac:dyDescent="0.3">
      <c r="A1768" s="1">
        <v>46033</v>
      </c>
      <c r="B1768" t="s">
        <v>36</v>
      </c>
      <c r="C1768" t="s">
        <v>22</v>
      </c>
      <c r="D1768" t="s">
        <v>26</v>
      </c>
      <c r="E1768" t="s">
        <v>29</v>
      </c>
      <c r="F1768">
        <v>138</v>
      </c>
      <c r="G1768">
        <v>218</v>
      </c>
      <c r="H1768">
        <v>266</v>
      </c>
      <c r="I1768">
        <v>90</v>
      </c>
      <c r="J1768">
        <v>115</v>
      </c>
      <c r="K1768">
        <v>236</v>
      </c>
      <c r="L1768">
        <v>21240</v>
      </c>
      <c r="M1768">
        <f>Inventory_Data[[#This Row],[Opening Stock]]+Inventory_Data[[#This Row],[Purchase Qty]]-Inventory_Data[[#This Row],[Sales Qty]]-Inventory_Data[[#This Row],[Closing Stock]]</f>
        <v>0</v>
      </c>
      <c r="N1768">
        <f>Inventory_Data[[#This Row],[Purchase Qty]]*Inventory_Data[[#This Row],[Unit Cost]]</f>
        <v>51448</v>
      </c>
      <c r="O1768" t="str">
        <f>IF(Inventory_Data[[#This Row],[Closing Stock]]&lt;=Inventory_Data[[#This Row],[Reorder Level]],"Low Stock","In Stock")</f>
        <v>Low Stock</v>
      </c>
      <c r="P1768" t="str">
        <f>TEXT(Inventory_Data[[#This Row],[Date]],"MMM")</f>
        <v>Jan</v>
      </c>
      <c r="Q1768" t="str">
        <f>TEXT(Inventory_Data[[#This Row],[Date]],"YYYY")</f>
        <v>2026</v>
      </c>
    </row>
    <row r="1769" spans="1:17" x14ac:dyDescent="0.3">
      <c r="A1769" s="1">
        <v>46033</v>
      </c>
      <c r="B1769" t="s">
        <v>41</v>
      </c>
      <c r="C1769" t="s">
        <v>22</v>
      </c>
      <c r="D1769" t="s">
        <v>26</v>
      </c>
      <c r="E1769" t="s">
        <v>29</v>
      </c>
      <c r="F1769">
        <v>186</v>
      </c>
      <c r="G1769">
        <v>105</v>
      </c>
      <c r="H1769">
        <v>44</v>
      </c>
      <c r="I1769">
        <v>247</v>
      </c>
      <c r="J1769">
        <v>89</v>
      </c>
      <c r="K1769">
        <v>532</v>
      </c>
      <c r="L1769">
        <v>131404</v>
      </c>
      <c r="M1769">
        <f>Inventory_Data[[#This Row],[Opening Stock]]+Inventory_Data[[#This Row],[Purchase Qty]]-Inventory_Data[[#This Row],[Sales Qty]]-Inventory_Data[[#This Row],[Closing Stock]]</f>
        <v>0</v>
      </c>
      <c r="N1769">
        <f>Inventory_Data[[#This Row],[Purchase Qty]]*Inventory_Data[[#This Row],[Unit Cost]]</f>
        <v>55860</v>
      </c>
      <c r="O1769" t="str">
        <f>IF(Inventory_Data[[#This Row],[Closing Stock]]&lt;=Inventory_Data[[#This Row],[Reorder Level]],"Low Stock","In Stock")</f>
        <v>In Stock</v>
      </c>
      <c r="P1769" t="str">
        <f>TEXT(Inventory_Data[[#This Row],[Date]],"MMM")</f>
        <v>Jan</v>
      </c>
      <c r="Q1769" t="str">
        <f>TEXT(Inventory_Data[[#This Row],[Date]],"YYYY")</f>
        <v>2026</v>
      </c>
    </row>
    <row r="1770" spans="1:17" x14ac:dyDescent="0.3">
      <c r="A1770" s="1">
        <v>46033</v>
      </c>
      <c r="B1770" t="s">
        <v>33</v>
      </c>
      <c r="C1770" t="s">
        <v>13</v>
      </c>
      <c r="D1770" t="s">
        <v>26</v>
      </c>
      <c r="E1770" t="s">
        <v>34</v>
      </c>
      <c r="F1770">
        <v>104</v>
      </c>
      <c r="G1770">
        <v>51</v>
      </c>
      <c r="H1770">
        <v>23</v>
      </c>
      <c r="I1770">
        <v>132</v>
      </c>
      <c r="J1770">
        <v>35</v>
      </c>
      <c r="K1770">
        <v>5712</v>
      </c>
      <c r="L1770">
        <v>753984</v>
      </c>
      <c r="M1770">
        <f>Inventory_Data[[#This Row],[Opening Stock]]+Inventory_Data[[#This Row],[Purchase Qty]]-Inventory_Data[[#This Row],[Sales Qty]]-Inventory_Data[[#This Row],[Closing Stock]]</f>
        <v>0</v>
      </c>
      <c r="N1770">
        <f>Inventory_Data[[#This Row],[Purchase Qty]]*Inventory_Data[[#This Row],[Unit Cost]]</f>
        <v>291312</v>
      </c>
      <c r="O1770" t="str">
        <f>IF(Inventory_Data[[#This Row],[Closing Stock]]&lt;=Inventory_Data[[#This Row],[Reorder Level]],"Low Stock","In Stock")</f>
        <v>In Stock</v>
      </c>
      <c r="P1770" t="str">
        <f>TEXT(Inventory_Data[[#This Row],[Date]],"MMM")</f>
        <v>Jan</v>
      </c>
      <c r="Q1770" t="str">
        <f>TEXT(Inventory_Data[[#This Row],[Date]],"YYYY")</f>
        <v>2026</v>
      </c>
    </row>
    <row r="1771" spans="1:17" x14ac:dyDescent="0.3">
      <c r="A1771" s="1">
        <v>46034</v>
      </c>
      <c r="B1771" t="s">
        <v>30</v>
      </c>
      <c r="C1771" t="s">
        <v>28</v>
      </c>
      <c r="D1771" t="s">
        <v>37</v>
      </c>
      <c r="E1771" t="s">
        <v>18</v>
      </c>
      <c r="F1771">
        <v>69</v>
      </c>
      <c r="G1771">
        <v>65</v>
      </c>
      <c r="H1771">
        <v>13</v>
      </c>
      <c r="I1771">
        <v>121</v>
      </c>
      <c r="J1771">
        <v>37</v>
      </c>
      <c r="K1771">
        <v>21768</v>
      </c>
      <c r="L1771">
        <v>2633928</v>
      </c>
      <c r="M1771">
        <f>Inventory_Data[[#This Row],[Opening Stock]]+Inventory_Data[[#This Row],[Purchase Qty]]-Inventory_Data[[#This Row],[Sales Qty]]-Inventory_Data[[#This Row],[Closing Stock]]</f>
        <v>0</v>
      </c>
      <c r="N1771">
        <f>Inventory_Data[[#This Row],[Purchase Qty]]*Inventory_Data[[#This Row],[Unit Cost]]</f>
        <v>1414920</v>
      </c>
      <c r="O1771" t="str">
        <f>IF(Inventory_Data[[#This Row],[Closing Stock]]&lt;=Inventory_Data[[#This Row],[Reorder Level]],"Low Stock","In Stock")</f>
        <v>In Stock</v>
      </c>
      <c r="P1771" t="str">
        <f>TEXT(Inventory_Data[[#This Row],[Date]],"MMM")</f>
        <v>Jan</v>
      </c>
      <c r="Q1771" t="str">
        <f>TEXT(Inventory_Data[[#This Row],[Date]],"YYYY")</f>
        <v>2026</v>
      </c>
    </row>
    <row r="1772" spans="1:17" x14ac:dyDescent="0.3">
      <c r="A1772" s="1">
        <v>46034</v>
      </c>
      <c r="B1772" t="s">
        <v>21</v>
      </c>
      <c r="C1772" t="s">
        <v>22</v>
      </c>
      <c r="D1772" t="s">
        <v>26</v>
      </c>
      <c r="E1772" t="s">
        <v>20</v>
      </c>
      <c r="F1772">
        <v>338</v>
      </c>
      <c r="G1772">
        <v>179</v>
      </c>
      <c r="H1772">
        <v>207</v>
      </c>
      <c r="I1772">
        <v>310</v>
      </c>
      <c r="J1772">
        <v>53</v>
      </c>
      <c r="K1772">
        <v>643</v>
      </c>
      <c r="L1772">
        <v>199330</v>
      </c>
      <c r="M1772">
        <f>Inventory_Data[[#This Row],[Opening Stock]]+Inventory_Data[[#This Row],[Purchase Qty]]-Inventory_Data[[#This Row],[Sales Qty]]-Inventory_Data[[#This Row],[Closing Stock]]</f>
        <v>0</v>
      </c>
      <c r="N1772">
        <f>Inventory_Data[[#This Row],[Purchase Qty]]*Inventory_Data[[#This Row],[Unit Cost]]</f>
        <v>115097</v>
      </c>
      <c r="O1772" t="str">
        <f>IF(Inventory_Data[[#This Row],[Closing Stock]]&lt;=Inventory_Data[[#This Row],[Reorder Level]],"Low Stock","In Stock")</f>
        <v>In Stock</v>
      </c>
      <c r="P1772" t="str">
        <f>TEXT(Inventory_Data[[#This Row],[Date]],"MMM")</f>
        <v>Jan</v>
      </c>
      <c r="Q1772" t="str">
        <f>TEXT(Inventory_Data[[#This Row],[Date]],"YYYY")</f>
        <v>2026</v>
      </c>
    </row>
    <row r="1773" spans="1:17" x14ac:dyDescent="0.3">
      <c r="A1773" s="1">
        <v>46034</v>
      </c>
      <c r="B1773" t="s">
        <v>33</v>
      </c>
      <c r="C1773" t="s">
        <v>13</v>
      </c>
      <c r="D1773" t="s">
        <v>23</v>
      </c>
      <c r="E1773" t="s">
        <v>24</v>
      </c>
      <c r="F1773">
        <v>117</v>
      </c>
      <c r="G1773">
        <v>64</v>
      </c>
      <c r="H1773">
        <v>20</v>
      </c>
      <c r="I1773">
        <v>161</v>
      </c>
      <c r="J1773">
        <v>16</v>
      </c>
      <c r="K1773">
        <v>2592</v>
      </c>
      <c r="L1773">
        <v>417312</v>
      </c>
      <c r="M1773">
        <f>Inventory_Data[[#This Row],[Opening Stock]]+Inventory_Data[[#This Row],[Purchase Qty]]-Inventory_Data[[#This Row],[Sales Qty]]-Inventory_Data[[#This Row],[Closing Stock]]</f>
        <v>0</v>
      </c>
      <c r="N1773">
        <f>Inventory_Data[[#This Row],[Purchase Qty]]*Inventory_Data[[#This Row],[Unit Cost]]</f>
        <v>165888</v>
      </c>
      <c r="O1773" t="str">
        <f>IF(Inventory_Data[[#This Row],[Closing Stock]]&lt;=Inventory_Data[[#This Row],[Reorder Level]],"Low Stock","In Stock")</f>
        <v>In Stock</v>
      </c>
      <c r="P1773" t="str">
        <f>TEXT(Inventory_Data[[#This Row],[Date]],"MMM")</f>
        <v>Jan</v>
      </c>
      <c r="Q1773" t="str">
        <f>TEXT(Inventory_Data[[#This Row],[Date]],"YYYY")</f>
        <v>2026</v>
      </c>
    </row>
    <row r="1774" spans="1:17" x14ac:dyDescent="0.3">
      <c r="A1774" s="1">
        <v>46034</v>
      </c>
      <c r="B1774" t="s">
        <v>43</v>
      </c>
      <c r="C1774" t="s">
        <v>22</v>
      </c>
      <c r="D1774" t="s">
        <v>23</v>
      </c>
      <c r="E1774" t="s">
        <v>18</v>
      </c>
      <c r="F1774">
        <v>190</v>
      </c>
      <c r="G1774">
        <v>125</v>
      </c>
      <c r="H1774">
        <v>236</v>
      </c>
      <c r="I1774">
        <v>79</v>
      </c>
      <c r="J1774">
        <v>96</v>
      </c>
      <c r="K1774">
        <v>724</v>
      </c>
      <c r="L1774">
        <v>57196</v>
      </c>
      <c r="M1774">
        <f>Inventory_Data[[#This Row],[Opening Stock]]+Inventory_Data[[#This Row],[Purchase Qty]]-Inventory_Data[[#This Row],[Sales Qty]]-Inventory_Data[[#This Row],[Closing Stock]]</f>
        <v>0</v>
      </c>
      <c r="N1774">
        <f>Inventory_Data[[#This Row],[Purchase Qty]]*Inventory_Data[[#This Row],[Unit Cost]]</f>
        <v>90500</v>
      </c>
      <c r="O1774" t="str">
        <f>IF(Inventory_Data[[#This Row],[Closing Stock]]&lt;=Inventory_Data[[#This Row],[Reorder Level]],"Low Stock","In Stock")</f>
        <v>Low Stock</v>
      </c>
      <c r="P1774" t="str">
        <f>TEXT(Inventory_Data[[#This Row],[Date]],"MMM")</f>
        <v>Jan</v>
      </c>
      <c r="Q1774" t="str">
        <f>TEXT(Inventory_Data[[#This Row],[Date]],"YYYY")</f>
        <v>2026</v>
      </c>
    </row>
    <row r="1775" spans="1:17" x14ac:dyDescent="0.3">
      <c r="A1775" s="1">
        <v>46035</v>
      </c>
      <c r="B1775" t="s">
        <v>43</v>
      </c>
      <c r="C1775" t="s">
        <v>22</v>
      </c>
      <c r="D1775" t="s">
        <v>14</v>
      </c>
      <c r="E1775" t="s">
        <v>29</v>
      </c>
      <c r="F1775">
        <v>301</v>
      </c>
      <c r="G1775">
        <v>117</v>
      </c>
      <c r="H1775">
        <v>35</v>
      </c>
      <c r="I1775">
        <v>383</v>
      </c>
      <c r="J1775">
        <v>65</v>
      </c>
      <c r="K1775">
        <v>793</v>
      </c>
      <c r="L1775">
        <v>303719</v>
      </c>
      <c r="M1775">
        <f>Inventory_Data[[#This Row],[Opening Stock]]+Inventory_Data[[#This Row],[Purchase Qty]]-Inventory_Data[[#This Row],[Sales Qty]]-Inventory_Data[[#This Row],[Closing Stock]]</f>
        <v>0</v>
      </c>
      <c r="N1775">
        <f>Inventory_Data[[#This Row],[Purchase Qty]]*Inventory_Data[[#This Row],[Unit Cost]]</f>
        <v>92781</v>
      </c>
      <c r="O1775" t="str">
        <f>IF(Inventory_Data[[#This Row],[Closing Stock]]&lt;=Inventory_Data[[#This Row],[Reorder Level]],"Low Stock","In Stock")</f>
        <v>In Stock</v>
      </c>
      <c r="P1775" t="str">
        <f>TEXT(Inventory_Data[[#This Row],[Date]],"MMM")</f>
        <v>Jan</v>
      </c>
      <c r="Q1775" t="str">
        <f>TEXT(Inventory_Data[[#This Row],[Date]],"YYYY")</f>
        <v>2026</v>
      </c>
    </row>
    <row r="1776" spans="1:17" x14ac:dyDescent="0.3">
      <c r="A1776" s="1">
        <v>46035</v>
      </c>
      <c r="B1776" t="s">
        <v>39</v>
      </c>
      <c r="C1776" t="s">
        <v>28</v>
      </c>
      <c r="D1776" t="s">
        <v>26</v>
      </c>
      <c r="E1776" t="s">
        <v>24</v>
      </c>
      <c r="F1776">
        <v>168</v>
      </c>
      <c r="G1776">
        <v>98</v>
      </c>
      <c r="H1776">
        <v>88</v>
      </c>
      <c r="I1776">
        <v>178</v>
      </c>
      <c r="J1776">
        <v>41</v>
      </c>
      <c r="K1776">
        <v>6352</v>
      </c>
      <c r="L1776">
        <v>1130656</v>
      </c>
      <c r="M1776">
        <f>Inventory_Data[[#This Row],[Opening Stock]]+Inventory_Data[[#This Row],[Purchase Qty]]-Inventory_Data[[#This Row],[Sales Qty]]-Inventory_Data[[#This Row],[Closing Stock]]</f>
        <v>0</v>
      </c>
      <c r="N1776">
        <f>Inventory_Data[[#This Row],[Purchase Qty]]*Inventory_Data[[#This Row],[Unit Cost]]</f>
        <v>622496</v>
      </c>
      <c r="O1776" t="str">
        <f>IF(Inventory_Data[[#This Row],[Closing Stock]]&lt;=Inventory_Data[[#This Row],[Reorder Level]],"Low Stock","In Stock")</f>
        <v>In Stock</v>
      </c>
      <c r="P1776" t="str">
        <f>TEXT(Inventory_Data[[#This Row],[Date]],"MMM")</f>
        <v>Jan</v>
      </c>
      <c r="Q1776" t="str">
        <f>TEXT(Inventory_Data[[#This Row],[Date]],"YYYY")</f>
        <v>2026</v>
      </c>
    </row>
    <row r="1777" spans="1:17" x14ac:dyDescent="0.3">
      <c r="A1777" s="1">
        <v>46035</v>
      </c>
      <c r="B1777" t="s">
        <v>42</v>
      </c>
      <c r="C1777" t="s">
        <v>17</v>
      </c>
      <c r="D1777" t="s">
        <v>37</v>
      </c>
      <c r="E1777" t="s">
        <v>24</v>
      </c>
      <c r="F1777">
        <v>21</v>
      </c>
      <c r="G1777">
        <v>25</v>
      </c>
      <c r="H1777">
        <v>4</v>
      </c>
      <c r="I1777">
        <v>42</v>
      </c>
      <c r="J1777">
        <v>19</v>
      </c>
      <c r="K1777">
        <v>1584</v>
      </c>
      <c r="L1777">
        <v>66528</v>
      </c>
      <c r="M1777">
        <f>Inventory_Data[[#This Row],[Opening Stock]]+Inventory_Data[[#This Row],[Purchase Qty]]-Inventory_Data[[#This Row],[Sales Qty]]-Inventory_Data[[#This Row],[Closing Stock]]</f>
        <v>0</v>
      </c>
      <c r="N1777">
        <f>Inventory_Data[[#This Row],[Purchase Qty]]*Inventory_Data[[#This Row],[Unit Cost]]</f>
        <v>39600</v>
      </c>
      <c r="O1777" t="str">
        <f>IF(Inventory_Data[[#This Row],[Closing Stock]]&lt;=Inventory_Data[[#This Row],[Reorder Level]],"Low Stock","In Stock")</f>
        <v>In Stock</v>
      </c>
      <c r="P1777" t="str">
        <f>TEXT(Inventory_Data[[#This Row],[Date]],"MMM")</f>
        <v>Jan</v>
      </c>
      <c r="Q1777" t="str">
        <f>TEXT(Inventory_Data[[#This Row],[Date]],"YYYY")</f>
        <v>2026</v>
      </c>
    </row>
    <row r="1778" spans="1:17" x14ac:dyDescent="0.3">
      <c r="A1778" s="1">
        <v>46035</v>
      </c>
      <c r="B1778" t="s">
        <v>32</v>
      </c>
      <c r="C1778" t="s">
        <v>28</v>
      </c>
      <c r="D1778" t="s">
        <v>37</v>
      </c>
      <c r="E1778" t="s">
        <v>24</v>
      </c>
      <c r="F1778">
        <v>88</v>
      </c>
      <c r="G1778">
        <v>32</v>
      </c>
      <c r="H1778">
        <v>57</v>
      </c>
      <c r="I1778">
        <v>63</v>
      </c>
      <c r="J1778">
        <v>28</v>
      </c>
      <c r="K1778">
        <v>36932</v>
      </c>
      <c r="L1778">
        <v>2326716</v>
      </c>
      <c r="M1778">
        <f>Inventory_Data[[#This Row],[Opening Stock]]+Inventory_Data[[#This Row],[Purchase Qty]]-Inventory_Data[[#This Row],[Sales Qty]]-Inventory_Data[[#This Row],[Closing Stock]]</f>
        <v>0</v>
      </c>
      <c r="N1778">
        <f>Inventory_Data[[#This Row],[Purchase Qty]]*Inventory_Data[[#This Row],[Unit Cost]]</f>
        <v>1181824</v>
      </c>
      <c r="O1778" t="str">
        <f>IF(Inventory_Data[[#This Row],[Closing Stock]]&lt;=Inventory_Data[[#This Row],[Reorder Level]],"Low Stock","In Stock")</f>
        <v>In Stock</v>
      </c>
      <c r="P1778" t="str">
        <f>TEXT(Inventory_Data[[#This Row],[Date]],"MMM")</f>
        <v>Jan</v>
      </c>
      <c r="Q1778" t="str">
        <f>TEXT(Inventory_Data[[#This Row],[Date]],"YYYY")</f>
        <v>2026</v>
      </c>
    </row>
    <row r="1779" spans="1:17" x14ac:dyDescent="0.3">
      <c r="A1779" s="1">
        <v>46035</v>
      </c>
      <c r="B1779" t="s">
        <v>41</v>
      </c>
      <c r="C1779" t="s">
        <v>22</v>
      </c>
      <c r="D1779" t="s">
        <v>14</v>
      </c>
      <c r="E1779" t="s">
        <v>15</v>
      </c>
      <c r="F1779">
        <v>436</v>
      </c>
      <c r="G1779">
        <v>75</v>
      </c>
      <c r="H1779">
        <v>24</v>
      </c>
      <c r="I1779">
        <v>487</v>
      </c>
      <c r="J1779">
        <v>143</v>
      </c>
      <c r="K1779">
        <v>1196</v>
      </c>
      <c r="L1779">
        <v>582452</v>
      </c>
      <c r="M1779">
        <f>Inventory_Data[[#This Row],[Opening Stock]]+Inventory_Data[[#This Row],[Purchase Qty]]-Inventory_Data[[#This Row],[Sales Qty]]-Inventory_Data[[#This Row],[Closing Stock]]</f>
        <v>0</v>
      </c>
      <c r="N1779">
        <f>Inventory_Data[[#This Row],[Purchase Qty]]*Inventory_Data[[#This Row],[Unit Cost]]</f>
        <v>89700</v>
      </c>
      <c r="O1779" t="str">
        <f>IF(Inventory_Data[[#This Row],[Closing Stock]]&lt;=Inventory_Data[[#This Row],[Reorder Level]],"Low Stock","In Stock")</f>
        <v>In Stock</v>
      </c>
      <c r="P1779" t="str">
        <f>TEXT(Inventory_Data[[#This Row],[Date]],"MMM")</f>
        <v>Jan</v>
      </c>
      <c r="Q1779" t="str">
        <f>TEXT(Inventory_Data[[#This Row],[Date]],"YYYY")</f>
        <v>2026</v>
      </c>
    </row>
    <row r="1780" spans="1:17" x14ac:dyDescent="0.3">
      <c r="A1780" s="1">
        <v>46036</v>
      </c>
      <c r="B1780" t="s">
        <v>30</v>
      </c>
      <c r="C1780" t="s">
        <v>28</v>
      </c>
      <c r="D1780" t="s">
        <v>23</v>
      </c>
      <c r="E1780" t="s">
        <v>29</v>
      </c>
      <c r="F1780">
        <v>42</v>
      </c>
      <c r="G1780">
        <v>112</v>
      </c>
      <c r="H1780">
        <v>50</v>
      </c>
      <c r="I1780">
        <v>104</v>
      </c>
      <c r="J1780">
        <v>27</v>
      </c>
      <c r="K1780">
        <v>17438</v>
      </c>
      <c r="L1780">
        <v>1813552</v>
      </c>
      <c r="M1780">
        <f>Inventory_Data[[#This Row],[Opening Stock]]+Inventory_Data[[#This Row],[Purchase Qty]]-Inventory_Data[[#This Row],[Sales Qty]]-Inventory_Data[[#This Row],[Closing Stock]]</f>
        <v>0</v>
      </c>
      <c r="N1780">
        <f>Inventory_Data[[#This Row],[Purchase Qty]]*Inventory_Data[[#This Row],[Unit Cost]]</f>
        <v>1953056</v>
      </c>
      <c r="O1780" t="str">
        <f>IF(Inventory_Data[[#This Row],[Closing Stock]]&lt;=Inventory_Data[[#This Row],[Reorder Level]],"Low Stock","In Stock")</f>
        <v>In Stock</v>
      </c>
      <c r="P1780" t="str">
        <f>TEXT(Inventory_Data[[#This Row],[Date]],"MMM")</f>
        <v>Jan</v>
      </c>
      <c r="Q1780" t="str">
        <f>TEXT(Inventory_Data[[#This Row],[Date]],"YYYY")</f>
        <v>2026</v>
      </c>
    </row>
    <row r="1781" spans="1:17" x14ac:dyDescent="0.3">
      <c r="A1781" s="1">
        <v>46036</v>
      </c>
      <c r="B1781" t="s">
        <v>45</v>
      </c>
      <c r="C1781" t="s">
        <v>13</v>
      </c>
      <c r="D1781" t="s">
        <v>26</v>
      </c>
      <c r="E1781" t="s">
        <v>29</v>
      </c>
      <c r="F1781">
        <v>47</v>
      </c>
      <c r="G1781">
        <v>19</v>
      </c>
      <c r="H1781">
        <v>16</v>
      </c>
      <c r="I1781">
        <v>50</v>
      </c>
      <c r="J1781">
        <v>34</v>
      </c>
      <c r="K1781">
        <v>9152</v>
      </c>
      <c r="L1781">
        <v>457600</v>
      </c>
      <c r="M1781">
        <f>Inventory_Data[[#This Row],[Opening Stock]]+Inventory_Data[[#This Row],[Purchase Qty]]-Inventory_Data[[#This Row],[Sales Qty]]-Inventory_Data[[#This Row],[Closing Stock]]</f>
        <v>0</v>
      </c>
      <c r="N1781">
        <f>Inventory_Data[[#This Row],[Purchase Qty]]*Inventory_Data[[#This Row],[Unit Cost]]</f>
        <v>173888</v>
      </c>
      <c r="O1781" t="str">
        <f>IF(Inventory_Data[[#This Row],[Closing Stock]]&lt;=Inventory_Data[[#This Row],[Reorder Level]],"Low Stock","In Stock")</f>
        <v>In Stock</v>
      </c>
      <c r="P1781" t="str">
        <f>TEXT(Inventory_Data[[#This Row],[Date]],"MMM")</f>
        <v>Jan</v>
      </c>
      <c r="Q1781" t="str">
        <f>TEXT(Inventory_Data[[#This Row],[Date]],"YYYY")</f>
        <v>2026</v>
      </c>
    </row>
    <row r="1782" spans="1:17" x14ac:dyDescent="0.3">
      <c r="A1782" s="1">
        <v>46036</v>
      </c>
      <c r="B1782" t="s">
        <v>27</v>
      </c>
      <c r="C1782" t="s">
        <v>28</v>
      </c>
      <c r="D1782" t="s">
        <v>26</v>
      </c>
      <c r="E1782" t="s">
        <v>18</v>
      </c>
      <c r="F1782">
        <v>119</v>
      </c>
      <c r="G1782">
        <v>77</v>
      </c>
      <c r="H1782">
        <v>77</v>
      </c>
      <c r="I1782">
        <v>119</v>
      </c>
      <c r="J1782">
        <v>21</v>
      </c>
      <c r="K1782">
        <v>20903</v>
      </c>
      <c r="L1782">
        <v>2487457</v>
      </c>
      <c r="M1782">
        <f>Inventory_Data[[#This Row],[Opening Stock]]+Inventory_Data[[#This Row],[Purchase Qty]]-Inventory_Data[[#This Row],[Sales Qty]]-Inventory_Data[[#This Row],[Closing Stock]]</f>
        <v>0</v>
      </c>
      <c r="N1782">
        <f>Inventory_Data[[#This Row],[Purchase Qty]]*Inventory_Data[[#This Row],[Unit Cost]]</f>
        <v>1609531</v>
      </c>
      <c r="O1782" t="str">
        <f>IF(Inventory_Data[[#This Row],[Closing Stock]]&lt;=Inventory_Data[[#This Row],[Reorder Level]],"Low Stock","In Stock")</f>
        <v>In Stock</v>
      </c>
      <c r="P1782" t="str">
        <f>TEXT(Inventory_Data[[#This Row],[Date]],"MMM")</f>
        <v>Jan</v>
      </c>
      <c r="Q1782" t="str">
        <f>TEXT(Inventory_Data[[#This Row],[Date]],"YYYY")</f>
        <v>2026</v>
      </c>
    </row>
    <row r="1783" spans="1:17" x14ac:dyDescent="0.3">
      <c r="A1783" s="1">
        <v>46036</v>
      </c>
      <c r="B1783" t="s">
        <v>44</v>
      </c>
      <c r="C1783" t="s">
        <v>28</v>
      </c>
      <c r="D1783" t="s">
        <v>37</v>
      </c>
      <c r="E1783" t="s">
        <v>15</v>
      </c>
      <c r="F1783">
        <v>172</v>
      </c>
      <c r="G1783">
        <v>34</v>
      </c>
      <c r="H1783">
        <v>7</v>
      </c>
      <c r="I1783">
        <v>199</v>
      </c>
      <c r="J1783">
        <v>57</v>
      </c>
      <c r="K1783">
        <v>28260</v>
      </c>
      <c r="L1783">
        <v>5623740</v>
      </c>
      <c r="M1783">
        <f>Inventory_Data[[#This Row],[Opening Stock]]+Inventory_Data[[#This Row],[Purchase Qty]]-Inventory_Data[[#This Row],[Sales Qty]]-Inventory_Data[[#This Row],[Closing Stock]]</f>
        <v>0</v>
      </c>
      <c r="N1783">
        <f>Inventory_Data[[#This Row],[Purchase Qty]]*Inventory_Data[[#This Row],[Unit Cost]]</f>
        <v>960840</v>
      </c>
      <c r="O1783" t="str">
        <f>IF(Inventory_Data[[#This Row],[Closing Stock]]&lt;=Inventory_Data[[#This Row],[Reorder Level]],"Low Stock","In Stock")</f>
        <v>In Stock</v>
      </c>
      <c r="P1783" t="str">
        <f>TEXT(Inventory_Data[[#This Row],[Date]],"MMM")</f>
        <v>Jan</v>
      </c>
      <c r="Q1783" t="str">
        <f>TEXT(Inventory_Data[[#This Row],[Date]],"YYYY")</f>
        <v>2026</v>
      </c>
    </row>
    <row r="1784" spans="1:17" x14ac:dyDescent="0.3">
      <c r="A1784" s="1">
        <v>46037</v>
      </c>
      <c r="B1784" t="s">
        <v>39</v>
      </c>
      <c r="C1784" t="s">
        <v>28</v>
      </c>
      <c r="D1784" t="s">
        <v>14</v>
      </c>
      <c r="E1784" t="s">
        <v>34</v>
      </c>
      <c r="F1784">
        <v>165</v>
      </c>
      <c r="G1784">
        <v>90</v>
      </c>
      <c r="H1784">
        <v>96</v>
      </c>
      <c r="I1784">
        <v>159</v>
      </c>
      <c r="J1784">
        <v>54</v>
      </c>
      <c r="K1784">
        <v>4843</v>
      </c>
      <c r="L1784">
        <v>770037</v>
      </c>
      <c r="M1784">
        <f>Inventory_Data[[#This Row],[Opening Stock]]+Inventory_Data[[#This Row],[Purchase Qty]]-Inventory_Data[[#This Row],[Sales Qty]]-Inventory_Data[[#This Row],[Closing Stock]]</f>
        <v>0</v>
      </c>
      <c r="N1784">
        <f>Inventory_Data[[#This Row],[Purchase Qty]]*Inventory_Data[[#This Row],[Unit Cost]]</f>
        <v>435870</v>
      </c>
      <c r="O1784" t="str">
        <f>IF(Inventory_Data[[#This Row],[Closing Stock]]&lt;=Inventory_Data[[#This Row],[Reorder Level]],"Low Stock","In Stock")</f>
        <v>In Stock</v>
      </c>
      <c r="P1784" t="str">
        <f>TEXT(Inventory_Data[[#This Row],[Date]],"MMM")</f>
        <v>Jan</v>
      </c>
      <c r="Q1784" t="str">
        <f>TEXT(Inventory_Data[[#This Row],[Date]],"YYYY")</f>
        <v>2026</v>
      </c>
    </row>
    <row r="1785" spans="1:17" x14ac:dyDescent="0.3">
      <c r="A1785" s="1">
        <v>46037</v>
      </c>
      <c r="B1785" t="s">
        <v>42</v>
      </c>
      <c r="C1785" t="s">
        <v>17</v>
      </c>
      <c r="D1785" t="s">
        <v>26</v>
      </c>
      <c r="E1785" t="s">
        <v>20</v>
      </c>
      <c r="F1785">
        <v>35</v>
      </c>
      <c r="G1785">
        <v>42</v>
      </c>
      <c r="H1785">
        <v>37</v>
      </c>
      <c r="I1785">
        <v>40</v>
      </c>
      <c r="J1785">
        <v>26</v>
      </c>
      <c r="K1785">
        <v>15887</v>
      </c>
      <c r="L1785">
        <v>635480</v>
      </c>
      <c r="M1785">
        <f>Inventory_Data[[#This Row],[Opening Stock]]+Inventory_Data[[#This Row],[Purchase Qty]]-Inventory_Data[[#This Row],[Sales Qty]]-Inventory_Data[[#This Row],[Closing Stock]]</f>
        <v>0</v>
      </c>
      <c r="N1785">
        <f>Inventory_Data[[#This Row],[Purchase Qty]]*Inventory_Data[[#This Row],[Unit Cost]]</f>
        <v>667254</v>
      </c>
      <c r="O1785" t="str">
        <f>IF(Inventory_Data[[#This Row],[Closing Stock]]&lt;=Inventory_Data[[#This Row],[Reorder Level]],"Low Stock","In Stock")</f>
        <v>In Stock</v>
      </c>
      <c r="P1785" t="str">
        <f>TEXT(Inventory_Data[[#This Row],[Date]],"MMM")</f>
        <v>Jan</v>
      </c>
      <c r="Q1785" t="str">
        <f>TEXT(Inventory_Data[[#This Row],[Date]],"YYYY")</f>
        <v>2026</v>
      </c>
    </row>
    <row r="1786" spans="1:17" x14ac:dyDescent="0.3">
      <c r="A1786" s="1">
        <v>46037</v>
      </c>
      <c r="B1786" t="s">
        <v>35</v>
      </c>
      <c r="C1786" t="s">
        <v>22</v>
      </c>
      <c r="D1786" t="s">
        <v>26</v>
      </c>
      <c r="E1786" t="s">
        <v>20</v>
      </c>
      <c r="F1786">
        <v>414</v>
      </c>
      <c r="G1786">
        <v>119</v>
      </c>
      <c r="H1786">
        <v>230</v>
      </c>
      <c r="I1786">
        <v>303</v>
      </c>
      <c r="J1786">
        <v>53</v>
      </c>
      <c r="K1786">
        <v>92</v>
      </c>
      <c r="L1786">
        <v>27876</v>
      </c>
      <c r="M1786">
        <f>Inventory_Data[[#This Row],[Opening Stock]]+Inventory_Data[[#This Row],[Purchase Qty]]-Inventory_Data[[#This Row],[Sales Qty]]-Inventory_Data[[#This Row],[Closing Stock]]</f>
        <v>0</v>
      </c>
      <c r="N1786">
        <f>Inventory_Data[[#This Row],[Purchase Qty]]*Inventory_Data[[#This Row],[Unit Cost]]</f>
        <v>10948</v>
      </c>
      <c r="O1786" t="str">
        <f>IF(Inventory_Data[[#This Row],[Closing Stock]]&lt;=Inventory_Data[[#This Row],[Reorder Level]],"Low Stock","In Stock")</f>
        <v>In Stock</v>
      </c>
      <c r="P1786" t="str">
        <f>TEXT(Inventory_Data[[#This Row],[Date]],"MMM")</f>
        <v>Jan</v>
      </c>
      <c r="Q1786" t="str">
        <f>TEXT(Inventory_Data[[#This Row],[Date]],"YYYY")</f>
        <v>2026</v>
      </c>
    </row>
    <row r="1787" spans="1:17" x14ac:dyDescent="0.3">
      <c r="A1787" s="1">
        <v>46037</v>
      </c>
      <c r="B1787" t="s">
        <v>41</v>
      </c>
      <c r="C1787" t="s">
        <v>22</v>
      </c>
      <c r="D1787" t="s">
        <v>14</v>
      </c>
      <c r="E1787" t="s">
        <v>34</v>
      </c>
      <c r="F1787">
        <v>492</v>
      </c>
      <c r="G1787">
        <v>60</v>
      </c>
      <c r="H1787">
        <v>80</v>
      </c>
      <c r="I1787">
        <v>472</v>
      </c>
      <c r="J1787">
        <v>103</v>
      </c>
      <c r="K1787">
        <v>416</v>
      </c>
      <c r="L1787">
        <v>196352</v>
      </c>
      <c r="M1787">
        <f>Inventory_Data[[#This Row],[Opening Stock]]+Inventory_Data[[#This Row],[Purchase Qty]]-Inventory_Data[[#This Row],[Sales Qty]]-Inventory_Data[[#This Row],[Closing Stock]]</f>
        <v>0</v>
      </c>
      <c r="N1787">
        <f>Inventory_Data[[#This Row],[Purchase Qty]]*Inventory_Data[[#This Row],[Unit Cost]]</f>
        <v>24960</v>
      </c>
      <c r="O1787" t="str">
        <f>IF(Inventory_Data[[#This Row],[Closing Stock]]&lt;=Inventory_Data[[#This Row],[Reorder Level]],"Low Stock","In Stock")</f>
        <v>In Stock</v>
      </c>
      <c r="P1787" t="str">
        <f>TEXT(Inventory_Data[[#This Row],[Date]],"MMM")</f>
        <v>Jan</v>
      </c>
      <c r="Q1787" t="str">
        <f>TEXT(Inventory_Data[[#This Row],[Date]],"YYYY")</f>
        <v>2026</v>
      </c>
    </row>
    <row r="1788" spans="1:17" x14ac:dyDescent="0.3">
      <c r="A1788" s="1">
        <v>46037</v>
      </c>
      <c r="B1788" t="s">
        <v>19</v>
      </c>
      <c r="C1788" t="s">
        <v>13</v>
      </c>
      <c r="D1788" t="s">
        <v>26</v>
      </c>
      <c r="E1788" t="s">
        <v>18</v>
      </c>
      <c r="F1788">
        <v>17</v>
      </c>
      <c r="G1788">
        <v>56</v>
      </c>
      <c r="H1788">
        <v>12</v>
      </c>
      <c r="I1788">
        <v>61</v>
      </c>
      <c r="J1788">
        <v>19</v>
      </c>
      <c r="K1788">
        <v>16080</v>
      </c>
      <c r="L1788">
        <v>980880</v>
      </c>
      <c r="M1788">
        <f>Inventory_Data[[#This Row],[Opening Stock]]+Inventory_Data[[#This Row],[Purchase Qty]]-Inventory_Data[[#This Row],[Sales Qty]]-Inventory_Data[[#This Row],[Closing Stock]]</f>
        <v>0</v>
      </c>
      <c r="N1788">
        <f>Inventory_Data[[#This Row],[Purchase Qty]]*Inventory_Data[[#This Row],[Unit Cost]]</f>
        <v>900480</v>
      </c>
      <c r="O1788" t="str">
        <f>IF(Inventory_Data[[#This Row],[Closing Stock]]&lt;=Inventory_Data[[#This Row],[Reorder Level]],"Low Stock","In Stock")</f>
        <v>In Stock</v>
      </c>
      <c r="P1788" t="str">
        <f>TEXT(Inventory_Data[[#This Row],[Date]],"MMM")</f>
        <v>Jan</v>
      </c>
      <c r="Q1788" t="str">
        <f>TEXT(Inventory_Data[[#This Row],[Date]],"YYYY")</f>
        <v>2026</v>
      </c>
    </row>
    <row r="1789" spans="1:17" x14ac:dyDescent="0.3">
      <c r="A1789" s="1">
        <v>46037</v>
      </c>
      <c r="B1789" t="s">
        <v>45</v>
      </c>
      <c r="C1789" t="s">
        <v>13</v>
      </c>
      <c r="D1789" t="s">
        <v>26</v>
      </c>
      <c r="E1789" t="s">
        <v>20</v>
      </c>
      <c r="F1789">
        <v>57</v>
      </c>
      <c r="G1789">
        <v>32</v>
      </c>
      <c r="H1789">
        <v>23</v>
      </c>
      <c r="I1789">
        <v>66</v>
      </c>
      <c r="J1789">
        <v>36</v>
      </c>
      <c r="K1789">
        <v>7123</v>
      </c>
      <c r="L1789">
        <v>470118</v>
      </c>
      <c r="M1789">
        <f>Inventory_Data[[#This Row],[Opening Stock]]+Inventory_Data[[#This Row],[Purchase Qty]]-Inventory_Data[[#This Row],[Sales Qty]]-Inventory_Data[[#This Row],[Closing Stock]]</f>
        <v>0</v>
      </c>
      <c r="N1789">
        <f>Inventory_Data[[#This Row],[Purchase Qty]]*Inventory_Data[[#This Row],[Unit Cost]]</f>
        <v>227936</v>
      </c>
      <c r="O1789" t="str">
        <f>IF(Inventory_Data[[#This Row],[Closing Stock]]&lt;=Inventory_Data[[#This Row],[Reorder Level]],"Low Stock","In Stock")</f>
        <v>In Stock</v>
      </c>
      <c r="P1789" t="str">
        <f>TEXT(Inventory_Data[[#This Row],[Date]],"MMM")</f>
        <v>Jan</v>
      </c>
      <c r="Q1789" t="str">
        <f>TEXT(Inventory_Data[[#This Row],[Date]],"YYYY")</f>
        <v>2026</v>
      </c>
    </row>
    <row r="1790" spans="1:17" x14ac:dyDescent="0.3">
      <c r="A1790" s="1">
        <v>46038</v>
      </c>
      <c r="B1790" t="s">
        <v>16</v>
      </c>
      <c r="C1790" t="s">
        <v>17</v>
      </c>
      <c r="D1790" t="s">
        <v>23</v>
      </c>
      <c r="E1790" t="s">
        <v>20</v>
      </c>
      <c r="F1790">
        <v>26</v>
      </c>
      <c r="G1790">
        <v>11</v>
      </c>
      <c r="H1790">
        <v>37</v>
      </c>
      <c r="I1790">
        <v>0</v>
      </c>
      <c r="J1790">
        <v>10</v>
      </c>
      <c r="K1790">
        <v>18957</v>
      </c>
      <c r="L1790">
        <v>0</v>
      </c>
      <c r="M1790">
        <f>Inventory_Data[[#This Row],[Opening Stock]]+Inventory_Data[[#This Row],[Purchase Qty]]-Inventory_Data[[#This Row],[Sales Qty]]-Inventory_Data[[#This Row],[Closing Stock]]</f>
        <v>0</v>
      </c>
      <c r="N1790">
        <f>Inventory_Data[[#This Row],[Purchase Qty]]*Inventory_Data[[#This Row],[Unit Cost]]</f>
        <v>208527</v>
      </c>
      <c r="O1790" t="str">
        <f>IF(Inventory_Data[[#This Row],[Closing Stock]]&lt;=Inventory_Data[[#This Row],[Reorder Level]],"Low Stock","In Stock")</f>
        <v>Low Stock</v>
      </c>
      <c r="P1790" t="str">
        <f>TEXT(Inventory_Data[[#This Row],[Date]],"MMM")</f>
        <v>Jan</v>
      </c>
      <c r="Q1790" t="str">
        <f>TEXT(Inventory_Data[[#This Row],[Date]],"YYYY")</f>
        <v>2026</v>
      </c>
    </row>
    <row r="1791" spans="1:17" x14ac:dyDescent="0.3">
      <c r="A1791" s="1">
        <v>46038</v>
      </c>
      <c r="B1791" t="s">
        <v>36</v>
      </c>
      <c r="C1791" t="s">
        <v>22</v>
      </c>
      <c r="D1791" t="s">
        <v>14</v>
      </c>
      <c r="E1791" t="s">
        <v>18</v>
      </c>
      <c r="F1791">
        <v>60</v>
      </c>
      <c r="G1791">
        <v>56</v>
      </c>
      <c r="H1791">
        <v>92</v>
      </c>
      <c r="I1791">
        <v>24</v>
      </c>
      <c r="J1791">
        <v>87</v>
      </c>
      <c r="K1791">
        <v>821</v>
      </c>
      <c r="L1791">
        <v>19704</v>
      </c>
      <c r="M1791">
        <f>Inventory_Data[[#This Row],[Opening Stock]]+Inventory_Data[[#This Row],[Purchase Qty]]-Inventory_Data[[#This Row],[Sales Qty]]-Inventory_Data[[#This Row],[Closing Stock]]</f>
        <v>0</v>
      </c>
      <c r="N1791">
        <f>Inventory_Data[[#This Row],[Purchase Qty]]*Inventory_Data[[#This Row],[Unit Cost]]</f>
        <v>45976</v>
      </c>
      <c r="O1791" t="str">
        <f>IF(Inventory_Data[[#This Row],[Closing Stock]]&lt;=Inventory_Data[[#This Row],[Reorder Level]],"Low Stock","In Stock")</f>
        <v>Low Stock</v>
      </c>
      <c r="P1791" t="str">
        <f>TEXT(Inventory_Data[[#This Row],[Date]],"MMM")</f>
        <v>Jan</v>
      </c>
      <c r="Q1791" t="str">
        <f>TEXT(Inventory_Data[[#This Row],[Date]],"YYYY")</f>
        <v>2026</v>
      </c>
    </row>
    <row r="1792" spans="1:17" x14ac:dyDescent="0.3">
      <c r="A1792" s="1">
        <v>46038</v>
      </c>
      <c r="B1792" t="s">
        <v>33</v>
      </c>
      <c r="C1792" t="s">
        <v>13</v>
      </c>
      <c r="D1792" t="s">
        <v>23</v>
      </c>
      <c r="E1792" t="s">
        <v>15</v>
      </c>
      <c r="F1792">
        <v>87</v>
      </c>
      <c r="G1792">
        <v>19</v>
      </c>
      <c r="H1792">
        <v>6</v>
      </c>
      <c r="I1792">
        <v>100</v>
      </c>
      <c r="J1792">
        <v>22</v>
      </c>
      <c r="K1792">
        <v>13178</v>
      </c>
      <c r="L1792">
        <v>1317800</v>
      </c>
      <c r="M1792">
        <f>Inventory_Data[[#This Row],[Opening Stock]]+Inventory_Data[[#This Row],[Purchase Qty]]-Inventory_Data[[#This Row],[Sales Qty]]-Inventory_Data[[#This Row],[Closing Stock]]</f>
        <v>0</v>
      </c>
      <c r="N1792">
        <f>Inventory_Data[[#This Row],[Purchase Qty]]*Inventory_Data[[#This Row],[Unit Cost]]</f>
        <v>250382</v>
      </c>
      <c r="O1792" t="str">
        <f>IF(Inventory_Data[[#This Row],[Closing Stock]]&lt;=Inventory_Data[[#This Row],[Reorder Level]],"Low Stock","In Stock")</f>
        <v>In Stock</v>
      </c>
      <c r="P1792" t="str">
        <f>TEXT(Inventory_Data[[#This Row],[Date]],"MMM")</f>
        <v>Jan</v>
      </c>
      <c r="Q1792" t="str">
        <f>TEXT(Inventory_Data[[#This Row],[Date]],"YYYY")</f>
        <v>2026</v>
      </c>
    </row>
    <row r="1793" spans="1:17" x14ac:dyDescent="0.3">
      <c r="A1793" s="1">
        <v>46038</v>
      </c>
      <c r="B1793" t="s">
        <v>43</v>
      </c>
      <c r="C1793" t="s">
        <v>22</v>
      </c>
      <c r="D1793" t="s">
        <v>37</v>
      </c>
      <c r="E1793" t="s">
        <v>15</v>
      </c>
      <c r="F1793">
        <v>471</v>
      </c>
      <c r="G1793">
        <v>122</v>
      </c>
      <c r="H1793">
        <v>17</v>
      </c>
      <c r="I1793">
        <v>576</v>
      </c>
      <c r="J1793">
        <v>118</v>
      </c>
      <c r="K1793">
        <v>413</v>
      </c>
      <c r="L1793">
        <v>237888</v>
      </c>
      <c r="M1793">
        <f>Inventory_Data[[#This Row],[Opening Stock]]+Inventory_Data[[#This Row],[Purchase Qty]]-Inventory_Data[[#This Row],[Sales Qty]]-Inventory_Data[[#This Row],[Closing Stock]]</f>
        <v>0</v>
      </c>
      <c r="N1793">
        <f>Inventory_Data[[#This Row],[Purchase Qty]]*Inventory_Data[[#This Row],[Unit Cost]]</f>
        <v>50386</v>
      </c>
      <c r="O1793" t="str">
        <f>IF(Inventory_Data[[#This Row],[Closing Stock]]&lt;=Inventory_Data[[#This Row],[Reorder Level]],"Low Stock","In Stock")</f>
        <v>In Stock</v>
      </c>
      <c r="P1793" t="str">
        <f>TEXT(Inventory_Data[[#This Row],[Date]],"MMM")</f>
        <v>Jan</v>
      </c>
      <c r="Q1793" t="str">
        <f>TEXT(Inventory_Data[[#This Row],[Date]],"YYYY")</f>
        <v>2026</v>
      </c>
    </row>
    <row r="1794" spans="1:17" x14ac:dyDescent="0.3">
      <c r="A1794" s="1">
        <v>46038</v>
      </c>
      <c r="B1794" t="s">
        <v>16</v>
      </c>
      <c r="C1794" t="s">
        <v>17</v>
      </c>
      <c r="D1794" t="s">
        <v>14</v>
      </c>
      <c r="E1794" t="s">
        <v>18</v>
      </c>
      <c r="F1794">
        <v>69</v>
      </c>
      <c r="G1794">
        <v>29</v>
      </c>
      <c r="H1794">
        <v>28</v>
      </c>
      <c r="I1794">
        <v>70</v>
      </c>
      <c r="J1794">
        <v>27</v>
      </c>
      <c r="K1794">
        <v>5989</v>
      </c>
      <c r="L1794">
        <v>419230</v>
      </c>
      <c r="M1794">
        <f>Inventory_Data[[#This Row],[Opening Stock]]+Inventory_Data[[#This Row],[Purchase Qty]]-Inventory_Data[[#This Row],[Sales Qty]]-Inventory_Data[[#This Row],[Closing Stock]]</f>
        <v>0</v>
      </c>
      <c r="N1794">
        <f>Inventory_Data[[#This Row],[Purchase Qty]]*Inventory_Data[[#This Row],[Unit Cost]]</f>
        <v>173681</v>
      </c>
      <c r="O1794" t="str">
        <f>IF(Inventory_Data[[#This Row],[Closing Stock]]&lt;=Inventory_Data[[#This Row],[Reorder Level]],"Low Stock","In Stock")</f>
        <v>In Stock</v>
      </c>
      <c r="P1794" t="str">
        <f>TEXT(Inventory_Data[[#This Row],[Date]],"MMM")</f>
        <v>Jan</v>
      </c>
      <c r="Q1794" t="str">
        <f>TEXT(Inventory_Data[[#This Row],[Date]],"YYYY")</f>
        <v>2026</v>
      </c>
    </row>
    <row r="1795" spans="1:17" x14ac:dyDescent="0.3">
      <c r="A1795" s="1">
        <v>46039</v>
      </c>
      <c r="B1795" t="s">
        <v>19</v>
      </c>
      <c r="C1795" t="s">
        <v>13</v>
      </c>
      <c r="D1795" t="s">
        <v>37</v>
      </c>
      <c r="E1795" t="s">
        <v>18</v>
      </c>
      <c r="F1795">
        <v>38</v>
      </c>
      <c r="G1795">
        <v>76</v>
      </c>
      <c r="H1795">
        <v>11</v>
      </c>
      <c r="I1795">
        <v>103</v>
      </c>
      <c r="J1795">
        <v>38</v>
      </c>
      <c r="K1795">
        <v>10251</v>
      </c>
      <c r="L1795">
        <v>1055853</v>
      </c>
      <c r="M1795">
        <f>Inventory_Data[[#This Row],[Opening Stock]]+Inventory_Data[[#This Row],[Purchase Qty]]-Inventory_Data[[#This Row],[Sales Qty]]-Inventory_Data[[#This Row],[Closing Stock]]</f>
        <v>0</v>
      </c>
      <c r="N1795">
        <f>Inventory_Data[[#This Row],[Purchase Qty]]*Inventory_Data[[#This Row],[Unit Cost]]</f>
        <v>779076</v>
      </c>
      <c r="O1795" t="str">
        <f>IF(Inventory_Data[[#This Row],[Closing Stock]]&lt;=Inventory_Data[[#This Row],[Reorder Level]],"Low Stock","In Stock")</f>
        <v>In Stock</v>
      </c>
      <c r="P1795" t="str">
        <f>TEXT(Inventory_Data[[#This Row],[Date]],"MMM")</f>
        <v>Jan</v>
      </c>
      <c r="Q1795" t="str">
        <f>TEXT(Inventory_Data[[#This Row],[Date]],"YYYY")</f>
        <v>2026</v>
      </c>
    </row>
    <row r="1796" spans="1:17" x14ac:dyDescent="0.3">
      <c r="A1796" s="1">
        <v>46039</v>
      </c>
      <c r="B1796" t="s">
        <v>40</v>
      </c>
      <c r="C1796" t="s">
        <v>28</v>
      </c>
      <c r="D1796" t="s">
        <v>14</v>
      </c>
      <c r="E1796" t="s">
        <v>18</v>
      </c>
      <c r="F1796">
        <v>58</v>
      </c>
      <c r="G1796">
        <v>97</v>
      </c>
      <c r="H1796">
        <v>37</v>
      </c>
      <c r="I1796">
        <v>118</v>
      </c>
      <c r="J1796">
        <v>37</v>
      </c>
      <c r="K1796">
        <v>49370</v>
      </c>
      <c r="L1796">
        <v>5825660</v>
      </c>
      <c r="M1796">
        <f>Inventory_Data[[#This Row],[Opening Stock]]+Inventory_Data[[#This Row],[Purchase Qty]]-Inventory_Data[[#This Row],[Sales Qty]]-Inventory_Data[[#This Row],[Closing Stock]]</f>
        <v>0</v>
      </c>
      <c r="N1796">
        <f>Inventory_Data[[#This Row],[Purchase Qty]]*Inventory_Data[[#This Row],[Unit Cost]]</f>
        <v>4788890</v>
      </c>
      <c r="O1796" t="str">
        <f>IF(Inventory_Data[[#This Row],[Closing Stock]]&lt;=Inventory_Data[[#This Row],[Reorder Level]],"Low Stock","In Stock")</f>
        <v>In Stock</v>
      </c>
      <c r="P1796" t="str">
        <f>TEXT(Inventory_Data[[#This Row],[Date]],"MMM")</f>
        <v>Jan</v>
      </c>
      <c r="Q1796" t="str">
        <f>TEXT(Inventory_Data[[#This Row],[Date]],"YYYY")</f>
        <v>2026</v>
      </c>
    </row>
    <row r="1797" spans="1:17" x14ac:dyDescent="0.3">
      <c r="A1797" s="1">
        <v>46039</v>
      </c>
      <c r="B1797" t="s">
        <v>44</v>
      </c>
      <c r="C1797" t="s">
        <v>28</v>
      </c>
      <c r="D1797" t="s">
        <v>23</v>
      </c>
      <c r="E1797" t="s">
        <v>18</v>
      </c>
      <c r="F1797">
        <v>152</v>
      </c>
      <c r="G1797">
        <v>108</v>
      </c>
      <c r="H1797">
        <v>65</v>
      </c>
      <c r="I1797">
        <v>195</v>
      </c>
      <c r="J1797">
        <v>48</v>
      </c>
      <c r="K1797">
        <v>12539</v>
      </c>
      <c r="L1797">
        <v>2445105</v>
      </c>
      <c r="M1797">
        <f>Inventory_Data[[#This Row],[Opening Stock]]+Inventory_Data[[#This Row],[Purchase Qty]]-Inventory_Data[[#This Row],[Sales Qty]]-Inventory_Data[[#This Row],[Closing Stock]]</f>
        <v>0</v>
      </c>
      <c r="N1797">
        <f>Inventory_Data[[#This Row],[Purchase Qty]]*Inventory_Data[[#This Row],[Unit Cost]]</f>
        <v>1354212</v>
      </c>
      <c r="O1797" t="str">
        <f>IF(Inventory_Data[[#This Row],[Closing Stock]]&lt;=Inventory_Data[[#This Row],[Reorder Level]],"Low Stock","In Stock")</f>
        <v>In Stock</v>
      </c>
      <c r="P1797" t="str">
        <f>TEXT(Inventory_Data[[#This Row],[Date]],"MMM")</f>
        <v>Jan</v>
      </c>
      <c r="Q1797" t="str">
        <f>TEXT(Inventory_Data[[#This Row],[Date]],"YYYY")</f>
        <v>2026</v>
      </c>
    </row>
    <row r="1798" spans="1:17" x14ac:dyDescent="0.3">
      <c r="A1798" s="1">
        <v>46039</v>
      </c>
      <c r="B1798" t="s">
        <v>30</v>
      </c>
      <c r="C1798" t="s">
        <v>28</v>
      </c>
      <c r="D1798" t="s">
        <v>37</v>
      </c>
      <c r="E1798" t="s">
        <v>20</v>
      </c>
      <c r="F1798">
        <v>143</v>
      </c>
      <c r="G1798">
        <v>39</v>
      </c>
      <c r="H1798">
        <v>15</v>
      </c>
      <c r="I1798">
        <v>167</v>
      </c>
      <c r="J1798">
        <v>44</v>
      </c>
      <c r="K1798">
        <v>6709</v>
      </c>
      <c r="L1798">
        <v>1120403</v>
      </c>
      <c r="M1798">
        <f>Inventory_Data[[#This Row],[Opening Stock]]+Inventory_Data[[#This Row],[Purchase Qty]]-Inventory_Data[[#This Row],[Sales Qty]]-Inventory_Data[[#This Row],[Closing Stock]]</f>
        <v>0</v>
      </c>
      <c r="N1798">
        <f>Inventory_Data[[#This Row],[Purchase Qty]]*Inventory_Data[[#This Row],[Unit Cost]]</f>
        <v>261651</v>
      </c>
      <c r="O1798" t="str">
        <f>IF(Inventory_Data[[#This Row],[Closing Stock]]&lt;=Inventory_Data[[#This Row],[Reorder Level]],"Low Stock","In Stock")</f>
        <v>In Stock</v>
      </c>
      <c r="P1798" t="str">
        <f>TEXT(Inventory_Data[[#This Row],[Date]],"MMM")</f>
        <v>Jan</v>
      </c>
      <c r="Q1798" t="str">
        <f>TEXT(Inventory_Data[[#This Row],[Date]],"YYYY")</f>
        <v>2026</v>
      </c>
    </row>
    <row r="1799" spans="1:17" x14ac:dyDescent="0.3">
      <c r="A1799" s="1">
        <v>46039</v>
      </c>
      <c r="B1799" t="s">
        <v>45</v>
      </c>
      <c r="C1799" t="s">
        <v>13</v>
      </c>
      <c r="D1799" t="s">
        <v>14</v>
      </c>
      <c r="E1799" t="s">
        <v>24</v>
      </c>
      <c r="F1799">
        <v>20</v>
      </c>
      <c r="G1799">
        <v>77</v>
      </c>
      <c r="H1799">
        <v>3</v>
      </c>
      <c r="I1799">
        <v>94</v>
      </c>
      <c r="J1799">
        <v>28</v>
      </c>
      <c r="K1799">
        <v>1799</v>
      </c>
      <c r="L1799">
        <v>169106</v>
      </c>
      <c r="M1799">
        <f>Inventory_Data[[#This Row],[Opening Stock]]+Inventory_Data[[#This Row],[Purchase Qty]]-Inventory_Data[[#This Row],[Sales Qty]]-Inventory_Data[[#This Row],[Closing Stock]]</f>
        <v>0</v>
      </c>
      <c r="N1799">
        <f>Inventory_Data[[#This Row],[Purchase Qty]]*Inventory_Data[[#This Row],[Unit Cost]]</f>
        <v>138523</v>
      </c>
      <c r="O1799" t="str">
        <f>IF(Inventory_Data[[#This Row],[Closing Stock]]&lt;=Inventory_Data[[#This Row],[Reorder Level]],"Low Stock","In Stock")</f>
        <v>In Stock</v>
      </c>
      <c r="P1799" t="str">
        <f>TEXT(Inventory_Data[[#This Row],[Date]],"MMM")</f>
        <v>Jan</v>
      </c>
      <c r="Q1799" t="str">
        <f>TEXT(Inventory_Data[[#This Row],[Date]],"YYYY")</f>
        <v>2026</v>
      </c>
    </row>
    <row r="1800" spans="1:17" x14ac:dyDescent="0.3">
      <c r="A1800" s="1">
        <v>46039</v>
      </c>
      <c r="B1800" t="s">
        <v>33</v>
      </c>
      <c r="C1800" t="s">
        <v>13</v>
      </c>
      <c r="D1800" t="s">
        <v>26</v>
      </c>
      <c r="E1800" t="s">
        <v>29</v>
      </c>
      <c r="F1800">
        <v>80</v>
      </c>
      <c r="G1800">
        <v>9</v>
      </c>
      <c r="H1800">
        <v>31</v>
      </c>
      <c r="I1800">
        <v>58</v>
      </c>
      <c r="J1800">
        <v>34</v>
      </c>
      <c r="K1800">
        <v>7269</v>
      </c>
      <c r="L1800">
        <v>421602</v>
      </c>
      <c r="M1800">
        <f>Inventory_Data[[#This Row],[Opening Stock]]+Inventory_Data[[#This Row],[Purchase Qty]]-Inventory_Data[[#This Row],[Sales Qty]]-Inventory_Data[[#This Row],[Closing Stock]]</f>
        <v>0</v>
      </c>
      <c r="N1800">
        <f>Inventory_Data[[#This Row],[Purchase Qty]]*Inventory_Data[[#This Row],[Unit Cost]]</f>
        <v>65421</v>
      </c>
      <c r="O1800" t="str">
        <f>IF(Inventory_Data[[#This Row],[Closing Stock]]&lt;=Inventory_Data[[#This Row],[Reorder Level]],"Low Stock","In Stock")</f>
        <v>In Stock</v>
      </c>
      <c r="P1800" t="str">
        <f>TEXT(Inventory_Data[[#This Row],[Date]],"MMM")</f>
        <v>Jan</v>
      </c>
      <c r="Q1800" t="str">
        <f>TEXT(Inventory_Data[[#This Row],[Date]],"YYYY")</f>
        <v>2026</v>
      </c>
    </row>
    <row r="1801" spans="1:17" x14ac:dyDescent="0.3">
      <c r="A1801" s="1">
        <v>46039</v>
      </c>
      <c r="B1801" t="s">
        <v>33</v>
      </c>
      <c r="C1801" t="s">
        <v>13</v>
      </c>
      <c r="D1801" t="s">
        <v>14</v>
      </c>
      <c r="E1801" t="s">
        <v>29</v>
      </c>
      <c r="F1801">
        <v>111</v>
      </c>
      <c r="G1801">
        <v>28</v>
      </c>
      <c r="H1801">
        <v>16</v>
      </c>
      <c r="I1801">
        <v>123</v>
      </c>
      <c r="J1801">
        <v>25</v>
      </c>
      <c r="K1801">
        <v>12416</v>
      </c>
      <c r="L1801">
        <v>1527168</v>
      </c>
      <c r="M1801">
        <f>Inventory_Data[[#This Row],[Opening Stock]]+Inventory_Data[[#This Row],[Purchase Qty]]-Inventory_Data[[#This Row],[Sales Qty]]-Inventory_Data[[#This Row],[Closing Stock]]</f>
        <v>0</v>
      </c>
      <c r="N1801">
        <f>Inventory_Data[[#This Row],[Purchase Qty]]*Inventory_Data[[#This Row],[Unit Cost]]</f>
        <v>347648</v>
      </c>
      <c r="O1801" t="str">
        <f>IF(Inventory_Data[[#This Row],[Closing Stock]]&lt;=Inventory_Data[[#This Row],[Reorder Level]],"Low Stock","In Stock")</f>
        <v>In Stock</v>
      </c>
      <c r="P1801" t="str">
        <f>TEXT(Inventory_Data[[#This Row],[Date]],"MMM")</f>
        <v>Jan</v>
      </c>
      <c r="Q1801" t="str">
        <f>TEXT(Inventory_Data[[#This Row],[Date]],"YYYY")</f>
        <v>2026</v>
      </c>
    </row>
    <row r="1802" spans="1:17" x14ac:dyDescent="0.3">
      <c r="A1802" s="1">
        <v>46040</v>
      </c>
      <c r="B1802" t="s">
        <v>25</v>
      </c>
      <c r="C1802" t="s">
        <v>17</v>
      </c>
      <c r="D1802" t="s">
        <v>23</v>
      </c>
      <c r="E1802" t="s">
        <v>24</v>
      </c>
      <c r="F1802">
        <v>98</v>
      </c>
      <c r="G1802">
        <v>38</v>
      </c>
      <c r="H1802">
        <v>38</v>
      </c>
      <c r="I1802">
        <v>98</v>
      </c>
      <c r="J1802">
        <v>16</v>
      </c>
      <c r="K1802">
        <v>16121</v>
      </c>
      <c r="L1802">
        <v>1579858</v>
      </c>
      <c r="M1802">
        <f>Inventory_Data[[#This Row],[Opening Stock]]+Inventory_Data[[#This Row],[Purchase Qty]]-Inventory_Data[[#This Row],[Sales Qty]]-Inventory_Data[[#This Row],[Closing Stock]]</f>
        <v>0</v>
      </c>
      <c r="N1802">
        <f>Inventory_Data[[#This Row],[Purchase Qty]]*Inventory_Data[[#This Row],[Unit Cost]]</f>
        <v>612598</v>
      </c>
      <c r="O1802" t="str">
        <f>IF(Inventory_Data[[#This Row],[Closing Stock]]&lt;=Inventory_Data[[#This Row],[Reorder Level]],"Low Stock","In Stock")</f>
        <v>In Stock</v>
      </c>
      <c r="P1802" t="str">
        <f>TEXT(Inventory_Data[[#This Row],[Date]],"MMM")</f>
        <v>Jan</v>
      </c>
      <c r="Q1802" t="str">
        <f>TEXT(Inventory_Data[[#This Row],[Date]],"YYYY")</f>
        <v>2026</v>
      </c>
    </row>
    <row r="1803" spans="1:17" x14ac:dyDescent="0.3">
      <c r="A1803" s="1">
        <v>46040</v>
      </c>
      <c r="B1803" t="s">
        <v>33</v>
      </c>
      <c r="C1803" t="s">
        <v>13</v>
      </c>
      <c r="D1803" t="s">
        <v>23</v>
      </c>
      <c r="E1803" t="s">
        <v>29</v>
      </c>
      <c r="F1803">
        <v>102</v>
      </c>
      <c r="G1803">
        <v>26</v>
      </c>
      <c r="H1803">
        <v>4</v>
      </c>
      <c r="I1803">
        <v>124</v>
      </c>
      <c r="J1803">
        <v>28</v>
      </c>
      <c r="K1803">
        <v>12998</v>
      </c>
      <c r="L1803">
        <v>1611752</v>
      </c>
      <c r="M1803">
        <f>Inventory_Data[[#This Row],[Opening Stock]]+Inventory_Data[[#This Row],[Purchase Qty]]-Inventory_Data[[#This Row],[Sales Qty]]-Inventory_Data[[#This Row],[Closing Stock]]</f>
        <v>0</v>
      </c>
      <c r="N1803">
        <f>Inventory_Data[[#This Row],[Purchase Qty]]*Inventory_Data[[#This Row],[Unit Cost]]</f>
        <v>337948</v>
      </c>
      <c r="O1803" t="str">
        <f>IF(Inventory_Data[[#This Row],[Closing Stock]]&lt;=Inventory_Data[[#This Row],[Reorder Level]],"Low Stock","In Stock")</f>
        <v>In Stock</v>
      </c>
      <c r="P1803" t="str">
        <f>TEXT(Inventory_Data[[#This Row],[Date]],"MMM")</f>
        <v>Jan</v>
      </c>
      <c r="Q1803" t="str">
        <f>TEXT(Inventory_Data[[#This Row],[Date]],"YYYY")</f>
        <v>2026</v>
      </c>
    </row>
    <row r="1804" spans="1:17" x14ac:dyDescent="0.3">
      <c r="A1804" s="1">
        <v>46040</v>
      </c>
      <c r="B1804" t="s">
        <v>33</v>
      </c>
      <c r="C1804" t="s">
        <v>13</v>
      </c>
      <c r="D1804" t="s">
        <v>37</v>
      </c>
      <c r="E1804" t="s">
        <v>18</v>
      </c>
      <c r="F1804">
        <v>69</v>
      </c>
      <c r="G1804">
        <v>17</v>
      </c>
      <c r="H1804">
        <v>11</v>
      </c>
      <c r="I1804">
        <v>75</v>
      </c>
      <c r="J1804">
        <v>29</v>
      </c>
      <c r="K1804">
        <v>9971</v>
      </c>
      <c r="L1804">
        <v>747825</v>
      </c>
      <c r="M1804">
        <f>Inventory_Data[[#This Row],[Opening Stock]]+Inventory_Data[[#This Row],[Purchase Qty]]-Inventory_Data[[#This Row],[Sales Qty]]-Inventory_Data[[#This Row],[Closing Stock]]</f>
        <v>0</v>
      </c>
      <c r="N1804">
        <f>Inventory_Data[[#This Row],[Purchase Qty]]*Inventory_Data[[#This Row],[Unit Cost]]</f>
        <v>169507</v>
      </c>
      <c r="O1804" t="str">
        <f>IF(Inventory_Data[[#This Row],[Closing Stock]]&lt;=Inventory_Data[[#This Row],[Reorder Level]],"Low Stock","In Stock")</f>
        <v>In Stock</v>
      </c>
      <c r="P1804" t="str">
        <f>TEXT(Inventory_Data[[#This Row],[Date]],"MMM")</f>
        <v>Jan</v>
      </c>
      <c r="Q1804" t="str">
        <f>TEXT(Inventory_Data[[#This Row],[Date]],"YYYY")</f>
        <v>2026</v>
      </c>
    </row>
    <row r="1805" spans="1:17" x14ac:dyDescent="0.3">
      <c r="A1805" s="1">
        <v>46041</v>
      </c>
      <c r="B1805" t="s">
        <v>16</v>
      </c>
      <c r="C1805" t="s">
        <v>17</v>
      </c>
      <c r="D1805" t="s">
        <v>26</v>
      </c>
      <c r="E1805" t="s">
        <v>24</v>
      </c>
      <c r="F1805">
        <v>57</v>
      </c>
      <c r="G1805">
        <v>6</v>
      </c>
      <c r="H1805">
        <v>33</v>
      </c>
      <c r="I1805">
        <v>30</v>
      </c>
      <c r="J1805">
        <v>15</v>
      </c>
      <c r="K1805">
        <v>5219</v>
      </c>
      <c r="L1805">
        <v>156570</v>
      </c>
      <c r="M1805">
        <f>Inventory_Data[[#This Row],[Opening Stock]]+Inventory_Data[[#This Row],[Purchase Qty]]-Inventory_Data[[#This Row],[Sales Qty]]-Inventory_Data[[#This Row],[Closing Stock]]</f>
        <v>0</v>
      </c>
      <c r="N1805">
        <f>Inventory_Data[[#This Row],[Purchase Qty]]*Inventory_Data[[#This Row],[Unit Cost]]</f>
        <v>31314</v>
      </c>
      <c r="O1805" t="str">
        <f>IF(Inventory_Data[[#This Row],[Closing Stock]]&lt;=Inventory_Data[[#This Row],[Reorder Level]],"Low Stock","In Stock")</f>
        <v>In Stock</v>
      </c>
      <c r="P1805" t="str">
        <f>TEXT(Inventory_Data[[#This Row],[Date]],"MMM")</f>
        <v>Jan</v>
      </c>
      <c r="Q1805" t="str">
        <f>TEXT(Inventory_Data[[#This Row],[Date]],"YYYY")</f>
        <v>2026</v>
      </c>
    </row>
    <row r="1806" spans="1:17" x14ac:dyDescent="0.3">
      <c r="A1806" s="1">
        <v>46041</v>
      </c>
      <c r="B1806" t="s">
        <v>42</v>
      </c>
      <c r="C1806" t="s">
        <v>17</v>
      </c>
      <c r="D1806" t="s">
        <v>26</v>
      </c>
      <c r="E1806" t="s">
        <v>29</v>
      </c>
      <c r="F1806">
        <v>13</v>
      </c>
      <c r="G1806">
        <v>34</v>
      </c>
      <c r="H1806">
        <v>32</v>
      </c>
      <c r="I1806">
        <v>15</v>
      </c>
      <c r="J1806">
        <v>20</v>
      </c>
      <c r="K1806">
        <v>2881</v>
      </c>
      <c r="L1806">
        <v>43215</v>
      </c>
      <c r="M1806">
        <f>Inventory_Data[[#This Row],[Opening Stock]]+Inventory_Data[[#This Row],[Purchase Qty]]-Inventory_Data[[#This Row],[Sales Qty]]-Inventory_Data[[#This Row],[Closing Stock]]</f>
        <v>0</v>
      </c>
      <c r="N1806">
        <f>Inventory_Data[[#This Row],[Purchase Qty]]*Inventory_Data[[#This Row],[Unit Cost]]</f>
        <v>97954</v>
      </c>
      <c r="O1806" t="str">
        <f>IF(Inventory_Data[[#This Row],[Closing Stock]]&lt;=Inventory_Data[[#This Row],[Reorder Level]],"Low Stock","In Stock")</f>
        <v>Low Stock</v>
      </c>
      <c r="P1806" t="str">
        <f>TEXT(Inventory_Data[[#This Row],[Date]],"MMM")</f>
        <v>Jan</v>
      </c>
      <c r="Q1806" t="str">
        <f>TEXT(Inventory_Data[[#This Row],[Date]],"YYYY")</f>
        <v>2026</v>
      </c>
    </row>
    <row r="1807" spans="1:17" x14ac:dyDescent="0.3">
      <c r="A1807" s="1">
        <v>46041</v>
      </c>
      <c r="B1807" t="s">
        <v>39</v>
      </c>
      <c r="C1807" t="s">
        <v>28</v>
      </c>
      <c r="D1807" t="s">
        <v>26</v>
      </c>
      <c r="E1807" t="s">
        <v>24</v>
      </c>
      <c r="F1807">
        <v>138</v>
      </c>
      <c r="G1807">
        <v>99</v>
      </c>
      <c r="H1807">
        <v>82</v>
      </c>
      <c r="I1807">
        <v>155</v>
      </c>
      <c r="J1807">
        <v>27</v>
      </c>
      <c r="K1807">
        <v>53849</v>
      </c>
      <c r="L1807">
        <v>8346595</v>
      </c>
      <c r="M1807">
        <f>Inventory_Data[[#This Row],[Opening Stock]]+Inventory_Data[[#This Row],[Purchase Qty]]-Inventory_Data[[#This Row],[Sales Qty]]-Inventory_Data[[#This Row],[Closing Stock]]</f>
        <v>0</v>
      </c>
      <c r="N1807">
        <f>Inventory_Data[[#This Row],[Purchase Qty]]*Inventory_Data[[#This Row],[Unit Cost]]</f>
        <v>5331051</v>
      </c>
      <c r="O1807" t="str">
        <f>IF(Inventory_Data[[#This Row],[Closing Stock]]&lt;=Inventory_Data[[#This Row],[Reorder Level]],"Low Stock","In Stock")</f>
        <v>In Stock</v>
      </c>
      <c r="P1807" t="str">
        <f>TEXT(Inventory_Data[[#This Row],[Date]],"MMM")</f>
        <v>Jan</v>
      </c>
      <c r="Q1807" t="str">
        <f>TEXT(Inventory_Data[[#This Row],[Date]],"YYYY")</f>
        <v>2026</v>
      </c>
    </row>
    <row r="1808" spans="1:17" x14ac:dyDescent="0.3">
      <c r="A1808" s="1">
        <v>46041</v>
      </c>
      <c r="B1808" t="s">
        <v>16</v>
      </c>
      <c r="C1808" t="s">
        <v>17</v>
      </c>
      <c r="D1808" t="s">
        <v>37</v>
      </c>
      <c r="E1808" t="s">
        <v>18</v>
      </c>
      <c r="F1808">
        <v>39</v>
      </c>
      <c r="G1808">
        <v>42</v>
      </c>
      <c r="H1808">
        <v>36</v>
      </c>
      <c r="I1808">
        <v>45</v>
      </c>
      <c r="J1808">
        <v>17</v>
      </c>
      <c r="K1808">
        <v>17033</v>
      </c>
      <c r="L1808">
        <v>766485</v>
      </c>
      <c r="M1808">
        <f>Inventory_Data[[#This Row],[Opening Stock]]+Inventory_Data[[#This Row],[Purchase Qty]]-Inventory_Data[[#This Row],[Sales Qty]]-Inventory_Data[[#This Row],[Closing Stock]]</f>
        <v>0</v>
      </c>
      <c r="N1808">
        <f>Inventory_Data[[#This Row],[Purchase Qty]]*Inventory_Data[[#This Row],[Unit Cost]]</f>
        <v>715386</v>
      </c>
      <c r="O1808" t="str">
        <f>IF(Inventory_Data[[#This Row],[Closing Stock]]&lt;=Inventory_Data[[#This Row],[Reorder Level]],"Low Stock","In Stock")</f>
        <v>In Stock</v>
      </c>
      <c r="P1808" t="str">
        <f>TEXT(Inventory_Data[[#This Row],[Date]],"MMM")</f>
        <v>Jan</v>
      </c>
      <c r="Q1808" t="str">
        <f>TEXT(Inventory_Data[[#This Row],[Date]],"YYYY")</f>
        <v>2026</v>
      </c>
    </row>
    <row r="1809" spans="1:17" x14ac:dyDescent="0.3">
      <c r="A1809" s="1">
        <v>46041</v>
      </c>
      <c r="B1809" t="s">
        <v>12</v>
      </c>
      <c r="C1809" t="s">
        <v>13</v>
      </c>
      <c r="D1809" t="s">
        <v>37</v>
      </c>
      <c r="E1809" t="s">
        <v>24</v>
      </c>
      <c r="F1809">
        <v>26</v>
      </c>
      <c r="G1809">
        <v>65</v>
      </c>
      <c r="H1809">
        <v>43</v>
      </c>
      <c r="I1809">
        <v>48</v>
      </c>
      <c r="J1809">
        <v>32</v>
      </c>
      <c r="K1809">
        <v>7004</v>
      </c>
      <c r="L1809">
        <v>336192</v>
      </c>
      <c r="M1809">
        <f>Inventory_Data[[#This Row],[Opening Stock]]+Inventory_Data[[#This Row],[Purchase Qty]]-Inventory_Data[[#This Row],[Sales Qty]]-Inventory_Data[[#This Row],[Closing Stock]]</f>
        <v>0</v>
      </c>
      <c r="N1809">
        <f>Inventory_Data[[#This Row],[Purchase Qty]]*Inventory_Data[[#This Row],[Unit Cost]]</f>
        <v>455260</v>
      </c>
      <c r="O1809" t="str">
        <f>IF(Inventory_Data[[#This Row],[Closing Stock]]&lt;=Inventory_Data[[#This Row],[Reorder Level]],"Low Stock","In Stock")</f>
        <v>In Stock</v>
      </c>
      <c r="P1809" t="str">
        <f>TEXT(Inventory_Data[[#This Row],[Date]],"MMM")</f>
        <v>Jan</v>
      </c>
      <c r="Q1809" t="str">
        <f>TEXT(Inventory_Data[[#This Row],[Date]],"YYYY")</f>
        <v>2026</v>
      </c>
    </row>
    <row r="1810" spans="1:17" x14ac:dyDescent="0.3">
      <c r="A1810" s="1">
        <v>46042</v>
      </c>
      <c r="B1810" t="s">
        <v>41</v>
      </c>
      <c r="C1810" t="s">
        <v>22</v>
      </c>
      <c r="D1810" t="s">
        <v>26</v>
      </c>
      <c r="E1810" t="s">
        <v>24</v>
      </c>
      <c r="F1810">
        <v>245</v>
      </c>
      <c r="G1810">
        <v>272</v>
      </c>
      <c r="H1810">
        <v>44</v>
      </c>
      <c r="I1810">
        <v>473</v>
      </c>
      <c r="J1810">
        <v>140</v>
      </c>
      <c r="K1810">
        <v>746</v>
      </c>
      <c r="L1810">
        <v>352858</v>
      </c>
      <c r="M1810">
        <f>Inventory_Data[[#This Row],[Opening Stock]]+Inventory_Data[[#This Row],[Purchase Qty]]-Inventory_Data[[#This Row],[Sales Qty]]-Inventory_Data[[#This Row],[Closing Stock]]</f>
        <v>0</v>
      </c>
      <c r="N1810">
        <f>Inventory_Data[[#This Row],[Purchase Qty]]*Inventory_Data[[#This Row],[Unit Cost]]</f>
        <v>202912</v>
      </c>
      <c r="O1810" t="str">
        <f>IF(Inventory_Data[[#This Row],[Closing Stock]]&lt;=Inventory_Data[[#This Row],[Reorder Level]],"Low Stock","In Stock")</f>
        <v>In Stock</v>
      </c>
      <c r="P1810" t="str">
        <f>TEXT(Inventory_Data[[#This Row],[Date]],"MMM")</f>
        <v>Jan</v>
      </c>
      <c r="Q1810" t="str">
        <f>TEXT(Inventory_Data[[#This Row],[Date]],"YYYY")</f>
        <v>2026</v>
      </c>
    </row>
    <row r="1811" spans="1:17" x14ac:dyDescent="0.3">
      <c r="A1811" s="1">
        <v>46042</v>
      </c>
      <c r="B1811" t="s">
        <v>36</v>
      </c>
      <c r="C1811" t="s">
        <v>22</v>
      </c>
      <c r="D1811" t="s">
        <v>14</v>
      </c>
      <c r="E1811" t="s">
        <v>15</v>
      </c>
      <c r="F1811">
        <v>102</v>
      </c>
      <c r="G1811">
        <v>204</v>
      </c>
      <c r="H1811">
        <v>170</v>
      </c>
      <c r="I1811">
        <v>136</v>
      </c>
      <c r="J1811">
        <v>64</v>
      </c>
      <c r="K1811">
        <v>493</v>
      </c>
      <c r="L1811">
        <v>67048</v>
      </c>
      <c r="M1811">
        <f>Inventory_Data[[#This Row],[Opening Stock]]+Inventory_Data[[#This Row],[Purchase Qty]]-Inventory_Data[[#This Row],[Sales Qty]]-Inventory_Data[[#This Row],[Closing Stock]]</f>
        <v>0</v>
      </c>
      <c r="N1811">
        <f>Inventory_Data[[#This Row],[Purchase Qty]]*Inventory_Data[[#This Row],[Unit Cost]]</f>
        <v>100572</v>
      </c>
      <c r="O1811" t="str">
        <f>IF(Inventory_Data[[#This Row],[Closing Stock]]&lt;=Inventory_Data[[#This Row],[Reorder Level]],"Low Stock","In Stock")</f>
        <v>In Stock</v>
      </c>
      <c r="P1811" t="str">
        <f>TEXT(Inventory_Data[[#This Row],[Date]],"MMM")</f>
        <v>Jan</v>
      </c>
      <c r="Q1811" t="str">
        <f>TEXT(Inventory_Data[[#This Row],[Date]],"YYYY")</f>
        <v>2026</v>
      </c>
    </row>
    <row r="1812" spans="1:17" x14ac:dyDescent="0.3">
      <c r="A1812" s="1">
        <v>46042</v>
      </c>
      <c r="B1812" t="s">
        <v>45</v>
      </c>
      <c r="C1812" t="s">
        <v>13</v>
      </c>
      <c r="D1812" t="s">
        <v>37</v>
      </c>
      <c r="E1812" t="s">
        <v>29</v>
      </c>
      <c r="F1812">
        <v>91</v>
      </c>
      <c r="G1812">
        <v>7</v>
      </c>
      <c r="H1812">
        <v>55</v>
      </c>
      <c r="I1812">
        <v>43</v>
      </c>
      <c r="J1812">
        <v>29</v>
      </c>
      <c r="K1812">
        <v>6766</v>
      </c>
      <c r="L1812">
        <v>290938</v>
      </c>
      <c r="M1812">
        <f>Inventory_Data[[#This Row],[Opening Stock]]+Inventory_Data[[#This Row],[Purchase Qty]]-Inventory_Data[[#This Row],[Sales Qty]]-Inventory_Data[[#This Row],[Closing Stock]]</f>
        <v>0</v>
      </c>
      <c r="N1812">
        <f>Inventory_Data[[#This Row],[Purchase Qty]]*Inventory_Data[[#This Row],[Unit Cost]]</f>
        <v>47362</v>
      </c>
      <c r="O1812" t="str">
        <f>IF(Inventory_Data[[#This Row],[Closing Stock]]&lt;=Inventory_Data[[#This Row],[Reorder Level]],"Low Stock","In Stock")</f>
        <v>In Stock</v>
      </c>
      <c r="P1812" t="str">
        <f>TEXT(Inventory_Data[[#This Row],[Date]],"MMM")</f>
        <v>Jan</v>
      </c>
      <c r="Q1812" t="str">
        <f>TEXT(Inventory_Data[[#This Row],[Date]],"YYYY")</f>
        <v>2026</v>
      </c>
    </row>
    <row r="1813" spans="1:17" x14ac:dyDescent="0.3">
      <c r="A1813" s="1">
        <v>46042</v>
      </c>
      <c r="B1813" t="s">
        <v>40</v>
      </c>
      <c r="C1813" t="s">
        <v>28</v>
      </c>
      <c r="D1813" t="s">
        <v>26</v>
      </c>
      <c r="E1813" t="s">
        <v>20</v>
      </c>
      <c r="F1813">
        <v>70</v>
      </c>
      <c r="G1813">
        <v>115</v>
      </c>
      <c r="H1813">
        <v>93</v>
      </c>
      <c r="I1813">
        <v>92</v>
      </c>
      <c r="J1813">
        <v>40</v>
      </c>
      <c r="K1813">
        <v>5534</v>
      </c>
      <c r="L1813">
        <v>509128</v>
      </c>
      <c r="M1813">
        <f>Inventory_Data[[#This Row],[Opening Stock]]+Inventory_Data[[#This Row],[Purchase Qty]]-Inventory_Data[[#This Row],[Sales Qty]]-Inventory_Data[[#This Row],[Closing Stock]]</f>
        <v>0</v>
      </c>
      <c r="N1813">
        <f>Inventory_Data[[#This Row],[Purchase Qty]]*Inventory_Data[[#This Row],[Unit Cost]]</f>
        <v>636410</v>
      </c>
      <c r="O1813" t="str">
        <f>IF(Inventory_Data[[#This Row],[Closing Stock]]&lt;=Inventory_Data[[#This Row],[Reorder Level]],"Low Stock","In Stock")</f>
        <v>In Stock</v>
      </c>
      <c r="P1813" t="str">
        <f>TEXT(Inventory_Data[[#This Row],[Date]],"MMM")</f>
        <v>Jan</v>
      </c>
      <c r="Q1813" t="str">
        <f>TEXT(Inventory_Data[[#This Row],[Date]],"YYYY")</f>
        <v>2026</v>
      </c>
    </row>
    <row r="1814" spans="1:17" x14ac:dyDescent="0.3">
      <c r="A1814" s="1">
        <v>46042</v>
      </c>
      <c r="B1814" t="s">
        <v>31</v>
      </c>
      <c r="C1814" t="s">
        <v>22</v>
      </c>
      <c r="D1814" t="s">
        <v>37</v>
      </c>
      <c r="E1814" t="s">
        <v>24</v>
      </c>
      <c r="F1814">
        <v>139</v>
      </c>
      <c r="G1814">
        <v>270</v>
      </c>
      <c r="H1814">
        <v>44</v>
      </c>
      <c r="I1814">
        <v>365</v>
      </c>
      <c r="J1814">
        <v>116</v>
      </c>
      <c r="K1814">
        <v>33</v>
      </c>
      <c r="L1814">
        <v>12045</v>
      </c>
      <c r="M1814">
        <f>Inventory_Data[[#This Row],[Opening Stock]]+Inventory_Data[[#This Row],[Purchase Qty]]-Inventory_Data[[#This Row],[Sales Qty]]-Inventory_Data[[#This Row],[Closing Stock]]</f>
        <v>0</v>
      </c>
      <c r="N1814">
        <f>Inventory_Data[[#This Row],[Purchase Qty]]*Inventory_Data[[#This Row],[Unit Cost]]</f>
        <v>8910</v>
      </c>
      <c r="O1814" t="str">
        <f>IF(Inventory_Data[[#This Row],[Closing Stock]]&lt;=Inventory_Data[[#This Row],[Reorder Level]],"Low Stock","In Stock")</f>
        <v>In Stock</v>
      </c>
      <c r="P1814" t="str">
        <f>TEXT(Inventory_Data[[#This Row],[Date]],"MMM")</f>
        <v>Jan</v>
      </c>
      <c r="Q1814" t="str">
        <f>TEXT(Inventory_Data[[#This Row],[Date]],"YYYY")</f>
        <v>2026</v>
      </c>
    </row>
    <row r="1815" spans="1:17" x14ac:dyDescent="0.3">
      <c r="A1815" s="1">
        <v>46042</v>
      </c>
      <c r="B1815" t="s">
        <v>12</v>
      </c>
      <c r="C1815" t="s">
        <v>13</v>
      </c>
      <c r="D1815" t="s">
        <v>14</v>
      </c>
      <c r="E1815" t="s">
        <v>24</v>
      </c>
      <c r="F1815">
        <v>27</v>
      </c>
      <c r="G1815">
        <v>31</v>
      </c>
      <c r="H1815">
        <v>8</v>
      </c>
      <c r="I1815">
        <v>50</v>
      </c>
      <c r="J1815">
        <v>15</v>
      </c>
      <c r="K1815">
        <v>14529</v>
      </c>
      <c r="L1815">
        <v>726450</v>
      </c>
      <c r="M1815">
        <f>Inventory_Data[[#This Row],[Opening Stock]]+Inventory_Data[[#This Row],[Purchase Qty]]-Inventory_Data[[#This Row],[Sales Qty]]-Inventory_Data[[#This Row],[Closing Stock]]</f>
        <v>0</v>
      </c>
      <c r="N1815">
        <f>Inventory_Data[[#This Row],[Purchase Qty]]*Inventory_Data[[#This Row],[Unit Cost]]</f>
        <v>450399</v>
      </c>
      <c r="O1815" t="str">
        <f>IF(Inventory_Data[[#This Row],[Closing Stock]]&lt;=Inventory_Data[[#This Row],[Reorder Level]],"Low Stock","In Stock")</f>
        <v>In Stock</v>
      </c>
      <c r="P1815" t="str">
        <f>TEXT(Inventory_Data[[#This Row],[Date]],"MMM")</f>
        <v>Jan</v>
      </c>
      <c r="Q1815" t="str">
        <f>TEXT(Inventory_Data[[#This Row],[Date]],"YYYY")</f>
        <v>2026</v>
      </c>
    </row>
    <row r="1816" spans="1:17" x14ac:dyDescent="0.3">
      <c r="A1816" s="1">
        <v>46043</v>
      </c>
      <c r="B1816" t="s">
        <v>44</v>
      </c>
      <c r="C1816" t="s">
        <v>28</v>
      </c>
      <c r="D1816" t="s">
        <v>26</v>
      </c>
      <c r="E1816" t="s">
        <v>29</v>
      </c>
      <c r="F1816">
        <v>28</v>
      </c>
      <c r="G1816">
        <v>117</v>
      </c>
      <c r="H1816">
        <v>9</v>
      </c>
      <c r="I1816">
        <v>136</v>
      </c>
      <c r="J1816">
        <v>38</v>
      </c>
      <c r="K1816">
        <v>6017</v>
      </c>
      <c r="L1816">
        <v>818312</v>
      </c>
      <c r="M1816">
        <f>Inventory_Data[[#This Row],[Opening Stock]]+Inventory_Data[[#This Row],[Purchase Qty]]-Inventory_Data[[#This Row],[Sales Qty]]-Inventory_Data[[#This Row],[Closing Stock]]</f>
        <v>0</v>
      </c>
      <c r="N1816">
        <f>Inventory_Data[[#This Row],[Purchase Qty]]*Inventory_Data[[#This Row],[Unit Cost]]</f>
        <v>703989</v>
      </c>
      <c r="O1816" t="str">
        <f>IF(Inventory_Data[[#This Row],[Closing Stock]]&lt;=Inventory_Data[[#This Row],[Reorder Level]],"Low Stock","In Stock")</f>
        <v>In Stock</v>
      </c>
      <c r="P1816" t="str">
        <f>TEXT(Inventory_Data[[#This Row],[Date]],"MMM")</f>
        <v>Jan</v>
      </c>
      <c r="Q1816" t="str">
        <f>TEXT(Inventory_Data[[#This Row],[Date]],"YYYY")</f>
        <v>2026</v>
      </c>
    </row>
    <row r="1817" spans="1:17" x14ac:dyDescent="0.3">
      <c r="A1817" s="1">
        <v>46043</v>
      </c>
      <c r="B1817" t="s">
        <v>12</v>
      </c>
      <c r="C1817" t="s">
        <v>13</v>
      </c>
      <c r="D1817" t="s">
        <v>37</v>
      </c>
      <c r="E1817" t="s">
        <v>29</v>
      </c>
      <c r="F1817">
        <v>53</v>
      </c>
      <c r="G1817">
        <v>25</v>
      </c>
      <c r="H1817">
        <v>42</v>
      </c>
      <c r="I1817">
        <v>36</v>
      </c>
      <c r="J1817">
        <v>32</v>
      </c>
      <c r="K1817">
        <v>7840</v>
      </c>
      <c r="L1817">
        <v>282240</v>
      </c>
      <c r="M1817">
        <f>Inventory_Data[[#This Row],[Opening Stock]]+Inventory_Data[[#This Row],[Purchase Qty]]-Inventory_Data[[#This Row],[Sales Qty]]-Inventory_Data[[#This Row],[Closing Stock]]</f>
        <v>0</v>
      </c>
      <c r="N1817">
        <f>Inventory_Data[[#This Row],[Purchase Qty]]*Inventory_Data[[#This Row],[Unit Cost]]</f>
        <v>196000</v>
      </c>
      <c r="O1817" t="str">
        <f>IF(Inventory_Data[[#This Row],[Closing Stock]]&lt;=Inventory_Data[[#This Row],[Reorder Level]],"Low Stock","In Stock")</f>
        <v>In Stock</v>
      </c>
      <c r="P1817" t="str">
        <f>TEXT(Inventory_Data[[#This Row],[Date]],"MMM")</f>
        <v>Jan</v>
      </c>
      <c r="Q1817" t="str">
        <f>TEXT(Inventory_Data[[#This Row],[Date]],"YYYY")</f>
        <v>2026</v>
      </c>
    </row>
    <row r="1818" spans="1:17" x14ac:dyDescent="0.3">
      <c r="A1818" s="1">
        <v>46043</v>
      </c>
      <c r="B1818" t="s">
        <v>43</v>
      </c>
      <c r="C1818" t="s">
        <v>22</v>
      </c>
      <c r="D1818" t="s">
        <v>37</v>
      </c>
      <c r="E1818" t="s">
        <v>34</v>
      </c>
      <c r="F1818">
        <v>352</v>
      </c>
      <c r="G1818">
        <v>299</v>
      </c>
      <c r="H1818">
        <v>59</v>
      </c>
      <c r="I1818">
        <v>592</v>
      </c>
      <c r="J1818">
        <v>124</v>
      </c>
      <c r="K1818">
        <v>408</v>
      </c>
      <c r="L1818">
        <v>241536</v>
      </c>
      <c r="M1818">
        <f>Inventory_Data[[#This Row],[Opening Stock]]+Inventory_Data[[#This Row],[Purchase Qty]]-Inventory_Data[[#This Row],[Sales Qty]]-Inventory_Data[[#This Row],[Closing Stock]]</f>
        <v>0</v>
      </c>
      <c r="N1818">
        <f>Inventory_Data[[#This Row],[Purchase Qty]]*Inventory_Data[[#This Row],[Unit Cost]]</f>
        <v>121992</v>
      </c>
      <c r="O1818" t="str">
        <f>IF(Inventory_Data[[#This Row],[Closing Stock]]&lt;=Inventory_Data[[#This Row],[Reorder Level]],"Low Stock","In Stock")</f>
        <v>In Stock</v>
      </c>
      <c r="P1818" t="str">
        <f>TEXT(Inventory_Data[[#This Row],[Date]],"MMM")</f>
        <v>Jan</v>
      </c>
      <c r="Q1818" t="str">
        <f>TEXT(Inventory_Data[[#This Row],[Date]],"YYYY")</f>
        <v>2026</v>
      </c>
    </row>
    <row r="1819" spans="1:17" x14ac:dyDescent="0.3">
      <c r="A1819" s="1">
        <v>46043</v>
      </c>
      <c r="B1819" t="s">
        <v>30</v>
      </c>
      <c r="C1819" t="s">
        <v>28</v>
      </c>
      <c r="D1819" t="s">
        <v>14</v>
      </c>
      <c r="E1819" t="s">
        <v>34</v>
      </c>
      <c r="F1819">
        <v>159</v>
      </c>
      <c r="G1819">
        <v>30</v>
      </c>
      <c r="H1819">
        <v>73</v>
      </c>
      <c r="I1819">
        <v>116</v>
      </c>
      <c r="J1819">
        <v>23</v>
      </c>
      <c r="K1819">
        <v>49894</v>
      </c>
      <c r="L1819">
        <v>5787704</v>
      </c>
      <c r="M1819">
        <f>Inventory_Data[[#This Row],[Opening Stock]]+Inventory_Data[[#This Row],[Purchase Qty]]-Inventory_Data[[#This Row],[Sales Qty]]-Inventory_Data[[#This Row],[Closing Stock]]</f>
        <v>0</v>
      </c>
      <c r="N1819">
        <f>Inventory_Data[[#This Row],[Purchase Qty]]*Inventory_Data[[#This Row],[Unit Cost]]</f>
        <v>1496820</v>
      </c>
      <c r="O1819" t="str">
        <f>IF(Inventory_Data[[#This Row],[Closing Stock]]&lt;=Inventory_Data[[#This Row],[Reorder Level]],"Low Stock","In Stock")</f>
        <v>In Stock</v>
      </c>
      <c r="P1819" t="str">
        <f>TEXT(Inventory_Data[[#This Row],[Date]],"MMM")</f>
        <v>Jan</v>
      </c>
      <c r="Q1819" t="str">
        <f>TEXT(Inventory_Data[[#This Row],[Date]],"YYYY")</f>
        <v>2026</v>
      </c>
    </row>
    <row r="1820" spans="1:17" x14ac:dyDescent="0.3">
      <c r="A1820" s="1">
        <v>46043</v>
      </c>
      <c r="B1820" t="s">
        <v>43</v>
      </c>
      <c r="C1820" t="s">
        <v>22</v>
      </c>
      <c r="D1820" t="s">
        <v>26</v>
      </c>
      <c r="E1820" t="s">
        <v>24</v>
      </c>
      <c r="F1820">
        <v>491</v>
      </c>
      <c r="G1820">
        <v>167</v>
      </c>
      <c r="H1820">
        <v>213</v>
      </c>
      <c r="I1820">
        <v>445</v>
      </c>
      <c r="J1820">
        <v>131</v>
      </c>
      <c r="K1820">
        <v>833</v>
      </c>
      <c r="L1820">
        <v>370685</v>
      </c>
      <c r="M1820">
        <f>Inventory_Data[[#This Row],[Opening Stock]]+Inventory_Data[[#This Row],[Purchase Qty]]-Inventory_Data[[#This Row],[Sales Qty]]-Inventory_Data[[#This Row],[Closing Stock]]</f>
        <v>0</v>
      </c>
      <c r="N1820">
        <f>Inventory_Data[[#This Row],[Purchase Qty]]*Inventory_Data[[#This Row],[Unit Cost]]</f>
        <v>139111</v>
      </c>
      <c r="O1820" t="str">
        <f>IF(Inventory_Data[[#This Row],[Closing Stock]]&lt;=Inventory_Data[[#This Row],[Reorder Level]],"Low Stock","In Stock")</f>
        <v>In Stock</v>
      </c>
      <c r="P1820" t="str">
        <f>TEXT(Inventory_Data[[#This Row],[Date]],"MMM")</f>
        <v>Jan</v>
      </c>
      <c r="Q1820" t="str">
        <f>TEXT(Inventory_Data[[#This Row],[Date]],"YYYY")</f>
        <v>2026</v>
      </c>
    </row>
    <row r="1821" spans="1:17" x14ac:dyDescent="0.3">
      <c r="A1821" s="1">
        <v>46043</v>
      </c>
      <c r="B1821" t="s">
        <v>41</v>
      </c>
      <c r="C1821" t="s">
        <v>22</v>
      </c>
      <c r="D1821" t="s">
        <v>26</v>
      </c>
      <c r="E1821" t="s">
        <v>29</v>
      </c>
      <c r="F1821">
        <v>241</v>
      </c>
      <c r="G1821">
        <v>190</v>
      </c>
      <c r="H1821">
        <v>31</v>
      </c>
      <c r="I1821">
        <v>400</v>
      </c>
      <c r="J1821">
        <v>138</v>
      </c>
      <c r="K1821">
        <v>272</v>
      </c>
      <c r="L1821">
        <v>108800</v>
      </c>
      <c r="M1821">
        <f>Inventory_Data[[#This Row],[Opening Stock]]+Inventory_Data[[#This Row],[Purchase Qty]]-Inventory_Data[[#This Row],[Sales Qty]]-Inventory_Data[[#This Row],[Closing Stock]]</f>
        <v>0</v>
      </c>
      <c r="N1821">
        <f>Inventory_Data[[#This Row],[Purchase Qty]]*Inventory_Data[[#This Row],[Unit Cost]]</f>
        <v>51680</v>
      </c>
      <c r="O1821" t="str">
        <f>IF(Inventory_Data[[#This Row],[Closing Stock]]&lt;=Inventory_Data[[#This Row],[Reorder Level]],"Low Stock","In Stock")</f>
        <v>In Stock</v>
      </c>
      <c r="P1821" t="str">
        <f>TEXT(Inventory_Data[[#This Row],[Date]],"MMM")</f>
        <v>Jan</v>
      </c>
      <c r="Q1821" t="str">
        <f>TEXT(Inventory_Data[[#This Row],[Date]],"YYYY")</f>
        <v>2026</v>
      </c>
    </row>
    <row r="1822" spans="1:17" x14ac:dyDescent="0.3">
      <c r="A1822" s="1">
        <v>46043</v>
      </c>
      <c r="B1822" t="s">
        <v>27</v>
      </c>
      <c r="C1822" t="s">
        <v>28</v>
      </c>
      <c r="D1822" t="s">
        <v>26</v>
      </c>
      <c r="E1822" t="s">
        <v>34</v>
      </c>
      <c r="F1822">
        <v>130</v>
      </c>
      <c r="G1822">
        <v>103</v>
      </c>
      <c r="H1822">
        <v>30</v>
      </c>
      <c r="I1822">
        <v>203</v>
      </c>
      <c r="J1822">
        <v>45</v>
      </c>
      <c r="K1822">
        <v>22482</v>
      </c>
      <c r="L1822">
        <v>4563846</v>
      </c>
      <c r="M1822">
        <f>Inventory_Data[[#This Row],[Opening Stock]]+Inventory_Data[[#This Row],[Purchase Qty]]-Inventory_Data[[#This Row],[Sales Qty]]-Inventory_Data[[#This Row],[Closing Stock]]</f>
        <v>0</v>
      </c>
      <c r="N1822">
        <f>Inventory_Data[[#This Row],[Purchase Qty]]*Inventory_Data[[#This Row],[Unit Cost]]</f>
        <v>2315646</v>
      </c>
      <c r="O1822" t="str">
        <f>IF(Inventory_Data[[#This Row],[Closing Stock]]&lt;=Inventory_Data[[#This Row],[Reorder Level]],"Low Stock","In Stock")</f>
        <v>In Stock</v>
      </c>
      <c r="P1822" t="str">
        <f>TEXT(Inventory_Data[[#This Row],[Date]],"MMM")</f>
        <v>Jan</v>
      </c>
      <c r="Q1822" t="str">
        <f>TEXT(Inventory_Data[[#This Row],[Date]],"YYYY")</f>
        <v>2026</v>
      </c>
    </row>
    <row r="1823" spans="1:17" x14ac:dyDescent="0.3">
      <c r="A1823" s="1">
        <v>46044</v>
      </c>
      <c r="B1823" t="s">
        <v>41</v>
      </c>
      <c r="C1823" t="s">
        <v>22</v>
      </c>
      <c r="D1823" t="s">
        <v>26</v>
      </c>
      <c r="E1823" t="s">
        <v>34</v>
      </c>
      <c r="F1823">
        <v>162</v>
      </c>
      <c r="G1823">
        <v>130</v>
      </c>
      <c r="H1823">
        <v>122</v>
      </c>
      <c r="I1823">
        <v>170</v>
      </c>
      <c r="J1823">
        <v>130</v>
      </c>
      <c r="K1823">
        <v>971</v>
      </c>
      <c r="L1823">
        <v>165070</v>
      </c>
      <c r="M1823">
        <f>Inventory_Data[[#This Row],[Opening Stock]]+Inventory_Data[[#This Row],[Purchase Qty]]-Inventory_Data[[#This Row],[Sales Qty]]-Inventory_Data[[#This Row],[Closing Stock]]</f>
        <v>0</v>
      </c>
      <c r="N1823">
        <f>Inventory_Data[[#This Row],[Purchase Qty]]*Inventory_Data[[#This Row],[Unit Cost]]</f>
        <v>126230</v>
      </c>
      <c r="O1823" t="str">
        <f>IF(Inventory_Data[[#This Row],[Closing Stock]]&lt;=Inventory_Data[[#This Row],[Reorder Level]],"Low Stock","In Stock")</f>
        <v>In Stock</v>
      </c>
      <c r="P1823" t="str">
        <f>TEXT(Inventory_Data[[#This Row],[Date]],"MMM")</f>
        <v>Jan</v>
      </c>
      <c r="Q1823" t="str">
        <f>TEXT(Inventory_Data[[#This Row],[Date]],"YYYY")</f>
        <v>2026</v>
      </c>
    </row>
    <row r="1824" spans="1:17" x14ac:dyDescent="0.3">
      <c r="A1824" s="1">
        <v>46044</v>
      </c>
      <c r="B1824" t="s">
        <v>27</v>
      </c>
      <c r="C1824" t="s">
        <v>28</v>
      </c>
      <c r="D1824" t="s">
        <v>26</v>
      </c>
      <c r="E1824" t="s">
        <v>15</v>
      </c>
      <c r="F1824">
        <v>106</v>
      </c>
      <c r="G1824">
        <v>60</v>
      </c>
      <c r="H1824">
        <v>86</v>
      </c>
      <c r="I1824">
        <v>80</v>
      </c>
      <c r="J1824">
        <v>55</v>
      </c>
      <c r="K1824">
        <v>30649</v>
      </c>
      <c r="L1824">
        <v>2451920</v>
      </c>
      <c r="M1824">
        <f>Inventory_Data[[#This Row],[Opening Stock]]+Inventory_Data[[#This Row],[Purchase Qty]]-Inventory_Data[[#This Row],[Sales Qty]]-Inventory_Data[[#This Row],[Closing Stock]]</f>
        <v>0</v>
      </c>
      <c r="N1824">
        <f>Inventory_Data[[#This Row],[Purchase Qty]]*Inventory_Data[[#This Row],[Unit Cost]]</f>
        <v>1838940</v>
      </c>
      <c r="O1824" t="str">
        <f>IF(Inventory_Data[[#This Row],[Closing Stock]]&lt;=Inventory_Data[[#This Row],[Reorder Level]],"Low Stock","In Stock")</f>
        <v>In Stock</v>
      </c>
      <c r="P1824" t="str">
        <f>TEXT(Inventory_Data[[#This Row],[Date]],"MMM")</f>
        <v>Jan</v>
      </c>
      <c r="Q1824" t="str">
        <f>TEXT(Inventory_Data[[#This Row],[Date]],"YYYY")</f>
        <v>2026</v>
      </c>
    </row>
    <row r="1825" spans="1:17" x14ac:dyDescent="0.3">
      <c r="A1825" s="1">
        <v>46044</v>
      </c>
      <c r="B1825" t="s">
        <v>40</v>
      </c>
      <c r="C1825" t="s">
        <v>28</v>
      </c>
      <c r="D1825" t="s">
        <v>14</v>
      </c>
      <c r="E1825" t="s">
        <v>15</v>
      </c>
      <c r="F1825">
        <v>42</v>
      </c>
      <c r="G1825">
        <v>81</v>
      </c>
      <c r="H1825">
        <v>23</v>
      </c>
      <c r="I1825">
        <v>100</v>
      </c>
      <c r="J1825">
        <v>30</v>
      </c>
      <c r="K1825">
        <v>1300</v>
      </c>
      <c r="L1825">
        <v>130000</v>
      </c>
      <c r="M1825">
        <f>Inventory_Data[[#This Row],[Opening Stock]]+Inventory_Data[[#This Row],[Purchase Qty]]-Inventory_Data[[#This Row],[Sales Qty]]-Inventory_Data[[#This Row],[Closing Stock]]</f>
        <v>0</v>
      </c>
      <c r="N1825">
        <f>Inventory_Data[[#This Row],[Purchase Qty]]*Inventory_Data[[#This Row],[Unit Cost]]</f>
        <v>105300</v>
      </c>
      <c r="O1825" t="str">
        <f>IF(Inventory_Data[[#This Row],[Closing Stock]]&lt;=Inventory_Data[[#This Row],[Reorder Level]],"Low Stock","In Stock")</f>
        <v>In Stock</v>
      </c>
      <c r="P1825" t="str">
        <f>TEXT(Inventory_Data[[#This Row],[Date]],"MMM")</f>
        <v>Jan</v>
      </c>
      <c r="Q1825" t="str">
        <f>TEXT(Inventory_Data[[#This Row],[Date]],"YYYY")</f>
        <v>2026</v>
      </c>
    </row>
    <row r="1826" spans="1:17" x14ac:dyDescent="0.3">
      <c r="A1826" s="1">
        <v>46044</v>
      </c>
      <c r="B1826" t="s">
        <v>12</v>
      </c>
      <c r="C1826" t="s">
        <v>13</v>
      </c>
      <c r="D1826" t="s">
        <v>37</v>
      </c>
      <c r="E1826" t="s">
        <v>29</v>
      </c>
      <c r="F1826">
        <v>88</v>
      </c>
      <c r="G1826">
        <v>9</v>
      </c>
      <c r="H1826">
        <v>48</v>
      </c>
      <c r="I1826">
        <v>49</v>
      </c>
      <c r="J1826">
        <v>35</v>
      </c>
      <c r="K1826">
        <v>15253</v>
      </c>
      <c r="L1826">
        <v>747397</v>
      </c>
      <c r="M1826">
        <f>Inventory_Data[[#This Row],[Opening Stock]]+Inventory_Data[[#This Row],[Purchase Qty]]-Inventory_Data[[#This Row],[Sales Qty]]-Inventory_Data[[#This Row],[Closing Stock]]</f>
        <v>0</v>
      </c>
      <c r="N1826">
        <f>Inventory_Data[[#This Row],[Purchase Qty]]*Inventory_Data[[#This Row],[Unit Cost]]</f>
        <v>137277</v>
      </c>
      <c r="O1826" t="str">
        <f>IF(Inventory_Data[[#This Row],[Closing Stock]]&lt;=Inventory_Data[[#This Row],[Reorder Level]],"Low Stock","In Stock")</f>
        <v>In Stock</v>
      </c>
      <c r="P1826" t="str">
        <f>TEXT(Inventory_Data[[#This Row],[Date]],"MMM")</f>
        <v>Jan</v>
      </c>
      <c r="Q1826" t="str">
        <f>TEXT(Inventory_Data[[#This Row],[Date]],"YYYY")</f>
        <v>2026</v>
      </c>
    </row>
    <row r="1827" spans="1:17" x14ac:dyDescent="0.3">
      <c r="A1827" s="1">
        <v>46045</v>
      </c>
      <c r="B1827" t="s">
        <v>44</v>
      </c>
      <c r="C1827" t="s">
        <v>28</v>
      </c>
      <c r="D1827" t="s">
        <v>37</v>
      </c>
      <c r="E1827" t="s">
        <v>34</v>
      </c>
      <c r="F1827">
        <v>122</v>
      </c>
      <c r="G1827">
        <v>23</v>
      </c>
      <c r="H1827">
        <v>22</v>
      </c>
      <c r="I1827">
        <v>123</v>
      </c>
      <c r="J1827">
        <v>20</v>
      </c>
      <c r="K1827">
        <v>56385</v>
      </c>
      <c r="L1827">
        <v>6935355</v>
      </c>
      <c r="M1827">
        <f>Inventory_Data[[#This Row],[Opening Stock]]+Inventory_Data[[#This Row],[Purchase Qty]]-Inventory_Data[[#This Row],[Sales Qty]]-Inventory_Data[[#This Row],[Closing Stock]]</f>
        <v>0</v>
      </c>
      <c r="N1827">
        <f>Inventory_Data[[#This Row],[Purchase Qty]]*Inventory_Data[[#This Row],[Unit Cost]]</f>
        <v>1296855</v>
      </c>
      <c r="O1827" t="str">
        <f>IF(Inventory_Data[[#This Row],[Closing Stock]]&lt;=Inventory_Data[[#This Row],[Reorder Level]],"Low Stock","In Stock")</f>
        <v>In Stock</v>
      </c>
      <c r="P1827" t="str">
        <f>TEXT(Inventory_Data[[#This Row],[Date]],"MMM")</f>
        <v>Jan</v>
      </c>
      <c r="Q1827" t="str">
        <f>TEXT(Inventory_Data[[#This Row],[Date]],"YYYY")</f>
        <v>2026</v>
      </c>
    </row>
    <row r="1828" spans="1:17" x14ac:dyDescent="0.3">
      <c r="A1828" s="1">
        <v>46045</v>
      </c>
      <c r="B1828" t="s">
        <v>42</v>
      </c>
      <c r="C1828" t="s">
        <v>17</v>
      </c>
      <c r="D1828" t="s">
        <v>37</v>
      </c>
      <c r="E1828" t="s">
        <v>34</v>
      </c>
      <c r="F1828">
        <v>25</v>
      </c>
      <c r="G1828">
        <v>58</v>
      </c>
      <c r="H1828">
        <v>34</v>
      </c>
      <c r="I1828">
        <v>49</v>
      </c>
      <c r="J1828">
        <v>17</v>
      </c>
      <c r="K1828">
        <v>21220</v>
      </c>
      <c r="L1828">
        <v>1039780</v>
      </c>
      <c r="M1828">
        <f>Inventory_Data[[#This Row],[Opening Stock]]+Inventory_Data[[#This Row],[Purchase Qty]]-Inventory_Data[[#This Row],[Sales Qty]]-Inventory_Data[[#This Row],[Closing Stock]]</f>
        <v>0</v>
      </c>
      <c r="N1828">
        <f>Inventory_Data[[#This Row],[Purchase Qty]]*Inventory_Data[[#This Row],[Unit Cost]]</f>
        <v>1230760</v>
      </c>
      <c r="O1828" t="str">
        <f>IF(Inventory_Data[[#This Row],[Closing Stock]]&lt;=Inventory_Data[[#This Row],[Reorder Level]],"Low Stock","In Stock")</f>
        <v>In Stock</v>
      </c>
      <c r="P1828" t="str">
        <f>TEXT(Inventory_Data[[#This Row],[Date]],"MMM")</f>
        <v>Jan</v>
      </c>
      <c r="Q1828" t="str">
        <f>TEXT(Inventory_Data[[#This Row],[Date]],"YYYY")</f>
        <v>2026</v>
      </c>
    </row>
    <row r="1829" spans="1:17" x14ac:dyDescent="0.3">
      <c r="A1829" s="1">
        <v>46046</v>
      </c>
      <c r="B1829" t="s">
        <v>43</v>
      </c>
      <c r="C1829" t="s">
        <v>22</v>
      </c>
      <c r="D1829" t="s">
        <v>26</v>
      </c>
      <c r="E1829" t="s">
        <v>15</v>
      </c>
      <c r="F1829">
        <v>259</v>
      </c>
      <c r="G1829">
        <v>86</v>
      </c>
      <c r="H1829">
        <v>194</v>
      </c>
      <c r="I1829">
        <v>151</v>
      </c>
      <c r="J1829">
        <v>103</v>
      </c>
      <c r="K1829">
        <v>990</v>
      </c>
      <c r="L1829">
        <v>149490</v>
      </c>
      <c r="M1829">
        <f>Inventory_Data[[#This Row],[Opening Stock]]+Inventory_Data[[#This Row],[Purchase Qty]]-Inventory_Data[[#This Row],[Sales Qty]]-Inventory_Data[[#This Row],[Closing Stock]]</f>
        <v>0</v>
      </c>
      <c r="N1829">
        <f>Inventory_Data[[#This Row],[Purchase Qty]]*Inventory_Data[[#This Row],[Unit Cost]]</f>
        <v>85140</v>
      </c>
      <c r="O1829" t="str">
        <f>IF(Inventory_Data[[#This Row],[Closing Stock]]&lt;=Inventory_Data[[#This Row],[Reorder Level]],"Low Stock","In Stock")</f>
        <v>In Stock</v>
      </c>
      <c r="P1829" t="str">
        <f>TEXT(Inventory_Data[[#This Row],[Date]],"MMM")</f>
        <v>Jan</v>
      </c>
      <c r="Q1829" t="str">
        <f>TEXT(Inventory_Data[[#This Row],[Date]],"YYYY")</f>
        <v>2026</v>
      </c>
    </row>
    <row r="1830" spans="1:17" x14ac:dyDescent="0.3">
      <c r="A1830" s="1">
        <v>46046</v>
      </c>
      <c r="B1830" t="s">
        <v>41</v>
      </c>
      <c r="C1830" t="s">
        <v>22</v>
      </c>
      <c r="D1830" t="s">
        <v>37</v>
      </c>
      <c r="E1830" t="s">
        <v>34</v>
      </c>
      <c r="F1830">
        <v>380</v>
      </c>
      <c r="G1830">
        <v>279</v>
      </c>
      <c r="H1830">
        <v>68</v>
      </c>
      <c r="I1830">
        <v>591</v>
      </c>
      <c r="J1830">
        <v>108</v>
      </c>
      <c r="K1830">
        <v>734</v>
      </c>
      <c r="L1830">
        <v>433794</v>
      </c>
      <c r="M1830">
        <f>Inventory_Data[[#This Row],[Opening Stock]]+Inventory_Data[[#This Row],[Purchase Qty]]-Inventory_Data[[#This Row],[Sales Qty]]-Inventory_Data[[#This Row],[Closing Stock]]</f>
        <v>0</v>
      </c>
      <c r="N1830">
        <f>Inventory_Data[[#This Row],[Purchase Qty]]*Inventory_Data[[#This Row],[Unit Cost]]</f>
        <v>204786</v>
      </c>
      <c r="O1830" t="str">
        <f>IF(Inventory_Data[[#This Row],[Closing Stock]]&lt;=Inventory_Data[[#This Row],[Reorder Level]],"Low Stock","In Stock")</f>
        <v>In Stock</v>
      </c>
      <c r="P1830" t="str">
        <f>TEXT(Inventory_Data[[#This Row],[Date]],"MMM")</f>
        <v>Jan</v>
      </c>
      <c r="Q1830" t="str">
        <f>TEXT(Inventory_Data[[#This Row],[Date]],"YYYY")</f>
        <v>2026</v>
      </c>
    </row>
    <row r="1831" spans="1:17" x14ac:dyDescent="0.3">
      <c r="A1831" s="1">
        <v>46046</v>
      </c>
      <c r="B1831" t="s">
        <v>38</v>
      </c>
      <c r="C1831" t="s">
        <v>17</v>
      </c>
      <c r="D1831" t="s">
        <v>14</v>
      </c>
      <c r="E1831" t="s">
        <v>18</v>
      </c>
      <c r="F1831">
        <v>88</v>
      </c>
      <c r="G1831">
        <v>54</v>
      </c>
      <c r="H1831">
        <v>5</v>
      </c>
      <c r="I1831">
        <v>137</v>
      </c>
      <c r="J1831">
        <v>29</v>
      </c>
      <c r="K1831">
        <v>9230</v>
      </c>
      <c r="L1831">
        <v>1264510</v>
      </c>
      <c r="M1831">
        <f>Inventory_Data[[#This Row],[Opening Stock]]+Inventory_Data[[#This Row],[Purchase Qty]]-Inventory_Data[[#This Row],[Sales Qty]]-Inventory_Data[[#This Row],[Closing Stock]]</f>
        <v>0</v>
      </c>
      <c r="N1831">
        <f>Inventory_Data[[#This Row],[Purchase Qty]]*Inventory_Data[[#This Row],[Unit Cost]]</f>
        <v>498420</v>
      </c>
      <c r="O1831" t="str">
        <f>IF(Inventory_Data[[#This Row],[Closing Stock]]&lt;=Inventory_Data[[#This Row],[Reorder Level]],"Low Stock","In Stock")</f>
        <v>In Stock</v>
      </c>
      <c r="P1831" t="str">
        <f>TEXT(Inventory_Data[[#This Row],[Date]],"MMM")</f>
        <v>Jan</v>
      </c>
      <c r="Q1831" t="str">
        <f>TEXT(Inventory_Data[[#This Row],[Date]],"YYYY")</f>
        <v>2026</v>
      </c>
    </row>
    <row r="1832" spans="1:17" x14ac:dyDescent="0.3">
      <c r="A1832" s="1">
        <v>46046</v>
      </c>
      <c r="B1832" t="s">
        <v>44</v>
      </c>
      <c r="C1832" t="s">
        <v>28</v>
      </c>
      <c r="D1832" t="s">
        <v>23</v>
      </c>
      <c r="E1832" t="s">
        <v>15</v>
      </c>
      <c r="F1832">
        <v>169</v>
      </c>
      <c r="G1832">
        <v>77</v>
      </c>
      <c r="H1832">
        <v>52</v>
      </c>
      <c r="I1832">
        <v>194</v>
      </c>
      <c r="J1832">
        <v>35</v>
      </c>
      <c r="K1832">
        <v>60847</v>
      </c>
      <c r="L1832">
        <v>11804318</v>
      </c>
      <c r="M1832">
        <f>Inventory_Data[[#This Row],[Opening Stock]]+Inventory_Data[[#This Row],[Purchase Qty]]-Inventory_Data[[#This Row],[Sales Qty]]-Inventory_Data[[#This Row],[Closing Stock]]</f>
        <v>0</v>
      </c>
      <c r="N1832">
        <f>Inventory_Data[[#This Row],[Purchase Qty]]*Inventory_Data[[#This Row],[Unit Cost]]</f>
        <v>4685219</v>
      </c>
      <c r="O1832" t="str">
        <f>IF(Inventory_Data[[#This Row],[Closing Stock]]&lt;=Inventory_Data[[#This Row],[Reorder Level]],"Low Stock","In Stock")</f>
        <v>In Stock</v>
      </c>
      <c r="P1832" t="str">
        <f>TEXT(Inventory_Data[[#This Row],[Date]],"MMM")</f>
        <v>Jan</v>
      </c>
      <c r="Q1832" t="str">
        <f>TEXT(Inventory_Data[[#This Row],[Date]],"YYYY")</f>
        <v>2026</v>
      </c>
    </row>
    <row r="1833" spans="1:17" x14ac:dyDescent="0.3">
      <c r="A1833" s="1">
        <v>46047</v>
      </c>
      <c r="B1833" t="s">
        <v>30</v>
      </c>
      <c r="C1833" t="s">
        <v>28</v>
      </c>
      <c r="D1833" t="s">
        <v>26</v>
      </c>
      <c r="E1833" t="s">
        <v>15</v>
      </c>
      <c r="F1833">
        <v>45</v>
      </c>
      <c r="G1833">
        <v>110</v>
      </c>
      <c r="H1833">
        <v>95</v>
      </c>
      <c r="I1833">
        <v>60</v>
      </c>
      <c r="J1833">
        <v>30</v>
      </c>
      <c r="K1833">
        <v>15560</v>
      </c>
      <c r="L1833">
        <v>933600</v>
      </c>
      <c r="M1833">
        <f>Inventory_Data[[#This Row],[Opening Stock]]+Inventory_Data[[#This Row],[Purchase Qty]]-Inventory_Data[[#This Row],[Sales Qty]]-Inventory_Data[[#This Row],[Closing Stock]]</f>
        <v>0</v>
      </c>
      <c r="N1833">
        <f>Inventory_Data[[#This Row],[Purchase Qty]]*Inventory_Data[[#This Row],[Unit Cost]]</f>
        <v>1711600</v>
      </c>
      <c r="O1833" t="str">
        <f>IF(Inventory_Data[[#This Row],[Closing Stock]]&lt;=Inventory_Data[[#This Row],[Reorder Level]],"Low Stock","In Stock")</f>
        <v>In Stock</v>
      </c>
      <c r="P1833" t="str">
        <f>TEXT(Inventory_Data[[#This Row],[Date]],"MMM")</f>
        <v>Jan</v>
      </c>
      <c r="Q1833" t="str">
        <f>TEXT(Inventory_Data[[#This Row],[Date]],"YYYY")</f>
        <v>2026</v>
      </c>
    </row>
    <row r="1834" spans="1:17" x14ac:dyDescent="0.3">
      <c r="A1834" s="1">
        <v>46047</v>
      </c>
      <c r="B1834" t="s">
        <v>33</v>
      </c>
      <c r="C1834" t="s">
        <v>13</v>
      </c>
      <c r="D1834" t="s">
        <v>23</v>
      </c>
      <c r="E1834" t="s">
        <v>18</v>
      </c>
      <c r="F1834">
        <v>83</v>
      </c>
      <c r="G1834">
        <v>48</v>
      </c>
      <c r="H1834">
        <v>59</v>
      </c>
      <c r="I1834">
        <v>72</v>
      </c>
      <c r="J1834">
        <v>25</v>
      </c>
      <c r="K1834">
        <v>5976</v>
      </c>
      <c r="L1834">
        <v>430272</v>
      </c>
      <c r="M1834">
        <f>Inventory_Data[[#This Row],[Opening Stock]]+Inventory_Data[[#This Row],[Purchase Qty]]-Inventory_Data[[#This Row],[Sales Qty]]-Inventory_Data[[#This Row],[Closing Stock]]</f>
        <v>0</v>
      </c>
      <c r="N1834">
        <f>Inventory_Data[[#This Row],[Purchase Qty]]*Inventory_Data[[#This Row],[Unit Cost]]</f>
        <v>286848</v>
      </c>
      <c r="O1834" t="str">
        <f>IF(Inventory_Data[[#This Row],[Closing Stock]]&lt;=Inventory_Data[[#This Row],[Reorder Level]],"Low Stock","In Stock")</f>
        <v>In Stock</v>
      </c>
      <c r="P1834" t="str">
        <f>TEXT(Inventory_Data[[#This Row],[Date]],"MMM")</f>
        <v>Jan</v>
      </c>
      <c r="Q1834" t="str">
        <f>TEXT(Inventory_Data[[#This Row],[Date]],"YYYY")</f>
        <v>2026</v>
      </c>
    </row>
    <row r="1835" spans="1:17" x14ac:dyDescent="0.3">
      <c r="A1835" s="1">
        <v>46047</v>
      </c>
      <c r="B1835" t="s">
        <v>21</v>
      </c>
      <c r="C1835" t="s">
        <v>22</v>
      </c>
      <c r="D1835" t="s">
        <v>23</v>
      </c>
      <c r="E1835" t="s">
        <v>34</v>
      </c>
      <c r="F1835">
        <v>392</v>
      </c>
      <c r="G1835">
        <v>290</v>
      </c>
      <c r="H1835">
        <v>251</v>
      </c>
      <c r="I1835">
        <v>431</v>
      </c>
      <c r="J1835">
        <v>92</v>
      </c>
      <c r="K1835">
        <v>413</v>
      </c>
      <c r="L1835">
        <v>178003</v>
      </c>
      <c r="M1835">
        <f>Inventory_Data[[#This Row],[Opening Stock]]+Inventory_Data[[#This Row],[Purchase Qty]]-Inventory_Data[[#This Row],[Sales Qty]]-Inventory_Data[[#This Row],[Closing Stock]]</f>
        <v>0</v>
      </c>
      <c r="N1835">
        <f>Inventory_Data[[#This Row],[Purchase Qty]]*Inventory_Data[[#This Row],[Unit Cost]]</f>
        <v>119770</v>
      </c>
      <c r="O1835" t="str">
        <f>IF(Inventory_Data[[#This Row],[Closing Stock]]&lt;=Inventory_Data[[#This Row],[Reorder Level]],"Low Stock","In Stock")</f>
        <v>In Stock</v>
      </c>
      <c r="P1835" t="str">
        <f>TEXT(Inventory_Data[[#This Row],[Date]],"MMM")</f>
        <v>Jan</v>
      </c>
      <c r="Q1835" t="str">
        <f>TEXT(Inventory_Data[[#This Row],[Date]],"YYYY")</f>
        <v>2026</v>
      </c>
    </row>
    <row r="1836" spans="1:17" x14ac:dyDescent="0.3">
      <c r="A1836" s="1">
        <v>46047</v>
      </c>
      <c r="B1836" t="s">
        <v>43</v>
      </c>
      <c r="C1836" t="s">
        <v>22</v>
      </c>
      <c r="D1836" t="s">
        <v>23</v>
      </c>
      <c r="E1836" t="s">
        <v>24</v>
      </c>
      <c r="F1836">
        <v>437</v>
      </c>
      <c r="G1836">
        <v>132</v>
      </c>
      <c r="H1836">
        <v>104</v>
      </c>
      <c r="I1836">
        <v>465</v>
      </c>
      <c r="J1836">
        <v>76</v>
      </c>
      <c r="K1836">
        <v>449</v>
      </c>
      <c r="L1836">
        <v>208785</v>
      </c>
      <c r="M1836">
        <f>Inventory_Data[[#This Row],[Opening Stock]]+Inventory_Data[[#This Row],[Purchase Qty]]-Inventory_Data[[#This Row],[Sales Qty]]-Inventory_Data[[#This Row],[Closing Stock]]</f>
        <v>0</v>
      </c>
      <c r="N1836">
        <f>Inventory_Data[[#This Row],[Purchase Qty]]*Inventory_Data[[#This Row],[Unit Cost]]</f>
        <v>59268</v>
      </c>
      <c r="O1836" t="str">
        <f>IF(Inventory_Data[[#This Row],[Closing Stock]]&lt;=Inventory_Data[[#This Row],[Reorder Level]],"Low Stock","In Stock")</f>
        <v>In Stock</v>
      </c>
      <c r="P1836" t="str">
        <f>TEXT(Inventory_Data[[#This Row],[Date]],"MMM")</f>
        <v>Jan</v>
      </c>
      <c r="Q1836" t="str">
        <f>TEXT(Inventory_Data[[#This Row],[Date]],"YYYY")</f>
        <v>2026</v>
      </c>
    </row>
    <row r="1837" spans="1:17" x14ac:dyDescent="0.3">
      <c r="A1837" s="1">
        <v>46048</v>
      </c>
      <c r="B1837" t="s">
        <v>40</v>
      </c>
      <c r="C1837" t="s">
        <v>28</v>
      </c>
      <c r="D1837" t="s">
        <v>14</v>
      </c>
      <c r="E1837" t="s">
        <v>18</v>
      </c>
      <c r="F1837">
        <v>122</v>
      </c>
      <c r="G1837">
        <v>47</v>
      </c>
      <c r="H1837">
        <v>89</v>
      </c>
      <c r="I1837">
        <v>80</v>
      </c>
      <c r="J1837">
        <v>39</v>
      </c>
      <c r="K1837">
        <v>12380</v>
      </c>
      <c r="L1837">
        <v>990400</v>
      </c>
      <c r="M1837">
        <f>Inventory_Data[[#This Row],[Opening Stock]]+Inventory_Data[[#This Row],[Purchase Qty]]-Inventory_Data[[#This Row],[Sales Qty]]-Inventory_Data[[#This Row],[Closing Stock]]</f>
        <v>0</v>
      </c>
      <c r="N1837">
        <f>Inventory_Data[[#This Row],[Purchase Qty]]*Inventory_Data[[#This Row],[Unit Cost]]</f>
        <v>581860</v>
      </c>
      <c r="O1837" t="str">
        <f>IF(Inventory_Data[[#This Row],[Closing Stock]]&lt;=Inventory_Data[[#This Row],[Reorder Level]],"Low Stock","In Stock")</f>
        <v>In Stock</v>
      </c>
      <c r="P1837" t="str">
        <f>TEXT(Inventory_Data[[#This Row],[Date]],"MMM")</f>
        <v>Jan</v>
      </c>
      <c r="Q1837" t="str">
        <f>TEXT(Inventory_Data[[#This Row],[Date]],"YYYY")</f>
        <v>2026</v>
      </c>
    </row>
    <row r="1838" spans="1:17" x14ac:dyDescent="0.3">
      <c r="A1838" s="1">
        <v>46048</v>
      </c>
      <c r="B1838" t="s">
        <v>36</v>
      </c>
      <c r="C1838" t="s">
        <v>22</v>
      </c>
      <c r="D1838" t="s">
        <v>23</v>
      </c>
      <c r="E1838" t="s">
        <v>24</v>
      </c>
      <c r="F1838">
        <v>77</v>
      </c>
      <c r="G1838">
        <v>80</v>
      </c>
      <c r="H1838">
        <v>157</v>
      </c>
      <c r="I1838">
        <v>0</v>
      </c>
      <c r="J1838">
        <v>143</v>
      </c>
      <c r="K1838">
        <v>792</v>
      </c>
      <c r="L1838">
        <v>0</v>
      </c>
      <c r="M1838">
        <f>Inventory_Data[[#This Row],[Opening Stock]]+Inventory_Data[[#This Row],[Purchase Qty]]-Inventory_Data[[#This Row],[Sales Qty]]-Inventory_Data[[#This Row],[Closing Stock]]</f>
        <v>0</v>
      </c>
      <c r="N1838">
        <f>Inventory_Data[[#This Row],[Purchase Qty]]*Inventory_Data[[#This Row],[Unit Cost]]</f>
        <v>63360</v>
      </c>
      <c r="O1838" t="str">
        <f>IF(Inventory_Data[[#This Row],[Closing Stock]]&lt;=Inventory_Data[[#This Row],[Reorder Level]],"Low Stock","In Stock")</f>
        <v>Low Stock</v>
      </c>
      <c r="P1838" t="str">
        <f>TEXT(Inventory_Data[[#This Row],[Date]],"MMM")</f>
        <v>Jan</v>
      </c>
      <c r="Q1838" t="str">
        <f>TEXT(Inventory_Data[[#This Row],[Date]],"YYYY")</f>
        <v>2026</v>
      </c>
    </row>
    <row r="1839" spans="1:17" x14ac:dyDescent="0.3">
      <c r="A1839" s="1">
        <v>46048</v>
      </c>
      <c r="B1839" t="s">
        <v>35</v>
      </c>
      <c r="C1839" t="s">
        <v>22</v>
      </c>
      <c r="D1839" t="s">
        <v>26</v>
      </c>
      <c r="E1839" t="s">
        <v>18</v>
      </c>
      <c r="F1839">
        <v>60</v>
      </c>
      <c r="G1839">
        <v>230</v>
      </c>
      <c r="H1839">
        <v>12</v>
      </c>
      <c r="I1839">
        <v>278</v>
      </c>
      <c r="J1839">
        <v>100</v>
      </c>
      <c r="K1839">
        <v>827</v>
      </c>
      <c r="L1839">
        <v>229906</v>
      </c>
      <c r="M1839">
        <f>Inventory_Data[[#This Row],[Opening Stock]]+Inventory_Data[[#This Row],[Purchase Qty]]-Inventory_Data[[#This Row],[Sales Qty]]-Inventory_Data[[#This Row],[Closing Stock]]</f>
        <v>0</v>
      </c>
      <c r="N1839">
        <f>Inventory_Data[[#This Row],[Purchase Qty]]*Inventory_Data[[#This Row],[Unit Cost]]</f>
        <v>190210</v>
      </c>
      <c r="O1839" t="str">
        <f>IF(Inventory_Data[[#This Row],[Closing Stock]]&lt;=Inventory_Data[[#This Row],[Reorder Level]],"Low Stock","In Stock")</f>
        <v>In Stock</v>
      </c>
      <c r="P1839" t="str">
        <f>TEXT(Inventory_Data[[#This Row],[Date]],"MMM")</f>
        <v>Jan</v>
      </c>
      <c r="Q1839" t="str">
        <f>TEXT(Inventory_Data[[#This Row],[Date]],"YYYY")</f>
        <v>2026</v>
      </c>
    </row>
    <row r="1840" spans="1:17" x14ac:dyDescent="0.3">
      <c r="A1840" s="1">
        <v>46048</v>
      </c>
      <c r="B1840" t="s">
        <v>16</v>
      </c>
      <c r="C1840" t="s">
        <v>17</v>
      </c>
      <c r="D1840" t="s">
        <v>37</v>
      </c>
      <c r="E1840" t="s">
        <v>18</v>
      </c>
      <c r="F1840">
        <v>61</v>
      </c>
      <c r="G1840">
        <v>15</v>
      </c>
      <c r="H1840">
        <v>28</v>
      </c>
      <c r="I1840">
        <v>48</v>
      </c>
      <c r="J1840">
        <v>25</v>
      </c>
      <c r="K1840">
        <v>13929</v>
      </c>
      <c r="L1840">
        <v>668592</v>
      </c>
      <c r="M1840">
        <f>Inventory_Data[[#This Row],[Opening Stock]]+Inventory_Data[[#This Row],[Purchase Qty]]-Inventory_Data[[#This Row],[Sales Qty]]-Inventory_Data[[#This Row],[Closing Stock]]</f>
        <v>0</v>
      </c>
      <c r="N1840">
        <f>Inventory_Data[[#This Row],[Purchase Qty]]*Inventory_Data[[#This Row],[Unit Cost]]</f>
        <v>208935</v>
      </c>
      <c r="O1840" t="str">
        <f>IF(Inventory_Data[[#This Row],[Closing Stock]]&lt;=Inventory_Data[[#This Row],[Reorder Level]],"Low Stock","In Stock")</f>
        <v>In Stock</v>
      </c>
      <c r="P1840" t="str">
        <f>TEXT(Inventory_Data[[#This Row],[Date]],"MMM")</f>
        <v>Jan</v>
      </c>
      <c r="Q1840" t="str">
        <f>TEXT(Inventory_Data[[#This Row],[Date]],"YYYY")</f>
        <v>2026</v>
      </c>
    </row>
    <row r="1841" spans="1:17" x14ac:dyDescent="0.3">
      <c r="A1841" s="1">
        <v>46049</v>
      </c>
      <c r="B1841" t="s">
        <v>31</v>
      </c>
      <c r="C1841" t="s">
        <v>22</v>
      </c>
      <c r="D1841" t="s">
        <v>26</v>
      </c>
      <c r="E1841" t="s">
        <v>34</v>
      </c>
      <c r="F1841">
        <v>292</v>
      </c>
      <c r="G1841">
        <v>135</v>
      </c>
      <c r="H1841">
        <v>80</v>
      </c>
      <c r="I1841">
        <v>347</v>
      </c>
      <c r="J1841">
        <v>70</v>
      </c>
      <c r="K1841">
        <v>1097</v>
      </c>
      <c r="L1841">
        <v>380659</v>
      </c>
      <c r="M1841">
        <f>Inventory_Data[[#This Row],[Opening Stock]]+Inventory_Data[[#This Row],[Purchase Qty]]-Inventory_Data[[#This Row],[Sales Qty]]-Inventory_Data[[#This Row],[Closing Stock]]</f>
        <v>0</v>
      </c>
      <c r="N1841">
        <f>Inventory_Data[[#This Row],[Purchase Qty]]*Inventory_Data[[#This Row],[Unit Cost]]</f>
        <v>148095</v>
      </c>
      <c r="O1841" t="str">
        <f>IF(Inventory_Data[[#This Row],[Closing Stock]]&lt;=Inventory_Data[[#This Row],[Reorder Level]],"Low Stock","In Stock")</f>
        <v>In Stock</v>
      </c>
      <c r="P1841" t="str">
        <f>TEXT(Inventory_Data[[#This Row],[Date]],"MMM")</f>
        <v>Jan</v>
      </c>
      <c r="Q1841" t="str">
        <f>TEXT(Inventory_Data[[#This Row],[Date]],"YYYY")</f>
        <v>2026</v>
      </c>
    </row>
    <row r="1842" spans="1:17" x14ac:dyDescent="0.3">
      <c r="A1842" s="1">
        <v>46049</v>
      </c>
      <c r="B1842" t="s">
        <v>25</v>
      </c>
      <c r="C1842" t="s">
        <v>17</v>
      </c>
      <c r="D1842" t="s">
        <v>26</v>
      </c>
      <c r="E1842" t="s">
        <v>34</v>
      </c>
      <c r="F1842">
        <v>27</v>
      </c>
      <c r="G1842">
        <v>24</v>
      </c>
      <c r="H1842">
        <v>33</v>
      </c>
      <c r="I1842">
        <v>18</v>
      </c>
      <c r="J1842">
        <v>26</v>
      </c>
      <c r="K1842">
        <v>8504</v>
      </c>
      <c r="L1842">
        <v>153072</v>
      </c>
      <c r="M1842">
        <f>Inventory_Data[[#This Row],[Opening Stock]]+Inventory_Data[[#This Row],[Purchase Qty]]-Inventory_Data[[#This Row],[Sales Qty]]-Inventory_Data[[#This Row],[Closing Stock]]</f>
        <v>0</v>
      </c>
      <c r="N1842">
        <f>Inventory_Data[[#This Row],[Purchase Qty]]*Inventory_Data[[#This Row],[Unit Cost]]</f>
        <v>204096</v>
      </c>
      <c r="O1842" t="str">
        <f>IF(Inventory_Data[[#This Row],[Closing Stock]]&lt;=Inventory_Data[[#This Row],[Reorder Level]],"Low Stock","In Stock")</f>
        <v>Low Stock</v>
      </c>
      <c r="P1842" t="str">
        <f>TEXT(Inventory_Data[[#This Row],[Date]],"MMM")</f>
        <v>Jan</v>
      </c>
      <c r="Q1842" t="str">
        <f>TEXT(Inventory_Data[[#This Row],[Date]],"YYYY")</f>
        <v>2026</v>
      </c>
    </row>
    <row r="1843" spans="1:17" x14ac:dyDescent="0.3">
      <c r="A1843" s="1">
        <v>46049</v>
      </c>
      <c r="B1843" t="s">
        <v>32</v>
      </c>
      <c r="C1843" t="s">
        <v>28</v>
      </c>
      <c r="D1843" t="s">
        <v>37</v>
      </c>
      <c r="E1843" t="s">
        <v>18</v>
      </c>
      <c r="F1843">
        <v>95</v>
      </c>
      <c r="G1843">
        <v>119</v>
      </c>
      <c r="H1843">
        <v>52</v>
      </c>
      <c r="I1843">
        <v>162</v>
      </c>
      <c r="J1843">
        <v>34</v>
      </c>
      <c r="K1843">
        <v>12585</v>
      </c>
      <c r="L1843">
        <v>2038770</v>
      </c>
      <c r="M1843">
        <f>Inventory_Data[[#This Row],[Opening Stock]]+Inventory_Data[[#This Row],[Purchase Qty]]-Inventory_Data[[#This Row],[Sales Qty]]-Inventory_Data[[#This Row],[Closing Stock]]</f>
        <v>0</v>
      </c>
      <c r="N1843">
        <f>Inventory_Data[[#This Row],[Purchase Qty]]*Inventory_Data[[#This Row],[Unit Cost]]</f>
        <v>1497615</v>
      </c>
      <c r="O1843" t="str">
        <f>IF(Inventory_Data[[#This Row],[Closing Stock]]&lt;=Inventory_Data[[#This Row],[Reorder Level]],"Low Stock","In Stock")</f>
        <v>In Stock</v>
      </c>
      <c r="P1843" t="str">
        <f>TEXT(Inventory_Data[[#This Row],[Date]],"MMM")</f>
        <v>Jan</v>
      </c>
      <c r="Q1843" t="str">
        <f>TEXT(Inventory_Data[[#This Row],[Date]],"YYYY")</f>
        <v>2026</v>
      </c>
    </row>
    <row r="1844" spans="1:17" x14ac:dyDescent="0.3">
      <c r="A1844" s="1">
        <v>46049</v>
      </c>
      <c r="B1844" t="s">
        <v>31</v>
      </c>
      <c r="C1844" t="s">
        <v>22</v>
      </c>
      <c r="D1844" t="s">
        <v>14</v>
      </c>
      <c r="E1844" t="s">
        <v>24</v>
      </c>
      <c r="F1844">
        <v>233</v>
      </c>
      <c r="G1844">
        <v>46</v>
      </c>
      <c r="H1844">
        <v>21</v>
      </c>
      <c r="I1844">
        <v>258</v>
      </c>
      <c r="J1844">
        <v>75</v>
      </c>
      <c r="K1844">
        <v>165</v>
      </c>
      <c r="L1844">
        <v>42570</v>
      </c>
      <c r="M1844">
        <f>Inventory_Data[[#This Row],[Opening Stock]]+Inventory_Data[[#This Row],[Purchase Qty]]-Inventory_Data[[#This Row],[Sales Qty]]-Inventory_Data[[#This Row],[Closing Stock]]</f>
        <v>0</v>
      </c>
      <c r="N1844">
        <f>Inventory_Data[[#This Row],[Purchase Qty]]*Inventory_Data[[#This Row],[Unit Cost]]</f>
        <v>7590</v>
      </c>
      <c r="O1844" t="str">
        <f>IF(Inventory_Data[[#This Row],[Closing Stock]]&lt;=Inventory_Data[[#This Row],[Reorder Level]],"Low Stock","In Stock")</f>
        <v>In Stock</v>
      </c>
      <c r="P1844" t="str">
        <f>TEXT(Inventory_Data[[#This Row],[Date]],"MMM")</f>
        <v>Jan</v>
      </c>
      <c r="Q1844" t="str">
        <f>TEXT(Inventory_Data[[#This Row],[Date]],"YYYY")</f>
        <v>2026</v>
      </c>
    </row>
    <row r="1845" spans="1:17" x14ac:dyDescent="0.3">
      <c r="A1845" s="1">
        <v>46049</v>
      </c>
      <c r="B1845" t="s">
        <v>21</v>
      </c>
      <c r="C1845" t="s">
        <v>22</v>
      </c>
      <c r="D1845" t="s">
        <v>14</v>
      </c>
      <c r="E1845" t="s">
        <v>24</v>
      </c>
      <c r="F1845">
        <v>328</v>
      </c>
      <c r="G1845">
        <v>146</v>
      </c>
      <c r="H1845">
        <v>115</v>
      </c>
      <c r="I1845">
        <v>359</v>
      </c>
      <c r="J1845">
        <v>144</v>
      </c>
      <c r="K1845">
        <v>438</v>
      </c>
      <c r="L1845">
        <v>157242</v>
      </c>
      <c r="M1845">
        <f>Inventory_Data[[#This Row],[Opening Stock]]+Inventory_Data[[#This Row],[Purchase Qty]]-Inventory_Data[[#This Row],[Sales Qty]]-Inventory_Data[[#This Row],[Closing Stock]]</f>
        <v>0</v>
      </c>
      <c r="N1845">
        <f>Inventory_Data[[#This Row],[Purchase Qty]]*Inventory_Data[[#This Row],[Unit Cost]]</f>
        <v>63948</v>
      </c>
      <c r="O1845" t="str">
        <f>IF(Inventory_Data[[#This Row],[Closing Stock]]&lt;=Inventory_Data[[#This Row],[Reorder Level]],"Low Stock","In Stock")</f>
        <v>In Stock</v>
      </c>
      <c r="P1845" t="str">
        <f>TEXT(Inventory_Data[[#This Row],[Date]],"MMM")</f>
        <v>Jan</v>
      </c>
      <c r="Q1845" t="str">
        <f>TEXT(Inventory_Data[[#This Row],[Date]],"YYYY")</f>
        <v>2026</v>
      </c>
    </row>
    <row r="1846" spans="1:17" x14ac:dyDescent="0.3">
      <c r="A1846" s="1">
        <v>46049</v>
      </c>
      <c r="B1846" t="s">
        <v>19</v>
      </c>
      <c r="C1846" t="s">
        <v>13</v>
      </c>
      <c r="D1846" t="s">
        <v>23</v>
      </c>
      <c r="E1846" t="s">
        <v>24</v>
      </c>
      <c r="F1846">
        <v>112</v>
      </c>
      <c r="G1846">
        <v>53</v>
      </c>
      <c r="H1846">
        <v>25</v>
      </c>
      <c r="I1846">
        <v>140</v>
      </c>
      <c r="J1846">
        <v>35</v>
      </c>
      <c r="K1846">
        <v>14561</v>
      </c>
      <c r="L1846">
        <v>2038540</v>
      </c>
      <c r="M1846">
        <f>Inventory_Data[[#This Row],[Opening Stock]]+Inventory_Data[[#This Row],[Purchase Qty]]-Inventory_Data[[#This Row],[Sales Qty]]-Inventory_Data[[#This Row],[Closing Stock]]</f>
        <v>0</v>
      </c>
      <c r="N1846">
        <f>Inventory_Data[[#This Row],[Purchase Qty]]*Inventory_Data[[#This Row],[Unit Cost]]</f>
        <v>771733</v>
      </c>
      <c r="O1846" t="str">
        <f>IF(Inventory_Data[[#This Row],[Closing Stock]]&lt;=Inventory_Data[[#This Row],[Reorder Level]],"Low Stock","In Stock")</f>
        <v>In Stock</v>
      </c>
      <c r="P1846" t="str">
        <f>TEXT(Inventory_Data[[#This Row],[Date]],"MMM")</f>
        <v>Jan</v>
      </c>
      <c r="Q1846" t="str">
        <f>TEXT(Inventory_Data[[#This Row],[Date]],"YYYY")</f>
        <v>2026</v>
      </c>
    </row>
    <row r="1847" spans="1:17" x14ac:dyDescent="0.3">
      <c r="A1847" s="1">
        <v>46050</v>
      </c>
      <c r="B1847" t="s">
        <v>21</v>
      </c>
      <c r="C1847" t="s">
        <v>22</v>
      </c>
      <c r="D1847" t="s">
        <v>14</v>
      </c>
      <c r="E1847" t="s">
        <v>20</v>
      </c>
      <c r="F1847">
        <v>110</v>
      </c>
      <c r="G1847">
        <v>273</v>
      </c>
      <c r="H1847">
        <v>15</v>
      </c>
      <c r="I1847">
        <v>368</v>
      </c>
      <c r="J1847">
        <v>62</v>
      </c>
      <c r="K1847">
        <v>184</v>
      </c>
      <c r="L1847">
        <v>67712</v>
      </c>
      <c r="M1847">
        <f>Inventory_Data[[#This Row],[Opening Stock]]+Inventory_Data[[#This Row],[Purchase Qty]]-Inventory_Data[[#This Row],[Sales Qty]]-Inventory_Data[[#This Row],[Closing Stock]]</f>
        <v>0</v>
      </c>
      <c r="N1847">
        <f>Inventory_Data[[#This Row],[Purchase Qty]]*Inventory_Data[[#This Row],[Unit Cost]]</f>
        <v>50232</v>
      </c>
      <c r="O1847" t="str">
        <f>IF(Inventory_Data[[#This Row],[Closing Stock]]&lt;=Inventory_Data[[#This Row],[Reorder Level]],"Low Stock","In Stock")</f>
        <v>In Stock</v>
      </c>
      <c r="P1847" t="str">
        <f>TEXT(Inventory_Data[[#This Row],[Date]],"MMM")</f>
        <v>Jan</v>
      </c>
      <c r="Q1847" t="str">
        <f>TEXT(Inventory_Data[[#This Row],[Date]],"YYYY")</f>
        <v>2026</v>
      </c>
    </row>
    <row r="1848" spans="1:17" x14ac:dyDescent="0.3">
      <c r="A1848" s="1">
        <v>46050</v>
      </c>
      <c r="B1848" t="s">
        <v>38</v>
      </c>
      <c r="C1848" t="s">
        <v>17</v>
      </c>
      <c r="D1848" t="s">
        <v>23</v>
      </c>
      <c r="E1848" t="s">
        <v>24</v>
      </c>
      <c r="F1848">
        <v>31</v>
      </c>
      <c r="G1848">
        <v>38</v>
      </c>
      <c r="H1848">
        <v>2</v>
      </c>
      <c r="I1848">
        <v>67</v>
      </c>
      <c r="J1848">
        <v>29</v>
      </c>
      <c r="K1848">
        <v>24612</v>
      </c>
      <c r="L1848">
        <v>1649004</v>
      </c>
      <c r="M1848">
        <f>Inventory_Data[[#This Row],[Opening Stock]]+Inventory_Data[[#This Row],[Purchase Qty]]-Inventory_Data[[#This Row],[Sales Qty]]-Inventory_Data[[#This Row],[Closing Stock]]</f>
        <v>0</v>
      </c>
      <c r="N1848">
        <f>Inventory_Data[[#This Row],[Purchase Qty]]*Inventory_Data[[#This Row],[Unit Cost]]</f>
        <v>935256</v>
      </c>
      <c r="O1848" t="str">
        <f>IF(Inventory_Data[[#This Row],[Closing Stock]]&lt;=Inventory_Data[[#This Row],[Reorder Level]],"Low Stock","In Stock")</f>
        <v>In Stock</v>
      </c>
      <c r="P1848" t="str">
        <f>TEXT(Inventory_Data[[#This Row],[Date]],"MMM")</f>
        <v>Jan</v>
      </c>
      <c r="Q1848" t="str">
        <f>TEXT(Inventory_Data[[#This Row],[Date]],"YYYY")</f>
        <v>2026</v>
      </c>
    </row>
    <row r="1849" spans="1:17" x14ac:dyDescent="0.3">
      <c r="A1849" s="1">
        <v>46050</v>
      </c>
      <c r="B1849" t="s">
        <v>32</v>
      </c>
      <c r="C1849" t="s">
        <v>28</v>
      </c>
      <c r="D1849" t="s">
        <v>26</v>
      </c>
      <c r="E1849" t="s">
        <v>29</v>
      </c>
      <c r="F1849">
        <v>34</v>
      </c>
      <c r="G1849">
        <v>99</v>
      </c>
      <c r="H1849">
        <v>46</v>
      </c>
      <c r="I1849">
        <v>87</v>
      </c>
      <c r="J1849">
        <v>32</v>
      </c>
      <c r="K1849">
        <v>24219</v>
      </c>
      <c r="L1849">
        <v>2107053</v>
      </c>
      <c r="M1849">
        <f>Inventory_Data[[#This Row],[Opening Stock]]+Inventory_Data[[#This Row],[Purchase Qty]]-Inventory_Data[[#This Row],[Sales Qty]]-Inventory_Data[[#This Row],[Closing Stock]]</f>
        <v>0</v>
      </c>
      <c r="N1849">
        <f>Inventory_Data[[#This Row],[Purchase Qty]]*Inventory_Data[[#This Row],[Unit Cost]]</f>
        <v>2397681</v>
      </c>
      <c r="O1849" t="str">
        <f>IF(Inventory_Data[[#This Row],[Closing Stock]]&lt;=Inventory_Data[[#This Row],[Reorder Level]],"Low Stock","In Stock")</f>
        <v>In Stock</v>
      </c>
      <c r="P1849" t="str">
        <f>TEXT(Inventory_Data[[#This Row],[Date]],"MMM")</f>
        <v>Jan</v>
      </c>
      <c r="Q1849" t="str">
        <f>TEXT(Inventory_Data[[#This Row],[Date]],"YYYY")</f>
        <v>2026</v>
      </c>
    </row>
    <row r="1850" spans="1:17" x14ac:dyDescent="0.3">
      <c r="A1850" s="1">
        <v>46050</v>
      </c>
      <c r="B1850" t="s">
        <v>42</v>
      </c>
      <c r="C1850" t="s">
        <v>17</v>
      </c>
      <c r="D1850" t="s">
        <v>14</v>
      </c>
      <c r="E1850" t="s">
        <v>15</v>
      </c>
      <c r="F1850">
        <v>72</v>
      </c>
      <c r="G1850">
        <v>19</v>
      </c>
      <c r="H1850">
        <v>14</v>
      </c>
      <c r="I1850">
        <v>77</v>
      </c>
      <c r="J1850">
        <v>25</v>
      </c>
      <c r="K1850">
        <v>9563</v>
      </c>
      <c r="L1850">
        <v>736351</v>
      </c>
      <c r="M1850">
        <f>Inventory_Data[[#This Row],[Opening Stock]]+Inventory_Data[[#This Row],[Purchase Qty]]-Inventory_Data[[#This Row],[Sales Qty]]-Inventory_Data[[#This Row],[Closing Stock]]</f>
        <v>0</v>
      </c>
      <c r="N1850">
        <f>Inventory_Data[[#This Row],[Purchase Qty]]*Inventory_Data[[#This Row],[Unit Cost]]</f>
        <v>181697</v>
      </c>
      <c r="O1850" t="str">
        <f>IF(Inventory_Data[[#This Row],[Closing Stock]]&lt;=Inventory_Data[[#This Row],[Reorder Level]],"Low Stock","In Stock")</f>
        <v>In Stock</v>
      </c>
      <c r="P1850" t="str">
        <f>TEXT(Inventory_Data[[#This Row],[Date]],"MMM")</f>
        <v>Jan</v>
      </c>
      <c r="Q1850" t="str">
        <f>TEXT(Inventory_Data[[#This Row],[Date]],"YYYY")</f>
        <v>2026</v>
      </c>
    </row>
    <row r="1851" spans="1:17" x14ac:dyDescent="0.3">
      <c r="A1851" s="1">
        <v>46051</v>
      </c>
      <c r="B1851" t="s">
        <v>19</v>
      </c>
      <c r="C1851" t="s">
        <v>13</v>
      </c>
      <c r="D1851" t="s">
        <v>23</v>
      </c>
      <c r="E1851" t="s">
        <v>20</v>
      </c>
      <c r="F1851">
        <v>94</v>
      </c>
      <c r="G1851">
        <v>67</v>
      </c>
      <c r="H1851">
        <v>27</v>
      </c>
      <c r="I1851">
        <v>134</v>
      </c>
      <c r="J1851">
        <v>28</v>
      </c>
      <c r="K1851">
        <v>11092</v>
      </c>
      <c r="L1851">
        <v>1486328</v>
      </c>
      <c r="M1851">
        <f>Inventory_Data[[#This Row],[Opening Stock]]+Inventory_Data[[#This Row],[Purchase Qty]]-Inventory_Data[[#This Row],[Sales Qty]]-Inventory_Data[[#This Row],[Closing Stock]]</f>
        <v>0</v>
      </c>
      <c r="N1851">
        <f>Inventory_Data[[#This Row],[Purchase Qty]]*Inventory_Data[[#This Row],[Unit Cost]]</f>
        <v>743164</v>
      </c>
      <c r="O1851" t="str">
        <f>IF(Inventory_Data[[#This Row],[Closing Stock]]&lt;=Inventory_Data[[#This Row],[Reorder Level]],"Low Stock","In Stock")</f>
        <v>In Stock</v>
      </c>
      <c r="P1851" t="str">
        <f>TEXT(Inventory_Data[[#This Row],[Date]],"MMM")</f>
        <v>Jan</v>
      </c>
      <c r="Q1851" t="str">
        <f>TEXT(Inventory_Data[[#This Row],[Date]],"YYYY")</f>
        <v>2026</v>
      </c>
    </row>
    <row r="1852" spans="1:17" x14ac:dyDescent="0.3">
      <c r="A1852" s="1">
        <v>46051</v>
      </c>
      <c r="B1852" t="s">
        <v>38</v>
      </c>
      <c r="C1852" t="s">
        <v>17</v>
      </c>
      <c r="D1852" t="s">
        <v>14</v>
      </c>
      <c r="E1852" t="s">
        <v>34</v>
      </c>
      <c r="F1852">
        <v>19</v>
      </c>
      <c r="G1852">
        <v>42</v>
      </c>
      <c r="H1852">
        <v>28</v>
      </c>
      <c r="I1852">
        <v>33</v>
      </c>
      <c r="J1852">
        <v>28</v>
      </c>
      <c r="K1852">
        <v>2967</v>
      </c>
      <c r="L1852">
        <v>97911</v>
      </c>
      <c r="M1852">
        <f>Inventory_Data[[#This Row],[Opening Stock]]+Inventory_Data[[#This Row],[Purchase Qty]]-Inventory_Data[[#This Row],[Sales Qty]]-Inventory_Data[[#This Row],[Closing Stock]]</f>
        <v>0</v>
      </c>
      <c r="N1852">
        <f>Inventory_Data[[#This Row],[Purchase Qty]]*Inventory_Data[[#This Row],[Unit Cost]]</f>
        <v>124614</v>
      </c>
      <c r="O1852" t="str">
        <f>IF(Inventory_Data[[#This Row],[Closing Stock]]&lt;=Inventory_Data[[#This Row],[Reorder Level]],"Low Stock","In Stock")</f>
        <v>In Stock</v>
      </c>
      <c r="P1852" t="str">
        <f>TEXT(Inventory_Data[[#This Row],[Date]],"MMM")</f>
        <v>Jan</v>
      </c>
      <c r="Q1852" t="str">
        <f>TEXT(Inventory_Data[[#This Row],[Date]],"YYYY")</f>
        <v>2026</v>
      </c>
    </row>
    <row r="1853" spans="1:17" x14ac:dyDescent="0.3">
      <c r="A1853" s="1">
        <v>46051</v>
      </c>
      <c r="B1853" t="s">
        <v>16</v>
      </c>
      <c r="C1853" t="s">
        <v>17</v>
      </c>
      <c r="D1853" t="s">
        <v>23</v>
      </c>
      <c r="E1853" t="s">
        <v>34</v>
      </c>
      <c r="F1853">
        <v>43</v>
      </c>
      <c r="G1853">
        <v>18</v>
      </c>
      <c r="H1853">
        <v>9</v>
      </c>
      <c r="I1853">
        <v>52</v>
      </c>
      <c r="J1853">
        <v>19</v>
      </c>
      <c r="K1853">
        <v>23314</v>
      </c>
      <c r="L1853">
        <v>1212328</v>
      </c>
      <c r="M1853">
        <f>Inventory_Data[[#This Row],[Opening Stock]]+Inventory_Data[[#This Row],[Purchase Qty]]-Inventory_Data[[#This Row],[Sales Qty]]-Inventory_Data[[#This Row],[Closing Stock]]</f>
        <v>0</v>
      </c>
      <c r="N1853">
        <f>Inventory_Data[[#This Row],[Purchase Qty]]*Inventory_Data[[#This Row],[Unit Cost]]</f>
        <v>419652</v>
      </c>
      <c r="O1853" t="str">
        <f>IF(Inventory_Data[[#This Row],[Closing Stock]]&lt;=Inventory_Data[[#This Row],[Reorder Level]],"Low Stock","In Stock")</f>
        <v>In Stock</v>
      </c>
      <c r="P1853" t="str">
        <f>TEXT(Inventory_Data[[#This Row],[Date]],"MMM")</f>
        <v>Jan</v>
      </c>
      <c r="Q1853" t="str">
        <f>TEXT(Inventory_Data[[#This Row],[Date]],"YYYY")</f>
        <v>2026</v>
      </c>
    </row>
    <row r="1854" spans="1:17" x14ac:dyDescent="0.3">
      <c r="A1854" s="1">
        <v>46052</v>
      </c>
      <c r="B1854" t="s">
        <v>33</v>
      </c>
      <c r="C1854" t="s">
        <v>13</v>
      </c>
      <c r="D1854" t="s">
        <v>37</v>
      </c>
      <c r="E1854" t="s">
        <v>20</v>
      </c>
      <c r="F1854">
        <v>93</v>
      </c>
      <c r="G1854">
        <v>33</v>
      </c>
      <c r="H1854">
        <v>52</v>
      </c>
      <c r="I1854">
        <v>74</v>
      </c>
      <c r="J1854">
        <v>18</v>
      </c>
      <c r="K1854">
        <v>12264</v>
      </c>
      <c r="L1854">
        <v>907536</v>
      </c>
      <c r="M1854">
        <f>Inventory_Data[[#This Row],[Opening Stock]]+Inventory_Data[[#This Row],[Purchase Qty]]-Inventory_Data[[#This Row],[Sales Qty]]-Inventory_Data[[#This Row],[Closing Stock]]</f>
        <v>0</v>
      </c>
      <c r="N1854">
        <f>Inventory_Data[[#This Row],[Purchase Qty]]*Inventory_Data[[#This Row],[Unit Cost]]</f>
        <v>404712</v>
      </c>
      <c r="O1854" t="str">
        <f>IF(Inventory_Data[[#This Row],[Closing Stock]]&lt;=Inventory_Data[[#This Row],[Reorder Level]],"Low Stock","In Stock")</f>
        <v>In Stock</v>
      </c>
      <c r="P1854" t="str">
        <f>TEXT(Inventory_Data[[#This Row],[Date]],"MMM")</f>
        <v>Jan</v>
      </c>
      <c r="Q1854" t="str">
        <f>TEXT(Inventory_Data[[#This Row],[Date]],"YYYY")</f>
        <v>2026</v>
      </c>
    </row>
    <row r="1855" spans="1:17" x14ac:dyDescent="0.3">
      <c r="A1855" s="1">
        <v>46052</v>
      </c>
      <c r="B1855" t="s">
        <v>41</v>
      </c>
      <c r="C1855" t="s">
        <v>22</v>
      </c>
      <c r="D1855" t="s">
        <v>26</v>
      </c>
      <c r="E1855" t="s">
        <v>20</v>
      </c>
      <c r="F1855">
        <v>54</v>
      </c>
      <c r="G1855">
        <v>213</v>
      </c>
      <c r="H1855">
        <v>29</v>
      </c>
      <c r="I1855">
        <v>238</v>
      </c>
      <c r="J1855">
        <v>61</v>
      </c>
      <c r="K1855">
        <v>577</v>
      </c>
      <c r="L1855">
        <v>137326</v>
      </c>
      <c r="M1855">
        <f>Inventory_Data[[#This Row],[Opening Stock]]+Inventory_Data[[#This Row],[Purchase Qty]]-Inventory_Data[[#This Row],[Sales Qty]]-Inventory_Data[[#This Row],[Closing Stock]]</f>
        <v>0</v>
      </c>
      <c r="N1855">
        <f>Inventory_Data[[#This Row],[Purchase Qty]]*Inventory_Data[[#This Row],[Unit Cost]]</f>
        <v>122901</v>
      </c>
      <c r="O1855" t="str">
        <f>IF(Inventory_Data[[#This Row],[Closing Stock]]&lt;=Inventory_Data[[#This Row],[Reorder Level]],"Low Stock","In Stock")</f>
        <v>In Stock</v>
      </c>
      <c r="P1855" t="str">
        <f>TEXT(Inventory_Data[[#This Row],[Date]],"MMM")</f>
        <v>Jan</v>
      </c>
      <c r="Q1855" t="str">
        <f>TEXT(Inventory_Data[[#This Row],[Date]],"YYYY")</f>
        <v>2026</v>
      </c>
    </row>
    <row r="1856" spans="1:17" x14ac:dyDescent="0.3">
      <c r="A1856" s="1">
        <v>46052</v>
      </c>
      <c r="B1856" t="s">
        <v>30</v>
      </c>
      <c r="C1856" t="s">
        <v>28</v>
      </c>
      <c r="D1856" t="s">
        <v>14</v>
      </c>
      <c r="E1856" t="s">
        <v>15</v>
      </c>
      <c r="F1856">
        <v>168</v>
      </c>
      <c r="G1856">
        <v>61</v>
      </c>
      <c r="H1856">
        <v>59</v>
      </c>
      <c r="I1856">
        <v>170</v>
      </c>
      <c r="J1856">
        <v>45</v>
      </c>
      <c r="K1856">
        <v>30100</v>
      </c>
      <c r="L1856">
        <v>5117000</v>
      </c>
      <c r="M1856">
        <f>Inventory_Data[[#This Row],[Opening Stock]]+Inventory_Data[[#This Row],[Purchase Qty]]-Inventory_Data[[#This Row],[Sales Qty]]-Inventory_Data[[#This Row],[Closing Stock]]</f>
        <v>0</v>
      </c>
      <c r="N1856">
        <f>Inventory_Data[[#This Row],[Purchase Qty]]*Inventory_Data[[#This Row],[Unit Cost]]</f>
        <v>1836100</v>
      </c>
      <c r="O1856" t="str">
        <f>IF(Inventory_Data[[#This Row],[Closing Stock]]&lt;=Inventory_Data[[#This Row],[Reorder Level]],"Low Stock","In Stock")</f>
        <v>In Stock</v>
      </c>
      <c r="P1856" t="str">
        <f>TEXT(Inventory_Data[[#This Row],[Date]],"MMM")</f>
        <v>Jan</v>
      </c>
      <c r="Q1856" t="str">
        <f>TEXT(Inventory_Data[[#This Row],[Date]],"YYYY")</f>
        <v>2026</v>
      </c>
    </row>
    <row r="1857" spans="1:17" x14ac:dyDescent="0.3">
      <c r="A1857" s="1">
        <v>46052</v>
      </c>
      <c r="B1857" t="s">
        <v>38</v>
      </c>
      <c r="C1857" t="s">
        <v>17</v>
      </c>
      <c r="D1857" t="s">
        <v>23</v>
      </c>
      <c r="E1857" t="s">
        <v>18</v>
      </c>
      <c r="F1857">
        <v>53</v>
      </c>
      <c r="G1857">
        <v>18</v>
      </c>
      <c r="H1857">
        <v>30</v>
      </c>
      <c r="I1857">
        <v>41</v>
      </c>
      <c r="J1857">
        <v>27</v>
      </c>
      <c r="K1857">
        <v>1829</v>
      </c>
      <c r="L1857">
        <v>74989</v>
      </c>
      <c r="M1857">
        <f>Inventory_Data[[#This Row],[Opening Stock]]+Inventory_Data[[#This Row],[Purchase Qty]]-Inventory_Data[[#This Row],[Sales Qty]]-Inventory_Data[[#This Row],[Closing Stock]]</f>
        <v>0</v>
      </c>
      <c r="N1857">
        <f>Inventory_Data[[#This Row],[Purchase Qty]]*Inventory_Data[[#This Row],[Unit Cost]]</f>
        <v>32922</v>
      </c>
      <c r="O1857" t="str">
        <f>IF(Inventory_Data[[#This Row],[Closing Stock]]&lt;=Inventory_Data[[#This Row],[Reorder Level]],"Low Stock","In Stock")</f>
        <v>In Stock</v>
      </c>
      <c r="P1857" t="str">
        <f>TEXT(Inventory_Data[[#This Row],[Date]],"MMM")</f>
        <v>Jan</v>
      </c>
      <c r="Q1857" t="str">
        <f>TEXT(Inventory_Data[[#This Row],[Date]],"YYYY")</f>
        <v>2026</v>
      </c>
    </row>
    <row r="1858" spans="1:17" x14ac:dyDescent="0.3">
      <c r="A1858" s="1">
        <v>46052</v>
      </c>
      <c r="B1858" t="s">
        <v>27</v>
      </c>
      <c r="C1858" t="s">
        <v>28</v>
      </c>
      <c r="D1858" t="s">
        <v>23</v>
      </c>
      <c r="E1858" t="s">
        <v>15</v>
      </c>
      <c r="F1858">
        <v>133</v>
      </c>
      <c r="G1858">
        <v>74</v>
      </c>
      <c r="H1858">
        <v>22</v>
      </c>
      <c r="I1858">
        <v>185</v>
      </c>
      <c r="J1858">
        <v>52</v>
      </c>
      <c r="K1858">
        <v>33734</v>
      </c>
      <c r="L1858">
        <v>6240790</v>
      </c>
      <c r="M1858">
        <f>Inventory_Data[[#This Row],[Opening Stock]]+Inventory_Data[[#This Row],[Purchase Qty]]-Inventory_Data[[#This Row],[Sales Qty]]-Inventory_Data[[#This Row],[Closing Stock]]</f>
        <v>0</v>
      </c>
      <c r="N1858">
        <f>Inventory_Data[[#This Row],[Purchase Qty]]*Inventory_Data[[#This Row],[Unit Cost]]</f>
        <v>2496316</v>
      </c>
      <c r="O1858" t="str">
        <f>IF(Inventory_Data[[#This Row],[Closing Stock]]&lt;=Inventory_Data[[#This Row],[Reorder Level]],"Low Stock","In Stock")</f>
        <v>In Stock</v>
      </c>
      <c r="P1858" t="str">
        <f>TEXT(Inventory_Data[[#This Row],[Date]],"MMM")</f>
        <v>Jan</v>
      </c>
      <c r="Q1858" t="str">
        <f>TEXT(Inventory_Data[[#This Row],[Date]],"YYYY")</f>
        <v>2026</v>
      </c>
    </row>
    <row r="1859" spans="1:17" x14ac:dyDescent="0.3">
      <c r="A1859" s="1">
        <v>46052</v>
      </c>
      <c r="B1859" t="s">
        <v>21</v>
      </c>
      <c r="C1859" t="s">
        <v>22</v>
      </c>
      <c r="D1859" t="s">
        <v>14</v>
      </c>
      <c r="E1859" t="s">
        <v>20</v>
      </c>
      <c r="F1859">
        <v>480</v>
      </c>
      <c r="G1859">
        <v>202</v>
      </c>
      <c r="H1859">
        <v>59</v>
      </c>
      <c r="I1859">
        <v>623</v>
      </c>
      <c r="J1859">
        <v>98</v>
      </c>
      <c r="K1859">
        <v>876</v>
      </c>
      <c r="L1859">
        <v>545748</v>
      </c>
      <c r="M1859">
        <f>Inventory_Data[[#This Row],[Opening Stock]]+Inventory_Data[[#This Row],[Purchase Qty]]-Inventory_Data[[#This Row],[Sales Qty]]-Inventory_Data[[#This Row],[Closing Stock]]</f>
        <v>0</v>
      </c>
      <c r="N1859">
        <f>Inventory_Data[[#This Row],[Purchase Qty]]*Inventory_Data[[#This Row],[Unit Cost]]</f>
        <v>176952</v>
      </c>
      <c r="O1859" t="str">
        <f>IF(Inventory_Data[[#This Row],[Closing Stock]]&lt;=Inventory_Data[[#This Row],[Reorder Level]],"Low Stock","In Stock")</f>
        <v>In Stock</v>
      </c>
      <c r="P1859" t="str">
        <f>TEXT(Inventory_Data[[#This Row],[Date]],"MMM")</f>
        <v>Jan</v>
      </c>
      <c r="Q1859" t="str">
        <f>TEXT(Inventory_Data[[#This Row],[Date]],"YYYY")</f>
        <v>2026</v>
      </c>
    </row>
    <row r="1860" spans="1:17" x14ac:dyDescent="0.3">
      <c r="A1860" s="1">
        <v>46053</v>
      </c>
      <c r="B1860" t="s">
        <v>33</v>
      </c>
      <c r="C1860" t="s">
        <v>13</v>
      </c>
      <c r="D1860" t="s">
        <v>23</v>
      </c>
      <c r="E1860" t="s">
        <v>18</v>
      </c>
      <c r="F1860">
        <v>85</v>
      </c>
      <c r="G1860">
        <v>43</v>
      </c>
      <c r="H1860">
        <v>19</v>
      </c>
      <c r="I1860">
        <v>109</v>
      </c>
      <c r="J1860">
        <v>20</v>
      </c>
      <c r="K1860">
        <v>15430</v>
      </c>
      <c r="L1860">
        <v>1681870</v>
      </c>
      <c r="M1860">
        <f>Inventory_Data[[#This Row],[Opening Stock]]+Inventory_Data[[#This Row],[Purchase Qty]]-Inventory_Data[[#This Row],[Sales Qty]]-Inventory_Data[[#This Row],[Closing Stock]]</f>
        <v>0</v>
      </c>
      <c r="N1860">
        <f>Inventory_Data[[#This Row],[Purchase Qty]]*Inventory_Data[[#This Row],[Unit Cost]]</f>
        <v>663490</v>
      </c>
      <c r="O1860" t="str">
        <f>IF(Inventory_Data[[#This Row],[Closing Stock]]&lt;=Inventory_Data[[#This Row],[Reorder Level]],"Low Stock","In Stock")</f>
        <v>In Stock</v>
      </c>
      <c r="P1860" t="str">
        <f>TEXT(Inventory_Data[[#This Row],[Date]],"MMM")</f>
        <v>Jan</v>
      </c>
      <c r="Q1860" t="str">
        <f>TEXT(Inventory_Data[[#This Row],[Date]],"YYYY")</f>
        <v>2026</v>
      </c>
    </row>
    <row r="1861" spans="1:17" x14ac:dyDescent="0.3">
      <c r="A1861" s="1">
        <v>46053</v>
      </c>
      <c r="B1861" t="s">
        <v>27</v>
      </c>
      <c r="C1861" t="s">
        <v>28</v>
      </c>
      <c r="D1861" t="s">
        <v>26</v>
      </c>
      <c r="E1861" t="s">
        <v>24</v>
      </c>
      <c r="F1861">
        <v>34</v>
      </c>
      <c r="G1861">
        <v>40</v>
      </c>
      <c r="H1861">
        <v>47</v>
      </c>
      <c r="I1861">
        <v>27</v>
      </c>
      <c r="J1861">
        <v>56</v>
      </c>
      <c r="K1861">
        <v>43396</v>
      </c>
      <c r="L1861">
        <v>1171692</v>
      </c>
      <c r="M1861">
        <f>Inventory_Data[[#This Row],[Opening Stock]]+Inventory_Data[[#This Row],[Purchase Qty]]-Inventory_Data[[#This Row],[Sales Qty]]-Inventory_Data[[#This Row],[Closing Stock]]</f>
        <v>0</v>
      </c>
      <c r="N1861">
        <f>Inventory_Data[[#This Row],[Purchase Qty]]*Inventory_Data[[#This Row],[Unit Cost]]</f>
        <v>1735840</v>
      </c>
      <c r="O1861" t="str">
        <f>IF(Inventory_Data[[#This Row],[Closing Stock]]&lt;=Inventory_Data[[#This Row],[Reorder Level]],"Low Stock","In Stock")</f>
        <v>Low Stock</v>
      </c>
      <c r="P1861" t="str">
        <f>TEXT(Inventory_Data[[#This Row],[Date]],"MMM")</f>
        <v>Jan</v>
      </c>
      <c r="Q1861" t="str">
        <f>TEXT(Inventory_Data[[#This Row],[Date]],"YYYY")</f>
        <v>2026</v>
      </c>
    </row>
    <row r="1862" spans="1:17" x14ac:dyDescent="0.3">
      <c r="A1862" s="1">
        <v>46053</v>
      </c>
      <c r="B1862" t="s">
        <v>19</v>
      </c>
      <c r="C1862" t="s">
        <v>13</v>
      </c>
      <c r="D1862" t="s">
        <v>26</v>
      </c>
      <c r="E1862" t="s">
        <v>34</v>
      </c>
      <c r="F1862">
        <v>117</v>
      </c>
      <c r="G1862">
        <v>40</v>
      </c>
      <c r="H1862">
        <v>30</v>
      </c>
      <c r="I1862">
        <v>127</v>
      </c>
      <c r="J1862">
        <v>21</v>
      </c>
      <c r="K1862">
        <v>16534</v>
      </c>
      <c r="L1862">
        <v>2099818</v>
      </c>
      <c r="M1862">
        <f>Inventory_Data[[#This Row],[Opening Stock]]+Inventory_Data[[#This Row],[Purchase Qty]]-Inventory_Data[[#This Row],[Sales Qty]]-Inventory_Data[[#This Row],[Closing Stock]]</f>
        <v>0</v>
      </c>
      <c r="N1862">
        <f>Inventory_Data[[#This Row],[Purchase Qty]]*Inventory_Data[[#This Row],[Unit Cost]]</f>
        <v>661360</v>
      </c>
      <c r="O1862" t="str">
        <f>IF(Inventory_Data[[#This Row],[Closing Stock]]&lt;=Inventory_Data[[#This Row],[Reorder Level]],"Low Stock","In Stock")</f>
        <v>In Stock</v>
      </c>
      <c r="P1862" t="str">
        <f>TEXT(Inventory_Data[[#This Row],[Date]],"MMM")</f>
        <v>Jan</v>
      </c>
      <c r="Q1862" t="str">
        <f>TEXT(Inventory_Data[[#This Row],[Date]],"YYYY")</f>
        <v>2026</v>
      </c>
    </row>
    <row r="1863" spans="1:17" x14ac:dyDescent="0.3">
      <c r="A1863" s="1">
        <v>46053</v>
      </c>
      <c r="B1863" t="s">
        <v>21</v>
      </c>
      <c r="C1863" t="s">
        <v>22</v>
      </c>
      <c r="D1863" t="s">
        <v>26</v>
      </c>
      <c r="E1863" t="s">
        <v>18</v>
      </c>
      <c r="F1863">
        <v>104</v>
      </c>
      <c r="G1863">
        <v>190</v>
      </c>
      <c r="H1863">
        <v>207</v>
      </c>
      <c r="I1863">
        <v>87</v>
      </c>
      <c r="J1863">
        <v>80</v>
      </c>
      <c r="K1863">
        <v>99</v>
      </c>
      <c r="L1863">
        <v>8613</v>
      </c>
      <c r="M1863">
        <f>Inventory_Data[[#This Row],[Opening Stock]]+Inventory_Data[[#This Row],[Purchase Qty]]-Inventory_Data[[#This Row],[Sales Qty]]-Inventory_Data[[#This Row],[Closing Stock]]</f>
        <v>0</v>
      </c>
      <c r="N1863">
        <f>Inventory_Data[[#This Row],[Purchase Qty]]*Inventory_Data[[#This Row],[Unit Cost]]</f>
        <v>18810</v>
      </c>
      <c r="O1863" t="str">
        <f>IF(Inventory_Data[[#This Row],[Closing Stock]]&lt;=Inventory_Data[[#This Row],[Reorder Level]],"Low Stock","In Stock")</f>
        <v>In Stock</v>
      </c>
      <c r="P1863" t="str">
        <f>TEXT(Inventory_Data[[#This Row],[Date]],"MMM")</f>
        <v>Jan</v>
      </c>
      <c r="Q1863" t="str">
        <f>TEXT(Inventory_Data[[#This Row],[Date]],"YYYY")</f>
        <v>2026</v>
      </c>
    </row>
    <row r="1864" spans="1:17" x14ac:dyDescent="0.3">
      <c r="A1864" s="1">
        <v>46053</v>
      </c>
      <c r="B1864" t="s">
        <v>19</v>
      </c>
      <c r="C1864" t="s">
        <v>13</v>
      </c>
      <c r="D1864" t="s">
        <v>26</v>
      </c>
      <c r="E1864" t="s">
        <v>18</v>
      </c>
      <c r="F1864">
        <v>109</v>
      </c>
      <c r="G1864">
        <v>36</v>
      </c>
      <c r="H1864">
        <v>56</v>
      </c>
      <c r="I1864">
        <v>89</v>
      </c>
      <c r="J1864">
        <v>33</v>
      </c>
      <c r="K1864">
        <v>12850</v>
      </c>
      <c r="L1864">
        <v>1143650</v>
      </c>
      <c r="M1864">
        <f>Inventory_Data[[#This Row],[Opening Stock]]+Inventory_Data[[#This Row],[Purchase Qty]]-Inventory_Data[[#This Row],[Sales Qty]]-Inventory_Data[[#This Row],[Closing Stock]]</f>
        <v>0</v>
      </c>
      <c r="N1864">
        <f>Inventory_Data[[#This Row],[Purchase Qty]]*Inventory_Data[[#This Row],[Unit Cost]]</f>
        <v>462600</v>
      </c>
      <c r="O1864" t="str">
        <f>IF(Inventory_Data[[#This Row],[Closing Stock]]&lt;=Inventory_Data[[#This Row],[Reorder Level]],"Low Stock","In Stock")</f>
        <v>In Stock</v>
      </c>
      <c r="P1864" t="str">
        <f>TEXT(Inventory_Data[[#This Row],[Date]],"MMM")</f>
        <v>Jan</v>
      </c>
      <c r="Q1864" t="str">
        <f>TEXT(Inventory_Data[[#This Row],[Date]],"YYYY")</f>
        <v>2026</v>
      </c>
    </row>
    <row r="1865" spans="1:17" x14ac:dyDescent="0.3">
      <c r="A1865" s="1">
        <v>46053</v>
      </c>
      <c r="B1865" t="s">
        <v>12</v>
      </c>
      <c r="C1865" t="s">
        <v>13</v>
      </c>
      <c r="D1865" t="s">
        <v>37</v>
      </c>
      <c r="E1865" t="s">
        <v>18</v>
      </c>
      <c r="F1865">
        <v>25</v>
      </c>
      <c r="G1865">
        <v>79</v>
      </c>
      <c r="H1865">
        <v>36</v>
      </c>
      <c r="I1865">
        <v>68</v>
      </c>
      <c r="J1865">
        <v>29</v>
      </c>
      <c r="K1865">
        <v>17466</v>
      </c>
      <c r="L1865">
        <v>1187688</v>
      </c>
      <c r="M1865">
        <f>Inventory_Data[[#This Row],[Opening Stock]]+Inventory_Data[[#This Row],[Purchase Qty]]-Inventory_Data[[#This Row],[Sales Qty]]-Inventory_Data[[#This Row],[Closing Stock]]</f>
        <v>0</v>
      </c>
      <c r="N1865">
        <f>Inventory_Data[[#This Row],[Purchase Qty]]*Inventory_Data[[#This Row],[Unit Cost]]</f>
        <v>1379814</v>
      </c>
      <c r="O1865" t="str">
        <f>IF(Inventory_Data[[#This Row],[Closing Stock]]&lt;=Inventory_Data[[#This Row],[Reorder Level]],"Low Stock","In Stock")</f>
        <v>In Stock</v>
      </c>
      <c r="P1865" t="str">
        <f>TEXT(Inventory_Data[[#This Row],[Date]],"MMM")</f>
        <v>Jan</v>
      </c>
      <c r="Q1865" t="str">
        <f>TEXT(Inventory_Data[[#This Row],[Date]],"YYYY")</f>
        <v>2026</v>
      </c>
    </row>
    <row r="1866" spans="1:17" x14ac:dyDescent="0.3">
      <c r="A1866" s="1">
        <v>46053</v>
      </c>
      <c r="B1866" t="s">
        <v>19</v>
      </c>
      <c r="C1866" t="s">
        <v>13</v>
      </c>
      <c r="D1866" t="s">
        <v>37</v>
      </c>
      <c r="E1866" t="s">
        <v>34</v>
      </c>
      <c r="F1866">
        <v>111</v>
      </c>
      <c r="G1866">
        <v>29</v>
      </c>
      <c r="H1866">
        <v>27</v>
      </c>
      <c r="I1866">
        <v>113</v>
      </c>
      <c r="J1866">
        <v>29</v>
      </c>
      <c r="K1866">
        <v>4275</v>
      </c>
      <c r="L1866">
        <v>483075</v>
      </c>
      <c r="M1866">
        <f>Inventory_Data[[#This Row],[Opening Stock]]+Inventory_Data[[#This Row],[Purchase Qty]]-Inventory_Data[[#This Row],[Sales Qty]]-Inventory_Data[[#This Row],[Closing Stock]]</f>
        <v>0</v>
      </c>
      <c r="N1866">
        <f>Inventory_Data[[#This Row],[Purchase Qty]]*Inventory_Data[[#This Row],[Unit Cost]]</f>
        <v>123975</v>
      </c>
      <c r="O1866" t="str">
        <f>IF(Inventory_Data[[#This Row],[Closing Stock]]&lt;=Inventory_Data[[#This Row],[Reorder Level]],"Low Stock","In Stock")</f>
        <v>In Stock</v>
      </c>
      <c r="P1866" t="str">
        <f>TEXT(Inventory_Data[[#This Row],[Date]],"MMM")</f>
        <v>Jan</v>
      </c>
      <c r="Q1866" t="str">
        <f>TEXT(Inventory_Data[[#This Row],[Date]],"YYYY")</f>
        <v>2026</v>
      </c>
    </row>
    <row r="1867" spans="1:17" x14ac:dyDescent="0.3">
      <c r="A1867" s="1">
        <v>46053</v>
      </c>
      <c r="B1867" t="s">
        <v>41</v>
      </c>
      <c r="C1867" t="s">
        <v>22</v>
      </c>
      <c r="D1867" t="s">
        <v>23</v>
      </c>
      <c r="E1867" t="s">
        <v>20</v>
      </c>
      <c r="F1867">
        <v>338</v>
      </c>
      <c r="G1867">
        <v>241</v>
      </c>
      <c r="H1867">
        <v>186</v>
      </c>
      <c r="I1867">
        <v>393</v>
      </c>
      <c r="J1867">
        <v>109</v>
      </c>
      <c r="K1867">
        <v>40</v>
      </c>
      <c r="L1867">
        <v>15720</v>
      </c>
      <c r="M1867">
        <f>Inventory_Data[[#This Row],[Opening Stock]]+Inventory_Data[[#This Row],[Purchase Qty]]-Inventory_Data[[#This Row],[Sales Qty]]-Inventory_Data[[#This Row],[Closing Stock]]</f>
        <v>0</v>
      </c>
      <c r="N1867">
        <f>Inventory_Data[[#This Row],[Purchase Qty]]*Inventory_Data[[#This Row],[Unit Cost]]</f>
        <v>9640</v>
      </c>
      <c r="O1867" t="str">
        <f>IF(Inventory_Data[[#This Row],[Closing Stock]]&lt;=Inventory_Data[[#This Row],[Reorder Level]],"Low Stock","In Stock")</f>
        <v>In Stock</v>
      </c>
      <c r="P1867" t="str">
        <f>TEXT(Inventory_Data[[#This Row],[Date]],"MMM")</f>
        <v>Jan</v>
      </c>
      <c r="Q1867" t="str">
        <f>TEXT(Inventory_Data[[#This Row],[Date]],"YYYY")</f>
        <v>2026</v>
      </c>
    </row>
    <row r="1868" spans="1:17" x14ac:dyDescent="0.3">
      <c r="A1868" s="1">
        <v>46053</v>
      </c>
      <c r="B1868" t="s">
        <v>43</v>
      </c>
      <c r="C1868" t="s">
        <v>22</v>
      </c>
      <c r="D1868" t="s">
        <v>26</v>
      </c>
      <c r="E1868" t="s">
        <v>18</v>
      </c>
      <c r="F1868">
        <v>59</v>
      </c>
      <c r="G1868">
        <v>253</v>
      </c>
      <c r="H1868">
        <v>273</v>
      </c>
      <c r="I1868">
        <v>39</v>
      </c>
      <c r="J1868">
        <v>67</v>
      </c>
      <c r="K1868">
        <v>809</v>
      </c>
      <c r="L1868">
        <v>31551</v>
      </c>
      <c r="M1868">
        <f>Inventory_Data[[#This Row],[Opening Stock]]+Inventory_Data[[#This Row],[Purchase Qty]]-Inventory_Data[[#This Row],[Sales Qty]]-Inventory_Data[[#This Row],[Closing Stock]]</f>
        <v>0</v>
      </c>
      <c r="N1868">
        <f>Inventory_Data[[#This Row],[Purchase Qty]]*Inventory_Data[[#This Row],[Unit Cost]]</f>
        <v>204677</v>
      </c>
      <c r="O1868" t="str">
        <f>IF(Inventory_Data[[#This Row],[Closing Stock]]&lt;=Inventory_Data[[#This Row],[Reorder Level]],"Low Stock","In Stock")</f>
        <v>Low Stock</v>
      </c>
      <c r="P1868" t="str">
        <f>TEXT(Inventory_Data[[#This Row],[Date]],"MMM")</f>
        <v>Jan</v>
      </c>
      <c r="Q1868" t="str">
        <f>TEXT(Inventory_Data[[#This Row],[Date]],"YYYY")</f>
        <v>2026</v>
      </c>
    </row>
    <row r="1869" spans="1:17" x14ac:dyDescent="0.3">
      <c r="A1869" s="1">
        <v>46053</v>
      </c>
      <c r="B1869" t="s">
        <v>43</v>
      </c>
      <c r="C1869" t="s">
        <v>22</v>
      </c>
      <c r="D1869" t="s">
        <v>37</v>
      </c>
      <c r="E1869" t="s">
        <v>20</v>
      </c>
      <c r="F1869">
        <v>383</v>
      </c>
      <c r="G1869">
        <v>109</v>
      </c>
      <c r="H1869">
        <v>189</v>
      </c>
      <c r="I1869">
        <v>303</v>
      </c>
      <c r="J1869">
        <v>126</v>
      </c>
      <c r="K1869">
        <v>803</v>
      </c>
      <c r="L1869">
        <v>243309</v>
      </c>
      <c r="M1869">
        <f>Inventory_Data[[#This Row],[Opening Stock]]+Inventory_Data[[#This Row],[Purchase Qty]]-Inventory_Data[[#This Row],[Sales Qty]]-Inventory_Data[[#This Row],[Closing Stock]]</f>
        <v>0</v>
      </c>
      <c r="N1869">
        <f>Inventory_Data[[#This Row],[Purchase Qty]]*Inventory_Data[[#This Row],[Unit Cost]]</f>
        <v>87527</v>
      </c>
      <c r="O1869" t="str">
        <f>IF(Inventory_Data[[#This Row],[Closing Stock]]&lt;=Inventory_Data[[#This Row],[Reorder Level]],"Low Stock","In Stock")</f>
        <v>In Stock</v>
      </c>
      <c r="P1869" t="str">
        <f>TEXT(Inventory_Data[[#This Row],[Date]],"MMM")</f>
        <v>Jan</v>
      </c>
      <c r="Q1869" t="str">
        <f>TEXT(Inventory_Data[[#This Row],[Date]],"YYYY")</f>
        <v>2026</v>
      </c>
    </row>
    <row r="1870" spans="1:17" x14ac:dyDescent="0.3">
      <c r="A1870" s="1">
        <v>46053</v>
      </c>
      <c r="B1870" t="s">
        <v>35</v>
      </c>
      <c r="C1870" t="s">
        <v>22</v>
      </c>
      <c r="D1870" t="s">
        <v>14</v>
      </c>
      <c r="E1870" t="s">
        <v>34</v>
      </c>
      <c r="F1870">
        <v>145</v>
      </c>
      <c r="G1870">
        <v>132</v>
      </c>
      <c r="H1870">
        <v>233</v>
      </c>
      <c r="I1870">
        <v>44</v>
      </c>
      <c r="J1870">
        <v>92</v>
      </c>
      <c r="K1870">
        <v>537</v>
      </c>
      <c r="L1870">
        <v>23628</v>
      </c>
      <c r="M1870">
        <f>Inventory_Data[[#This Row],[Opening Stock]]+Inventory_Data[[#This Row],[Purchase Qty]]-Inventory_Data[[#This Row],[Sales Qty]]-Inventory_Data[[#This Row],[Closing Stock]]</f>
        <v>0</v>
      </c>
      <c r="N1870">
        <f>Inventory_Data[[#This Row],[Purchase Qty]]*Inventory_Data[[#This Row],[Unit Cost]]</f>
        <v>70884</v>
      </c>
      <c r="O1870" t="str">
        <f>IF(Inventory_Data[[#This Row],[Closing Stock]]&lt;=Inventory_Data[[#This Row],[Reorder Level]],"Low Stock","In Stock")</f>
        <v>Low Stock</v>
      </c>
      <c r="P1870" t="str">
        <f>TEXT(Inventory_Data[[#This Row],[Date]],"MMM")</f>
        <v>Jan</v>
      </c>
      <c r="Q1870" t="str">
        <f>TEXT(Inventory_Data[[#This Row],[Date]],"YYYY")</f>
        <v>2026</v>
      </c>
    </row>
    <row r="1871" spans="1:17" x14ac:dyDescent="0.3">
      <c r="A1871" s="1">
        <v>46054</v>
      </c>
      <c r="B1871" t="s">
        <v>27</v>
      </c>
      <c r="C1871" t="s">
        <v>28</v>
      </c>
      <c r="D1871" t="s">
        <v>14</v>
      </c>
      <c r="E1871" t="s">
        <v>24</v>
      </c>
      <c r="F1871">
        <v>58</v>
      </c>
      <c r="G1871">
        <v>24</v>
      </c>
      <c r="H1871">
        <v>33</v>
      </c>
      <c r="I1871">
        <v>49</v>
      </c>
      <c r="J1871">
        <v>30</v>
      </c>
      <c r="K1871">
        <v>11196</v>
      </c>
      <c r="L1871">
        <v>548604</v>
      </c>
      <c r="M1871">
        <f>Inventory_Data[[#This Row],[Opening Stock]]+Inventory_Data[[#This Row],[Purchase Qty]]-Inventory_Data[[#This Row],[Sales Qty]]-Inventory_Data[[#This Row],[Closing Stock]]</f>
        <v>0</v>
      </c>
      <c r="N1871">
        <f>Inventory_Data[[#This Row],[Purchase Qty]]*Inventory_Data[[#This Row],[Unit Cost]]</f>
        <v>268704</v>
      </c>
      <c r="O1871" t="str">
        <f>IF(Inventory_Data[[#This Row],[Closing Stock]]&lt;=Inventory_Data[[#This Row],[Reorder Level]],"Low Stock","In Stock")</f>
        <v>In Stock</v>
      </c>
      <c r="P1871" t="str">
        <f>TEXT(Inventory_Data[[#This Row],[Date]],"MMM")</f>
        <v>Feb</v>
      </c>
      <c r="Q1871" t="str">
        <f>TEXT(Inventory_Data[[#This Row],[Date]],"YYYY")</f>
        <v>2026</v>
      </c>
    </row>
    <row r="1872" spans="1:17" x14ac:dyDescent="0.3">
      <c r="A1872" s="1">
        <v>46054</v>
      </c>
      <c r="B1872" t="s">
        <v>40</v>
      </c>
      <c r="C1872" t="s">
        <v>28</v>
      </c>
      <c r="D1872" t="s">
        <v>26</v>
      </c>
      <c r="E1872" t="s">
        <v>24</v>
      </c>
      <c r="F1872">
        <v>22</v>
      </c>
      <c r="G1872">
        <v>35</v>
      </c>
      <c r="H1872">
        <v>57</v>
      </c>
      <c r="I1872">
        <v>0</v>
      </c>
      <c r="J1872">
        <v>43</v>
      </c>
      <c r="K1872">
        <v>7069</v>
      </c>
      <c r="L1872">
        <v>0</v>
      </c>
      <c r="M1872">
        <f>Inventory_Data[[#This Row],[Opening Stock]]+Inventory_Data[[#This Row],[Purchase Qty]]-Inventory_Data[[#This Row],[Sales Qty]]-Inventory_Data[[#This Row],[Closing Stock]]</f>
        <v>0</v>
      </c>
      <c r="N1872">
        <f>Inventory_Data[[#This Row],[Purchase Qty]]*Inventory_Data[[#This Row],[Unit Cost]]</f>
        <v>247415</v>
      </c>
      <c r="O1872" t="str">
        <f>IF(Inventory_Data[[#This Row],[Closing Stock]]&lt;=Inventory_Data[[#This Row],[Reorder Level]],"Low Stock","In Stock")</f>
        <v>Low Stock</v>
      </c>
      <c r="P1872" t="str">
        <f>TEXT(Inventory_Data[[#This Row],[Date]],"MMM")</f>
        <v>Feb</v>
      </c>
      <c r="Q1872" t="str">
        <f>TEXT(Inventory_Data[[#This Row],[Date]],"YYYY")</f>
        <v>2026</v>
      </c>
    </row>
    <row r="1873" spans="1:17" x14ac:dyDescent="0.3">
      <c r="A1873" s="1">
        <v>46054</v>
      </c>
      <c r="B1873" t="s">
        <v>45</v>
      </c>
      <c r="C1873" t="s">
        <v>13</v>
      </c>
      <c r="D1873" t="s">
        <v>26</v>
      </c>
      <c r="E1873" t="s">
        <v>29</v>
      </c>
      <c r="F1873">
        <v>35</v>
      </c>
      <c r="G1873">
        <v>5</v>
      </c>
      <c r="H1873">
        <v>40</v>
      </c>
      <c r="I1873">
        <v>0</v>
      </c>
      <c r="J1873">
        <v>15</v>
      </c>
      <c r="K1873">
        <v>10296</v>
      </c>
      <c r="L1873">
        <v>0</v>
      </c>
      <c r="M1873">
        <f>Inventory_Data[[#This Row],[Opening Stock]]+Inventory_Data[[#This Row],[Purchase Qty]]-Inventory_Data[[#This Row],[Sales Qty]]-Inventory_Data[[#This Row],[Closing Stock]]</f>
        <v>0</v>
      </c>
      <c r="N1873">
        <f>Inventory_Data[[#This Row],[Purchase Qty]]*Inventory_Data[[#This Row],[Unit Cost]]</f>
        <v>51480</v>
      </c>
      <c r="O1873" t="str">
        <f>IF(Inventory_Data[[#This Row],[Closing Stock]]&lt;=Inventory_Data[[#This Row],[Reorder Level]],"Low Stock","In Stock")</f>
        <v>Low Stock</v>
      </c>
      <c r="P1873" t="str">
        <f>TEXT(Inventory_Data[[#This Row],[Date]],"MMM")</f>
        <v>Feb</v>
      </c>
      <c r="Q1873" t="str">
        <f>TEXT(Inventory_Data[[#This Row],[Date]],"YYYY")</f>
        <v>2026</v>
      </c>
    </row>
    <row r="1874" spans="1:17" x14ac:dyDescent="0.3">
      <c r="A1874" s="1">
        <v>46054</v>
      </c>
      <c r="B1874" t="s">
        <v>45</v>
      </c>
      <c r="C1874" t="s">
        <v>13</v>
      </c>
      <c r="D1874" t="s">
        <v>26</v>
      </c>
      <c r="E1874" t="s">
        <v>18</v>
      </c>
      <c r="F1874">
        <v>57</v>
      </c>
      <c r="G1874">
        <v>31</v>
      </c>
      <c r="H1874">
        <v>9</v>
      </c>
      <c r="I1874">
        <v>79</v>
      </c>
      <c r="J1874">
        <v>39</v>
      </c>
      <c r="K1874">
        <v>8766</v>
      </c>
      <c r="L1874">
        <v>692514</v>
      </c>
      <c r="M1874">
        <f>Inventory_Data[[#This Row],[Opening Stock]]+Inventory_Data[[#This Row],[Purchase Qty]]-Inventory_Data[[#This Row],[Sales Qty]]-Inventory_Data[[#This Row],[Closing Stock]]</f>
        <v>0</v>
      </c>
      <c r="N1874">
        <f>Inventory_Data[[#This Row],[Purchase Qty]]*Inventory_Data[[#This Row],[Unit Cost]]</f>
        <v>271746</v>
      </c>
      <c r="O1874" t="str">
        <f>IF(Inventory_Data[[#This Row],[Closing Stock]]&lt;=Inventory_Data[[#This Row],[Reorder Level]],"Low Stock","In Stock")</f>
        <v>In Stock</v>
      </c>
      <c r="P1874" t="str">
        <f>TEXT(Inventory_Data[[#This Row],[Date]],"MMM")</f>
        <v>Feb</v>
      </c>
      <c r="Q1874" t="str">
        <f>TEXT(Inventory_Data[[#This Row],[Date]],"YYYY")</f>
        <v>2026</v>
      </c>
    </row>
    <row r="1875" spans="1:17" x14ac:dyDescent="0.3">
      <c r="A1875" s="1">
        <v>46054</v>
      </c>
      <c r="B1875" t="s">
        <v>40</v>
      </c>
      <c r="C1875" t="s">
        <v>28</v>
      </c>
      <c r="D1875" t="s">
        <v>23</v>
      </c>
      <c r="E1875" t="s">
        <v>15</v>
      </c>
      <c r="F1875">
        <v>47</v>
      </c>
      <c r="G1875">
        <v>105</v>
      </c>
      <c r="H1875">
        <v>86</v>
      </c>
      <c r="I1875">
        <v>66</v>
      </c>
      <c r="J1875">
        <v>53</v>
      </c>
      <c r="K1875">
        <v>41857</v>
      </c>
      <c r="L1875">
        <v>2762562</v>
      </c>
      <c r="M1875">
        <f>Inventory_Data[[#This Row],[Opening Stock]]+Inventory_Data[[#This Row],[Purchase Qty]]-Inventory_Data[[#This Row],[Sales Qty]]-Inventory_Data[[#This Row],[Closing Stock]]</f>
        <v>0</v>
      </c>
      <c r="N1875">
        <f>Inventory_Data[[#This Row],[Purchase Qty]]*Inventory_Data[[#This Row],[Unit Cost]]</f>
        <v>4394985</v>
      </c>
      <c r="O1875" t="str">
        <f>IF(Inventory_Data[[#This Row],[Closing Stock]]&lt;=Inventory_Data[[#This Row],[Reorder Level]],"Low Stock","In Stock")</f>
        <v>In Stock</v>
      </c>
      <c r="P1875" t="str">
        <f>TEXT(Inventory_Data[[#This Row],[Date]],"MMM")</f>
        <v>Feb</v>
      </c>
      <c r="Q1875" t="str">
        <f>TEXT(Inventory_Data[[#This Row],[Date]],"YYYY")</f>
        <v>2026</v>
      </c>
    </row>
    <row r="1876" spans="1:17" x14ac:dyDescent="0.3">
      <c r="A1876" s="1">
        <v>46055</v>
      </c>
      <c r="B1876" t="s">
        <v>45</v>
      </c>
      <c r="C1876" t="s">
        <v>13</v>
      </c>
      <c r="D1876" t="s">
        <v>37</v>
      </c>
      <c r="E1876" t="s">
        <v>15</v>
      </c>
      <c r="F1876">
        <v>52</v>
      </c>
      <c r="G1876">
        <v>57</v>
      </c>
      <c r="H1876">
        <v>63</v>
      </c>
      <c r="I1876">
        <v>46</v>
      </c>
      <c r="J1876">
        <v>23</v>
      </c>
      <c r="K1876">
        <v>11404</v>
      </c>
      <c r="L1876">
        <v>524584</v>
      </c>
      <c r="M1876">
        <f>Inventory_Data[[#This Row],[Opening Stock]]+Inventory_Data[[#This Row],[Purchase Qty]]-Inventory_Data[[#This Row],[Sales Qty]]-Inventory_Data[[#This Row],[Closing Stock]]</f>
        <v>0</v>
      </c>
      <c r="N1876">
        <f>Inventory_Data[[#This Row],[Purchase Qty]]*Inventory_Data[[#This Row],[Unit Cost]]</f>
        <v>650028</v>
      </c>
      <c r="O1876" t="str">
        <f>IF(Inventory_Data[[#This Row],[Closing Stock]]&lt;=Inventory_Data[[#This Row],[Reorder Level]],"Low Stock","In Stock")</f>
        <v>In Stock</v>
      </c>
      <c r="P1876" t="str">
        <f>TEXT(Inventory_Data[[#This Row],[Date]],"MMM")</f>
        <v>Feb</v>
      </c>
      <c r="Q1876" t="str">
        <f>TEXT(Inventory_Data[[#This Row],[Date]],"YYYY")</f>
        <v>2026</v>
      </c>
    </row>
    <row r="1877" spans="1:17" x14ac:dyDescent="0.3">
      <c r="A1877" s="1">
        <v>46055</v>
      </c>
      <c r="B1877" t="s">
        <v>44</v>
      </c>
      <c r="C1877" t="s">
        <v>28</v>
      </c>
      <c r="D1877" t="s">
        <v>37</v>
      </c>
      <c r="E1877" t="s">
        <v>24</v>
      </c>
      <c r="F1877">
        <v>71</v>
      </c>
      <c r="G1877">
        <v>39</v>
      </c>
      <c r="H1877">
        <v>62</v>
      </c>
      <c r="I1877">
        <v>48</v>
      </c>
      <c r="J1877">
        <v>24</v>
      </c>
      <c r="K1877">
        <v>12757</v>
      </c>
      <c r="L1877">
        <v>612336</v>
      </c>
      <c r="M1877">
        <f>Inventory_Data[[#This Row],[Opening Stock]]+Inventory_Data[[#This Row],[Purchase Qty]]-Inventory_Data[[#This Row],[Sales Qty]]-Inventory_Data[[#This Row],[Closing Stock]]</f>
        <v>0</v>
      </c>
      <c r="N1877">
        <f>Inventory_Data[[#This Row],[Purchase Qty]]*Inventory_Data[[#This Row],[Unit Cost]]</f>
        <v>497523</v>
      </c>
      <c r="O1877" t="str">
        <f>IF(Inventory_Data[[#This Row],[Closing Stock]]&lt;=Inventory_Data[[#This Row],[Reorder Level]],"Low Stock","In Stock")</f>
        <v>In Stock</v>
      </c>
      <c r="P1877" t="str">
        <f>TEXT(Inventory_Data[[#This Row],[Date]],"MMM")</f>
        <v>Feb</v>
      </c>
      <c r="Q1877" t="str">
        <f>TEXT(Inventory_Data[[#This Row],[Date]],"YYYY")</f>
        <v>2026</v>
      </c>
    </row>
    <row r="1878" spans="1:17" x14ac:dyDescent="0.3">
      <c r="A1878" s="1">
        <v>46055</v>
      </c>
      <c r="B1878" t="s">
        <v>38</v>
      </c>
      <c r="C1878" t="s">
        <v>17</v>
      </c>
      <c r="D1878" t="s">
        <v>26</v>
      </c>
      <c r="E1878" t="s">
        <v>15</v>
      </c>
      <c r="F1878">
        <v>25</v>
      </c>
      <c r="G1878">
        <v>47</v>
      </c>
      <c r="H1878">
        <v>10</v>
      </c>
      <c r="I1878">
        <v>62</v>
      </c>
      <c r="J1878">
        <v>26</v>
      </c>
      <c r="K1878">
        <v>17445</v>
      </c>
      <c r="L1878">
        <v>1081590</v>
      </c>
      <c r="M1878">
        <f>Inventory_Data[[#This Row],[Opening Stock]]+Inventory_Data[[#This Row],[Purchase Qty]]-Inventory_Data[[#This Row],[Sales Qty]]-Inventory_Data[[#This Row],[Closing Stock]]</f>
        <v>0</v>
      </c>
      <c r="N1878">
        <f>Inventory_Data[[#This Row],[Purchase Qty]]*Inventory_Data[[#This Row],[Unit Cost]]</f>
        <v>819915</v>
      </c>
      <c r="O1878" t="str">
        <f>IF(Inventory_Data[[#This Row],[Closing Stock]]&lt;=Inventory_Data[[#This Row],[Reorder Level]],"Low Stock","In Stock")</f>
        <v>In Stock</v>
      </c>
      <c r="P1878" t="str">
        <f>TEXT(Inventory_Data[[#This Row],[Date]],"MMM")</f>
        <v>Feb</v>
      </c>
      <c r="Q1878" t="str">
        <f>TEXT(Inventory_Data[[#This Row],[Date]],"YYYY")</f>
        <v>2026</v>
      </c>
    </row>
    <row r="1879" spans="1:17" x14ac:dyDescent="0.3">
      <c r="A1879" s="1">
        <v>46055</v>
      </c>
      <c r="B1879" t="s">
        <v>39</v>
      </c>
      <c r="C1879" t="s">
        <v>28</v>
      </c>
      <c r="D1879" t="s">
        <v>26</v>
      </c>
      <c r="E1879" t="s">
        <v>18</v>
      </c>
      <c r="F1879">
        <v>157</v>
      </c>
      <c r="G1879">
        <v>44</v>
      </c>
      <c r="H1879">
        <v>29</v>
      </c>
      <c r="I1879">
        <v>172</v>
      </c>
      <c r="J1879">
        <v>57</v>
      </c>
      <c r="K1879">
        <v>42146</v>
      </c>
      <c r="L1879">
        <v>7249112</v>
      </c>
      <c r="M1879">
        <f>Inventory_Data[[#This Row],[Opening Stock]]+Inventory_Data[[#This Row],[Purchase Qty]]-Inventory_Data[[#This Row],[Sales Qty]]-Inventory_Data[[#This Row],[Closing Stock]]</f>
        <v>0</v>
      </c>
      <c r="N1879">
        <f>Inventory_Data[[#This Row],[Purchase Qty]]*Inventory_Data[[#This Row],[Unit Cost]]</f>
        <v>1854424</v>
      </c>
      <c r="O1879" t="str">
        <f>IF(Inventory_Data[[#This Row],[Closing Stock]]&lt;=Inventory_Data[[#This Row],[Reorder Level]],"Low Stock","In Stock")</f>
        <v>In Stock</v>
      </c>
      <c r="P1879" t="str">
        <f>TEXT(Inventory_Data[[#This Row],[Date]],"MMM")</f>
        <v>Feb</v>
      </c>
      <c r="Q1879" t="str">
        <f>TEXT(Inventory_Data[[#This Row],[Date]],"YYYY")</f>
        <v>2026</v>
      </c>
    </row>
    <row r="1880" spans="1:17" x14ac:dyDescent="0.3">
      <c r="A1880" s="1">
        <v>46055</v>
      </c>
      <c r="B1880" t="s">
        <v>38</v>
      </c>
      <c r="C1880" t="s">
        <v>17</v>
      </c>
      <c r="D1880" t="s">
        <v>26</v>
      </c>
      <c r="E1880" t="s">
        <v>20</v>
      </c>
      <c r="F1880">
        <v>25</v>
      </c>
      <c r="G1880">
        <v>7</v>
      </c>
      <c r="H1880">
        <v>10</v>
      </c>
      <c r="I1880">
        <v>22</v>
      </c>
      <c r="J1880">
        <v>27</v>
      </c>
      <c r="K1880">
        <v>10762</v>
      </c>
      <c r="L1880">
        <v>236764</v>
      </c>
      <c r="M1880">
        <f>Inventory_Data[[#This Row],[Opening Stock]]+Inventory_Data[[#This Row],[Purchase Qty]]-Inventory_Data[[#This Row],[Sales Qty]]-Inventory_Data[[#This Row],[Closing Stock]]</f>
        <v>0</v>
      </c>
      <c r="N1880">
        <f>Inventory_Data[[#This Row],[Purchase Qty]]*Inventory_Data[[#This Row],[Unit Cost]]</f>
        <v>75334</v>
      </c>
      <c r="O1880" t="str">
        <f>IF(Inventory_Data[[#This Row],[Closing Stock]]&lt;=Inventory_Data[[#This Row],[Reorder Level]],"Low Stock","In Stock")</f>
        <v>Low Stock</v>
      </c>
      <c r="P1880" t="str">
        <f>TEXT(Inventory_Data[[#This Row],[Date]],"MMM")</f>
        <v>Feb</v>
      </c>
      <c r="Q1880" t="str">
        <f>TEXT(Inventory_Data[[#This Row],[Date]],"YYYY")</f>
        <v>2026</v>
      </c>
    </row>
    <row r="1881" spans="1:17" x14ac:dyDescent="0.3">
      <c r="A1881" s="1">
        <v>46055</v>
      </c>
      <c r="B1881" t="s">
        <v>42</v>
      </c>
      <c r="C1881" t="s">
        <v>17</v>
      </c>
      <c r="D1881" t="s">
        <v>14</v>
      </c>
      <c r="E1881" t="s">
        <v>18</v>
      </c>
      <c r="F1881">
        <v>84</v>
      </c>
      <c r="G1881">
        <v>29</v>
      </c>
      <c r="H1881">
        <v>32</v>
      </c>
      <c r="I1881">
        <v>81</v>
      </c>
      <c r="J1881">
        <v>16</v>
      </c>
      <c r="K1881">
        <v>6697</v>
      </c>
      <c r="L1881">
        <v>542457</v>
      </c>
      <c r="M1881">
        <f>Inventory_Data[[#This Row],[Opening Stock]]+Inventory_Data[[#This Row],[Purchase Qty]]-Inventory_Data[[#This Row],[Sales Qty]]-Inventory_Data[[#This Row],[Closing Stock]]</f>
        <v>0</v>
      </c>
      <c r="N1881">
        <f>Inventory_Data[[#This Row],[Purchase Qty]]*Inventory_Data[[#This Row],[Unit Cost]]</f>
        <v>194213</v>
      </c>
      <c r="O1881" t="str">
        <f>IF(Inventory_Data[[#This Row],[Closing Stock]]&lt;=Inventory_Data[[#This Row],[Reorder Level]],"Low Stock","In Stock")</f>
        <v>In Stock</v>
      </c>
      <c r="P1881" t="str">
        <f>TEXT(Inventory_Data[[#This Row],[Date]],"MMM")</f>
        <v>Feb</v>
      </c>
      <c r="Q1881" t="str">
        <f>TEXT(Inventory_Data[[#This Row],[Date]],"YYYY")</f>
        <v>2026</v>
      </c>
    </row>
    <row r="1882" spans="1:17" x14ac:dyDescent="0.3">
      <c r="A1882" s="1">
        <v>46055</v>
      </c>
      <c r="B1882" t="s">
        <v>35</v>
      </c>
      <c r="C1882" t="s">
        <v>22</v>
      </c>
      <c r="D1882" t="s">
        <v>26</v>
      </c>
      <c r="E1882" t="s">
        <v>20</v>
      </c>
      <c r="F1882">
        <v>180</v>
      </c>
      <c r="G1882">
        <v>79</v>
      </c>
      <c r="H1882">
        <v>102</v>
      </c>
      <c r="I1882">
        <v>157</v>
      </c>
      <c r="J1882">
        <v>103</v>
      </c>
      <c r="K1882">
        <v>911</v>
      </c>
      <c r="L1882">
        <v>143027</v>
      </c>
      <c r="M1882">
        <f>Inventory_Data[[#This Row],[Opening Stock]]+Inventory_Data[[#This Row],[Purchase Qty]]-Inventory_Data[[#This Row],[Sales Qty]]-Inventory_Data[[#This Row],[Closing Stock]]</f>
        <v>0</v>
      </c>
      <c r="N1882">
        <f>Inventory_Data[[#This Row],[Purchase Qty]]*Inventory_Data[[#This Row],[Unit Cost]]</f>
        <v>71969</v>
      </c>
      <c r="O1882" t="str">
        <f>IF(Inventory_Data[[#This Row],[Closing Stock]]&lt;=Inventory_Data[[#This Row],[Reorder Level]],"Low Stock","In Stock")</f>
        <v>In Stock</v>
      </c>
      <c r="P1882" t="str">
        <f>TEXT(Inventory_Data[[#This Row],[Date]],"MMM")</f>
        <v>Feb</v>
      </c>
      <c r="Q1882" t="str">
        <f>TEXT(Inventory_Data[[#This Row],[Date]],"YYYY")</f>
        <v>2026</v>
      </c>
    </row>
    <row r="1883" spans="1:17" x14ac:dyDescent="0.3">
      <c r="A1883" s="1">
        <v>46055</v>
      </c>
      <c r="B1883" t="s">
        <v>41</v>
      </c>
      <c r="C1883" t="s">
        <v>22</v>
      </c>
      <c r="D1883" t="s">
        <v>23</v>
      </c>
      <c r="E1883" t="s">
        <v>34</v>
      </c>
      <c r="F1883">
        <v>331</v>
      </c>
      <c r="G1883">
        <v>59</v>
      </c>
      <c r="H1883">
        <v>65</v>
      </c>
      <c r="I1883">
        <v>325</v>
      </c>
      <c r="J1883">
        <v>60</v>
      </c>
      <c r="K1883">
        <v>151</v>
      </c>
      <c r="L1883">
        <v>49075</v>
      </c>
      <c r="M1883">
        <f>Inventory_Data[[#This Row],[Opening Stock]]+Inventory_Data[[#This Row],[Purchase Qty]]-Inventory_Data[[#This Row],[Sales Qty]]-Inventory_Data[[#This Row],[Closing Stock]]</f>
        <v>0</v>
      </c>
      <c r="N1883">
        <f>Inventory_Data[[#This Row],[Purchase Qty]]*Inventory_Data[[#This Row],[Unit Cost]]</f>
        <v>8909</v>
      </c>
      <c r="O1883" t="str">
        <f>IF(Inventory_Data[[#This Row],[Closing Stock]]&lt;=Inventory_Data[[#This Row],[Reorder Level]],"Low Stock","In Stock")</f>
        <v>In Stock</v>
      </c>
      <c r="P1883" t="str">
        <f>TEXT(Inventory_Data[[#This Row],[Date]],"MMM")</f>
        <v>Feb</v>
      </c>
      <c r="Q1883" t="str">
        <f>TEXT(Inventory_Data[[#This Row],[Date]],"YYYY")</f>
        <v>2026</v>
      </c>
    </row>
    <row r="1884" spans="1:17" x14ac:dyDescent="0.3">
      <c r="A1884" s="1">
        <v>46056</v>
      </c>
      <c r="B1884" t="s">
        <v>35</v>
      </c>
      <c r="C1884" t="s">
        <v>22</v>
      </c>
      <c r="D1884" t="s">
        <v>14</v>
      </c>
      <c r="E1884" t="s">
        <v>15</v>
      </c>
      <c r="F1884">
        <v>330</v>
      </c>
      <c r="G1884">
        <v>232</v>
      </c>
      <c r="H1884">
        <v>60</v>
      </c>
      <c r="I1884">
        <v>502</v>
      </c>
      <c r="J1884">
        <v>70</v>
      </c>
      <c r="K1884">
        <v>343</v>
      </c>
      <c r="L1884">
        <v>172186</v>
      </c>
      <c r="M1884">
        <f>Inventory_Data[[#This Row],[Opening Stock]]+Inventory_Data[[#This Row],[Purchase Qty]]-Inventory_Data[[#This Row],[Sales Qty]]-Inventory_Data[[#This Row],[Closing Stock]]</f>
        <v>0</v>
      </c>
      <c r="N1884">
        <f>Inventory_Data[[#This Row],[Purchase Qty]]*Inventory_Data[[#This Row],[Unit Cost]]</f>
        <v>79576</v>
      </c>
      <c r="O1884" t="str">
        <f>IF(Inventory_Data[[#This Row],[Closing Stock]]&lt;=Inventory_Data[[#This Row],[Reorder Level]],"Low Stock","In Stock")</f>
        <v>In Stock</v>
      </c>
      <c r="P1884" t="str">
        <f>TEXT(Inventory_Data[[#This Row],[Date]],"MMM")</f>
        <v>Feb</v>
      </c>
      <c r="Q1884" t="str">
        <f>TEXT(Inventory_Data[[#This Row],[Date]],"YYYY")</f>
        <v>2026</v>
      </c>
    </row>
    <row r="1885" spans="1:17" x14ac:dyDescent="0.3">
      <c r="A1885" s="1">
        <v>46056</v>
      </c>
      <c r="B1885" t="s">
        <v>39</v>
      </c>
      <c r="C1885" t="s">
        <v>28</v>
      </c>
      <c r="D1885" t="s">
        <v>23</v>
      </c>
      <c r="E1885" t="s">
        <v>18</v>
      </c>
      <c r="F1885">
        <v>154</v>
      </c>
      <c r="G1885">
        <v>97</v>
      </c>
      <c r="H1885">
        <v>94</v>
      </c>
      <c r="I1885">
        <v>157</v>
      </c>
      <c r="J1885">
        <v>29</v>
      </c>
      <c r="K1885">
        <v>52561</v>
      </c>
      <c r="L1885">
        <v>8252077</v>
      </c>
      <c r="M1885">
        <f>Inventory_Data[[#This Row],[Opening Stock]]+Inventory_Data[[#This Row],[Purchase Qty]]-Inventory_Data[[#This Row],[Sales Qty]]-Inventory_Data[[#This Row],[Closing Stock]]</f>
        <v>0</v>
      </c>
      <c r="N1885">
        <f>Inventory_Data[[#This Row],[Purchase Qty]]*Inventory_Data[[#This Row],[Unit Cost]]</f>
        <v>5098417</v>
      </c>
      <c r="O1885" t="str">
        <f>IF(Inventory_Data[[#This Row],[Closing Stock]]&lt;=Inventory_Data[[#This Row],[Reorder Level]],"Low Stock","In Stock")</f>
        <v>In Stock</v>
      </c>
      <c r="P1885" t="str">
        <f>TEXT(Inventory_Data[[#This Row],[Date]],"MMM")</f>
        <v>Feb</v>
      </c>
      <c r="Q1885" t="str">
        <f>TEXT(Inventory_Data[[#This Row],[Date]],"YYYY")</f>
        <v>2026</v>
      </c>
    </row>
    <row r="1886" spans="1:17" x14ac:dyDescent="0.3">
      <c r="A1886" s="1">
        <v>46056</v>
      </c>
      <c r="B1886" t="s">
        <v>36</v>
      </c>
      <c r="C1886" t="s">
        <v>22</v>
      </c>
      <c r="D1886" t="s">
        <v>14</v>
      </c>
      <c r="E1886" t="s">
        <v>29</v>
      </c>
      <c r="F1886">
        <v>310</v>
      </c>
      <c r="G1886">
        <v>250</v>
      </c>
      <c r="H1886">
        <v>92</v>
      </c>
      <c r="I1886">
        <v>468</v>
      </c>
      <c r="J1886">
        <v>100</v>
      </c>
      <c r="K1886">
        <v>201</v>
      </c>
      <c r="L1886">
        <v>94068</v>
      </c>
      <c r="M1886">
        <f>Inventory_Data[[#This Row],[Opening Stock]]+Inventory_Data[[#This Row],[Purchase Qty]]-Inventory_Data[[#This Row],[Sales Qty]]-Inventory_Data[[#This Row],[Closing Stock]]</f>
        <v>0</v>
      </c>
      <c r="N1886">
        <f>Inventory_Data[[#This Row],[Purchase Qty]]*Inventory_Data[[#This Row],[Unit Cost]]</f>
        <v>50250</v>
      </c>
      <c r="O1886" t="str">
        <f>IF(Inventory_Data[[#This Row],[Closing Stock]]&lt;=Inventory_Data[[#This Row],[Reorder Level]],"Low Stock","In Stock")</f>
        <v>In Stock</v>
      </c>
      <c r="P1886" t="str">
        <f>TEXT(Inventory_Data[[#This Row],[Date]],"MMM")</f>
        <v>Feb</v>
      </c>
      <c r="Q1886" t="str">
        <f>TEXT(Inventory_Data[[#This Row],[Date]],"YYYY")</f>
        <v>2026</v>
      </c>
    </row>
    <row r="1887" spans="1:17" x14ac:dyDescent="0.3">
      <c r="A1887" s="1">
        <v>46056</v>
      </c>
      <c r="B1887" t="s">
        <v>21</v>
      </c>
      <c r="C1887" t="s">
        <v>22</v>
      </c>
      <c r="D1887" t="s">
        <v>26</v>
      </c>
      <c r="E1887" t="s">
        <v>34</v>
      </c>
      <c r="F1887">
        <v>345</v>
      </c>
      <c r="G1887">
        <v>285</v>
      </c>
      <c r="H1887">
        <v>183</v>
      </c>
      <c r="I1887">
        <v>447</v>
      </c>
      <c r="J1887">
        <v>136</v>
      </c>
      <c r="K1887">
        <v>1088</v>
      </c>
      <c r="L1887">
        <v>486336</v>
      </c>
      <c r="M1887">
        <f>Inventory_Data[[#This Row],[Opening Stock]]+Inventory_Data[[#This Row],[Purchase Qty]]-Inventory_Data[[#This Row],[Sales Qty]]-Inventory_Data[[#This Row],[Closing Stock]]</f>
        <v>0</v>
      </c>
      <c r="N1887">
        <f>Inventory_Data[[#This Row],[Purchase Qty]]*Inventory_Data[[#This Row],[Unit Cost]]</f>
        <v>310080</v>
      </c>
      <c r="O1887" t="str">
        <f>IF(Inventory_Data[[#This Row],[Closing Stock]]&lt;=Inventory_Data[[#This Row],[Reorder Level]],"Low Stock","In Stock")</f>
        <v>In Stock</v>
      </c>
      <c r="P1887" t="str">
        <f>TEXT(Inventory_Data[[#This Row],[Date]],"MMM")</f>
        <v>Feb</v>
      </c>
      <c r="Q1887" t="str">
        <f>TEXT(Inventory_Data[[#This Row],[Date]],"YYYY")</f>
        <v>2026</v>
      </c>
    </row>
    <row r="1888" spans="1:17" x14ac:dyDescent="0.3">
      <c r="A1888" s="1">
        <v>46056</v>
      </c>
      <c r="B1888" t="s">
        <v>31</v>
      </c>
      <c r="C1888" t="s">
        <v>22</v>
      </c>
      <c r="D1888" t="s">
        <v>14</v>
      </c>
      <c r="E1888" t="s">
        <v>15</v>
      </c>
      <c r="F1888">
        <v>68</v>
      </c>
      <c r="G1888">
        <v>92</v>
      </c>
      <c r="H1888">
        <v>160</v>
      </c>
      <c r="I1888">
        <v>0</v>
      </c>
      <c r="J1888">
        <v>84</v>
      </c>
      <c r="K1888">
        <v>1023</v>
      </c>
      <c r="L1888">
        <v>0</v>
      </c>
      <c r="M1888">
        <f>Inventory_Data[[#This Row],[Opening Stock]]+Inventory_Data[[#This Row],[Purchase Qty]]-Inventory_Data[[#This Row],[Sales Qty]]-Inventory_Data[[#This Row],[Closing Stock]]</f>
        <v>0</v>
      </c>
      <c r="N1888">
        <f>Inventory_Data[[#This Row],[Purchase Qty]]*Inventory_Data[[#This Row],[Unit Cost]]</f>
        <v>94116</v>
      </c>
      <c r="O1888" t="str">
        <f>IF(Inventory_Data[[#This Row],[Closing Stock]]&lt;=Inventory_Data[[#This Row],[Reorder Level]],"Low Stock","In Stock")</f>
        <v>Low Stock</v>
      </c>
      <c r="P1888" t="str">
        <f>TEXT(Inventory_Data[[#This Row],[Date]],"MMM")</f>
        <v>Feb</v>
      </c>
      <c r="Q1888" t="str">
        <f>TEXT(Inventory_Data[[#This Row],[Date]],"YYYY")</f>
        <v>2026</v>
      </c>
    </row>
    <row r="1889" spans="1:17" x14ac:dyDescent="0.3">
      <c r="A1889" s="1">
        <v>46056</v>
      </c>
      <c r="B1889" t="s">
        <v>35</v>
      </c>
      <c r="C1889" t="s">
        <v>22</v>
      </c>
      <c r="D1889" t="s">
        <v>37</v>
      </c>
      <c r="E1889" t="s">
        <v>18</v>
      </c>
      <c r="F1889">
        <v>133</v>
      </c>
      <c r="G1889">
        <v>243</v>
      </c>
      <c r="H1889">
        <v>43</v>
      </c>
      <c r="I1889">
        <v>333</v>
      </c>
      <c r="J1889">
        <v>82</v>
      </c>
      <c r="K1889">
        <v>581</v>
      </c>
      <c r="L1889">
        <v>193473</v>
      </c>
      <c r="M1889">
        <f>Inventory_Data[[#This Row],[Opening Stock]]+Inventory_Data[[#This Row],[Purchase Qty]]-Inventory_Data[[#This Row],[Sales Qty]]-Inventory_Data[[#This Row],[Closing Stock]]</f>
        <v>0</v>
      </c>
      <c r="N1889">
        <f>Inventory_Data[[#This Row],[Purchase Qty]]*Inventory_Data[[#This Row],[Unit Cost]]</f>
        <v>141183</v>
      </c>
      <c r="O1889" t="str">
        <f>IF(Inventory_Data[[#This Row],[Closing Stock]]&lt;=Inventory_Data[[#This Row],[Reorder Level]],"Low Stock","In Stock")</f>
        <v>In Stock</v>
      </c>
      <c r="P1889" t="str">
        <f>TEXT(Inventory_Data[[#This Row],[Date]],"MMM")</f>
        <v>Feb</v>
      </c>
      <c r="Q1889" t="str">
        <f>TEXT(Inventory_Data[[#This Row],[Date]],"YYYY")</f>
        <v>2026</v>
      </c>
    </row>
    <row r="1890" spans="1:17" x14ac:dyDescent="0.3">
      <c r="A1890" s="1">
        <v>46057</v>
      </c>
      <c r="B1890" t="s">
        <v>44</v>
      </c>
      <c r="C1890" t="s">
        <v>28</v>
      </c>
      <c r="D1890" t="s">
        <v>23</v>
      </c>
      <c r="E1890" t="s">
        <v>29</v>
      </c>
      <c r="F1890">
        <v>161</v>
      </c>
      <c r="G1890">
        <v>85</v>
      </c>
      <c r="H1890">
        <v>91</v>
      </c>
      <c r="I1890">
        <v>155</v>
      </c>
      <c r="J1890">
        <v>47</v>
      </c>
      <c r="K1890">
        <v>59310</v>
      </c>
      <c r="L1890">
        <v>9193050</v>
      </c>
      <c r="M1890">
        <f>Inventory_Data[[#This Row],[Opening Stock]]+Inventory_Data[[#This Row],[Purchase Qty]]-Inventory_Data[[#This Row],[Sales Qty]]-Inventory_Data[[#This Row],[Closing Stock]]</f>
        <v>0</v>
      </c>
      <c r="N1890">
        <f>Inventory_Data[[#This Row],[Purchase Qty]]*Inventory_Data[[#This Row],[Unit Cost]]</f>
        <v>5041350</v>
      </c>
      <c r="O1890" t="str">
        <f>IF(Inventory_Data[[#This Row],[Closing Stock]]&lt;=Inventory_Data[[#This Row],[Reorder Level]],"Low Stock","In Stock")</f>
        <v>In Stock</v>
      </c>
      <c r="P1890" t="str">
        <f>TEXT(Inventory_Data[[#This Row],[Date]],"MMM")</f>
        <v>Feb</v>
      </c>
      <c r="Q1890" t="str">
        <f>TEXT(Inventory_Data[[#This Row],[Date]],"YYYY")</f>
        <v>2026</v>
      </c>
    </row>
    <row r="1891" spans="1:17" x14ac:dyDescent="0.3">
      <c r="A1891" s="1">
        <v>46057</v>
      </c>
      <c r="B1891" t="s">
        <v>27</v>
      </c>
      <c r="C1891" t="s">
        <v>28</v>
      </c>
      <c r="D1891" t="s">
        <v>26</v>
      </c>
      <c r="E1891" t="s">
        <v>15</v>
      </c>
      <c r="F1891">
        <v>23</v>
      </c>
      <c r="G1891">
        <v>66</v>
      </c>
      <c r="H1891">
        <v>77</v>
      </c>
      <c r="I1891">
        <v>12</v>
      </c>
      <c r="J1891">
        <v>40</v>
      </c>
      <c r="K1891">
        <v>12688</v>
      </c>
      <c r="L1891">
        <v>152256</v>
      </c>
      <c r="M1891">
        <f>Inventory_Data[[#This Row],[Opening Stock]]+Inventory_Data[[#This Row],[Purchase Qty]]-Inventory_Data[[#This Row],[Sales Qty]]-Inventory_Data[[#This Row],[Closing Stock]]</f>
        <v>0</v>
      </c>
      <c r="N1891">
        <f>Inventory_Data[[#This Row],[Purchase Qty]]*Inventory_Data[[#This Row],[Unit Cost]]</f>
        <v>837408</v>
      </c>
      <c r="O1891" t="str">
        <f>IF(Inventory_Data[[#This Row],[Closing Stock]]&lt;=Inventory_Data[[#This Row],[Reorder Level]],"Low Stock","In Stock")</f>
        <v>Low Stock</v>
      </c>
      <c r="P1891" t="str">
        <f>TEXT(Inventory_Data[[#This Row],[Date]],"MMM")</f>
        <v>Feb</v>
      </c>
      <c r="Q1891" t="str">
        <f>TEXT(Inventory_Data[[#This Row],[Date]],"YYYY")</f>
        <v>2026</v>
      </c>
    </row>
    <row r="1892" spans="1:17" x14ac:dyDescent="0.3">
      <c r="A1892" s="1">
        <v>46057</v>
      </c>
      <c r="B1892" t="s">
        <v>41</v>
      </c>
      <c r="C1892" t="s">
        <v>22</v>
      </c>
      <c r="D1892" t="s">
        <v>14</v>
      </c>
      <c r="E1892" t="s">
        <v>24</v>
      </c>
      <c r="F1892">
        <v>445</v>
      </c>
      <c r="G1892">
        <v>231</v>
      </c>
      <c r="H1892">
        <v>27</v>
      </c>
      <c r="I1892">
        <v>649</v>
      </c>
      <c r="J1892">
        <v>73</v>
      </c>
      <c r="K1892">
        <v>1136</v>
      </c>
      <c r="L1892">
        <v>737264</v>
      </c>
      <c r="M1892">
        <f>Inventory_Data[[#This Row],[Opening Stock]]+Inventory_Data[[#This Row],[Purchase Qty]]-Inventory_Data[[#This Row],[Sales Qty]]-Inventory_Data[[#This Row],[Closing Stock]]</f>
        <v>0</v>
      </c>
      <c r="N1892">
        <f>Inventory_Data[[#This Row],[Purchase Qty]]*Inventory_Data[[#This Row],[Unit Cost]]</f>
        <v>262416</v>
      </c>
      <c r="O1892" t="str">
        <f>IF(Inventory_Data[[#This Row],[Closing Stock]]&lt;=Inventory_Data[[#This Row],[Reorder Level]],"Low Stock","In Stock")</f>
        <v>In Stock</v>
      </c>
      <c r="P1892" t="str">
        <f>TEXT(Inventory_Data[[#This Row],[Date]],"MMM")</f>
        <v>Feb</v>
      </c>
      <c r="Q1892" t="str">
        <f>TEXT(Inventory_Data[[#This Row],[Date]],"YYYY")</f>
        <v>2026</v>
      </c>
    </row>
    <row r="1893" spans="1:17" x14ac:dyDescent="0.3">
      <c r="A1893" s="1">
        <v>46057</v>
      </c>
      <c r="B1893" t="s">
        <v>21</v>
      </c>
      <c r="C1893" t="s">
        <v>22</v>
      </c>
      <c r="D1893" t="s">
        <v>26</v>
      </c>
      <c r="E1893" t="s">
        <v>24</v>
      </c>
      <c r="F1893">
        <v>256</v>
      </c>
      <c r="G1893">
        <v>136</v>
      </c>
      <c r="H1893">
        <v>155</v>
      </c>
      <c r="I1893">
        <v>237</v>
      </c>
      <c r="J1893">
        <v>111</v>
      </c>
      <c r="K1893">
        <v>898</v>
      </c>
      <c r="L1893">
        <v>212826</v>
      </c>
      <c r="M1893">
        <f>Inventory_Data[[#This Row],[Opening Stock]]+Inventory_Data[[#This Row],[Purchase Qty]]-Inventory_Data[[#This Row],[Sales Qty]]-Inventory_Data[[#This Row],[Closing Stock]]</f>
        <v>0</v>
      </c>
      <c r="N1893">
        <f>Inventory_Data[[#This Row],[Purchase Qty]]*Inventory_Data[[#This Row],[Unit Cost]]</f>
        <v>122128</v>
      </c>
      <c r="O1893" t="str">
        <f>IF(Inventory_Data[[#This Row],[Closing Stock]]&lt;=Inventory_Data[[#This Row],[Reorder Level]],"Low Stock","In Stock")</f>
        <v>In Stock</v>
      </c>
      <c r="P1893" t="str">
        <f>TEXT(Inventory_Data[[#This Row],[Date]],"MMM")</f>
        <v>Feb</v>
      </c>
      <c r="Q1893" t="str">
        <f>TEXT(Inventory_Data[[#This Row],[Date]],"YYYY")</f>
        <v>2026</v>
      </c>
    </row>
    <row r="1894" spans="1:17" x14ac:dyDescent="0.3">
      <c r="A1894" s="1">
        <v>46057</v>
      </c>
      <c r="B1894" t="s">
        <v>43</v>
      </c>
      <c r="C1894" t="s">
        <v>22</v>
      </c>
      <c r="D1894" t="s">
        <v>23</v>
      </c>
      <c r="E1894" t="s">
        <v>18</v>
      </c>
      <c r="F1894">
        <v>445</v>
      </c>
      <c r="G1894">
        <v>165</v>
      </c>
      <c r="H1894">
        <v>12</v>
      </c>
      <c r="I1894">
        <v>598</v>
      </c>
      <c r="J1894">
        <v>72</v>
      </c>
      <c r="K1894">
        <v>256</v>
      </c>
      <c r="L1894">
        <v>153088</v>
      </c>
      <c r="M1894">
        <f>Inventory_Data[[#This Row],[Opening Stock]]+Inventory_Data[[#This Row],[Purchase Qty]]-Inventory_Data[[#This Row],[Sales Qty]]-Inventory_Data[[#This Row],[Closing Stock]]</f>
        <v>0</v>
      </c>
      <c r="N1894">
        <f>Inventory_Data[[#This Row],[Purchase Qty]]*Inventory_Data[[#This Row],[Unit Cost]]</f>
        <v>42240</v>
      </c>
      <c r="O1894" t="str">
        <f>IF(Inventory_Data[[#This Row],[Closing Stock]]&lt;=Inventory_Data[[#This Row],[Reorder Level]],"Low Stock","In Stock")</f>
        <v>In Stock</v>
      </c>
      <c r="P1894" t="str">
        <f>TEXT(Inventory_Data[[#This Row],[Date]],"MMM")</f>
        <v>Feb</v>
      </c>
      <c r="Q1894" t="str">
        <f>TEXT(Inventory_Data[[#This Row],[Date]],"YYYY")</f>
        <v>2026</v>
      </c>
    </row>
    <row r="1895" spans="1:17" x14ac:dyDescent="0.3">
      <c r="A1895" s="1">
        <v>46057</v>
      </c>
      <c r="B1895" t="s">
        <v>27</v>
      </c>
      <c r="C1895" t="s">
        <v>28</v>
      </c>
      <c r="D1895" t="s">
        <v>26</v>
      </c>
      <c r="E1895" t="s">
        <v>20</v>
      </c>
      <c r="F1895">
        <v>105</v>
      </c>
      <c r="G1895">
        <v>73</v>
      </c>
      <c r="H1895">
        <v>36</v>
      </c>
      <c r="I1895">
        <v>142</v>
      </c>
      <c r="J1895">
        <v>34</v>
      </c>
      <c r="K1895">
        <v>25711</v>
      </c>
      <c r="L1895">
        <v>3650962</v>
      </c>
      <c r="M1895">
        <f>Inventory_Data[[#This Row],[Opening Stock]]+Inventory_Data[[#This Row],[Purchase Qty]]-Inventory_Data[[#This Row],[Sales Qty]]-Inventory_Data[[#This Row],[Closing Stock]]</f>
        <v>0</v>
      </c>
      <c r="N1895">
        <f>Inventory_Data[[#This Row],[Purchase Qty]]*Inventory_Data[[#This Row],[Unit Cost]]</f>
        <v>1876903</v>
      </c>
      <c r="O1895" t="str">
        <f>IF(Inventory_Data[[#This Row],[Closing Stock]]&lt;=Inventory_Data[[#This Row],[Reorder Level]],"Low Stock","In Stock")</f>
        <v>In Stock</v>
      </c>
      <c r="P1895" t="str">
        <f>TEXT(Inventory_Data[[#This Row],[Date]],"MMM")</f>
        <v>Feb</v>
      </c>
      <c r="Q1895" t="str">
        <f>TEXT(Inventory_Data[[#This Row],[Date]],"YYYY")</f>
        <v>2026</v>
      </c>
    </row>
    <row r="1896" spans="1:17" x14ac:dyDescent="0.3">
      <c r="A1896" s="1">
        <v>46058</v>
      </c>
      <c r="B1896" t="s">
        <v>45</v>
      </c>
      <c r="C1896" t="s">
        <v>13</v>
      </c>
      <c r="D1896" t="s">
        <v>23</v>
      </c>
      <c r="E1896" t="s">
        <v>18</v>
      </c>
      <c r="F1896">
        <v>90</v>
      </c>
      <c r="G1896">
        <v>50</v>
      </c>
      <c r="H1896">
        <v>34</v>
      </c>
      <c r="I1896">
        <v>106</v>
      </c>
      <c r="J1896">
        <v>30</v>
      </c>
      <c r="K1896">
        <v>16522</v>
      </c>
      <c r="L1896">
        <v>1751332</v>
      </c>
      <c r="M1896">
        <f>Inventory_Data[[#This Row],[Opening Stock]]+Inventory_Data[[#This Row],[Purchase Qty]]-Inventory_Data[[#This Row],[Sales Qty]]-Inventory_Data[[#This Row],[Closing Stock]]</f>
        <v>0</v>
      </c>
      <c r="N1896">
        <f>Inventory_Data[[#This Row],[Purchase Qty]]*Inventory_Data[[#This Row],[Unit Cost]]</f>
        <v>826100</v>
      </c>
      <c r="O1896" t="str">
        <f>IF(Inventory_Data[[#This Row],[Closing Stock]]&lt;=Inventory_Data[[#This Row],[Reorder Level]],"Low Stock","In Stock")</f>
        <v>In Stock</v>
      </c>
      <c r="P1896" t="str">
        <f>TEXT(Inventory_Data[[#This Row],[Date]],"MMM")</f>
        <v>Feb</v>
      </c>
      <c r="Q1896" t="str">
        <f>TEXT(Inventory_Data[[#This Row],[Date]],"YYYY")</f>
        <v>2026</v>
      </c>
    </row>
    <row r="1897" spans="1:17" x14ac:dyDescent="0.3">
      <c r="A1897" s="1">
        <v>46058</v>
      </c>
      <c r="B1897" t="s">
        <v>19</v>
      </c>
      <c r="C1897" t="s">
        <v>13</v>
      </c>
      <c r="D1897" t="s">
        <v>26</v>
      </c>
      <c r="E1897" t="s">
        <v>18</v>
      </c>
      <c r="F1897">
        <v>117</v>
      </c>
      <c r="G1897">
        <v>69</v>
      </c>
      <c r="H1897">
        <v>61</v>
      </c>
      <c r="I1897">
        <v>125</v>
      </c>
      <c r="J1897">
        <v>28</v>
      </c>
      <c r="K1897">
        <v>14639</v>
      </c>
      <c r="L1897">
        <v>1829875</v>
      </c>
      <c r="M1897">
        <f>Inventory_Data[[#This Row],[Opening Stock]]+Inventory_Data[[#This Row],[Purchase Qty]]-Inventory_Data[[#This Row],[Sales Qty]]-Inventory_Data[[#This Row],[Closing Stock]]</f>
        <v>0</v>
      </c>
      <c r="N1897">
        <f>Inventory_Data[[#This Row],[Purchase Qty]]*Inventory_Data[[#This Row],[Unit Cost]]</f>
        <v>1010091</v>
      </c>
      <c r="O1897" t="str">
        <f>IF(Inventory_Data[[#This Row],[Closing Stock]]&lt;=Inventory_Data[[#This Row],[Reorder Level]],"Low Stock","In Stock")</f>
        <v>In Stock</v>
      </c>
      <c r="P1897" t="str">
        <f>TEXT(Inventory_Data[[#This Row],[Date]],"MMM")</f>
        <v>Feb</v>
      </c>
      <c r="Q1897" t="str">
        <f>TEXT(Inventory_Data[[#This Row],[Date]],"YYYY")</f>
        <v>2026</v>
      </c>
    </row>
    <row r="1898" spans="1:17" x14ac:dyDescent="0.3">
      <c r="A1898" s="1">
        <v>46058</v>
      </c>
      <c r="B1898" t="s">
        <v>30</v>
      </c>
      <c r="C1898" t="s">
        <v>28</v>
      </c>
      <c r="D1898" t="s">
        <v>26</v>
      </c>
      <c r="E1898" t="s">
        <v>24</v>
      </c>
      <c r="F1898">
        <v>115</v>
      </c>
      <c r="G1898">
        <v>13</v>
      </c>
      <c r="H1898">
        <v>67</v>
      </c>
      <c r="I1898">
        <v>61</v>
      </c>
      <c r="J1898">
        <v>36</v>
      </c>
      <c r="K1898">
        <v>59619</v>
      </c>
      <c r="L1898">
        <v>3636759</v>
      </c>
      <c r="M1898">
        <f>Inventory_Data[[#This Row],[Opening Stock]]+Inventory_Data[[#This Row],[Purchase Qty]]-Inventory_Data[[#This Row],[Sales Qty]]-Inventory_Data[[#This Row],[Closing Stock]]</f>
        <v>0</v>
      </c>
      <c r="N1898">
        <f>Inventory_Data[[#This Row],[Purchase Qty]]*Inventory_Data[[#This Row],[Unit Cost]]</f>
        <v>775047</v>
      </c>
      <c r="O1898" t="str">
        <f>IF(Inventory_Data[[#This Row],[Closing Stock]]&lt;=Inventory_Data[[#This Row],[Reorder Level]],"Low Stock","In Stock")</f>
        <v>In Stock</v>
      </c>
      <c r="P1898" t="str">
        <f>TEXT(Inventory_Data[[#This Row],[Date]],"MMM")</f>
        <v>Feb</v>
      </c>
      <c r="Q1898" t="str">
        <f>TEXT(Inventory_Data[[#This Row],[Date]],"YYYY")</f>
        <v>2026</v>
      </c>
    </row>
    <row r="1899" spans="1:17" x14ac:dyDescent="0.3">
      <c r="A1899" s="1">
        <v>46058</v>
      </c>
      <c r="B1899" t="s">
        <v>30</v>
      </c>
      <c r="C1899" t="s">
        <v>28</v>
      </c>
      <c r="D1899" t="s">
        <v>37</v>
      </c>
      <c r="E1899" t="s">
        <v>15</v>
      </c>
      <c r="F1899">
        <v>47</v>
      </c>
      <c r="G1899">
        <v>101</v>
      </c>
      <c r="H1899">
        <v>26</v>
      </c>
      <c r="I1899">
        <v>122</v>
      </c>
      <c r="J1899">
        <v>26</v>
      </c>
      <c r="K1899">
        <v>43397</v>
      </c>
      <c r="L1899">
        <v>5294434</v>
      </c>
      <c r="M1899">
        <f>Inventory_Data[[#This Row],[Opening Stock]]+Inventory_Data[[#This Row],[Purchase Qty]]-Inventory_Data[[#This Row],[Sales Qty]]-Inventory_Data[[#This Row],[Closing Stock]]</f>
        <v>0</v>
      </c>
      <c r="N1899">
        <f>Inventory_Data[[#This Row],[Purchase Qty]]*Inventory_Data[[#This Row],[Unit Cost]]</f>
        <v>4383097</v>
      </c>
      <c r="O1899" t="str">
        <f>IF(Inventory_Data[[#This Row],[Closing Stock]]&lt;=Inventory_Data[[#This Row],[Reorder Level]],"Low Stock","In Stock")</f>
        <v>In Stock</v>
      </c>
      <c r="P1899" t="str">
        <f>TEXT(Inventory_Data[[#This Row],[Date]],"MMM")</f>
        <v>Feb</v>
      </c>
      <c r="Q1899" t="str">
        <f>TEXT(Inventory_Data[[#This Row],[Date]],"YYYY")</f>
        <v>2026</v>
      </c>
    </row>
    <row r="1900" spans="1:17" x14ac:dyDescent="0.3">
      <c r="A1900" s="1">
        <v>46058</v>
      </c>
      <c r="B1900" t="s">
        <v>21</v>
      </c>
      <c r="C1900" t="s">
        <v>22</v>
      </c>
      <c r="D1900" t="s">
        <v>14</v>
      </c>
      <c r="E1900" t="s">
        <v>24</v>
      </c>
      <c r="F1900">
        <v>487</v>
      </c>
      <c r="G1900">
        <v>57</v>
      </c>
      <c r="H1900">
        <v>269</v>
      </c>
      <c r="I1900">
        <v>275</v>
      </c>
      <c r="J1900">
        <v>88</v>
      </c>
      <c r="K1900">
        <v>1001</v>
      </c>
      <c r="L1900">
        <v>275275</v>
      </c>
      <c r="M1900">
        <f>Inventory_Data[[#This Row],[Opening Stock]]+Inventory_Data[[#This Row],[Purchase Qty]]-Inventory_Data[[#This Row],[Sales Qty]]-Inventory_Data[[#This Row],[Closing Stock]]</f>
        <v>0</v>
      </c>
      <c r="N1900">
        <f>Inventory_Data[[#This Row],[Purchase Qty]]*Inventory_Data[[#This Row],[Unit Cost]]</f>
        <v>57057</v>
      </c>
      <c r="O1900" t="str">
        <f>IF(Inventory_Data[[#This Row],[Closing Stock]]&lt;=Inventory_Data[[#This Row],[Reorder Level]],"Low Stock","In Stock")</f>
        <v>In Stock</v>
      </c>
      <c r="P1900" t="str">
        <f>TEXT(Inventory_Data[[#This Row],[Date]],"MMM")</f>
        <v>Feb</v>
      </c>
      <c r="Q1900" t="str">
        <f>TEXT(Inventory_Data[[#This Row],[Date]],"YYYY")</f>
        <v>2026</v>
      </c>
    </row>
    <row r="1901" spans="1:17" x14ac:dyDescent="0.3">
      <c r="A1901" s="1">
        <v>46059</v>
      </c>
      <c r="B1901" t="s">
        <v>19</v>
      </c>
      <c r="C1901" t="s">
        <v>13</v>
      </c>
      <c r="D1901" t="s">
        <v>37</v>
      </c>
      <c r="E1901" t="s">
        <v>24</v>
      </c>
      <c r="F1901">
        <v>102</v>
      </c>
      <c r="G1901">
        <v>76</v>
      </c>
      <c r="H1901">
        <v>63</v>
      </c>
      <c r="I1901">
        <v>115</v>
      </c>
      <c r="J1901">
        <v>24</v>
      </c>
      <c r="K1901">
        <v>17392</v>
      </c>
      <c r="L1901">
        <v>2000080</v>
      </c>
      <c r="M1901">
        <f>Inventory_Data[[#This Row],[Opening Stock]]+Inventory_Data[[#This Row],[Purchase Qty]]-Inventory_Data[[#This Row],[Sales Qty]]-Inventory_Data[[#This Row],[Closing Stock]]</f>
        <v>0</v>
      </c>
      <c r="N1901">
        <f>Inventory_Data[[#This Row],[Purchase Qty]]*Inventory_Data[[#This Row],[Unit Cost]]</f>
        <v>1321792</v>
      </c>
      <c r="O1901" t="str">
        <f>IF(Inventory_Data[[#This Row],[Closing Stock]]&lt;=Inventory_Data[[#This Row],[Reorder Level]],"Low Stock","In Stock")</f>
        <v>In Stock</v>
      </c>
      <c r="P1901" t="str">
        <f>TEXT(Inventory_Data[[#This Row],[Date]],"MMM")</f>
        <v>Feb</v>
      </c>
      <c r="Q1901" t="str">
        <f>TEXT(Inventory_Data[[#This Row],[Date]],"YYYY")</f>
        <v>2026</v>
      </c>
    </row>
    <row r="1902" spans="1:17" x14ac:dyDescent="0.3">
      <c r="A1902" s="1">
        <v>46059</v>
      </c>
      <c r="B1902" t="s">
        <v>39</v>
      </c>
      <c r="C1902" t="s">
        <v>28</v>
      </c>
      <c r="D1902" t="s">
        <v>23</v>
      </c>
      <c r="E1902" t="s">
        <v>34</v>
      </c>
      <c r="F1902">
        <v>57</v>
      </c>
      <c r="G1902">
        <v>52</v>
      </c>
      <c r="H1902">
        <v>36</v>
      </c>
      <c r="I1902">
        <v>73</v>
      </c>
      <c r="J1902">
        <v>42</v>
      </c>
      <c r="K1902">
        <v>7206</v>
      </c>
      <c r="L1902">
        <v>526038</v>
      </c>
      <c r="M1902">
        <f>Inventory_Data[[#This Row],[Opening Stock]]+Inventory_Data[[#This Row],[Purchase Qty]]-Inventory_Data[[#This Row],[Sales Qty]]-Inventory_Data[[#This Row],[Closing Stock]]</f>
        <v>0</v>
      </c>
      <c r="N1902">
        <f>Inventory_Data[[#This Row],[Purchase Qty]]*Inventory_Data[[#This Row],[Unit Cost]]</f>
        <v>374712</v>
      </c>
      <c r="O1902" t="str">
        <f>IF(Inventory_Data[[#This Row],[Closing Stock]]&lt;=Inventory_Data[[#This Row],[Reorder Level]],"Low Stock","In Stock")</f>
        <v>In Stock</v>
      </c>
      <c r="P1902" t="str">
        <f>TEXT(Inventory_Data[[#This Row],[Date]],"MMM")</f>
        <v>Feb</v>
      </c>
      <c r="Q1902" t="str">
        <f>TEXT(Inventory_Data[[#This Row],[Date]],"YYYY")</f>
        <v>2026</v>
      </c>
    </row>
    <row r="1903" spans="1:17" x14ac:dyDescent="0.3">
      <c r="A1903" s="1">
        <v>46059</v>
      </c>
      <c r="B1903" t="s">
        <v>31</v>
      </c>
      <c r="C1903" t="s">
        <v>22</v>
      </c>
      <c r="D1903" t="s">
        <v>23</v>
      </c>
      <c r="E1903" t="s">
        <v>15</v>
      </c>
      <c r="F1903">
        <v>123</v>
      </c>
      <c r="G1903">
        <v>47</v>
      </c>
      <c r="H1903">
        <v>149</v>
      </c>
      <c r="I1903">
        <v>21</v>
      </c>
      <c r="J1903">
        <v>121</v>
      </c>
      <c r="K1903">
        <v>1158</v>
      </c>
      <c r="L1903">
        <v>24318</v>
      </c>
      <c r="M1903">
        <f>Inventory_Data[[#This Row],[Opening Stock]]+Inventory_Data[[#This Row],[Purchase Qty]]-Inventory_Data[[#This Row],[Sales Qty]]-Inventory_Data[[#This Row],[Closing Stock]]</f>
        <v>0</v>
      </c>
      <c r="N1903">
        <f>Inventory_Data[[#This Row],[Purchase Qty]]*Inventory_Data[[#This Row],[Unit Cost]]</f>
        <v>54426</v>
      </c>
      <c r="O1903" t="str">
        <f>IF(Inventory_Data[[#This Row],[Closing Stock]]&lt;=Inventory_Data[[#This Row],[Reorder Level]],"Low Stock","In Stock")</f>
        <v>Low Stock</v>
      </c>
      <c r="P1903" t="str">
        <f>TEXT(Inventory_Data[[#This Row],[Date]],"MMM")</f>
        <v>Feb</v>
      </c>
      <c r="Q1903" t="str">
        <f>TEXT(Inventory_Data[[#This Row],[Date]],"YYYY")</f>
        <v>2026</v>
      </c>
    </row>
    <row r="1904" spans="1:17" x14ac:dyDescent="0.3">
      <c r="A1904" s="1">
        <v>46059</v>
      </c>
      <c r="B1904" t="s">
        <v>44</v>
      </c>
      <c r="C1904" t="s">
        <v>28</v>
      </c>
      <c r="D1904" t="s">
        <v>14</v>
      </c>
      <c r="E1904" t="s">
        <v>24</v>
      </c>
      <c r="F1904">
        <v>37</v>
      </c>
      <c r="G1904">
        <v>86</v>
      </c>
      <c r="H1904">
        <v>90</v>
      </c>
      <c r="I1904">
        <v>33</v>
      </c>
      <c r="J1904">
        <v>33</v>
      </c>
      <c r="K1904">
        <v>25309</v>
      </c>
      <c r="L1904">
        <v>835197</v>
      </c>
      <c r="M1904">
        <f>Inventory_Data[[#This Row],[Opening Stock]]+Inventory_Data[[#This Row],[Purchase Qty]]-Inventory_Data[[#This Row],[Sales Qty]]-Inventory_Data[[#This Row],[Closing Stock]]</f>
        <v>0</v>
      </c>
      <c r="N1904">
        <f>Inventory_Data[[#This Row],[Purchase Qty]]*Inventory_Data[[#This Row],[Unit Cost]]</f>
        <v>2176574</v>
      </c>
      <c r="O1904" t="str">
        <f>IF(Inventory_Data[[#This Row],[Closing Stock]]&lt;=Inventory_Data[[#This Row],[Reorder Level]],"Low Stock","In Stock")</f>
        <v>Low Stock</v>
      </c>
      <c r="P1904" t="str">
        <f>TEXT(Inventory_Data[[#This Row],[Date]],"MMM")</f>
        <v>Feb</v>
      </c>
      <c r="Q1904" t="str">
        <f>TEXT(Inventory_Data[[#This Row],[Date]],"YYYY")</f>
        <v>2026</v>
      </c>
    </row>
    <row r="1905" spans="1:17" x14ac:dyDescent="0.3">
      <c r="A1905" s="1">
        <v>46059</v>
      </c>
      <c r="B1905" t="s">
        <v>39</v>
      </c>
      <c r="C1905" t="s">
        <v>28</v>
      </c>
      <c r="D1905" t="s">
        <v>23</v>
      </c>
      <c r="E1905" t="s">
        <v>15</v>
      </c>
      <c r="F1905">
        <v>24</v>
      </c>
      <c r="G1905">
        <v>28</v>
      </c>
      <c r="H1905">
        <v>46</v>
      </c>
      <c r="I1905">
        <v>6</v>
      </c>
      <c r="J1905">
        <v>51</v>
      </c>
      <c r="K1905">
        <v>7729</v>
      </c>
      <c r="L1905">
        <v>46374</v>
      </c>
      <c r="M1905">
        <f>Inventory_Data[[#This Row],[Opening Stock]]+Inventory_Data[[#This Row],[Purchase Qty]]-Inventory_Data[[#This Row],[Sales Qty]]-Inventory_Data[[#This Row],[Closing Stock]]</f>
        <v>0</v>
      </c>
      <c r="N1905">
        <f>Inventory_Data[[#This Row],[Purchase Qty]]*Inventory_Data[[#This Row],[Unit Cost]]</f>
        <v>216412</v>
      </c>
      <c r="O1905" t="str">
        <f>IF(Inventory_Data[[#This Row],[Closing Stock]]&lt;=Inventory_Data[[#This Row],[Reorder Level]],"Low Stock","In Stock")</f>
        <v>Low Stock</v>
      </c>
      <c r="P1905" t="str">
        <f>TEXT(Inventory_Data[[#This Row],[Date]],"MMM")</f>
        <v>Feb</v>
      </c>
      <c r="Q1905" t="str">
        <f>TEXT(Inventory_Data[[#This Row],[Date]],"YYYY")</f>
        <v>2026</v>
      </c>
    </row>
    <row r="1906" spans="1:17" x14ac:dyDescent="0.3">
      <c r="A1906" s="1">
        <v>46060</v>
      </c>
      <c r="B1906" t="s">
        <v>43</v>
      </c>
      <c r="C1906" t="s">
        <v>22</v>
      </c>
      <c r="D1906" t="s">
        <v>14</v>
      </c>
      <c r="E1906" t="s">
        <v>24</v>
      </c>
      <c r="F1906">
        <v>395</v>
      </c>
      <c r="G1906">
        <v>176</v>
      </c>
      <c r="H1906">
        <v>157</v>
      </c>
      <c r="I1906">
        <v>414</v>
      </c>
      <c r="J1906">
        <v>120</v>
      </c>
      <c r="K1906">
        <v>883</v>
      </c>
      <c r="L1906">
        <v>365562</v>
      </c>
      <c r="M1906">
        <f>Inventory_Data[[#This Row],[Opening Stock]]+Inventory_Data[[#This Row],[Purchase Qty]]-Inventory_Data[[#This Row],[Sales Qty]]-Inventory_Data[[#This Row],[Closing Stock]]</f>
        <v>0</v>
      </c>
      <c r="N1906">
        <f>Inventory_Data[[#This Row],[Purchase Qty]]*Inventory_Data[[#This Row],[Unit Cost]]</f>
        <v>155408</v>
      </c>
      <c r="O1906" t="str">
        <f>IF(Inventory_Data[[#This Row],[Closing Stock]]&lt;=Inventory_Data[[#This Row],[Reorder Level]],"Low Stock","In Stock")</f>
        <v>In Stock</v>
      </c>
      <c r="P1906" t="str">
        <f>TEXT(Inventory_Data[[#This Row],[Date]],"MMM")</f>
        <v>Feb</v>
      </c>
      <c r="Q1906" t="str">
        <f>TEXT(Inventory_Data[[#This Row],[Date]],"YYYY")</f>
        <v>2026</v>
      </c>
    </row>
    <row r="1907" spans="1:17" x14ac:dyDescent="0.3">
      <c r="A1907" s="1">
        <v>46060</v>
      </c>
      <c r="B1907" t="s">
        <v>44</v>
      </c>
      <c r="C1907" t="s">
        <v>28</v>
      </c>
      <c r="D1907" t="s">
        <v>14</v>
      </c>
      <c r="E1907" t="s">
        <v>34</v>
      </c>
      <c r="F1907">
        <v>179</v>
      </c>
      <c r="G1907">
        <v>53</v>
      </c>
      <c r="H1907">
        <v>59</v>
      </c>
      <c r="I1907">
        <v>173</v>
      </c>
      <c r="J1907">
        <v>24</v>
      </c>
      <c r="K1907">
        <v>42095</v>
      </c>
      <c r="L1907">
        <v>7282435</v>
      </c>
      <c r="M1907">
        <f>Inventory_Data[[#This Row],[Opening Stock]]+Inventory_Data[[#This Row],[Purchase Qty]]-Inventory_Data[[#This Row],[Sales Qty]]-Inventory_Data[[#This Row],[Closing Stock]]</f>
        <v>0</v>
      </c>
      <c r="N1907">
        <f>Inventory_Data[[#This Row],[Purchase Qty]]*Inventory_Data[[#This Row],[Unit Cost]]</f>
        <v>2231035</v>
      </c>
      <c r="O1907" t="str">
        <f>IF(Inventory_Data[[#This Row],[Closing Stock]]&lt;=Inventory_Data[[#This Row],[Reorder Level]],"Low Stock","In Stock")</f>
        <v>In Stock</v>
      </c>
      <c r="P1907" t="str">
        <f>TEXT(Inventory_Data[[#This Row],[Date]],"MMM")</f>
        <v>Feb</v>
      </c>
      <c r="Q1907" t="str">
        <f>TEXT(Inventory_Data[[#This Row],[Date]],"YYYY")</f>
        <v>2026</v>
      </c>
    </row>
    <row r="1908" spans="1:17" x14ac:dyDescent="0.3">
      <c r="A1908" s="1">
        <v>46060</v>
      </c>
      <c r="B1908" t="s">
        <v>30</v>
      </c>
      <c r="C1908" t="s">
        <v>28</v>
      </c>
      <c r="D1908" t="s">
        <v>23</v>
      </c>
      <c r="E1908" t="s">
        <v>34</v>
      </c>
      <c r="F1908">
        <v>128</v>
      </c>
      <c r="G1908">
        <v>69</v>
      </c>
      <c r="H1908">
        <v>75</v>
      </c>
      <c r="I1908">
        <v>122</v>
      </c>
      <c r="J1908">
        <v>26</v>
      </c>
      <c r="K1908">
        <v>24654</v>
      </c>
      <c r="L1908">
        <v>3007788</v>
      </c>
      <c r="M1908">
        <f>Inventory_Data[[#This Row],[Opening Stock]]+Inventory_Data[[#This Row],[Purchase Qty]]-Inventory_Data[[#This Row],[Sales Qty]]-Inventory_Data[[#This Row],[Closing Stock]]</f>
        <v>0</v>
      </c>
      <c r="N1908">
        <f>Inventory_Data[[#This Row],[Purchase Qty]]*Inventory_Data[[#This Row],[Unit Cost]]</f>
        <v>1701126</v>
      </c>
      <c r="O1908" t="str">
        <f>IF(Inventory_Data[[#This Row],[Closing Stock]]&lt;=Inventory_Data[[#This Row],[Reorder Level]],"Low Stock","In Stock")</f>
        <v>In Stock</v>
      </c>
      <c r="P1908" t="str">
        <f>TEXT(Inventory_Data[[#This Row],[Date]],"MMM")</f>
        <v>Feb</v>
      </c>
      <c r="Q1908" t="str">
        <f>TEXT(Inventory_Data[[#This Row],[Date]],"YYYY")</f>
        <v>2026</v>
      </c>
    </row>
    <row r="1909" spans="1:17" x14ac:dyDescent="0.3">
      <c r="A1909" s="1">
        <v>46061</v>
      </c>
      <c r="B1909" t="s">
        <v>16</v>
      </c>
      <c r="C1909" t="s">
        <v>17</v>
      </c>
      <c r="D1909" t="s">
        <v>23</v>
      </c>
      <c r="E1909" t="s">
        <v>24</v>
      </c>
      <c r="F1909">
        <v>42</v>
      </c>
      <c r="G1909">
        <v>33</v>
      </c>
      <c r="H1909">
        <v>17</v>
      </c>
      <c r="I1909">
        <v>58</v>
      </c>
      <c r="J1909">
        <v>16</v>
      </c>
      <c r="K1909">
        <v>15401</v>
      </c>
      <c r="L1909">
        <v>893258</v>
      </c>
      <c r="M1909">
        <f>Inventory_Data[[#This Row],[Opening Stock]]+Inventory_Data[[#This Row],[Purchase Qty]]-Inventory_Data[[#This Row],[Sales Qty]]-Inventory_Data[[#This Row],[Closing Stock]]</f>
        <v>0</v>
      </c>
      <c r="N1909">
        <f>Inventory_Data[[#This Row],[Purchase Qty]]*Inventory_Data[[#This Row],[Unit Cost]]</f>
        <v>508233</v>
      </c>
      <c r="O1909" t="str">
        <f>IF(Inventory_Data[[#This Row],[Closing Stock]]&lt;=Inventory_Data[[#This Row],[Reorder Level]],"Low Stock","In Stock")</f>
        <v>In Stock</v>
      </c>
      <c r="P1909" t="str">
        <f>TEXT(Inventory_Data[[#This Row],[Date]],"MMM")</f>
        <v>Feb</v>
      </c>
      <c r="Q1909" t="str">
        <f>TEXT(Inventory_Data[[#This Row],[Date]],"YYYY")</f>
        <v>2026</v>
      </c>
    </row>
    <row r="1910" spans="1:17" x14ac:dyDescent="0.3">
      <c r="A1910" s="1">
        <v>46061</v>
      </c>
      <c r="B1910" t="s">
        <v>41</v>
      </c>
      <c r="C1910" t="s">
        <v>22</v>
      </c>
      <c r="D1910" t="s">
        <v>26</v>
      </c>
      <c r="E1910" t="s">
        <v>15</v>
      </c>
      <c r="F1910">
        <v>350</v>
      </c>
      <c r="G1910">
        <v>221</v>
      </c>
      <c r="H1910">
        <v>241</v>
      </c>
      <c r="I1910">
        <v>330</v>
      </c>
      <c r="J1910">
        <v>142</v>
      </c>
      <c r="K1910">
        <v>974</v>
      </c>
      <c r="L1910">
        <v>321420</v>
      </c>
      <c r="M1910">
        <f>Inventory_Data[[#This Row],[Opening Stock]]+Inventory_Data[[#This Row],[Purchase Qty]]-Inventory_Data[[#This Row],[Sales Qty]]-Inventory_Data[[#This Row],[Closing Stock]]</f>
        <v>0</v>
      </c>
      <c r="N1910">
        <f>Inventory_Data[[#This Row],[Purchase Qty]]*Inventory_Data[[#This Row],[Unit Cost]]</f>
        <v>215254</v>
      </c>
      <c r="O1910" t="str">
        <f>IF(Inventory_Data[[#This Row],[Closing Stock]]&lt;=Inventory_Data[[#This Row],[Reorder Level]],"Low Stock","In Stock")</f>
        <v>In Stock</v>
      </c>
      <c r="P1910" t="str">
        <f>TEXT(Inventory_Data[[#This Row],[Date]],"MMM")</f>
        <v>Feb</v>
      </c>
      <c r="Q1910" t="str">
        <f>TEXT(Inventory_Data[[#This Row],[Date]],"YYYY")</f>
        <v>2026</v>
      </c>
    </row>
    <row r="1911" spans="1:17" x14ac:dyDescent="0.3">
      <c r="A1911" s="1">
        <v>46062</v>
      </c>
      <c r="B1911" t="s">
        <v>40</v>
      </c>
      <c r="C1911" t="s">
        <v>28</v>
      </c>
      <c r="D1911" t="s">
        <v>37</v>
      </c>
      <c r="E1911" t="s">
        <v>15</v>
      </c>
      <c r="F1911">
        <v>21</v>
      </c>
      <c r="G1911">
        <v>99</v>
      </c>
      <c r="H1911">
        <v>99</v>
      </c>
      <c r="I1911">
        <v>21</v>
      </c>
      <c r="J1911">
        <v>51</v>
      </c>
      <c r="K1911">
        <v>15225</v>
      </c>
      <c r="L1911">
        <v>319725</v>
      </c>
      <c r="M1911">
        <f>Inventory_Data[[#This Row],[Opening Stock]]+Inventory_Data[[#This Row],[Purchase Qty]]-Inventory_Data[[#This Row],[Sales Qty]]-Inventory_Data[[#This Row],[Closing Stock]]</f>
        <v>0</v>
      </c>
      <c r="N1911">
        <f>Inventory_Data[[#This Row],[Purchase Qty]]*Inventory_Data[[#This Row],[Unit Cost]]</f>
        <v>1507275</v>
      </c>
      <c r="O1911" t="str">
        <f>IF(Inventory_Data[[#This Row],[Closing Stock]]&lt;=Inventory_Data[[#This Row],[Reorder Level]],"Low Stock","In Stock")</f>
        <v>Low Stock</v>
      </c>
      <c r="P1911" t="str">
        <f>TEXT(Inventory_Data[[#This Row],[Date]],"MMM")</f>
        <v>Feb</v>
      </c>
      <c r="Q1911" t="str">
        <f>TEXT(Inventory_Data[[#This Row],[Date]],"YYYY")</f>
        <v>2026</v>
      </c>
    </row>
    <row r="1912" spans="1:17" x14ac:dyDescent="0.3">
      <c r="A1912" s="1">
        <v>46062</v>
      </c>
      <c r="B1912" t="s">
        <v>39</v>
      </c>
      <c r="C1912" t="s">
        <v>28</v>
      </c>
      <c r="D1912" t="s">
        <v>23</v>
      </c>
      <c r="E1912" t="s">
        <v>15</v>
      </c>
      <c r="F1912">
        <v>67</v>
      </c>
      <c r="G1912">
        <v>17</v>
      </c>
      <c r="H1912">
        <v>32</v>
      </c>
      <c r="I1912">
        <v>52</v>
      </c>
      <c r="J1912">
        <v>29</v>
      </c>
      <c r="K1912">
        <v>48751</v>
      </c>
      <c r="L1912">
        <v>2535052</v>
      </c>
      <c r="M1912">
        <f>Inventory_Data[[#This Row],[Opening Stock]]+Inventory_Data[[#This Row],[Purchase Qty]]-Inventory_Data[[#This Row],[Sales Qty]]-Inventory_Data[[#This Row],[Closing Stock]]</f>
        <v>0</v>
      </c>
      <c r="N1912">
        <f>Inventory_Data[[#This Row],[Purchase Qty]]*Inventory_Data[[#This Row],[Unit Cost]]</f>
        <v>828767</v>
      </c>
      <c r="O1912" t="str">
        <f>IF(Inventory_Data[[#This Row],[Closing Stock]]&lt;=Inventory_Data[[#This Row],[Reorder Level]],"Low Stock","In Stock")</f>
        <v>In Stock</v>
      </c>
      <c r="P1912" t="str">
        <f>TEXT(Inventory_Data[[#This Row],[Date]],"MMM")</f>
        <v>Feb</v>
      </c>
      <c r="Q1912" t="str">
        <f>TEXT(Inventory_Data[[#This Row],[Date]],"YYYY")</f>
        <v>2026</v>
      </c>
    </row>
    <row r="1913" spans="1:17" x14ac:dyDescent="0.3">
      <c r="A1913" s="1">
        <v>46062</v>
      </c>
      <c r="B1913" t="s">
        <v>21</v>
      </c>
      <c r="C1913" t="s">
        <v>22</v>
      </c>
      <c r="D1913" t="s">
        <v>23</v>
      </c>
      <c r="E1913" t="s">
        <v>15</v>
      </c>
      <c r="F1913">
        <v>164</v>
      </c>
      <c r="G1913">
        <v>218</v>
      </c>
      <c r="H1913">
        <v>35</v>
      </c>
      <c r="I1913">
        <v>347</v>
      </c>
      <c r="J1913">
        <v>91</v>
      </c>
      <c r="K1913">
        <v>585</v>
      </c>
      <c r="L1913">
        <v>202995</v>
      </c>
      <c r="M1913">
        <f>Inventory_Data[[#This Row],[Opening Stock]]+Inventory_Data[[#This Row],[Purchase Qty]]-Inventory_Data[[#This Row],[Sales Qty]]-Inventory_Data[[#This Row],[Closing Stock]]</f>
        <v>0</v>
      </c>
      <c r="N1913">
        <f>Inventory_Data[[#This Row],[Purchase Qty]]*Inventory_Data[[#This Row],[Unit Cost]]</f>
        <v>127530</v>
      </c>
      <c r="O1913" t="str">
        <f>IF(Inventory_Data[[#This Row],[Closing Stock]]&lt;=Inventory_Data[[#This Row],[Reorder Level]],"Low Stock","In Stock")</f>
        <v>In Stock</v>
      </c>
      <c r="P1913" t="str">
        <f>TEXT(Inventory_Data[[#This Row],[Date]],"MMM")</f>
        <v>Feb</v>
      </c>
      <c r="Q1913" t="str">
        <f>TEXT(Inventory_Data[[#This Row],[Date]],"YYYY")</f>
        <v>2026</v>
      </c>
    </row>
    <row r="1914" spans="1:17" x14ac:dyDescent="0.3">
      <c r="A1914" s="1">
        <v>46062</v>
      </c>
      <c r="B1914" t="s">
        <v>33</v>
      </c>
      <c r="C1914" t="s">
        <v>13</v>
      </c>
      <c r="D1914" t="s">
        <v>26</v>
      </c>
      <c r="E1914" t="s">
        <v>20</v>
      </c>
      <c r="F1914">
        <v>79</v>
      </c>
      <c r="G1914">
        <v>7</v>
      </c>
      <c r="H1914">
        <v>7</v>
      </c>
      <c r="I1914">
        <v>79</v>
      </c>
      <c r="J1914">
        <v>31</v>
      </c>
      <c r="K1914">
        <v>8212</v>
      </c>
      <c r="L1914">
        <v>648748</v>
      </c>
      <c r="M1914">
        <f>Inventory_Data[[#This Row],[Opening Stock]]+Inventory_Data[[#This Row],[Purchase Qty]]-Inventory_Data[[#This Row],[Sales Qty]]-Inventory_Data[[#This Row],[Closing Stock]]</f>
        <v>0</v>
      </c>
      <c r="N1914">
        <f>Inventory_Data[[#This Row],[Purchase Qty]]*Inventory_Data[[#This Row],[Unit Cost]]</f>
        <v>57484</v>
      </c>
      <c r="O1914" t="str">
        <f>IF(Inventory_Data[[#This Row],[Closing Stock]]&lt;=Inventory_Data[[#This Row],[Reorder Level]],"Low Stock","In Stock")</f>
        <v>In Stock</v>
      </c>
      <c r="P1914" t="str">
        <f>TEXT(Inventory_Data[[#This Row],[Date]],"MMM")</f>
        <v>Feb</v>
      </c>
      <c r="Q1914" t="str">
        <f>TEXT(Inventory_Data[[#This Row],[Date]],"YYYY")</f>
        <v>2026</v>
      </c>
    </row>
    <row r="1915" spans="1:17" x14ac:dyDescent="0.3">
      <c r="A1915" s="1">
        <v>46063</v>
      </c>
      <c r="B1915" t="s">
        <v>16</v>
      </c>
      <c r="C1915" t="s">
        <v>17</v>
      </c>
      <c r="D1915" t="s">
        <v>37</v>
      </c>
      <c r="E1915" t="s">
        <v>24</v>
      </c>
      <c r="F1915">
        <v>35</v>
      </c>
      <c r="G1915">
        <v>23</v>
      </c>
      <c r="H1915">
        <v>40</v>
      </c>
      <c r="I1915">
        <v>18</v>
      </c>
      <c r="J1915">
        <v>13</v>
      </c>
      <c r="K1915">
        <v>3158</v>
      </c>
      <c r="L1915">
        <v>56844</v>
      </c>
      <c r="M1915">
        <f>Inventory_Data[[#This Row],[Opening Stock]]+Inventory_Data[[#This Row],[Purchase Qty]]-Inventory_Data[[#This Row],[Sales Qty]]-Inventory_Data[[#This Row],[Closing Stock]]</f>
        <v>0</v>
      </c>
      <c r="N1915">
        <f>Inventory_Data[[#This Row],[Purchase Qty]]*Inventory_Data[[#This Row],[Unit Cost]]</f>
        <v>72634</v>
      </c>
      <c r="O1915" t="str">
        <f>IF(Inventory_Data[[#This Row],[Closing Stock]]&lt;=Inventory_Data[[#This Row],[Reorder Level]],"Low Stock","In Stock")</f>
        <v>In Stock</v>
      </c>
      <c r="P1915" t="str">
        <f>TEXT(Inventory_Data[[#This Row],[Date]],"MMM")</f>
        <v>Feb</v>
      </c>
      <c r="Q1915" t="str">
        <f>TEXT(Inventory_Data[[#This Row],[Date]],"YYYY")</f>
        <v>2026</v>
      </c>
    </row>
    <row r="1916" spans="1:17" x14ac:dyDescent="0.3">
      <c r="A1916" s="1">
        <v>46063</v>
      </c>
      <c r="B1916" t="s">
        <v>35</v>
      </c>
      <c r="C1916" t="s">
        <v>22</v>
      </c>
      <c r="D1916" t="s">
        <v>26</v>
      </c>
      <c r="E1916" t="s">
        <v>18</v>
      </c>
      <c r="F1916">
        <v>281</v>
      </c>
      <c r="G1916">
        <v>118</v>
      </c>
      <c r="H1916">
        <v>86</v>
      </c>
      <c r="I1916">
        <v>313</v>
      </c>
      <c r="J1916">
        <v>134</v>
      </c>
      <c r="K1916">
        <v>936</v>
      </c>
      <c r="L1916">
        <v>292968</v>
      </c>
      <c r="M1916">
        <f>Inventory_Data[[#This Row],[Opening Stock]]+Inventory_Data[[#This Row],[Purchase Qty]]-Inventory_Data[[#This Row],[Sales Qty]]-Inventory_Data[[#This Row],[Closing Stock]]</f>
        <v>0</v>
      </c>
      <c r="N1916">
        <f>Inventory_Data[[#This Row],[Purchase Qty]]*Inventory_Data[[#This Row],[Unit Cost]]</f>
        <v>110448</v>
      </c>
      <c r="O1916" t="str">
        <f>IF(Inventory_Data[[#This Row],[Closing Stock]]&lt;=Inventory_Data[[#This Row],[Reorder Level]],"Low Stock","In Stock")</f>
        <v>In Stock</v>
      </c>
      <c r="P1916" t="str">
        <f>TEXT(Inventory_Data[[#This Row],[Date]],"MMM")</f>
        <v>Feb</v>
      </c>
      <c r="Q1916" t="str">
        <f>TEXT(Inventory_Data[[#This Row],[Date]],"YYYY")</f>
        <v>2026</v>
      </c>
    </row>
    <row r="1917" spans="1:17" x14ac:dyDescent="0.3">
      <c r="A1917" s="1">
        <v>46063</v>
      </c>
      <c r="B1917" t="s">
        <v>35</v>
      </c>
      <c r="C1917" t="s">
        <v>22</v>
      </c>
      <c r="D1917" t="s">
        <v>23</v>
      </c>
      <c r="E1917" t="s">
        <v>29</v>
      </c>
      <c r="F1917">
        <v>118</v>
      </c>
      <c r="G1917">
        <v>279</v>
      </c>
      <c r="H1917">
        <v>45</v>
      </c>
      <c r="I1917">
        <v>352</v>
      </c>
      <c r="J1917">
        <v>69</v>
      </c>
      <c r="K1917">
        <v>770</v>
      </c>
      <c r="L1917">
        <v>271040</v>
      </c>
      <c r="M1917">
        <f>Inventory_Data[[#This Row],[Opening Stock]]+Inventory_Data[[#This Row],[Purchase Qty]]-Inventory_Data[[#This Row],[Sales Qty]]-Inventory_Data[[#This Row],[Closing Stock]]</f>
        <v>0</v>
      </c>
      <c r="N1917">
        <f>Inventory_Data[[#This Row],[Purchase Qty]]*Inventory_Data[[#This Row],[Unit Cost]]</f>
        <v>214830</v>
      </c>
      <c r="O1917" t="str">
        <f>IF(Inventory_Data[[#This Row],[Closing Stock]]&lt;=Inventory_Data[[#This Row],[Reorder Level]],"Low Stock","In Stock")</f>
        <v>In Stock</v>
      </c>
      <c r="P1917" t="str">
        <f>TEXT(Inventory_Data[[#This Row],[Date]],"MMM")</f>
        <v>Feb</v>
      </c>
      <c r="Q1917" t="str">
        <f>TEXT(Inventory_Data[[#This Row],[Date]],"YYYY")</f>
        <v>2026</v>
      </c>
    </row>
    <row r="1918" spans="1:17" x14ac:dyDescent="0.3">
      <c r="A1918" s="1">
        <v>46063</v>
      </c>
      <c r="B1918" t="s">
        <v>43</v>
      </c>
      <c r="C1918" t="s">
        <v>22</v>
      </c>
      <c r="D1918" t="s">
        <v>23</v>
      </c>
      <c r="E1918" t="s">
        <v>15</v>
      </c>
      <c r="F1918">
        <v>417</v>
      </c>
      <c r="G1918">
        <v>158</v>
      </c>
      <c r="H1918">
        <v>232</v>
      </c>
      <c r="I1918">
        <v>343</v>
      </c>
      <c r="J1918">
        <v>91</v>
      </c>
      <c r="K1918">
        <v>903</v>
      </c>
      <c r="L1918">
        <v>309729</v>
      </c>
      <c r="M1918">
        <f>Inventory_Data[[#This Row],[Opening Stock]]+Inventory_Data[[#This Row],[Purchase Qty]]-Inventory_Data[[#This Row],[Sales Qty]]-Inventory_Data[[#This Row],[Closing Stock]]</f>
        <v>0</v>
      </c>
      <c r="N1918">
        <f>Inventory_Data[[#This Row],[Purchase Qty]]*Inventory_Data[[#This Row],[Unit Cost]]</f>
        <v>142674</v>
      </c>
      <c r="O1918" t="str">
        <f>IF(Inventory_Data[[#This Row],[Closing Stock]]&lt;=Inventory_Data[[#This Row],[Reorder Level]],"Low Stock","In Stock")</f>
        <v>In Stock</v>
      </c>
      <c r="P1918" t="str">
        <f>TEXT(Inventory_Data[[#This Row],[Date]],"MMM")</f>
        <v>Feb</v>
      </c>
      <c r="Q1918" t="str">
        <f>TEXT(Inventory_Data[[#This Row],[Date]],"YYYY")</f>
        <v>2026</v>
      </c>
    </row>
    <row r="1919" spans="1:17" x14ac:dyDescent="0.3">
      <c r="A1919" s="1">
        <v>46064</v>
      </c>
      <c r="B1919" t="s">
        <v>16</v>
      </c>
      <c r="C1919" t="s">
        <v>17</v>
      </c>
      <c r="D1919" t="s">
        <v>37</v>
      </c>
      <c r="E1919" t="s">
        <v>18</v>
      </c>
      <c r="F1919">
        <v>71</v>
      </c>
      <c r="G1919">
        <v>50</v>
      </c>
      <c r="H1919">
        <v>24</v>
      </c>
      <c r="I1919">
        <v>97</v>
      </c>
      <c r="J1919">
        <v>25</v>
      </c>
      <c r="K1919">
        <v>3434</v>
      </c>
      <c r="L1919">
        <v>333098</v>
      </c>
      <c r="M1919">
        <f>Inventory_Data[[#This Row],[Opening Stock]]+Inventory_Data[[#This Row],[Purchase Qty]]-Inventory_Data[[#This Row],[Sales Qty]]-Inventory_Data[[#This Row],[Closing Stock]]</f>
        <v>0</v>
      </c>
      <c r="N1919">
        <f>Inventory_Data[[#This Row],[Purchase Qty]]*Inventory_Data[[#This Row],[Unit Cost]]</f>
        <v>171700</v>
      </c>
      <c r="O1919" t="str">
        <f>IF(Inventory_Data[[#This Row],[Closing Stock]]&lt;=Inventory_Data[[#This Row],[Reorder Level]],"Low Stock","In Stock")</f>
        <v>In Stock</v>
      </c>
      <c r="P1919" t="str">
        <f>TEXT(Inventory_Data[[#This Row],[Date]],"MMM")</f>
        <v>Feb</v>
      </c>
      <c r="Q1919" t="str">
        <f>TEXT(Inventory_Data[[#This Row],[Date]],"YYYY")</f>
        <v>2026</v>
      </c>
    </row>
    <row r="1920" spans="1:17" x14ac:dyDescent="0.3">
      <c r="A1920" s="1">
        <v>46064</v>
      </c>
      <c r="B1920" t="s">
        <v>42</v>
      </c>
      <c r="C1920" t="s">
        <v>17</v>
      </c>
      <c r="D1920" t="s">
        <v>26</v>
      </c>
      <c r="E1920" t="s">
        <v>20</v>
      </c>
      <c r="F1920">
        <v>63</v>
      </c>
      <c r="G1920">
        <v>12</v>
      </c>
      <c r="H1920">
        <v>37</v>
      </c>
      <c r="I1920">
        <v>38</v>
      </c>
      <c r="J1920">
        <v>29</v>
      </c>
      <c r="K1920">
        <v>19119</v>
      </c>
      <c r="L1920">
        <v>726522</v>
      </c>
      <c r="M1920">
        <f>Inventory_Data[[#This Row],[Opening Stock]]+Inventory_Data[[#This Row],[Purchase Qty]]-Inventory_Data[[#This Row],[Sales Qty]]-Inventory_Data[[#This Row],[Closing Stock]]</f>
        <v>0</v>
      </c>
      <c r="N1920">
        <f>Inventory_Data[[#This Row],[Purchase Qty]]*Inventory_Data[[#This Row],[Unit Cost]]</f>
        <v>229428</v>
      </c>
      <c r="O1920" t="str">
        <f>IF(Inventory_Data[[#This Row],[Closing Stock]]&lt;=Inventory_Data[[#This Row],[Reorder Level]],"Low Stock","In Stock")</f>
        <v>In Stock</v>
      </c>
      <c r="P1920" t="str">
        <f>TEXT(Inventory_Data[[#This Row],[Date]],"MMM")</f>
        <v>Feb</v>
      </c>
      <c r="Q1920" t="str">
        <f>TEXT(Inventory_Data[[#This Row],[Date]],"YYYY")</f>
        <v>2026</v>
      </c>
    </row>
    <row r="1921" spans="1:17" x14ac:dyDescent="0.3">
      <c r="A1921" s="1">
        <v>46064</v>
      </c>
      <c r="B1921" t="s">
        <v>32</v>
      </c>
      <c r="C1921" t="s">
        <v>28</v>
      </c>
      <c r="D1921" t="s">
        <v>26</v>
      </c>
      <c r="E1921" t="s">
        <v>34</v>
      </c>
      <c r="F1921">
        <v>45</v>
      </c>
      <c r="G1921">
        <v>56</v>
      </c>
      <c r="H1921">
        <v>9</v>
      </c>
      <c r="I1921">
        <v>92</v>
      </c>
      <c r="J1921">
        <v>39</v>
      </c>
      <c r="K1921">
        <v>18169</v>
      </c>
      <c r="L1921">
        <v>1671548</v>
      </c>
      <c r="M1921">
        <f>Inventory_Data[[#This Row],[Opening Stock]]+Inventory_Data[[#This Row],[Purchase Qty]]-Inventory_Data[[#This Row],[Sales Qty]]-Inventory_Data[[#This Row],[Closing Stock]]</f>
        <v>0</v>
      </c>
      <c r="N1921">
        <f>Inventory_Data[[#This Row],[Purchase Qty]]*Inventory_Data[[#This Row],[Unit Cost]]</f>
        <v>1017464</v>
      </c>
      <c r="O1921" t="str">
        <f>IF(Inventory_Data[[#This Row],[Closing Stock]]&lt;=Inventory_Data[[#This Row],[Reorder Level]],"Low Stock","In Stock")</f>
        <v>In Stock</v>
      </c>
      <c r="P1921" t="str">
        <f>TEXT(Inventory_Data[[#This Row],[Date]],"MMM")</f>
        <v>Feb</v>
      </c>
      <c r="Q1921" t="str">
        <f>TEXT(Inventory_Data[[#This Row],[Date]],"YYYY")</f>
        <v>2026</v>
      </c>
    </row>
    <row r="1922" spans="1:17" x14ac:dyDescent="0.3">
      <c r="A1922" s="1">
        <v>46065</v>
      </c>
      <c r="B1922" t="s">
        <v>39</v>
      </c>
      <c r="C1922" t="s">
        <v>28</v>
      </c>
      <c r="D1922" t="s">
        <v>14</v>
      </c>
      <c r="E1922" t="s">
        <v>34</v>
      </c>
      <c r="F1922">
        <v>160</v>
      </c>
      <c r="G1922">
        <v>11</v>
      </c>
      <c r="H1922">
        <v>75</v>
      </c>
      <c r="I1922">
        <v>96</v>
      </c>
      <c r="J1922">
        <v>40</v>
      </c>
      <c r="K1922">
        <v>37263</v>
      </c>
      <c r="L1922">
        <v>3577248</v>
      </c>
      <c r="M1922">
        <f>Inventory_Data[[#This Row],[Opening Stock]]+Inventory_Data[[#This Row],[Purchase Qty]]-Inventory_Data[[#This Row],[Sales Qty]]-Inventory_Data[[#This Row],[Closing Stock]]</f>
        <v>0</v>
      </c>
      <c r="N1922">
        <f>Inventory_Data[[#This Row],[Purchase Qty]]*Inventory_Data[[#This Row],[Unit Cost]]</f>
        <v>409893</v>
      </c>
      <c r="O1922" t="str">
        <f>IF(Inventory_Data[[#This Row],[Closing Stock]]&lt;=Inventory_Data[[#This Row],[Reorder Level]],"Low Stock","In Stock")</f>
        <v>In Stock</v>
      </c>
      <c r="P1922" t="str">
        <f>TEXT(Inventory_Data[[#This Row],[Date]],"MMM")</f>
        <v>Feb</v>
      </c>
      <c r="Q1922" t="str">
        <f>TEXT(Inventory_Data[[#This Row],[Date]],"YYYY")</f>
        <v>2026</v>
      </c>
    </row>
    <row r="1923" spans="1:17" x14ac:dyDescent="0.3">
      <c r="A1923" s="1">
        <v>46065</v>
      </c>
      <c r="B1923" t="s">
        <v>16</v>
      </c>
      <c r="C1923" t="s">
        <v>17</v>
      </c>
      <c r="D1923" t="s">
        <v>26</v>
      </c>
      <c r="E1923" t="s">
        <v>24</v>
      </c>
      <c r="F1923">
        <v>22</v>
      </c>
      <c r="G1923">
        <v>47</v>
      </c>
      <c r="H1923">
        <v>30</v>
      </c>
      <c r="I1923">
        <v>39</v>
      </c>
      <c r="J1923">
        <v>28</v>
      </c>
      <c r="K1923">
        <v>21539</v>
      </c>
      <c r="L1923">
        <v>840021</v>
      </c>
      <c r="M1923">
        <f>Inventory_Data[[#This Row],[Opening Stock]]+Inventory_Data[[#This Row],[Purchase Qty]]-Inventory_Data[[#This Row],[Sales Qty]]-Inventory_Data[[#This Row],[Closing Stock]]</f>
        <v>0</v>
      </c>
      <c r="N1923">
        <f>Inventory_Data[[#This Row],[Purchase Qty]]*Inventory_Data[[#This Row],[Unit Cost]]</f>
        <v>1012333</v>
      </c>
      <c r="O1923" t="str">
        <f>IF(Inventory_Data[[#This Row],[Closing Stock]]&lt;=Inventory_Data[[#This Row],[Reorder Level]],"Low Stock","In Stock")</f>
        <v>In Stock</v>
      </c>
      <c r="P1923" t="str">
        <f>TEXT(Inventory_Data[[#This Row],[Date]],"MMM")</f>
        <v>Feb</v>
      </c>
      <c r="Q1923" t="str">
        <f>TEXT(Inventory_Data[[#This Row],[Date]],"YYYY")</f>
        <v>2026</v>
      </c>
    </row>
    <row r="1924" spans="1:17" x14ac:dyDescent="0.3">
      <c r="A1924" s="1">
        <v>46065</v>
      </c>
      <c r="B1924" t="s">
        <v>33</v>
      </c>
      <c r="C1924" t="s">
        <v>13</v>
      </c>
      <c r="D1924" t="s">
        <v>26</v>
      </c>
      <c r="E1924" t="s">
        <v>15</v>
      </c>
      <c r="F1924">
        <v>44</v>
      </c>
      <c r="G1924">
        <v>6</v>
      </c>
      <c r="H1924">
        <v>21</v>
      </c>
      <c r="I1924">
        <v>29</v>
      </c>
      <c r="J1924">
        <v>26</v>
      </c>
      <c r="K1924">
        <v>9002</v>
      </c>
      <c r="L1924">
        <v>261058</v>
      </c>
      <c r="M1924">
        <f>Inventory_Data[[#This Row],[Opening Stock]]+Inventory_Data[[#This Row],[Purchase Qty]]-Inventory_Data[[#This Row],[Sales Qty]]-Inventory_Data[[#This Row],[Closing Stock]]</f>
        <v>0</v>
      </c>
      <c r="N1924">
        <f>Inventory_Data[[#This Row],[Purchase Qty]]*Inventory_Data[[#This Row],[Unit Cost]]</f>
        <v>54012</v>
      </c>
      <c r="O1924" t="str">
        <f>IF(Inventory_Data[[#This Row],[Closing Stock]]&lt;=Inventory_Data[[#This Row],[Reorder Level]],"Low Stock","In Stock")</f>
        <v>In Stock</v>
      </c>
      <c r="P1924" t="str">
        <f>TEXT(Inventory_Data[[#This Row],[Date]],"MMM")</f>
        <v>Feb</v>
      </c>
      <c r="Q1924" t="str">
        <f>TEXT(Inventory_Data[[#This Row],[Date]],"YYYY")</f>
        <v>2026</v>
      </c>
    </row>
    <row r="1925" spans="1:17" x14ac:dyDescent="0.3">
      <c r="A1925" s="1">
        <v>46065</v>
      </c>
      <c r="B1925" t="s">
        <v>25</v>
      </c>
      <c r="C1925" t="s">
        <v>17</v>
      </c>
      <c r="D1925" t="s">
        <v>37</v>
      </c>
      <c r="E1925" t="s">
        <v>34</v>
      </c>
      <c r="F1925">
        <v>22</v>
      </c>
      <c r="G1925">
        <v>11</v>
      </c>
      <c r="H1925">
        <v>33</v>
      </c>
      <c r="I1925">
        <v>0</v>
      </c>
      <c r="J1925">
        <v>29</v>
      </c>
      <c r="K1925">
        <v>6280</v>
      </c>
      <c r="L1925">
        <v>0</v>
      </c>
      <c r="M1925">
        <f>Inventory_Data[[#This Row],[Opening Stock]]+Inventory_Data[[#This Row],[Purchase Qty]]-Inventory_Data[[#This Row],[Sales Qty]]-Inventory_Data[[#This Row],[Closing Stock]]</f>
        <v>0</v>
      </c>
      <c r="N1925">
        <f>Inventory_Data[[#This Row],[Purchase Qty]]*Inventory_Data[[#This Row],[Unit Cost]]</f>
        <v>69080</v>
      </c>
      <c r="O1925" t="str">
        <f>IF(Inventory_Data[[#This Row],[Closing Stock]]&lt;=Inventory_Data[[#This Row],[Reorder Level]],"Low Stock","In Stock")</f>
        <v>Low Stock</v>
      </c>
      <c r="P1925" t="str">
        <f>TEXT(Inventory_Data[[#This Row],[Date]],"MMM")</f>
        <v>Feb</v>
      </c>
      <c r="Q1925" t="str">
        <f>TEXT(Inventory_Data[[#This Row],[Date]],"YYYY")</f>
        <v>2026</v>
      </c>
    </row>
    <row r="1926" spans="1:17" x14ac:dyDescent="0.3">
      <c r="A1926" s="1">
        <v>46065</v>
      </c>
      <c r="B1926" t="s">
        <v>31</v>
      </c>
      <c r="C1926" t="s">
        <v>22</v>
      </c>
      <c r="D1926" t="s">
        <v>23</v>
      </c>
      <c r="E1926" t="s">
        <v>15</v>
      </c>
      <c r="F1926">
        <v>55</v>
      </c>
      <c r="G1926">
        <v>148</v>
      </c>
      <c r="H1926">
        <v>40</v>
      </c>
      <c r="I1926">
        <v>163</v>
      </c>
      <c r="J1926">
        <v>128</v>
      </c>
      <c r="K1926">
        <v>502</v>
      </c>
      <c r="L1926">
        <v>81826</v>
      </c>
      <c r="M1926">
        <f>Inventory_Data[[#This Row],[Opening Stock]]+Inventory_Data[[#This Row],[Purchase Qty]]-Inventory_Data[[#This Row],[Sales Qty]]-Inventory_Data[[#This Row],[Closing Stock]]</f>
        <v>0</v>
      </c>
      <c r="N1926">
        <f>Inventory_Data[[#This Row],[Purchase Qty]]*Inventory_Data[[#This Row],[Unit Cost]]</f>
        <v>74296</v>
      </c>
      <c r="O1926" t="str">
        <f>IF(Inventory_Data[[#This Row],[Closing Stock]]&lt;=Inventory_Data[[#This Row],[Reorder Level]],"Low Stock","In Stock")</f>
        <v>In Stock</v>
      </c>
      <c r="P1926" t="str">
        <f>TEXT(Inventory_Data[[#This Row],[Date]],"MMM")</f>
        <v>Feb</v>
      </c>
      <c r="Q1926" t="str">
        <f>TEXT(Inventory_Data[[#This Row],[Date]],"YYYY")</f>
        <v>2026</v>
      </c>
    </row>
    <row r="1927" spans="1:17" x14ac:dyDescent="0.3">
      <c r="A1927" s="1">
        <v>46066</v>
      </c>
      <c r="B1927" t="s">
        <v>27</v>
      </c>
      <c r="C1927" t="s">
        <v>28</v>
      </c>
      <c r="D1927" t="s">
        <v>23</v>
      </c>
      <c r="E1927" t="s">
        <v>20</v>
      </c>
      <c r="F1927">
        <v>63</v>
      </c>
      <c r="G1927">
        <v>21</v>
      </c>
      <c r="H1927">
        <v>84</v>
      </c>
      <c r="I1927">
        <v>0</v>
      </c>
      <c r="J1927">
        <v>52</v>
      </c>
      <c r="K1927">
        <v>21636</v>
      </c>
      <c r="L1927">
        <v>0</v>
      </c>
      <c r="M1927">
        <f>Inventory_Data[[#This Row],[Opening Stock]]+Inventory_Data[[#This Row],[Purchase Qty]]-Inventory_Data[[#This Row],[Sales Qty]]-Inventory_Data[[#This Row],[Closing Stock]]</f>
        <v>0</v>
      </c>
      <c r="N1927">
        <f>Inventory_Data[[#This Row],[Purchase Qty]]*Inventory_Data[[#This Row],[Unit Cost]]</f>
        <v>454356</v>
      </c>
      <c r="O1927" t="str">
        <f>IF(Inventory_Data[[#This Row],[Closing Stock]]&lt;=Inventory_Data[[#This Row],[Reorder Level]],"Low Stock","In Stock")</f>
        <v>Low Stock</v>
      </c>
      <c r="P1927" t="str">
        <f>TEXT(Inventory_Data[[#This Row],[Date]],"MMM")</f>
        <v>Feb</v>
      </c>
      <c r="Q1927" t="str">
        <f>TEXT(Inventory_Data[[#This Row],[Date]],"YYYY")</f>
        <v>2026</v>
      </c>
    </row>
    <row r="1928" spans="1:17" x14ac:dyDescent="0.3">
      <c r="A1928" s="1">
        <v>46066</v>
      </c>
      <c r="B1928" t="s">
        <v>35</v>
      </c>
      <c r="C1928" t="s">
        <v>22</v>
      </c>
      <c r="D1928" t="s">
        <v>26</v>
      </c>
      <c r="E1928" t="s">
        <v>15</v>
      </c>
      <c r="F1928">
        <v>90</v>
      </c>
      <c r="G1928">
        <v>288</v>
      </c>
      <c r="H1928">
        <v>130</v>
      </c>
      <c r="I1928">
        <v>248</v>
      </c>
      <c r="J1928">
        <v>144</v>
      </c>
      <c r="K1928">
        <v>96</v>
      </c>
      <c r="L1928">
        <v>23808</v>
      </c>
      <c r="M1928">
        <f>Inventory_Data[[#This Row],[Opening Stock]]+Inventory_Data[[#This Row],[Purchase Qty]]-Inventory_Data[[#This Row],[Sales Qty]]-Inventory_Data[[#This Row],[Closing Stock]]</f>
        <v>0</v>
      </c>
      <c r="N1928">
        <f>Inventory_Data[[#This Row],[Purchase Qty]]*Inventory_Data[[#This Row],[Unit Cost]]</f>
        <v>27648</v>
      </c>
      <c r="O1928" t="str">
        <f>IF(Inventory_Data[[#This Row],[Closing Stock]]&lt;=Inventory_Data[[#This Row],[Reorder Level]],"Low Stock","In Stock")</f>
        <v>In Stock</v>
      </c>
      <c r="P1928" t="str">
        <f>TEXT(Inventory_Data[[#This Row],[Date]],"MMM")</f>
        <v>Feb</v>
      </c>
      <c r="Q1928" t="str">
        <f>TEXT(Inventory_Data[[#This Row],[Date]],"YYYY")</f>
        <v>2026</v>
      </c>
    </row>
    <row r="1929" spans="1:17" x14ac:dyDescent="0.3">
      <c r="A1929" s="1">
        <v>46066</v>
      </c>
      <c r="B1929" t="s">
        <v>25</v>
      </c>
      <c r="C1929" t="s">
        <v>17</v>
      </c>
      <c r="D1929" t="s">
        <v>23</v>
      </c>
      <c r="E1929" t="s">
        <v>24</v>
      </c>
      <c r="F1929">
        <v>96</v>
      </c>
      <c r="G1929">
        <v>31</v>
      </c>
      <c r="H1929">
        <v>15</v>
      </c>
      <c r="I1929">
        <v>112</v>
      </c>
      <c r="J1929">
        <v>15</v>
      </c>
      <c r="K1929">
        <v>12824</v>
      </c>
      <c r="L1929">
        <v>1436288</v>
      </c>
      <c r="M1929">
        <f>Inventory_Data[[#This Row],[Opening Stock]]+Inventory_Data[[#This Row],[Purchase Qty]]-Inventory_Data[[#This Row],[Sales Qty]]-Inventory_Data[[#This Row],[Closing Stock]]</f>
        <v>0</v>
      </c>
      <c r="N1929">
        <f>Inventory_Data[[#This Row],[Purchase Qty]]*Inventory_Data[[#This Row],[Unit Cost]]</f>
        <v>397544</v>
      </c>
      <c r="O1929" t="str">
        <f>IF(Inventory_Data[[#This Row],[Closing Stock]]&lt;=Inventory_Data[[#This Row],[Reorder Level]],"Low Stock","In Stock")</f>
        <v>In Stock</v>
      </c>
      <c r="P1929" t="str">
        <f>TEXT(Inventory_Data[[#This Row],[Date]],"MMM")</f>
        <v>Feb</v>
      </c>
      <c r="Q1929" t="str">
        <f>TEXT(Inventory_Data[[#This Row],[Date]],"YYYY")</f>
        <v>2026</v>
      </c>
    </row>
    <row r="1930" spans="1:17" x14ac:dyDescent="0.3">
      <c r="A1930" s="1">
        <v>46066</v>
      </c>
      <c r="B1930" t="s">
        <v>39</v>
      </c>
      <c r="C1930" t="s">
        <v>28</v>
      </c>
      <c r="D1930" t="s">
        <v>26</v>
      </c>
      <c r="E1930" t="s">
        <v>15</v>
      </c>
      <c r="F1930">
        <v>103</v>
      </c>
      <c r="G1930">
        <v>34</v>
      </c>
      <c r="H1930">
        <v>57</v>
      </c>
      <c r="I1930">
        <v>80</v>
      </c>
      <c r="J1930">
        <v>58</v>
      </c>
      <c r="K1930">
        <v>43181</v>
      </c>
      <c r="L1930">
        <v>3454480</v>
      </c>
      <c r="M1930">
        <f>Inventory_Data[[#This Row],[Opening Stock]]+Inventory_Data[[#This Row],[Purchase Qty]]-Inventory_Data[[#This Row],[Sales Qty]]-Inventory_Data[[#This Row],[Closing Stock]]</f>
        <v>0</v>
      </c>
      <c r="N1930">
        <f>Inventory_Data[[#This Row],[Purchase Qty]]*Inventory_Data[[#This Row],[Unit Cost]]</f>
        <v>1468154</v>
      </c>
      <c r="O1930" t="str">
        <f>IF(Inventory_Data[[#This Row],[Closing Stock]]&lt;=Inventory_Data[[#This Row],[Reorder Level]],"Low Stock","In Stock")</f>
        <v>In Stock</v>
      </c>
      <c r="P1930" t="str">
        <f>TEXT(Inventory_Data[[#This Row],[Date]],"MMM")</f>
        <v>Feb</v>
      </c>
      <c r="Q1930" t="str">
        <f>TEXT(Inventory_Data[[#This Row],[Date]],"YYYY")</f>
        <v>2026</v>
      </c>
    </row>
    <row r="1931" spans="1:17" x14ac:dyDescent="0.3">
      <c r="A1931" s="1">
        <v>46066</v>
      </c>
      <c r="B1931" t="s">
        <v>30</v>
      </c>
      <c r="C1931" t="s">
        <v>28</v>
      </c>
      <c r="D1931" t="s">
        <v>14</v>
      </c>
      <c r="E1931" t="s">
        <v>24</v>
      </c>
      <c r="F1931">
        <v>61</v>
      </c>
      <c r="G1931">
        <v>55</v>
      </c>
      <c r="H1931">
        <v>77</v>
      </c>
      <c r="I1931">
        <v>39</v>
      </c>
      <c r="J1931">
        <v>40</v>
      </c>
      <c r="K1931">
        <v>45939</v>
      </c>
      <c r="L1931">
        <v>1791621</v>
      </c>
      <c r="M1931">
        <f>Inventory_Data[[#This Row],[Opening Stock]]+Inventory_Data[[#This Row],[Purchase Qty]]-Inventory_Data[[#This Row],[Sales Qty]]-Inventory_Data[[#This Row],[Closing Stock]]</f>
        <v>0</v>
      </c>
      <c r="N1931">
        <f>Inventory_Data[[#This Row],[Purchase Qty]]*Inventory_Data[[#This Row],[Unit Cost]]</f>
        <v>2526645</v>
      </c>
      <c r="O1931" t="str">
        <f>IF(Inventory_Data[[#This Row],[Closing Stock]]&lt;=Inventory_Data[[#This Row],[Reorder Level]],"Low Stock","In Stock")</f>
        <v>Low Stock</v>
      </c>
      <c r="P1931" t="str">
        <f>TEXT(Inventory_Data[[#This Row],[Date]],"MMM")</f>
        <v>Feb</v>
      </c>
      <c r="Q1931" t="str">
        <f>TEXT(Inventory_Data[[#This Row],[Date]],"YYYY")</f>
        <v>2026</v>
      </c>
    </row>
    <row r="1932" spans="1:17" x14ac:dyDescent="0.3">
      <c r="A1932" s="1">
        <v>46067</v>
      </c>
      <c r="B1932" t="s">
        <v>31</v>
      </c>
      <c r="C1932" t="s">
        <v>22</v>
      </c>
      <c r="D1932" t="s">
        <v>26</v>
      </c>
      <c r="E1932" t="s">
        <v>34</v>
      </c>
      <c r="F1932">
        <v>185</v>
      </c>
      <c r="G1932">
        <v>260</v>
      </c>
      <c r="H1932">
        <v>17</v>
      </c>
      <c r="I1932">
        <v>428</v>
      </c>
      <c r="J1932">
        <v>83</v>
      </c>
      <c r="K1932">
        <v>347</v>
      </c>
      <c r="L1932">
        <v>148516</v>
      </c>
      <c r="M1932">
        <f>Inventory_Data[[#This Row],[Opening Stock]]+Inventory_Data[[#This Row],[Purchase Qty]]-Inventory_Data[[#This Row],[Sales Qty]]-Inventory_Data[[#This Row],[Closing Stock]]</f>
        <v>0</v>
      </c>
      <c r="N1932">
        <f>Inventory_Data[[#This Row],[Purchase Qty]]*Inventory_Data[[#This Row],[Unit Cost]]</f>
        <v>90220</v>
      </c>
      <c r="O1932" t="str">
        <f>IF(Inventory_Data[[#This Row],[Closing Stock]]&lt;=Inventory_Data[[#This Row],[Reorder Level]],"Low Stock","In Stock")</f>
        <v>In Stock</v>
      </c>
      <c r="P1932" t="str">
        <f>TEXT(Inventory_Data[[#This Row],[Date]],"MMM")</f>
        <v>Feb</v>
      </c>
      <c r="Q1932" t="str">
        <f>TEXT(Inventory_Data[[#This Row],[Date]],"YYYY")</f>
        <v>2026</v>
      </c>
    </row>
    <row r="1933" spans="1:17" x14ac:dyDescent="0.3">
      <c r="A1933" s="1">
        <v>46067</v>
      </c>
      <c r="B1933" t="s">
        <v>41</v>
      </c>
      <c r="C1933" t="s">
        <v>22</v>
      </c>
      <c r="D1933" t="s">
        <v>26</v>
      </c>
      <c r="E1933" t="s">
        <v>18</v>
      </c>
      <c r="F1933">
        <v>405</v>
      </c>
      <c r="G1933">
        <v>197</v>
      </c>
      <c r="H1933">
        <v>202</v>
      </c>
      <c r="I1933">
        <v>400</v>
      </c>
      <c r="J1933">
        <v>50</v>
      </c>
      <c r="K1933">
        <v>133</v>
      </c>
      <c r="L1933">
        <v>53200</v>
      </c>
      <c r="M1933">
        <f>Inventory_Data[[#This Row],[Opening Stock]]+Inventory_Data[[#This Row],[Purchase Qty]]-Inventory_Data[[#This Row],[Sales Qty]]-Inventory_Data[[#This Row],[Closing Stock]]</f>
        <v>0</v>
      </c>
      <c r="N1933">
        <f>Inventory_Data[[#This Row],[Purchase Qty]]*Inventory_Data[[#This Row],[Unit Cost]]</f>
        <v>26201</v>
      </c>
      <c r="O1933" t="str">
        <f>IF(Inventory_Data[[#This Row],[Closing Stock]]&lt;=Inventory_Data[[#This Row],[Reorder Level]],"Low Stock","In Stock")</f>
        <v>In Stock</v>
      </c>
      <c r="P1933" t="str">
        <f>TEXT(Inventory_Data[[#This Row],[Date]],"MMM")</f>
        <v>Feb</v>
      </c>
      <c r="Q1933" t="str">
        <f>TEXT(Inventory_Data[[#This Row],[Date]],"YYYY")</f>
        <v>2026</v>
      </c>
    </row>
    <row r="1934" spans="1:17" x14ac:dyDescent="0.3">
      <c r="A1934" s="1">
        <v>46067</v>
      </c>
      <c r="B1934" t="s">
        <v>27</v>
      </c>
      <c r="C1934" t="s">
        <v>28</v>
      </c>
      <c r="D1934" t="s">
        <v>23</v>
      </c>
      <c r="E1934" t="s">
        <v>24</v>
      </c>
      <c r="F1934">
        <v>59</v>
      </c>
      <c r="G1934">
        <v>59</v>
      </c>
      <c r="H1934">
        <v>47</v>
      </c>
      <c r="I1934">
        <v>71</v>
      </c>
      <c r="J1934">
        <v>22</v>
      </c>
      <c r="K1934">
        <v>8298</v>
      </c>
      <c r="L1934">
        <v>589158</v>
      </c>
      <c r="M1934">
        <f>Inventory_Data[[#This Row],[Opening Stock]]+Inventory_Data[[#This Row],[Purchase Qty]]-Inventory_Data[[#This Row],[Sales Qty]]-Inventory_Data[[#This Row],[Closing Stock]]</f>
        <v>0</v>
      </c>
      <c r="N1934">
        <f>Inventory_Data[[#This Row],[Purchase Qty]]*Inventory_Data[[#This Row],[Unit Cost]]</f>
        <v>489582</v>
      </c>
      <c r="O1934" t="str">
        <f>IF(Inventory_Data[[#This Row],[Closing Stock]]&lt;=Inventory_Data[[#This Row],[Reorder Level]],"Low Stock","In Stock")</f>
        <v>In Stock</v>
      </c>
      <c r="P1934" t="str">
        <f>TEXT(Inventory_Data[[#This Row],[Date]],"MMM")</f>
        <v>Feb</v>
      </c>
      <c r="Q1934" t="str">
        <f>TEXT(Inventory_Data[[#This Row],[Date]],"YYYY")</f>
        <v>2026</v>
      </c>
    </row>
    <row r="1935" spans="1:17" x14ac:dyDescent="0.3">
      <c r="A1935" s="1">
        <v>46068</v>
      </c>
      <c r="B1935" t="s">
        <v>36</v>
      </c>
      <c r="C1935" t="s">
        <v>22</v>
      </c>
      <c r="D1935" t="s">
        <v>23</v>
      </c>
      <c r="E1935" t="s">
        <v>18</v>
      </c>
      <c r="F1935">
        <v>215</v>
      </c>
      <c r="G1935">
        <v>55</v>
      </c>
      <c r="H1935">
        <v>82</v>
      </c>
      <c r="I1935">
        <v>188</v>
      </c>
      <c r="J1935">
        <v>100</v>
      </c>
      <c r="K1935">
        <v>1158</v>
      </c>
      <c r="L1935">
        <v>217704</v>
      </c>
      <c r="M1935">
        <f>Inventory_Data[[#This Row],[Opening Stock]]+Inventory_Data[[#This Row],[Purchase Qty]]-Inventory_Data[[#This Row],[Sales Qty]]-Inventory_Data[[#This Row],[Closing Stock]]</f>
        <v>0</v>
      </c>
      <c r="N1935">
        <f>Inventory_Data[[#This Row],[Purchase Qty]]*Inventory_Data[[#This Row],[Unit Cost]]</f>
        <v>63690</v>
      </c>
      <c r="O1935" t="str">
        <f>IF(Inventory_Data[[#This Row],[Closing Stock]]&lt;=Inventory_Data[[#This Row],[Reorder Level]],"Low Stock","In Stock")</f>
        <v>In Stock</v>
      </c>
      <c r="P1935" t="str">
        <f>TEXT(Inventory_Data[[#This Row],[Date]],"MMM")</f>
        <v>Feb</v>
      </c>
      <c r="Q1935" t="str">
        <f>TEXT(Inventory_Data[[#This Row],[Date]],"YYYY")</f>
        <v>2026</v>
      </c>
    </row>
    <row r="1936" spans="1:17" x14ac:dyDescent="0.3">
      <c r="A1936" s="1">
        <v>46068</v>
      </c>
      <c r="B1936" t="s">
        <v>41</v>
      </c>
      <c r="C1936" t="s">
        <v>22</v>
      </c>
      <c r="D1936" t="s">
        <v>14</v>
      </c>
      <c r="E1936" t="s">
        <v>34</v>
      </c>
      <c r="F1936">
        <v>144</v>
      </c>
      <c r="G1936">
        <v>144</v>
      </c>
      <c r="H1936">
        <v>252</v>
      </c>
      <c r="I1936">
        <v>36</v>
      </c>
      <c r="J1936">
        <v>92</v>
      </c>
      <c r="K1936">
        <v>813</v>
      </c>
      <c r="L1936">
        <v>29268</v>
      </c>
      <c r="M1936">
        <f>Inventory_Data[[#This Row],[Opening Stock]]+Inventory_Data[[#This Row],[Purchase Qty]]-Inventory_Data[[#This Row],[Sales Qty]]-Inventory_Data[[#This Row],[Closing Stock]]</f>
        <v>0</v>
      </c>
      <c r="N1936">
        <f>Inventory_Data[[#This Row],[Purchase Qty]]*Inventory_Data[[#This Row],[Unit Cost]]</f>
        <v>117072</v>
      </c>
      <c r="O1936" t="str">
        <f>IF(Inventory_Data[[#This Row],[Closing Stock]]&lt;=Inventory_Data[[#This Row],[Reorder Level]],"Low Stock","In Stock")</f>
        <v>Low Stock</v>
      </c>
      <c r="P1936" t="str">
        <f>TEXT(Inventory_Data[[#This Row],[Date]],"MMM")</f>
        <v>Feb</v>
      </c>
      <c r="Q1936" t="str">
        <f>TEXT(Inventory_Data[[#This Row],[Date]],"YYYY")</f>
        <v>2026</v>
      </c>
    </row>
    <row r="1937" spans="1:17" x14ac:dyDescent="0.3">
      <c r="A1937" s="1">
        <v>46068</v>
      </c>
      <c r="B1937" t="s">
        <v>38</v>
      </c>
      <c r="C1937" t="s">
        <v>17</v>
      </c>
      <c r="D1937" t="s">
        <v>26</v>
      </c>
      <c r="E1937" t="s">
        <v>15</v>
      </c>
      <c r="F1937">
        <v>59</v>
      </c>
      <c r="G1937">
        <v>22</v>
      </c>
      <c r="H1937">
        <v>37</v>
      </c>
      <c r="I1937">
        <v>44</v>
      </c>
      <c r="J1937">
        <v>25</v>
      </c>
      <c r="K1937">
        <v>9430</v>
      </c>
      <c r="L1937">
        <v>414920</v>
      </c>
      <c r="M1937">
        <f>Inventory_Data[[#This Row],[Opening Stock]]+Inventory_Data[[#This Row],[Purchase Qty]]-Inventory_Data[[#This Row],[Sales Qty]]-Inventory_Data[[#This Row],[Closing Stock]]</f>
        <v>0</v>
      </c>
      <c r="N1937">
        <f>Inventory_Data[[#This Row],[Purchase Qty]]*Inventory_Data[[#This Row],[Unit Cost]]</f>
        <v>207460</v>
      </c>
      <c r="O1937" t="str">
        <f>IF(Inventory_Data[[#This Row],[Closing Stock]]&lt;=Inventory_Data[[#This Row],[Reorder Level]],"Low Stock","In Stock")</f>
        <v>In Stock</v>
      </c>
      <c r="P1937" t="str">
        <f>TEXT(Inventory_Data[[#This Row],[Date]],"MMM")</f>
        <v>Feb</v>
      </c>
      <c r="Q1937" t="str">
        <f>TEXT(Inventory_Data[[#This Row],[Date]],"YYYY")</f>
        <v>2026</v>
      </c>
    </row>
    <row r="1938" spans="1:17" x14ac:dyDescent="0.3">
      <c r="A1938" s="1">
        <v>46069</v>
      </c>
      <c r="B1938" t="s">
        <v>40</v>
      </c>
      <c r="C1938" t="s">
        <v>28</v>
      </c>
      <c r="D1938" t="s">
        <v>26</v>
      </c>
      <c r="E1938" t="s">
        <v>15</v>
      </c>
      <c r="F1938">
        <v>159</v>
      </c>
      <c r="G1938">
        <v>73</v>
      </c>
      <c r="H1938">
        <v>6</v>
      </c>
      <c r="I1938">
        <v>226</v>
      </c>
      <c r="J1938">
        <v>56</v>
      </c>
      <c r="K1938">
        <v>24026</v>
      </c>
      <c r="L1938">
        <v>5429876</v>
      </c>
      <c r="M1938">
        <f>Inventory_Data[[#This Row],[Opening Stock]]+Inventory_Data[[#This Row],[Purchase Qty]]-Inventory_Data[[#This Row],[Sales Qty]]-Inventory_Data[[#This Row],[Closing Stock]]</f>
        <v>0</v>
      </c>
      <c r="N1938">
        <f>Inventory_Data[[#This Row],[Purchase Qty]]*Inventory_Data[[#This Row],[Unit Cost]]</f>
        <v>1753898</v>
      </c>
      <c r="O1938" t="str">
        <f>IF(Inventory_Data[[#This Row],[Closing Stock]]&lt;=Inventory_Data[[#This Row],[Reorder Level]],"Low Stock","In Stock")</f>
        <v>In Stock</v>
      </c>
      <c r="P1938" t="str">
        <f>TEXT(Inventory_Data[[#This Row],[Date]],"MMM")</f>
        <v>Feb</v>
      </c>
      <c r="Q1938" t="str">
        <f>TEXT(Inventory_Data[[#This Row],[Date]],"YYYY")</f>
        <v>2026</v>
      </c>
    </row>
    <row r="1939" spans="1:17" x14ac:dyDescent="0.3">
      <c r="A1939" s="1">
        <v>46069</v>
      </c>
      <c r="B1939" t="s">
        <v>35</v>
      </c>
      <c r="C1939" t="s">
        <v>22</v>
      </c>
      <c r="D1939" t="s">
        <v>26</v>
      </c>
      <c r="E1939" t="s">
        <v>15</v>
      </c>
      <c r="F1939">
        <v>310</v>
      </c>
      <c r="G1939">
        <v>30</v>
      </c>
      <c r="H1939">
        <v>95</v>
      </c>
      <c r="I1939">
        <v>245</v>
      </c>
      <c r="J1939">
        <v>95</v>
      </c>
      <c r="K1939">
        <v>869</v>
      </c>
      <c r="L1939">
        <v>212905</v>
      </c>
      <c r="M1939">
        <f>Inventory_Data[[#This Row],[Opening Stock]]+Inventory_Data[[#This Row],[Purchase Qty]]-Inventory_Data[[#This Row],[Sales Qty]]-Inventory_Data[[#This Row],[Closing Stock]]</f>
        <v>0</v>
      </c>
      <c r="N1939">
        <f>Inventory_Data[[#This Row],[Purchase Qty]]*Inventory_Data[[#This Row],[Unit Cost]]</f>
        <v>26070</v>
      </c>
      <c r="O1939" t="str">
        <f>IF(Inventory_Data[[#This Row],[Closing Stock]]&lt;=Inventory_Data[[#This Row],[Reorder Level]],"Low Stock","In Stock")</f>
        <v>In Stock</v>
      </c>
      <c r="P1939" t="str">
        <f>TEXT(Inventory_Data[[#This Row],[Date]],"MMM")</f>
        <v>Feb</v>
      </c>
      <c r="Q1939" t="str">
        <f>TEXT(Inventory_Data[[#This Row],[Date]],"YYYY")</f>
        <v>2026</v>
      </c>
    </row>
    <row r="1940" spans="1:17" x14ac:dyDescent="0.3">
      <c r="A1940" s="1">
        <v>46069</v>
      </c>
      <c r="B1940" t="s">
        <v>25</v>
      </c>
      <c r="C1940" t="s">
        <v>17</v>
      </c>
      <c r="D1940" t="s">
        <v>37</v>
      </c>
      <c r="E1940" t="s">
        <v>24</v>
      </c>
      <c r="F1940">
        <v>63</v>
      </c>
      <c r="G1940">
        <v>35</v>
      </c>
      <c r="H1940">
        <v>16</v>
      </c>
      <c r="I1940">
        <v>82</v>
      </c>
      <c r="J1940">
        <v>17</v>
      </c>
      <c r="K1940">
        <v>22987</v>
      </c>
      <c r="L1940">
        <v>1884934</v>
      </c>
      <c r="M1940">
        <f>Inventory_Data[[#This Row],[Opening Stock]]+Inventory_Data[[#This Row],[Purchase Qty]]-Inventory_Data[[#This Row],[Sales Qty]]-Inventory_Data[[#This Row],[Closing Stock]]</f>
        <v>0</v>
      </c>
      <c r="N1940">
        <f>Inventory_Data[[#This Row],[Purchase Qty]]*Inventory_Data[[#This Row],[Unit Cost]]</f>
        <v>804545</v>
      </c>
      <c r="O1940" t="str">
        <f>IF(Inventory_Data[[#This Row],[Closing Stock]]&lt;=Inventory_Data[[#This Row],[Reorder Level]],"Low Stock","In Stock")</f>
        <v>In Stock</v>
      </c>
      <c r="P1940" t="str">
        <f>TEXT(Inventory_Data[[#This Row],[Date]],"MMM")</f>
        <v>Feb</v>
      </c>
      <c r="Q1940" t="str">
        <f>TEXT(Inventory_Data[[#This Row],[Date]],"YYYY")</f>
        <v>2026</v>
      </c>
    </row>
    <row r="1941" spans="1:17" x14ac:dyDescent="0.3">
      <c r="A1941" s="1">
        <v>46069</v>
      </c>
      <c r="B1941" t="s">
        <v>30</v>
      </c>
      <c r="C1941" t="s">
        <v>28</v>
      </c>
      <c r="D1941" t="s">
        <v>37</v>
      </c>
      <c r="E1941" t="s">
        <v>24</v>
      </c>
      <c r="F1941">
        <v>93</v>
      </c>
      <c r="G1941">
        <v>106</v>
      </c>
      <c r="H1941">
        <v>52</v>
      </c>
      <c r="I1941">
        <v>147</v>
      </c>
      <c r="J1941">
        <v>29</v>
      </c>
      <c r="K1941">
        <v>14447</v>
      </c>
      <c r="L1941">
        <v>2123709</v>
      </c>
      <c r="M1941">
        <f>Inventory_Data[[#This Row],[Opening Stock]]+Inventory_Data[[#This Row],[Purchase Qty]]-Inventory_Data[[#This Row],[Sales Qty]]-Inventory_Data[[#This Row],[Closing Stock]]</f>
        <v>0</v>
      </c>
      <c r="N1941">
        <f>Inventory_Data[[#This Row],[Purchase Qty]]*Inventory_Data[[#This Row],[Unit Cost]]</f>
        <v>1531382</v>
      </c>
      <c r="O1941" t="str">
        <f>IF(Inventory_Data[[#This Row],[Closing Stock]]&lt;=Inventory_Data[[#This Row],[Reorder Level]],"Low Stock","In Stock")</f>
        <v>In Stock</v>
      </c>
      <c r="P1941" t="str">
        <f>TEXT(Inventory_Data[[#This Row],[Date]],"MMM")</f>
        <v>Feb</v>
      </c>
      <c r="Q1941" t="str">
        <f>TEXT(Inventory_Data[[#This Row],[Date]],"YYYY")</f>
        <v>2026</v>
      </c>
    </row>
    <row r="1942" spans="1:17" x14ac:dyDescent="0.3">
      <c r="A1942" s="1">
        <v>46070</v>
      </c>
      <c r="B1942" t="s">
        <v>43</v>
      </c>
      <c r="C1942" t="s">
        <v>22</v>
      </c>
      <c r="D1942" t="s">
        <v>23</v>
      </c>
      <c r="E1942" t="s">
        <v>15</v>
      </c>
      <c r="F1942">
        <v>269</v>
      </c>
      <c r="G1942">
        <v>37</v>
      </c>
      <c r="H1942">
        <v>75</v>
      </c>
      <c r="I1942">
        <v>231</v>
      </c>
      <c r="J1942">
        <v>135</v>
      </c>
      <c r="K1942">
        <v>1122</v>
      </c>
      <c r="L1942">
        <v>259182</v>
      </c>
      <c r="M1942">
        <f>Inventory_Data[[#This Row],[Opening Stock]]+Inventory_Data[[#This Row],[Purchase Qty]]-Inventory_Data[[#This Row],[Sales Qty]]-Inventory_Data[[#This Row],[Closing Stock]]</f>
        <v>0</v>
      </c>
      <c r="N1942">
        <f>Inventory_Data[[#This Row],[Purchase Qty]]*Inventory_Data[[#This Row],[Unit Cost]]</f>
        <v>41514</v>
      </c>
      <c r="O1942" t="str">
        <f>IF(Inventory_Data[[#This Row],[Closing Stock]]&lt;=Inventory_Data[[#This Row],[Reorder Level]],"Low Stock","In Stock")</f>
        <v>In Stock</v>
      </c>
      <c r="P1942" t="str">
        <f>TEXT(Inventory_Data[[#This Row],[Date]],"MMM")</f>
        <v>Feb</v>
      </c>
      <c r="Q1942" t="str">
        <f>TEXT(Inventory_Data[[#This Row],[Date]],"YYYY")</f>
        <v>2026</v>
      </c>
    </row>
    <row r="1943" spans="1:17" x14ac:dyDescent="0.3">
      <c r="A1943" s="1">
        <v>46070</v>
      </c>
      <c r="B1943" t="s">
        <v>12</v>
      </c>
      <c r="C1943" t="s">
        <v>13</v>
      </c>
      <c r="D1943" t="s">
        <v>37</v>
      </c>
      <c r="E1943" t="s">
        <v>15</v>
      </c>
      <c r="F1943">
        <v>64</v>
      </c>
      <c r="G1943">
        <v>6</v>
      </c>
      <c r="H1943">
        <v>11</v>
      </c>
      <c r="I1943">
        <v>59</v>
      </c>
      <c r="J1943">
        <v>31</v>
      </c>
      <c r="K1943">
        <v>2675</v>
      </c>
      <c r="L1943">
        <v>157825</v>
      </c>
      <c r="M1943">
        <f>Inventory_Data[[#This Row],[Opening Stock]]+Inventory_Data[[#This Row],[Purchase Qty]]-Inventory_Data[[#This Row],[Sales Qty]]-Inventory_Data[[#This Row],[Closing Stock]]</f>
        <v>0</v>
      </c>
      <c r="N1943">
        <f>Inventory_Data[[#This Row],[Purchase Qty]]*Inventory_Data[[#This Row],[Unit Cost]]</f>
        <v>16050</v>
      </c>
      <c r="O1943" t="str">
        <f>IF(Inventory_Data[[#This Row],[Closing Stock]]&lt;=Inventory_Data[[#This Row],[Reorder Level]],"Low Stock","In Stock")</f>
        <v>In Stock</v>
      </c>
      <c r="P1943" t="str">
        <f>TEXT(Inventory_Data[[#This Row],[Date]],"MMM")</f>
        <v>Feb</v>
      </c>
      <c r="Q1943" t="str">
        <f>TEXT(Inventory_Data[[#This Row],[Date]],"YYYY")</f>
        <v>2026</v>
      </c>
    </row>
    <row r="1944" spans="1:17" x14ac:dyDescent="0.3">
      <c r="A1944" s="1">
        <v>46070</v>
      </c>
      <c r="B1944" t="s">
        <v>31</v>
      </c>
      <c r="C1944" t="s">
        <v>22</v>
      </c>
      <c r="D1944" t="s">
        <v>14</v>
      </c>
      <c r="E1944" t="s">
        <v>29</v>
      </c>
      <c r="F1944">
        <v>151</v>
      </c>
      <c r="G1944">
        <v>166</v>
      </c>
      <c r="H1944">
        <v>200</v>
      </c>
      <c r="I1944">
        <v>117</v>
      </c>
      <c r="J1944">
        <v>63</v>
      </c>
      <c r="K1944">
        <v>952</v>
      </c>
      <c r="L1944">
        <v>111384</v>
      </c>
      <c r="M1944">
        <f>Inventory_Data[[#This Row],[Opening Stock]]+Inventory_Data[[#This Row],[Purchase Qty]]-Inventory_Data[[#This Row],[Sales Qty]]-Inventory_Data[[#This Row],[Closing Stock]]</f>
        <v>0</v>
      </c>
      <c r="N1944">
        <f>Inventory_Data[[#This Row],[Purchase Qty]]*Inventory_Data[[#This Row],[Unit Cost]]</f>
        <v>158032</v>
      </c>
      <c r="O1944" t="str">
        <f>IF(Inventory_Data[[#This Row],[Closing Stock]]&lt;=Inventory_Data[[#This Row],[Reorder Level]],"Low Stock","In Stock")</f>
        <v>In Stock</v>
      </c>
      <c r="P1944" t="str">
        <f>TEXT(Inventory_Data[[#This Row],[Date]],"MMM")</f>
        <v>Feb</v>
      </c>
      <c r="Q1944" t="str">
        <f>TEXT(Inventory_Data[[#This Row],[Date]],"YYYY")</f>
        <v>2026</v>
      </c>
    </row>
    <row r="1945" spans="1:17" x14ac:dyDescent="0.3">
      <c r="A1945" s="1">
        <v>46071</v>
      </c>
      <c r="B1945" t="s">
        <v>21</v>
      </c>
      <c r="C1945" t="s">
        <v>22</v>
      </c>
      <c r="D1945" t="s">
        <v>23</v>
      </c>
      <c r="E1945" t="s">
        <v>29</v>
      </c>
      <c r="F1945">
        <v>124</v>
      </c>
      <c r="G1945">
        <v>224</v>
      </c>
      <c r="H1945">
        <v>196</v>
      </c>
      <c r="I1945">
        <v>152</v>
      </c>
      <c r="J1945">
        <v>52</v>
      </c>
      <c r="K1945">
        <v>515</v>
      </c>
      <c r="L1945">
        <v>78280</v>
      </c>
      <c r="M1945">
        <f>Inventory_Data[[#This Row],[Opening Stock]]+Inventory_Data[[#This Row],[Purchase Qty]]-Inventory_Data[[#This Row],[Sales Qty]]-Inventory_Data[[#This Row],[Closing Stock]]</f>
        <v>0</v>
      </c>
      <c r="N1945">
        <f>Inventory_Data[[#This Row],[Purchase Qty]]*Inventory_Data[[#This Row],[Unit Cost]]</f>
        <v>115360</v>
      </c>
      <c r="O1945" t="str">
        <f>IF(Inventory_Data[[#This Row],[Closing Stock]]&lt;=Inventory_Data[[#This Row],[Reorder Level]],"Low Stock","In Stock")</f>
        <v>In Stock</v>
      </c>
      <c r="P1945" t="str">
        <f>TEXT(Inventory_Data[[#This Row],[Date]],"MMM")</f>
        <v>Feb</v>
      </c>
      <c r="Q1945" t="str">
        <f>TEXT(Inventory_Data[[#This Row],[Date]],"YYYY")</f>
        <v>2026</v>
      </c>
    </row>
    <row r="1946" spans="1:17" x14ac:dyDescent="0.3">
      <c r="A1946" s="1">
        <v>46071</v>
      </c>
      <c r="B1946" t="s">
        <v>39</v>
      </c>
      <c r="C1946" t="s">
        <v>28</v>
      </c>
      <c r="D1946" t="s">
        <v>37</v>
      </c>
      <c r="E1946" t="s">
        <v>15</v>
      </c>
      <c r="F1946">
        <v>46</v>
      </c>
      <c r="G1946">
        <v>80</v>
      </c>
      <c r="H1946">
        <v>24</v>
      </c>
      <c r="I1946">
        <v>102</v>
      </c>
      <c r="J1946">
        <v>50</v>
      </c>
      <c r="K1946">
        <v>6481</v>
      </c>
      <c r="L1946">
        <v>661062</v>
      </c>
      <c r="M1946">
        <f>Inventory_Data[[#This Row],[Opening Stock]]+Inventory_Data[[#This Row],[Purchase Qty]]-Inventory_Data[[#This Row],[Sales Qty]]-Inventory_Data[[#This Row],[Closing Stock]]</f>
        <v>0</v>
      </c>
      <c r="N1946">
        <f>Inventory_Data[[#This Row],[Purchase Qty]]*Inventory_Data[[#This Row],[Unit Cost]]</f>
        <v>518480</v>
      </c>
      <c r="O1946" t="str">
        <f>IF(Inventory_Data[[#This Row],[Closing Stock]]&lt;=Inventory_Data[[#This Row],[Reorder Level]],"Low Stock","In Stock")</f>
        <v>In Stock</v>
      </c>
      <c r="P1946" t="str">
        <f>TEXT(Inventory_Data[[#This Row],[Date]],"MMM")</f>
        <v>Feb</v>
      </c>
      <c r="Q1946" t="str">
        <f>TEXT(Inventory_Data[[#This Row],[Date]],"YYYY")</f>
        <v>2026</v>
      </c>
    </row>
    <row r="1947" spans="1:17" x14ac:dyDescent="0.3">
      <c r="A1947" s="1">
        <v>46071</v>
      </c>
      <c r="B1947" t="s">
        <v>45</v>
      </c>
      <c r="C1947" t="s">
        <v>13</v>
      </c>
      <c r="D1947" t="s">
        <v>37</v>
      </c>
      <c r="E1947" t="s">
        <v>24</v>
      </c>
      <c r="F1947">
        <v>83</v>
      </c>
      <c r="G1947">
        <v>74</v>
      </c>
      <c r="H1947">
        <v>5</v>
      </c>
      <c r="I1947">
        <v>152</v>
      </c>
      <c r="J1947">
        <v>24</v>
      </c>
      <c r="K1947">
        <v>10604</v>
      </c>
      <c r="L1947">
        <v>1611808</v>
      </c>
      <c r="M1947">
        <f>Inventory_Data[[#This Row],[Opening Stock]]+Inventory_Data[[#This Row],[Purchase Qty]]-Inventory_Data[[#This Row],[Sales Qty]]-Inventory_Data[[#This Row],[Closing Stock]]</f>
        <v>0</v>
      </c>
      <c r="N1947">
        <f>Inventory_Data[[#This Row],[Purchase Qty]]*Inventory_Data[[#This Row],[Unit Cost]]</f>
        <v>784696</v>
      </c>
      <c r="O1947" t="str">
        <f>IF(Inventory_Data[[#This Row],[Closing Stock]]&lt;=Inventory_Data[[#This Row],[Reorder Level]],"Low Stock","In Stock")</f>
        <v>In Stock</v>
      </c>
      <c r="P1947" t="str">
        <f>TEXT(Inventory_Data[[#This Row],[Date]],"MMM")</f>
        <v>Feb</v>
      </c>
      <c r="Q1947" t="str">
        <f>TEXT(Inventory_Data[[#This Row],[Date]],"YYYY")</f>
        <v>2026</v>
      </c>
    </row>
    <row r="1948" spans="1:17" x14ac:dyDescent="0.3">
      <c r="A1948" s="1">
        <v>46072</v>
      </c>
      <c r="B1948" t="s">
        <v>39</v>
      </c>
      <c r="C1948" t="s">
        <v>28</v>
      </c>
      <c r="D1948" t="s">
        <v>14</v>
      </c>
      <c r="E1948" t="s">
        <v>24</v>
      </c>
      <c r="F1948">
        <v>131</v>
      </c>
      <c r="G1948">
        <v>44</v>
      </c>
      <c r="H1948">
        <v>41</v>
      </c>
      <c r="I1948">
        <v>134</v>
      </c>
      <c r="J1948">
        <v>55</v>
      </c>
      <c r="K1948">
        <v>54478</v>
      </c>
      <c r="L1948">
        <v>7300052</v>
      </c>
      <c r="M1948">
        <f>Inventory_Data[[#This Row],[Opening Stock]]+Inventory_Data[[#This Row],[Purchase Qty]]-Inventory_Data[[#This Row],[Sales Qty]]-Inventory_Data[[#This Row],[Closing Stock]]</f>
        <v>0</v>
      </c>
      <c r="N1948">
        <f>Inventory_Data[[#This Row],[Purchase Qty]]*Inventory_Data[[#This Row],[Unit Cost]]</f>
        <v>2397032</v>
      </c>
      <c r="O1948" t="str">
        <f>IF(Inventory_Data[[#This Row],[Closing Stock]]&lt;=Inventory_Data[[#This Row],[Reorder Level]],"Low Stock","In Stock")</f>
        <v>In Stock</v>
      </c>
      <c r="P1948" t="str">
        <f>TEXT(Inventory_Data[[#This Row],[Date]],"MMM")</f>
        <v>Feb</v>
      </c>
      <c r="Q1948" t="str">
        <f>TEXT(Inventory_Data[[#This Row],[Date]],"YYYY")</f>
        <v>2026</v>
      </c>
    </row>
    <row r="1949" spans="1:17" x14ac:dyDescent="0.3">
      <c r="A1949" s="1">
        <v>46072</v>
      </c>
      <c r="B1949" t="s">
        <v>30</v>
      </c>
      <c r="C1949" t="s">
        <v>28</v>
      </c>
      <c r="D1949" t="s">
        <v>14</v>
      </c>
      <c r="E1949" t="s">
        <v>15</v>
      </c>
      <c r="F1949">
        <v>121</v>
      </c>
      <c r="G1949">
        <v>116</v>
      </c>
      <c r="H1949">
        <v>91</v>
      </c>
      <c r="I1949">
        <v>146</v>
      </c>
      <c r="J1949">
        <v>35</v>
      </c>
      <c r="K1949">
        <v>62947</v>
      </c>
      <c r="L1949">
        <v>9190262</v>
      </c>
      <c r="M1949">
        <f>Inventory_Data[[#This Row],[Opening Stock]]+Inventory_Data[[#This Row],[Purchase Qty]]-Inventory_Data[[#This Row],[Sales Qty]]-Inventory_Data[[#This Row],[Closing Stock]]</f>
        <v>0</v>
      </c>
      <c r="N1949">
        <f>Inventory_Data[[#This Row],[Purchase Qty]]*Inventory_Data[[#This Row],[Unit Cost]]</f>
        <v>7301852</v>
      </c>
      <c r="O1949" t="str">
        <f>IF(Inventory_Data[[#This Row],[Closing Stock]]&lt;=Inventory_Data[[#This Row],[Reorder Level]],"Low Stock","In Stock")</f>
        <v>In Stock</v>
      </c>
      <c r="P1949" t="str">
        <f>TEXT(Inventory_Data[[#This Row],[Date]],"MMM")</f>
        <v>Feb</v>
      </c>
      <c r="Q1949" t="str">
        <f>TEXT(Inventory_Data[[#This Row],[Date]],"YYYY")</f>
        <v>2026</v>
      </c>
    </row>
    <row r="1950" spans="1:17" x14ac:dyDescent="0.3">
      <c r="A1950" s="1">
        <v>46072</v>
      </c>
      <c r="B1950" t="s">
        <v>40</v>
      </c>
      <c r="C1950" t="s">
        <v>28</v>
      </c>
      <c r="D1950" t="s">
        <v>37</v>
      </c>
      <c r="E1950" t="s">
        <v>24</v>
      </c>
      <c r="F1950">
        <v>86</v>
      </c>
      <c r="G1950">
        <v>65</v>
      </c>
      <c r="H1950">
        <v>67</v>
      </c>
      <c r="I1950">
        <v>84</v>
      </c>
      <c r="J1950">
        <v>34</v>
      </c>
      <c r="K1950">
        <v>6122</v>
      </c>
      <c r="L1950">
        <v>514248</v>
      </c>
      <c r="M1950">
        <f>Inventory_Data[[#This Row],[Opening Stock]]+Inventory_Data[[#This Row],[Purchase Qty]]-Inventory_Data[[#This Row],[Sales Qty]]-Inventory_Data[[#This Row],[Closing Stock]]</f>
        <v>0</v>
      </c>
      <c r="N1950">
        <f>Inventory_Data[[#This Row],[Purchase Qty]]*Inventory_Data[[#This Row],[Unit Cost]]</f>
        <v>397930</v>
      </c>
      <c r="O1950" t="str">
        <f>IF(Inventory_Data[[#This Row],[Closing Stock]]&lt;=Inventory_Data[[#This Row],[Reorder Level]],"Low Stock","In Stock")</f>
        <v>In Stock</v>
      </c>
      <c r="P1950" t="str">
        <f>TEXT(Inventory_Data[[#This Row],[Date]],"MMM")</f>
        <v>Feb</v>
      </c>
      <c r="Q1950" t="str">
        <f>TEXT(Inventory_Data[[#This Row],[Date]],"YYYY")</f>
        <v>2026</v>
      </c>
    </row>
    <row r="1951" spans="1:17" x14ac:dyDescent="0.3">
      <c r="A1951" s="1">
        <v>46072</v>
      </c>
      <c r="B1951" t="s">
        <v>31</v>
      </c>
      <c r="C1951" t="s">
        <v>22</v>
      </c>
      <c r="D1951" t="s">
        <v>26</v>
      </c>
      <c r="E1951" t="s">
        <v>24</v>
      </c>
      <c r="F1951">
        <v>183</v>
      </c>
      <c r="G1951">
        <v>296</v>
      </c>
      <c r="H1951">
        <v>277</v>
      </c>
      <c r="I1951">
        <v>202</v>
      </c>
      <c r="J1951">
        <v>102</v>
      </c>
      <c r="K1951">
        <v>469</v>
      </c>
      <c r="L1951">
        <v>94738</v>
      </c>
      <c r="M1951">
        <f>Inventory_Data[[#This Row],[Opening Stock]]+Inventory_Data[[#This Row],[Purchase Qty]]-Inventory_Data[[#This Row],[Sales Qty]]-Inventory_Data[[#This Row],[Closing Stock]]</f>
        <v>0</v>
      </c>
      <c r="N1951">
        <f>Inventory_Data[[#This Row],[Purchase Qty]]*Inventory_Data[[#This Row],[Unit Cost]]</f>
        <v>138824</v>
      </c>
      <c r="O1951" t="str">
        <f>IF(Inventory_Data[[#This Row],[Closing Stock]]&lt;=Inventory_Data[[#This Row],[Reorder Level]],"Low Stock","In Stock")</f>
        <v>In Stock</v>
      </c>
      <c r="P1951" t="str">
        <f>TEXT(Inventory_Data[[#This Row],[Date]],"MMM")</f>
        <v>Feb</v>
      </c>
      <c r="Q1951" t="str">
        <f>TEXT(Inventory_Data[[#This Row],[Date]],"YYYY")</f>
        <v>2026</v>
      </c>
    </row>
    <row r="1952" spans="1:17" x14ac:dyDescent="0.3">
      <c r="A1952" s="1">
        <v>46073</v>
      </c>
      <c r="B1952" t="s">
        <v>33</v>
      </c>
      <c r="C1952" t="s">
        <v>13</v>
      </c>
      <c r="D1952" t="s">
        <v>37</v>
      </c>
      <c r="E1952" t="s">
        <v>34</v>
      </c>
      <c r="F1952">
        <v>65</v>
      </c>
      <c r="G1952">
        <v>46</v>
      </c>
      <c r="H1952">
        <v>27</v>
      </c>
      <c r="I1952">
        <v>84</v>
      </c>
      <c r="J1952">
        <v>17</v>
      </c>
      <c r="K1952">
        <v>6520</v>
      </c>
      <c r="L1952">
        <v>547680</v>
      </c>
      <c r="M1952">
        <f>Inventory_Data[[#This Row],[Opening Stock]]+Inventory_Data[[#This Row],[Purchase Qty]]-Inventory_Data[[#This Row],[Sales Qty]]-Inventory_Data[[#This Row],[Closing Stock]]</f>
        <v>0</v>
      </c>
      <c r="N1952">
        <f>Inventory_Data[[#This Row],[Purchase Qty]]*Inventory_Data[[#This Row],[Unit Cost]]</f>
        <v>299920</v>
      </c>
      <c r="O1952" t="str">
        <f>IF(Inventory_Data[[#This Row],[Closing Stock]]&lt;=Inventory_Data[[#This Row],[Reorder Level]],"Low Stock","In Stock")</f>
        <v>In Stock</v>
      </c>
      <c r="P1952" t="str">
        <f>TEXT(Inventory_Data[[#This Row],[Date]],"MMM")</f>
        <v>Feb</v>
      </c>
      <c r="Q1952" t="str">
        <f>TEXT(Inventory_Data[[#This Row],[Date]],"YYYY")</f>
        <v>2026</v>
      </c>
    </row>
    <row r="1953" spans="1:17" x14ac:dyDescent="0.3">
      <c r="A1953" s="1">
        <v>46073</v>
      </c>
      <c r="B1953" t="s">
        <v>25</v>
      </c>
      <c r="C1953" t="s">
        <v>17</v>
      </c>
      <c r="D1953" t="s">
        <v>26</v>
      </c>
      <c r="E1953" t="s">
        <v>24</v>
      </c>
      <c r="F1953">
        <v>29</v>
      </c>
      <c r="G1953">
        <v>14</v>
      </c>
      <c r="H1953">
        <v>30</v>
      </c>
      <c r="I1953">
        <v>13</v>
      </c>
      <c r="J1953">
        <v>29</v>
      </c>
      <c r="K1953">
        <v>2884</v>
      </c>
      <c r="L1953">
        <v>37492</v>
      </c>
      <c r="M1953">
        <f>Inventory_Data[[#This Row],[Opening Stock]]+Inventory_Data[[#This Row],[Purchase Qty]]-Inventory_Data[[#This Row],[Sales Qty]]-Inventory_Data[[#This Row],[Closing Stock]]</f>
        <v>0</v>
      </c>
      <c r="N1953">
        <f>Inventory_Data[[#This Row],[Purchase Qty]]*Inventory_Data[[#This Row],[Unit Cost]]</f>
        <v>40376</v>
      </c>
      <c r="O1953" t="str">
        <f>IF(Inventory_Data[[#This Row],[Closing Stock]]&lt;=Inventory_Data[[#This Row],[Reorder Level]],"Low Stock","In Stock")</f>
        <v>Low Stock</v>
      </c>
      <c r="P1953" t="str">
        <f>TEXT(Inventory_Data[[#This Row],[Date]],"MMM")</f>
        <v>Feb</v>
      </c>
      <c r="Q1953" t="str">
        <f>TEXT(Inventory_Data[[#This Row],[Date]],"YYYY")</f>
        <v>2026</v>
      </c>
    </row>
    <row r="1954" spans="1:17" x14ac:dyDescent="0.3">
      <c r="A1954" s="1">
        <v>46073</v>
      </c>
      <c r="B1954" t="s">
        <v>42</v>
      </c>
      <c r="C1954" t="s">
        <v>17</v>
      </c>
      <c r="D1954" t="s">
        <v>37</v>
      </c>
      <c r="E1954" t="s">
        <v>20</v>
      </c>
      <c r="F1954">
        <v>95</v>
      </c>
      <c r="G1954">
        <v>10</v>
      </c>
      <c r="H1954">
        <v>36</v>
      </c>
      <c r="I1954">
        <v>69</v>
      </c>
      <c r="J1954">
        <v>10</v>
      </c>
      <c r="K1954">
        <v>9201</v>
      </c>
      <c r="L1954">
        <v>634869</v>
      </c>
      <c r="M1954">
        <f>Inventory_Data[[#This Row],[Opening Stock]]+Inventory_Data[[#This Row],[Purchase Qty]]-Inventory_Data[[#This Row],[Sales Qty]]-Inventory_Data[[#This Row],[Closing Stock]]</f>
        <v>0</v>
      </c>
      <c r="N1954">
        <f>Inventory_Data[[#This Row],[Purchase Qty]]*Inventory_Data[[#This Row],[Unit Cost]]</f>
        <v>92010</v>
      </c>
      <c r="O1954" t="str">
        <f>IF(Inventory_Data[[#This Row],[Closing Stock]]&lt;=Inventory_Data[[#This Row],[Reorder Level]],"Low Stock","In Stock")</f>
        <v>In Stock</v>
      </c>
      <c r="P1954" t="str">
        <f>TEXT(Inventory_Data[[#This Row],[Date]],"MMM")</f>
        <v>Feb</v>
      </c>
      <c r="Q1954" t="str">
        <f>TEXT(Inventory_Data[[#This Row],[Date]],"YYYY")</f>
        <v>2026</v>
      </c>
    </row>
    <row r="1955" spans="1:17" x14ac:dyDescent="0.3">
      <c r="A1955" s="1">
        <v>46073</v>
      </c>
      <c r="B1955" t="s">
        <v>30</v>
      </c>
      <c r="C1955" t="s">
        <v>28</v>
      </c>
      <c r="D1955" t="s">
        <v>26</v>
      </c>
      <c r="E1955" t="s">
        <v>15</v>
      </c>
      <c r="F1955">
        <v>179</v>
      </c>
      <c r="G1955">
        <v>108</v>
      </c>
      <c r="H1955">
        <v>90</v>
      </c>
      <c r="I1955">
        <v>197</v>
      </c>
      <c r="J1955">
        <v>58</v>
      </c>
      <c r="K1955">
        <v>2039</v>
      </c>
      <c r="L1955">
        <v>401683</v>
      </c>
      <c r="M1955">
        <f>Inventory_Data[[#This Row],[Opening Stock]]+Inventory_Data[[#This Row],[Purchase Qty]]-Inventory_Data[[#This Row],[Sales Qty]]-Inventory_Data[[#This Row],[Closing Stock]]</f>
        <v>0</v>
      </c>
      <c r="N1955">
        <f>Inventory_Data[[#This Row],[Purchase Qty]]*Inventory_Data[[#This Row],[Unit Cost]]</f>
        <v>220212</v>
      </c>
      <c r="O1955" t="str">
        <f>IF(Inventory_Data[[#This Row],[Closing Stock]]&lt;=Inventory_Data[[#This Row],[Reorder Level]],"Low Stock","In Stock")</f>
        <v>In Stock</v>
      </c>
      <c r="P1955" t="str">
        <f>TEXT(Inventory_Data[[#This Row],[Date]],"MMM")</f>
        <v>Feb</v>
      </c>
      <c r="Q1955" t="str">
        <f>TEXT(Inventory_Data[[#This Row],[Date]],"YYYY")</f>
        <v>2026</v>
      </c>
    </row>
    <row r="1956" spans="1:17" x14ac:dyDescent="0.3">
      <c r="A1956" s="1">
        <v>46073</v>
      </c>
      <c r="B1956" t="s">
        <v>41</v>
      </c>
      <c r="C1956" t="s">
        <v>22</v>
      </c>
      <c r="D1956" t="s">
        <v>26</v>
      </c>
      <c r="E1956" t="s">
        <v>29</v>
      </c>
      <c r="F1956">
        <v>296</v>
      </c>
      <c r="G1956">
        <v>232</v>
      </c>
      <c r="H1956">
        <v>193</v>
      </c>
      <c r="I1956">
        <v>335</v>
      </c>
      <c r="J1956">
        <v>66</v>
      </c>
      <c r="K1956">
        <v>142</v>
      </c>
      <c r="L1956">
        <v>47570</v>
      </c>
      <c r="M1956">
        <f>Inventory_Data[[#This Row],[Opening Stock]]+Inventory_Data[[#This Row],[Purchase Qty]]-Inventory_Data[[#This Row],[Sales Qty]]-Inventory_Data[[#This Row],[Closing Stock]]</f>
        <v>0</v>
      </c>
      <c r="N1956">
        <f>Inventory_Data[[#This Row],[Purchase Qty]]*Inventory_Data[[#This Row],[Unit Cost]]</f>
        <v>32944</v>
      </c>
      <c r="O1956" t="str">
        <f>IF(Inventory_Data[[#This Row],[Closing Stock]]&lt;=Inventory_Data[[#This Row],[Reorder Level]],"Low Stock","In Stock")</f>
        <v>In Stock</v>
      </c>
      <c r="P1956" t="str">
        <f>TEXT(Inventory_Data[[#This Row],[Date]],"MMM")</f>
        <v>Feb</v>
      </c>
      <c r="Q1956" t="str">
        <f>TEXT(Inventory_Data[[#This Row],[Date]],"YYYY")</f>
        <v>2026</v>
      </c>
    </row>
    <row r="1957" spans="1:17" x14ac:dyDescent="0.3">
      <c r="A1957" s="1">
        <v>46073</v>
      </c>
      <c r="B1957" t="s">
        <v>43</v>
      </c>
      <c r="C1957" t="s">
        <v>22</v>
      </c>
      <c r="D1957" t="s">
        <v>37</v>
      </c>
      <c r="E1957" t="s">
        <v>18</v>
      </c>
      <c r="F1957">
        <v>137</v>
      </c>
      <c r="G1957">
        <v>150</v>
      </c>
      <c r="H1957">
        <v>12</v>
      </c>
      <c r="I1957">
        <v>275</v>
      </c>
      <c r="J1957">
        <v>148</v>
      </c>
      <c r="K1957">
        <v>479</v>
      </c>
      <c r="L1957">
        <v>131725</v>
      </c>
      <c r="M1957">
        <f>Inventory_Data[[#This Row],[Opening Stock]]+Inventory_Data[[#This Row],[Purchase Qty]]-Inventory_Data[[#This Row],[Sales Qty]]-Inventory_Data[[#This Row],[Closing Stock]]</f>
        <v>0</v>
      </c>
      <c r="N1957">
        <f>Inventory_Data[[#This Row],[Purchase Qty]]*Inventory_Data[[#This Row],[Unit Cost]]</f>
        <v>71850</v>
      </c>
      <c r="O1957" t="str">
        <f>IF(Inventory_Data[[#This Row],[Closing Stock]]&lt;=Inventory_Data[[#This Row],[Reorder Level]],"Low Stock","In Stock")</f>
        <v>In Stock</v>
      </c>
      <c r="P1957" t="str">
        <f>TEXT(Inventory_Data[[#This Row],[Date]],"MMM")</f>
        <v>Feb</v>
      </c>
      <c r="Q1957" t="str">
        <f>TEXT(Inventory_Data[[#This Row],[Date]],"YYYY")</f>
        <v>2026</v>
      </c>
    </row>
    <row r="1958" spans="1:17" x14ac:dyDescent="0.3">
      <c r="A1958" s="1">
        <v>46074</v>
      </c>
      <c r="B1958" t="s">
        <v>25</v>
      </c>
      <c r="C1958" t="s">
        <v>17</v>
      </c>
      <c r="D1958" t="s">
        <v>23</v>
      </c>
      <c r="E1958" t="s">
        <v>15</v>
      </c>
      <c r="F1958">
        <v>80</v>
      </c>
      <c r="G1958">
        <v>21</v>
      </c>
      <c r="H1958">
        <v>11</v>
      </c>
      <c r="I1958">
        <v>90</v>
      </c>
      <c r="J1958">
        <v>15</v>
      </c>
      <c r="K1958">
        <v>17658</v>
      </c>
      <c r="L1958">
        <v>1589220</v>
      </c>
      <c r="M1958">
        <f>Inventory_Data[[#This Row],[Opening Stock]]+Inventory_Data[[#This Row],[Purchase Qty]]-Inventory_Data[[#This Row],[Sales Qty]]-Inventory_Data[[#This Row],[Closing Stock]]</f>
        <v>0</v>
      </c>
      <c r="N1958">
        <f>Inventory_Data[[#This Row],[Purchase Qty]]*Inventory_Data[[#This Row],[Unit Cost]]</f>
        <v>370818</v>
      </c>
      <c r="O1958" t="str">
        <f>IF(Inventory_Data[[#This Row],[Closing Stock]]&lt;=Inventory_Data[[#This Row],[Reorder Level]],"Low Stock","In Stock")</f>
        <v>In Stock</v>
      </c>
      <c r="P1958" t="str">
        <f>TEXT(Inventory_Data[[#This Row],[Date]],"MMM")</f>
        <v>Feb</v>
      </c>
      <c r="Q1958" t="str">
        <f>TEXT(Inventory_Data[[#This Row],[Date]],"YYYY")</f>
        <v>2026</v>
      </c>
    </row>
    <row r="1959" spans="1:17" x14ac:dyDescent="0.3">
      <c r="A1959" s="1">
        <v>46074</v>
      </c>
      <c r="B1959" t="s">
        <v>27</v>
      </c>
      <c r="C1959" t="s">
        <v>28</v>
      </c>
      <c r="D1959" t="s">
        <v>14</v>
      </c>
      <c r="E1959" t="s">
        <v>29</v>
      </c>
      <c r="F1959">
        <v>169</v>
      </c>
      <c r="G1959">
        <v>57</v>
      </c>
      <c r="H1959">
        <v>7</v>
      </c>
      <c r="I1959">
        <v>219</v>
      </c>
      <c r="J1959">
        <v>40</v>
      </c>
      <c r="K1959">
        <v>43254</v>
      </c>
      <c r="L1959">
        <v>9472626</v>
      </c>
      <c r="M1959">
        <f>Inventory_Data[[#This Row],[Opening Stock]]+Inventory_Data[[#This Row],[Purchase Qty]]-Inventory_Data[[#This Row],[Sales Qty]]-Inventory_Data[[#This Row],[Closing Stock]]</f>
        <v>0</v>
      </c>
      <c r="N1959">
        <f>Inventory_Data[[#This Row],[Purchase Qty]]*Inventory_Data[[#This Row],[Unit Cost]]</f>
        <v>2465478</v>
      </c>
      <c r="O1959" t="str">
        <f>IF(Inventory_Data[[#This Row],[Closing Stock]]&lt;=Inventory_Data[[#This Row],[Reorder Level]],"Low Stock","In Stock")</f>
        <v>In Stock</v>
      </c>
      <c r="P1959" t="str">
        <f>TEXT(Inventory_Data[[#This Row],[Date]],"MMM")</f>
        <v>Feb</v>
      </c>
      <c r="Q1959" t="str">
        <f>TEXT(Inventory_Data[[#This Row],[Date]],"YYYY")</f>
        <v>2026</v>
      </c>
    </row>
    <row r="1960" spans="1:17" x14ac:dyDescent="0.3">
      <c r="A1960" s="1">
        <v>46074</v>
      </c>
      <c r="B1960" t="s">
        <v>27</v>
      </c>
      <c r="C1960" t="s">
        <v>28</v>
      </c>
      <c r="D1960" t="s">
        <v>26</v>
      </c>
      <c r="E1960" t="s">
        <v>24</v>
      </c>
      <c r="F1960">
        <v>170</v>
      </c>
      <c r="G1960">
        <v>24</v>
      </c>
      <c r="H1960">
        <v>31</v>
      </c>
      <c r="I1960">
        <v>163</v>
      </c>
      <c r="J1960">
        <v>36</v>
      </c>
      <c r="K1960">
        <v>62954</v>
      </c>
      <c r="L1960">
        <v>10261502</v>
      </c>
      <c r="M1960">
        <f>Inventory_Data[[#This Row],[Opening Stock]]+Inventory_Data[[#This Row],[Purchase Qty]]-Inventory_Data[[#This Row],[Sales Qty]]-Inventory_Data[[#This Row],[Closing Stock]]</f>
        <v>0</v>
      </c>
      <c r="N1960">
        <f>Inventory_Data[[#This Row],[Purchase Qty]]*Inventory_Data[[#This Row],[Unit Cost]]</f>
        <v>1510896</v>
      </c>
      <c r="O1960" t="str">
        <f>IF(Inventory_Data[[#This Row],[Closing Stock]]&lt;=Inventory_Data[[#This Row],[Reorder Level]],"Low Stock","In Stock")</f>
        <v>In Stock</v>
      </c>
      <c r="P1960" t="str">
        <f>TEXT(Inventory_Data[[#This Row],[Date]],"MMM")</f>
        <v>Feb</v>
      </c>
      <c r="Q1960" t="str">
        <f>TEXT(Inventory_Data[[#This Row],[Date]],"YYYY")</f>
        <v>2026</v>
      </c>
    </row>
    <row r="1961" spans="1:17" x14ac:dyDescent="0.3">
      <c r="A1961" s="1">
        <v>46075</v>
      </c>
      <c r="B1961" t="s">
        <v>25</v>
      </c>
      <c r="C1961" t="s">
        <v>17</v>
      </c>
      <c r="D1961" t="s">
        <v>26</v>
      </c>
      <c r="E1961" t="s">
        <v>29</v>
      </c>
      <c r="F1961">
        <v>16</v>
      </c>
      <c r="G1961">
        <v>8</v>
      </c>
      <c r="H1961">
        <v>12</v>
      </c>
      <c r="I1961">
        <v>12</v>
      </c>
      <c r="J1961">
        <v>13</v>
      </c>
      <c r="K1961">
        <v>1912</v>
      </c>
      <c r="L1961">
        <v>22944</v>
      </c>
      <c r="M1961">
        <f>Inventory_Data[[#This Row],[Opening Stock]]+Inventory_Data[[#This Row],[Purchase Qty]]-Inventory_Data[[#This Row],[Sales Qty]]-Inventory_Data[[#This Row],[Closing Stock]]</f>
        <v>0</v>
      </c>
      <c r="N1961">
        <f>Inventory_Data[[#This Row],[Purchase Qty]]*Inventory_Data[[#This Row],[Unit Cost]]</f>
        <v>15296</v>
      </c>
      <c r="O1961" t="str">
        <f>IF(Inventory_Data[[#This Row],[Closing Stock]]&lt;=Inventory_Data[[#This Row],[Reorder Level]],"Low Stock","In Stock")</f>
        <v>Low Stock</v>
      </c>
      <c r="P1961" t="str">
        <f>TEXT(Inventory_Data[[#This Row],[Date]],"MMM")</f>
        <v>Feb</v>
      </c>
      <c r="Q1961" t="str">
        <f>TEXT(Inventory_Data[[#This Row],[Date]],"YYYY")</f>
        <v>2026</v>
      </c>
    </row>
    <row r="1962" spans="1:17" x14ac:dyDescent="0.3">
      <c r="A1962" s="1">
        <v>46075</v>
      </c>
      <c r="B1962" t="s">
        <v>38</v>
      </c>
      <c r="C1962" t="s">
        <v>17</v>
      </c>
      <c r="D1962" t="s">
        <v>26</v>
      </c>
      <c r="E1962" t="s">
        <v>20</v>
      </c>
      <c r="F1962">
        <v>93</v>
      </c>
      <c r="G1962">
        <v>19</v>
      </c>
      <c r="H1962">
        <v>34</v>
      </c>
      <c r="I1962">
        <v>78</v>
      </c>
      <c r="J1962">
        <v>26</v>
      </c>
      <c r="K1962">
        <v>18192</v>
      </c>
      <c r="L1962">
        <v>1418976</v>
      </c>
      <c r="M1962">
        <f>Inventory_Data[[#This Row],[Opening Stock]]+Inventory_Data[[#This Row],[Purchase Qty]]-Inventory_Data[[#This Row],[Sales Qty]]-Inventory_Data[[#This Row],[Closing Stock]]</f>
        <v>0</v>
      </c>
      <c r="N1962">
        <f>Inventory_Data[[#This Row],[Purchase Qty]]*Inventory_Data[[#This Row],[Unit Cost]]</f>
        <v>345648</v>
      </c>
      <c r="O1962" t="str">
        <f>IF(Inventory_Data[[#This Row],[Closing Stock]]&lt;=Inventory_Data[[#This Row],[Reorder Level]],"Low Stock","In Stock")</f>
        <v>In Stock</v>
      </c>
      <c r="P1962" t="str">
        <f>TEXT(Inventory_Data[[#This Row],[Date]],"MMM")</f>
        <v>Feb</v>
      </c>
      <c r="Q1962" t="str">
        <f>TEXT(Inventory_Data[[#This Row],[Date]],"YYYY")</f>
        <v>2026</v>
      </c>
    </row>
    <row r="1963" spans="1:17" x14ac:dyDescent="0.3">
      <c r="A1963" s="1">
        <v>46075</v>
      </c>
      <c r="B1963" t="s">
        <v>31</v>
      </c>
      <c r="C1963" t="s">
        <v>22</v>
      </c>
      <c r="D1963" t="s">
        <v>26</v>
      </c>
      <c r="E1963" t="s">
        <v>18</v>
      </c>
      <c r="F1963">
        <v>411</v>
      </c>
      <c r="G1963">
        <v>64</v>
      </c>
      <c r="H1963">
        <v>112</v>
      </c>
      <c r="I1963">
        <v>363</v>
      </c>
      <c r="J1963">
        <v>57</v>
      </c>
      <c r="K1963">
        <v>884</v>
      </c>
      <c r="L1963">
        <v>320892</v>
      </c>
      <c r="M1963">
        <f>Inventory_Data[[#This Row],[Opening Stock]]+Inventory_Data[[#This Row],[Purchase Qty]]-Inventory_Data[[#This Row],[Sales Qty]]-Inventory_Data[[#This Row],[Closing Stock]]</f>
        <v>0</v>
      </c>
      <c r="N1963">
        <f>Inventory_Data[[#This Row],[Purchase Qty]]*Inventory_Data[[#This Row],[Unit Cost]]</f>
        <v>56576</v>
      </c>
      <c r="O1963" t="str">
        <f>IF(Inventory_Data[[#This Row],[Closing Stock]]&lt;=Inventory_Data[[#This Row],[Reorder Level]],"Low Stock","In Stock")</f>
        <v>In Stock</v>
      </c>
      <c r="P1963" t="str">
        <f>TEXT(Inventory_Data[[#This Row],[Date]],"MMM")</f>
        <v>Feb</v>
      </c>
      <c r="Q1963" t="str">
        <f>TEXT(Inventory_Data[[#This Row],[Date]],"YYYY")</f>
        <v>2026</v>
      </c>
    </row>
    <row r="1964" spans="1:17" x14ac:dyDescent="0.3">
      <c r="A1964" s="1">
        <v>46076</v>
      </c>
      <c r="B1964" t="s">
        <v>36</v>
      </c>
      <c r="C1964" t="s">
        <v>22</v>
      </c>
      <c r="D1964" t="s">
        <v>37</v>
      </c>
      <c r="E1964" t="s">
        <v>29</v>
      </c>
      <c r="F1964">
        <v>143</v>
      </c>
      <c r="G1964">
        <v>124</v>
      </c>
      <c r="H1964">
        <v>78</v>
      </c>
      <c r="I1964">
        <v>189</v>
      </c>
      <c r="J1964">
        <v>109</v>
      </c>
      <c r="K1964">
        <v>337</v>
      </c>
      <c r="L1964">
        <v>63693</v>
      </c>
      <c r="M1964">
        <f>Inventory_Data[[#This Row],[Opening Stock]]+Inventory_Data[[#This Row],[Purchase Qty]]-Inventory_Data[[#This Row],[Sales Qty]]-Inventory_Data[[#This Row],[Closing Stock]]</f>
        <v>0</v>
      </c>
      <c r="N1964">
        <f>Inventory_Data[[#This Row],[Purchase Qty]]*Inventory_Data[[#This Row],[Unit Cost]]</f>
        <v>41788</v>
      </c>
      <c r="O1964" t="str">
        <f>IF(Inventory_Data[[#This Row],[Closing Stock]]&lt;=Inventory_Data[[#This Row],[Reorder Level]],"Low Stock","In Stock")</f>
        <v>In Stock</v>
      </c>
      <c r="P1964" t="str">
        <f>TEXT(Inventory_Data[[#This Row],[Date]],"MMM")</f>
        <v>Feb</v>
      </c>
      <c r="Q1964" t="str">
        <f>TEXT(Inventory_Data[[#This Row],[Date]],"YYYY")</f>
        <v>2026</v>
      </c>
    </row>
    <row r="1965" spans="1:17" x14ac:dyDescent="0.3">
      <c r="A1965" s="1">
        <v>46076</v>
      </c>
      <c r="B1965" t="s">
        <v>27</v>
      </c>
      <c r="C1965" t="s">
        <v>28</v>
      </c>
      <c r="D1965" t="s">
        <v>37</v>
      </c>
      <c r="E1965" t="s">
        <v>18</v>
      </c>
      <c r="F1965">
        <v>160</v>
      </c>
      <c r="G1965">
        <v>88</v>
      </c>
      <c r="H1965">
        <v>50</v>
      </c>
      <c r="I1965">
        <v>198</v>
      </c>
      <c r="J1965">
        <v>28</v>
      </c>
      <c r="K1965">
        <v>37335</v>
      </c>
      <c r="L1965">
        <v>7392330</v>
      </c>
      <c r="M1965">
        <f>Inventory_Data[[#This Row],[Opening Stock]]+Inventory_Data[[#This Row],[Purchase Qty]]-Inventory_Data[[#This Row],[Sales Qty]]-Inventory_Data[[#This Row],[Closing Stock]]</f>
        <v>0</v>
      </c>
      <c r="N1965">
        <f>Inventory_Data[[#This Row],[Purchase Qty]]*Inventory_Data[[#This Row],[Unit Cost]]</f>
        <v>3285480</v>
      </c>
      <c r="O1965" t="str">
        <f>IF(Inventory_Data[[#This Row],[Closing Stock]]&lt;=Inventory_Data[[#This Row],[Reorder Level]],"Low Stock","In Stock")</f>
        <v>In Stock</v>
      </c>
      <c r="P1965" t="str">
        <f>TEXT(Inventory_Data[[#This Row],[Date]],"MMM")</f>
        <v>Feb</v>
      </c>
      <c r="Q1965" t="str">
        <f>TEXT(Inventory_Data[[#This Row],[Date]],"YYYY")</f>
        <v>2026</v>
      </c>
    </row>
    <row r="1966" spans="1:17" x14ac:dyDescent="0.3">
      <c r="A1966" s="1">
        <v>46076</v>
      </c>
      <c r="B1966" t="s">
        <v>44</v>
      </c>
      <c r="C1966" t="s">
        <v>28</v>
      </c>
      <c r="D1966" t="s">
        <v>23</v>
      </c>
      <c r="E1966" t="s">
        <v>24</v>
      </c>
      <c r="F1966">
        <v>159</v>
      </c>
      <c r="G1966">
        <v>27</v>
      </c>
      <c r="H1966">
        <v>82</v>
      </c>
      <c r="I1966">
        <v>104</v>
      </c>
      <c r="J1966">
        <v>29</v>
      </c>
      <c r="K1966">
        <v>10793</v>
      </c>
      <c r="L1966">
        <v>1122472</v>
      </c>
      <c r="M1966">
        <f>Inventory_Data[[#This Row],[Opening Stock]]+Inventory_Data[[#This Row],[Purchase Qty]]-Inventory_Data[[#This Row],[Sales Qty]]-Inventory_Data[[#This Row],[Closing Stock]]</f>
        <v>0</v>
      </c>
      <c r="N1966">
        <f>Inventory_Data[[#This Row],[Purchase Qty]]*Inventory_Data[[#This Row],[Unit Cost]]</f>
        <v>291411</v>
      </c>
      <c r="O1966" t="str">
        <f>IF(Inventory_Data[[#This Row],[Closing Stock]]&lt;=Inventory_Data[[#This Row],[Reorder Level]],"Low Stock","In Stock")</f>
        <v>In Stock</v>
      </c>
      <c r="P1966" t="str">
        <f>TEXT(Inventory_Data[[#This Row],[Date]],"MMM")</f>
        <v>Feb</v>
      </c>
      <c r="Q1966" t="str">
        <f>TEXT(Inventory_Data[[#This Row],[Date]],"YYYY")</f>
        <v>2026</v>
      </c>
    </row>
    <row r="1967" spans="1:17" x14ac:dyDescent="0.3">
      <c r="A1967" s="1">
        <v>46076</v>
      </c>
      <c r="B1967" t="s">
        <v>33</v>
      </c>
      <c r="C1967" t="s">
        <v>13</v>
      </c>
      <c r="D1967" t="s">
        <v>37</v>
      </c>
      <c r="E1967" t="s">
        <v>29</v>
      </c>
      <c r="F1967">
        <v>36</v>
      </c>
      <c r="G1967">
        <v>47</v>
      </c>
      <c r="H1967">
        <v>17</v>
      </c>
      <c r="I1967">
        <v>66</v>
      </c>
      <c r="J1967">
        <v>19</v>
      </c>
      <c r="K1967">
        <v>5137</v>
      </c>
      <c r="L1967">
        <v>339042</v>
      </c>
      <c r="M1967">
        <f>Inventory_Data[[#This Row],[Opening Stock]]+Inventory_Data[[#This Row],[Purchase Qty]]-Inventory_Data[[#This Row],[Sales Qty]]-Inventory_Data[[#This Row],[Closing Stock]]</f>
        <v>0</v>
      </c>
      <c r="N1967">
        <f>Inventory_Data[[#This Row],[Purchase Qty]]*Inventory_Data[[#This Row],[Unit Cost]]</f>
        <v>241439</v>
      </c>
      <c r="O1967" t="str">
        <f>IF(Inventory_Data[[#This Row],[Closing Stock]]&lt;=Inventory_Data[[#This Row],[Reorder Level]],"Low Stock","In Stock")</f>
        <v>In Stock</v>
      </c>
      <c r="P1967" t="str">
        <f>TEXT(Inventory_Data[[#This Row],[Date]],"MMM")</f>
        <v>Feb</v>
      </c>
      <c r="Q1967" t="str">
        <f>TEXT(Inventory_Data[[#This Row],[Date]],"YYYY")</f>
        <v>2026</v>
      </c>
    </row>
    <row r="1968" spans="1:17" x14ac:dyDescent="0.3">
      <c r="A1968" s="1">
        <v>46077</v>
      </c>
      <c r="B1968" t="s">
        <v>45</v>
      </c>
      <c r="C1968" t="s">
        <v>13</v>
      </c>
      <c r="D1968" t="s">
        <v>14</v>
      </c>
      <c r="E1968" t="s">
        <v>15</v>
      </c>
      <c r="F1968">
        <v>33</v>
      </c>
      <c r="G1968">
        <v>28</v>
      </c>
      <c r="H1968">
        <v>43</v>
      </c>
      <c r="I1968">
        <v>18</v>
      </c>
      <c r="J1968">
        <v>28</v>
      </c>
      <c r="K1968">
        <v>3484</v>
      </c>
      <c r="L1968">
        <v>62712</v>
      </c>
      <c r="M1968">
        <f>Inventory_Data[[#This Row],[Opening Stock]]+Inventory_Data[[#This Row],[Purchase Qty]]-Inventory_Data[[#This Row],[Sales Qty]]-Inventory_Data[[#This Row],[Closing Stock]]</f>
        <v>0</v>
      </c>
      <c r="N1968">
        <f>Inventory_Data[[#This Row],[Purchase Qty]]*Inventory_Data[[#This Row],[Unit Cost]]</f>
        <v>97552</v>
      </c>
      <c r="O1968" t="str">
        <f>IF(Inventory_Data[[#This Row],[Closing Stock]]&lt;=Inventory_Data[[#This Row],[Reorder Level]],"Low Stock","In Stock")</f>
        <v>Low Stock</v>
      </c>
      <c r="P1968" t="str">
        <f>TEXT(Inventory_Data[[#This Row],[Date]],"MMM")</f>
        <v>Feb</v>
      </c>
      <c r="Q1968" t="str">
        <f>TEXT(Inventory_Data[[#This Row],[Date]],"YYYY")</f>
        <v>2026</v>
      </c>
    </row>
    <row r="1969" spans="1:17" x14ac:dyDescent="0.3">
      <c r="A1969" s="1">
        <v>46077</v>
      </c>
      <c r="B1969" t="s">
        <v>19</v>
      </c>
      <c r="C1969" t="s">
        <v>13</v>
      </c>
      <c r="D1969" t="s">
        <v>37</v>
      </c>
      <c r="E1969" t="s">
        <v>18</v>
      </c>
      <c r="F1969">
        <v>52</v>
      </c>
      <c r="G1969">
        <v>29</v>
      </c>
      <c r="H1969">
        <v>31</v>
      </c>
      <c r="I1969">
        <v>50</v>
      </c>
      <c r="J1969">
        <v>28</v>
      </c>
      <c r="K1969">
        <v>3661</v>
      </c>
      <c r="L1969">
        <v>183050</v>
      </c>
      <c r="M1969">
        <f>Inventory_Data[[#This Row],[Opening Stock]]+Inventory_Data[[#This Row],[Purchase Qty]]-Inventory_Data[[#This Row],[Sales Qty]]-Inventory_Data[[#This Row],[Closing Stock]]</f>
        <v>0</v>
      </c>
      <c r="N1969">
        <f>Inventory_Data[[#This Row],[Purchase Qty]]*Inventory_Data[[#This Row],[Unit Cost]]</f>
        <v>106169</v>
      </c>
      <c r="O1969" t="str">
        <f>IF(Inventory_Data[[#This Row],[Closing Stock]]&lt;=Inventory_Data[[#This Row],[Reorder Level]],"Low Stock","In Stock")</f>
        <v>In Stock</v>
      </c>
      <c r="P1969" t="str">
        <f>TEXT(Inventory_Data[[#This Row],[Date]],"MMM")</f>
        <v>Feb</v>
      </c>
      <c r="Q1969" t="str">
        <f>TEXT(Inventory_Data[[#This Row],[Date]],"YYYY")</f>
        <v>2026</v>
      </c>
    </row>
    <row r="1970" spans="1:17" x14ac:dyDescent="0.3">
      <c r="A1970" s="1">
        <v>46077</v>
      </c>
      <c r="B1970" t="s">
        <v>38</v>
      </c>
      <c r="C1970" t="s">
        <v>17</v>
      </c>
      <c r="D1970" t="s">
        <v>23</v>
      </c>
      <c r="E1970" t="s">
        <v>18</v>
      </c>
      <c r="F1970">
        <v>22</v>
      </c>
      <c r="G1970">
        <v>36</v>
      </c>
      <c r="H1970">
        <v>37</v>
      </c>
      <c r="I1970">
        <v>21</v>
      </c>
      <c r="J1970">
        <v>13</v>
      </c>
      <c r="K1970">
        <v>20032</v>
      </c>
      <c r="L1970">
        <v>420672</v>
      </c>
      <c r="M1970">
        <f>Inventory_Data[[#This Row],[Opening Stock]]+Inventory_Data[[#This Row],[Purchase Qty]]-Inventory_Data[[#This Row],[Sales Qty]]-Inventory_Data[[#This Row],[Closing Stock]]</f>
        <v>0</v>
      </c>
      <c r="N1970">
        <f>Inventory_Data[[#This Row],[Purchase Qty]]*Inventory_Data[[#This Row],[Unit Cost]]</f>
        <v>721152</v>
      </c>
      <c r="O1970" t="str">
        <f>IF(Inventory_Data[[#This Row],[Closing Stock]]&lt;=Inventory_Data[[#This Row],[Reorder Level]],"Low Stock","In Stock")</f>
        <v>In Stock</v>
      </c>
      <c r="P1970" t="str">
        <f>TEXT(Inventory_Data[[#This Row],[Date]],"MMM")</f>
        <v>Feb</v>
      </c>
      <c r="Q1970" t="str">
        <f>TEXT(Inventory_Data[[#This Row],[Date]],"YYYY")</f>
        <v>2026</v>
      </c>
    </row>
    <row r="1971" spans="1:17" x14ac:dyDescent="0.3">
      <c r="A1971" s="1">
        <v>46077</v>
      </c>
      <c r="B1971" t="s">
        <v>30</v>
      </c>
      <c r="C1971" t="s">
        <v>28</v>
      </c>
      <c r="D1971" t="s">
        <v>23</v>
      </c>
      <c r="E1971" t="s">
        <v>34</v>
      </c>
      <c r="F1971">
        <v>177</v>
      </c>
      <c r="G1971">
        <v>27</v>
      </c>
      <c r="H1971">
        <v>6</v>
      </c>
      <c r="I1971">
        <v>198</v>
      </c>
      <c r="J1971">
        <v>32</v>
      </c>
      <c r="K1971">
        <v>45776</v>
      </c>
      <c r="L1971">
        <v>9063648</v>
      </c>
      <c r="M1971">
        <f>Inventory_Data[[#This Row],[Opening Stock]]+Inventory_Data[[#This Row],[Purchase Qty]]-Inventory_Data[[#This Row],[Sales Qty]]-Inventory_Data[[#This Row],[Closing Stock]]</f>
        <v>0</v>
      </c>
      <c r="N1971">
        <f>Inventory_Data[[#This Row],[Purchase Qty]]*Inventory_Data[[#This Row],[Unit Cost]]</f>
        <v>1235952</v>
      </c>
      <c r="O1971" t="str">
        <f>IF(Inventory_Data[[#This Row],[Closing Stock]]&lt;=Inventory_Data[[#This Row],[Reorder Level]],"Low Stock","In Stock")</f>
        <v>In Stock</v>
      </c>
      <c r="P1971" t="str">
        <f>TEXT(Inventory_Data[[#This Row],[Date]],"MMM")</f>
        <v>Feb</v>
      </c>
      <c r="Q1971" t="str">
        <f>TEXT(Inventory_Data[[#This Row],[Date]],"YYYY")</f>
        <v>2026</v>
      </c>
    </row>
    <row r="1972" spans="1:17" x14ac:dyDescent="0.3">
      <c r="A1972" s="1">
        <v>46077</v>
      </c>
      <c r="B1972" t="s">
        <v>32</v>
      </c>
      <c r="C1972" t="s">
        <v>28</v>
      </c>
      <c r="D1972" t="s">
        <v>23</v>
      </c>
      <c r="E1972" t="s">
        <v>24</v>
      </c>
      <c r="F1972">
        <v>73</v>
      </c>
      <c r="G1972">
        <v>97</v>
      </c>
      <c r="H1972">
        <v>40</v>
      </c>
      <c r="I1972">
        <v>130</v>
      </c>
      <c r="J1972">
        <v>58</v>
      </c>
      <c r="K1972">
        <v>54756</v>
      </c>
      <c r="L1972">
        <v>7118280</v>
      </c>
      <c r="M1972">
        <f>Inventory_Data[[#This Row],[Opening Stock]]+Inventory_Data[[#This Row],[Purchase Qty]]-Inventory_Data[[#This Row],[Sales Qty]]-Inventory_Data[[#This Row],[Closing Stock]]</f>
        <v>0</v>
      </c>
      <c r="N1972">
        <f>Inventory_Data[[#This Row],[Purchase Qty]]*Inventory_Data[[#This Row],[Unit Cost]]</f>
        <v>5311332</v>
      </c>
      <c r="O1972" t="str">
        <f>IF(Inventory_Data[[#This Row],[Closing Stock]]&lt;=Inventory_Data[[#This Row],[Reorder Level]],"Low Stock","In Stock")</f>
        <v>In Stock</v>
      </c>
      <c r="P1972" t="str">
        <f>TEXT(Inventory_Data[[#This Row],[Date]],"MMM")</f>
        <v>Feb</v>
      </c>
      <c r="Q1972" t="str">
        <f>TEXT(Inventory_Data[[#This Row],[Date]],"YYYY")</f>
        <v>2026</v>
      </c>
    </row>
    <row r="1973" spans="1:17" x14ac:dyDescent="0.3">
      <c r="A1973" s="1">
        <v>46078</v>
      </c>
      <c r="B1973" t="s">
        <v>25</v>
      </c>
      <c r="C1973" t="s">
        <v>17</v>
      </c>
      <c r="D1973" t="s">
        <v>37</v>
      </c>
      <c r="E1973" t="s">
        <v>29</v>
      </c>
      <c r="F1973">
        <v>15</v>
      </c>
      <c r="G1973">
        <v>11</v>
      </c>
      <c r="H1973">
        <v>26</v>
      </c>
      <c r="I1973">
        <v>0</v>
      </c>
      <c r="J1973">
        <v>10</v>
      </c>
      <c r="K1973">
        <v>19408</v>
      </c>
      <c r="L1973">
        <v>0</v>
      </c>
      <c r="M1973">
        <f>Inventory_Data[[#This Row],[Opening Stock]]+Inventory_Data[[#This Row],[Purchase Qty]]-Inventory_Data[[#This Row],[Sales Qty]]-Inventory_Data[[#This Row],[Closing Stock]]</f>
        <v>0</v>
      </c>
      <c r="N1973">
        <f>Inventory_Data[[#This Row],[Purchase Qty]]*Inventory_Data[[#This Row],[Unit Cost]]</f>
        <v>213488</v>
      </c>
      <c r="O1973" t="str">
        <f>IF(Inventory_Data[[#This Row],[Closing Stock]]&lt;=Inventory_Data[[#This Row],[Reorder Level]],"Low Stock","In Stock")</f>
        <v>Low Stock</v>
      </c>
      <c r="P1973" t="str">
        <f>TEXT(Inventory_Data[[#This Row],[Date]],"MMM")</f>
        <v>Feb</v>
      </c>
      <c r="Q1973" t="str">
        <f>TEXT(Inventory_Data[[#This Row],[Date]],"YYYY")</f>
        <v>2026</v>
      </c>
    </row>
    <row r="1974" spans="1:17" x14ac:dyDescent="0.3">
      <c r="A1974" s="1">
        <v>46078</v>
      </c>
      <c r="B1974" t="s">
        <v>43</v>
      </c>
      <c r="C1974" t="s">
        <v>22</v>
      </c>
      <c r="D1974" t="s">
        <v>23</v>
      </c>
      <c r="E1974" t="s">
        <v>29</v>
      </c>
      <c r="F1974">
        <v>262</v>
      </c>
      <c r="G1974">
        <v>195</v>
      </c>
      <c r="H1974">
        <v>80</v>
      </c>
      <c r="I1974">
        <v>377</v>
      </c>
      <c r="J1974">
        <v>100</v>
      </c>
      <c r="K1974">
        <v>745</v>
      </c>
      <c r="L1974">
        <v>280865</v>
      </c>
      <c r="M1974">
        <f>Inventory_Data[[#This Row],[Opening Stock]]+Inventory_Data[[#This Row],[Purchase Qty]]-Inventory_Data[[#This Row],[Sales Qty]]-Inventory_Data[[#This Row],[Closing Stock]]</f>
        <v>0</v>
      </c>
      <c r="N1974">
        <f>Inventory_Data[[#This Row],[Purchase Qty]]*Inventory_Data[[#This Row],[Unit Cost]]</f>
        <v>145275</v>
      </c>
      <c r="O1974" t="str">
        <f>IF(Inventory_Data[[#This Row],[Closing Stock]]&lt;=Inventory_Data[[#This Row],[Reorder Level]],"Low Stock","In Stock")</f>
        <v>In Stock</v>
      </c>
      <c r="P1974" t="str">
        <f>TEXT(Inventory_Data[[#This Row],[Date]],"MMM")</f>
        <v>Feb</v>
      </c>
      <c r="Q1974" t="str">
        <f>TEXT(Inventory_Data[[#This Row],[Date]],"YYYY")</f>
        <v>2026</v>
      </c>
    </row>
    <row r="1975" spans="1:17" x14ac:dyDescent="0.3">
      <c r="A1975" s="1">
        <v>46079</v>
      </c>
      <c r="B1975" t="s">
        <v>39</v>
      </c>
      <c r="C1975" t="s">
        <v>28</v>
      </c>
      <c r="D1975" t="s">
        <v>37</v>
      </c>
      <c r="E1975" t="s">
        <v>20</v>
      </c>
      <c r="F1975">
        <v>129</v>
      </c>
      <c r="G1975">
        <v>106</v>
      </c>
      <c r="H1975">
        <v>22</v>
      </c>
      <c r="I1975">
        <v>213</v>
      </c>
      <c r="J1975">
        <v>20</v>
      </c>
      <c r="K1975">
        <v>27750</v>
      </c>
      <c r="L1975">
        <v>5910750</v>
      </c>
      <c r="M1975">
        <f>Inventory_Data[[#This Row],[Opening Stock]]+Inventory_Data[[#This Row],[Purchase Qty]]-Inventory_Data[[#This Row],[Sales Qty]]-Inventory_Data[[#This Row],[Closing Stock]]</f>
        <v>0</v>
      </c>
      <c r="N1975">
        <f>Inventory_Data[[#This Row],[Purchase Qty]]*Inventory_Data[[#This Row],[Unit Cost]]</f>
        <v>2941500</v>
      </c>
      <c r="O1975" t="str">
        <f>IF(Inventory_Data[[#This Row],[Closing Stock]]&lt;=Inventory_Data[[#This Row],[Reorder Level]],"Low Stock","In Stock")</f>
        <v>In Stock</v>
      </c>
      <c r="P1975" t="str">
        <f>TEXT(Inventory_Data[[#This Row],[Date]],"MMM")</f>
        <v>Feb</v>
      </c>
      <c r="Q1975" t="str">
        <f>TEXT(Inventory_Data[[#This Row],[Date]],"YYYY")</f>
        <v>2026</v>
      </c>
    </row>
    <row r="1976" spans="1:17" x14ac:dyDescent="0.3">
      <c r="A1976" s="1">
        <v>46079</v>
      </c>
      <c r="B1976" t="s">
        <v>27</v>
      </c>
      <c r="C1976" t="s">
        <v>28</v>
      </c>
      <c r="D1976" t="s">
        <v>26</v>
      </c>
      <c r="E1976" t="s">
        <v>24</v>
      </c>
      <c r="F1976">
        <v>86</v>
      </c>
      <c r="G1976">
        <v>50</v>
      </c>
      <c r="H1976">
        <v>54</v>
      </c>
      <c r="I1976">
        <v>82</v>
      </c>
      <c r="J1976">
        <v>41</v>
      </c>
      <c r="K1976">
        <v>7815</v>
      </c>
      <c r="L1976">
        <v>640830</v>
      </c>
      <c r="M1976">
        <f>Inventory_Data[[#This Row],[Opening Stock]]+Inventory_Data[[#This Row],[Purchase Qty]]-Inventory_Data[[#This Row],[Sales Qty]]-Inventory_Data[[#This Row],[Closing Stock]]</f>
        <v>0</v>
      </c>
      <c r="N1976">
        <f>Inventory_Data[[#This Row],[Purchase Qty]]*Inventory_Data[[#This Row],[Unit Cost]]</f>
        <v>390750</v>
      </c>
      <c r="O1976" t="str">
        <f>IF(Inventory_Data[[#This Row],[Closing Stock]]&lt;=Inventory_Data[[#This Row],[Reorder Level]],"Low Stock","In Stock")</f>
        <v>In Stock</v>
      </c>
      <c r="P1976" t="str">
        <f>TEXT(Inventory_Data[[#This Row],[Date]],"MMM")</f>
        <v>Feb</v>
      </c>
      <c r="Q1976" t="str">
        <f>TEXT(Inventory_Data[[#This Row],[Date]],"YYYY")</f>
        <v>2026</v>
      </c>
    </row>
    <row r="1977" spans="1:17" x14ac:dyDescent="0.3">
      <c r="A1977" s="1">
        <v>46079</v>
      </c>
      <c r="B1977" t="s">
        <v>33</v>
      </c>
      <c r="C1977" t="s">
        <v>13</v>
      </c>
      <c r="D1977" t="s">
        <v>23</v>
      </c>
      <c r="E1977" t="s">
        <v>29</v>
      </c>
      <c r="F1977">
        <v>111</v>
      </c>
      <c r="G1977">
        <v>27</v>
      </c>
      <c r="H1977">
        <v>17</v>
      </c>
      <c r="I1977">
        <v>121</v>
      </c>
      <c r="J1977">
        <v>39</v>
      </c>
      <c r="K1977">
        <v>9884</v>
      </c>
      <c r="L1977">
        <v>1195964</v>
      </c>
      <c r="M1977">
        <f>Inventory_Data[[#This Row],[Opening Stock]]+Inventory_Data[[#This Row],[Purchase Qty]]-Inventory_Data[[#This Row],[Sales Qty]]-Inventory_Data[[#This Row],[Closing Stock]]</f>
        <v>0</v>
      </c>
      <c r="N1977">
        <f>Inventory_Data[[#This Row],[Purchase Qty]]*Inventory_Data[[#This Row],[Unit Cost]]</f>
        <v>266868</v>
      </c>
      <c r="O1977" t="str">
        <f>IF(Inventory_Data[[#This Row],[Closing Stock]]&lt;=Inventory_Data[[#This Row],[Reorder Level]],"Low Stock","In Stock")</f>
        <v>In Stock</v>
      </c>
      <c r="P1977" t="str">
        <f>TEXT(Inventory_Data[[#This Row],[Date]],"MMM")</f>
        <v>Feb</v>
      </c>
      <c r="Q1977" t="str">
        <f>TEXT(Inventory_Data[[#This Row],[Date]],"YYYY")</f>
        <v>2026</v>
      </c>
    </row>
    <row r="1978" spans="1:17" x14ac:dyDescent="0.3">
      <c r="A1978" s="1">
        <v>46079</v>
      </c>
      <c r="B1978" t="s">
        <v>44</v>
      </c>
      <c r="C1978" t="s">
        <v>28</v>
      </c>
      <c r="D1978" t="s">
        <v>26</v>
      </c>
      <c r="E1978" t="s">
        <v>18</v>
      </c>
      <c r="F1978">
        <v>149</v>
      </c>
      <c r="G1978">
        <v>15</v>
      </c>
      <c r="H1978">
        <v>50</v>
      </c>
      <c r="I1978">
        <v>114</v>
      </c>
      <c r="J1978">
        <v>57</v>
      </c>
      <c r="K1978">
        <v>15185</v>
      </c>
      <c r="L1978">
        <v>1731090</v>
      </c>
      <c r="M1978">
        <f>Inventory_Data[[#This Row],[Opening Stock]]+Inventory_Data[[#This Row],[Purchase Qty]]-Inventory_Data[[#This Row],[Sales Qty]]-Inventory_Data[[#This Row],[Closing Stock]]</f>
        <v>0</v>
      </c>
      <c r="N1978">
        <f>Inventory_Data[[#This Row],[Purchase Qty]]*Inventory_Data[[#This Row],[Unit Cost]]</f>
        <v>227775</v>
      </c>
      <c r="O1978" t="str">
        <f>IF(Inventory_Data[[#This Row],[Closing Stock]]&lt;=Inventory_Data[[#This Row],[Reorder Level]],"Low Stock","In Stock")</f>
        <v>In Stock</v>
      </c>
      <c r="P1978" t="str">
        <f>TEXT(Inventory_Data[[#This Row],[Date]],"MMM")</f>
        <v>Feb</v>
      </c>
      <c r="Q1978" t="str">
        <f>TEXT(Inventory_Data[[#This Row],[Date]],"YYYY")</f>
        <v>2026</v>
      </c>
    </row>
    <row r="1979" spans="1:17" x14ac:dyDescent="0.3">
      <c r="A1979" s="1">
        <v>46079</v>
      </c>
      <c r="B1979" t="s">
        <v>19</v>
      </c>
      <c r="C1979" t="s">
        <v>13</v>
      </c>
      <c r="D1979" t="s">
        <v>23</v>
      </c>
      <c r="E1979" t="s">
        <v>15</v>
      </c>
      <c r="F1979">
        <v>117</v>
      </c>
      <c r="G1979">
        <v>54</v>
      </c>
      <c r="H1979">
        <v>39</v>
      </c>
      <c r="I1979">
        <v>132</v>
      </c>
      <c r="J1979">
        <v>17</v>
      </c>
      <c r="K1979">
        <v>6393</v>
      </c>
      <c r="L1979">
        <v>843876</v>
      </c>
      <c r="M1979">
        <f>Inventory_Data[[#This Row],[Opening Stock]]+Inventory_Data[[#This Row],[Purchase Qty]]-Inventory_Data[[#This Row],[Sales Qty]]-Inventory_Data[[#This Row],[Closing Stock]]</f>
        <v>0</v>
      </c>
      <c r="N1979">
        <f>Inventory_Data[[#This Row],[Purchase Qty]]*Inventory_Data[[#This Row],[Unit Cost]]</f>
        <v>345222</v>
      </c>
      <c r="O1979" t="str">
        <f>IF(Inventory_Data[[#This Row],[Closing Stock]]&lt;=Inventory_Data[[#This Row],[Reorder Level]],"Low Stock","In Stock")</f>
        <v>In Stock</v>
      </c>
      <c r="P1979" t="str">
        <f>TEXT(Inventory_Data[[#This Row],[Date]],"MMM")</f>
        <v>Feb</v>
      </c>
      <c r="Q1979" t="str">
        <f>TEXT(Inventory_Data[[#This Row],[Date]],"YYYY")</f>
        <v>2026</v>
      </c>
    </row>
    <row r="1980" spans="1:17" x14ac:dyDescent="0.3">
      <c r="A1980" s="1">
        <v>46079</v>
      </c>
      <c r="B1980" t="s">
        <v>40</v>
      </c>
      <c r="C1980" t="s">
        <v>28</v>
      </c>
      <c r="D1980" t="s">
        <v>37</v>
      </c>
      <c r="E1980" t="s">
        <v>34</v>
      </c>
      <c r="F1980">
        <v>130</v>
      </c>
      <c r="G1980">
        <v>56</v>
      </c>
      <c r="H1980">
        <v>37</v>
      </c>
      <c r="I1980">
        <v>149</v>
      </c>
      <c r="J1980">
        <v>46</v>
      </c>
      <c r="K1980">
        <v>37194</v>
      </c>
      <c r="L1980">
        <v>5541906</v>
      </c>
      <c r="M1980">
        <f>Inventory_Data[[#This Row],[Opening Stock]]+Inventory_Data[[#This Row],[Purchase Qty]]-Inventory_Data[[#This Row],[Sales Qty]]-Inventory_Data[[#This Row],[Closing Stock]]</f>
        <v>0</v>
      </c>
      <c r="N1980">
        <f>Inventory_Data[[#This Row],[Purchase Qty]]*Inventory_Data[[#This Row],[Unit Cost]]</f>
        <v>2082864</v>
      </c>
      <c r="O1980" t="str">
        <f>IF(Inventory_Data[[#This Row],[Closing Stock]]&lt;=Inventory_Data[[#This Row],[Reorder Level]],"Low Stock","In Stock")</f>
        <v>In Stock</v>
      </c>
      <c r="P1980" t="str">
        <f>TEXT(Inventory_Data[[#This Row],[Date]],"MMM")</f>
        <v>Feb</v>
      </c>
      <c r="Q1980" t="str">
        <f>TEXT(Inventory_Data[[#This Row],[Date]],"YYYY")</f>
        <v>2026</v>
      </c>
    </row>
    <row r="1981" spans="1:17" x14ac:dyDescent="0.3">
      <c r="A1981" s="1">
        <v>46079</v>
      </c>
      <c r="B1981" t="s">
        <v>19</v>
      </c>
      <c r="C1981" t="s">
        <v>13</v>
      </c>
      <c r="D1981" t="s">
        <v>26</v>
      </c>
      <c r="E1981" t="s">
        <v>15</v>
      </c>
      <c r="F1981">
        <v>36</v>
      </c>
      <c r="G1981">
        <v>65</v>
      </c>
      <c r="H1981">
        <v>52</v>
      </c>
      <c r="I1981">
        <v>49</v>
      </c>
      <c r="J1981">
        <v>18</v>
      </c>
      <c r="K1981">
        <v>719</v>
      </c>
      <c r="L1981">
        <v>35231</v>
      </c>
      <c r="M1981">
        <f>Inventory_Data[[#This Row],[Opening Stock]]+Inventory_Data[[#This Row],[Purchase Qty]]-Inventory_Data[[#This Row],[Sales Qty]]-Inventory_Data[[#This Row],[Closing Stock]]</f>
        <v>0</v>
      </c>
      <c r="N1981">
        <f>Inventory_Data[[#This Row],[Purchase Qty]]*Inventory_Data[[#This Row],[Unit Cost]]</f>
        <v>46735</v>
      </c>
      <c r="O1981" t="str">
        <f>IF(Inventory_Data[[#This Row],[Closing Stock]]&lt;=Inventory_Data[[#This Row],[Reorder Level]],"Low Stock","In Stock")</f>
        <v>In Stock</v>
      </c>
      <c r="P1981" t="str">
        <f>TEXT(Inventory_Data[[#This Row],[Date]],"MMM")</f>
        <v>Feb</v>
      </c>
      <c r="Q1981" t="str">
        <f>TEXT(Inventory_Data[[#This Row],[Date]],"YYYY")</f>
        <v>2026</v>
      </c>
    </row>
    <row r="1982" spans="1:17" x14ac:dyDescent="0.3">
      <c r="A1982" s="1">
        <v>46080</v>
      </c>
      <c r="B1982" t="s">
        <v>27</v>
      </c>
      <c r="C1982" t="s">
        <v>28</v>
      </c>
      <c r="D1982" t="s">
        <v>23</v>
      </c>
      <c r="E1982" t="s">
        <v>34</v>
      </c>
      <c r="F1982">
        <v>43</v>
      </c>
      <c r="G1982">
        <v>97</v>
      </c>
      <c r="H1982">
        <v>59</v>
      </c>
      <c r="I1982">
        <v>81</v>
      </c>
      <c r="J1982">
        <v>44</v>
      </c>
      <c r="K1982">
        <v>44857</v>
      </c>
      <c r="L1982">
        <v>3633417</v>
      </c>
      <c r="M1982">
        <f>Inventory_Data[[#This Row],[Opening Stock]]+Inventory_Data[[#This Row],[Purchase Qty]]-Inventory_Data[[#This Row],[Sales Qty]]-Inventory_Data[[#This Row],[Closing Stock]]</f>
        <v>0</v>
      </c>
      <c r="N1982">
        <f>Inventory_Data[[#This Row],[Purchase Qty]]*Inventory_Data[[#This Row],[Unit Cost]]</f>
        <v>4351129</v>
      </c>
      <c r="O1982" t="str">
        <f>IF(Inventory_Data[[#This Row],[Closing Stock]]&lt;=Inventory_Data[[#This Row],[Reorder Level]],"Low Stock","In Stock")</f>
        <v>In Stock</v>
      </c>
      <c r="P1982" t="str">
        <f>TEXT(Inventory_Data[[#This Row],[Date]],"MMM")</f>
        <v>Feb</v>
      </c>
      <c r="Q1982" t="str">
        <f>TEXT(Inventory_Data[[#This Row],[Date]],"YYYY")</f>
        <v>2026</v>
      </c>
    </row>
    <row r="1983" spans="1:17" x14ac:dyDescent="0.3">
      <c r="A1983" s="1">
        <v>46080</v>
      </c>
      <c r="B1983" t="s">
        <v>27</v>
      </c>
      <c r="C1983" t="s">
        <v>28</v>
      </c>
      <c r="D1983" t="s">
        <v>23</v>
      </c>
      <c r="E1983" t="s">
        <v>15</v>
      </c>
      <c r="F1983">
        <v>111</v>
      </c>
      <c r="G1983">
        <v>63</v>
      </c>
      <c r="H1983">
        <v>43</v>
      </c>
      <c r="I1983">
        <v>131</v>
      </c>
      <c r="J1983">
        <v>38</v>
      </c>
      <c r="K1983">
        <v>50864</v>
      </c>
      <c r="L1983">
        <v>6663184</v>
      </c>
      <c r="M1983">
        <f>Inventory_Data[[#This Row],[Opening Stock]]+Inventory_Data[[#This Row],[Purchase Qty]]-Inventory_Data[[#This Row],[Sales Qty]]-Inventory_Data[[#This Row],[Closing Stock]]</f>
        <v>0</v>
      </c>
      <c r="N1983">
        <f>Inventory_Data[[#This Row],[Purchase Qty]]*Inventory_Data[[#This Row],[Unit Cost]]</f>
        <v>3204432</v>
      </c>
      <c r="O1983" t="str">
        <f>IF(Inventory_Data[[#This Row],[Closing Stock]]&lt;=Inventory_Data[[#This Row],[Reorder Level]],"Low Stock","In Stock")</f>
        <v>In Stock</v>
      </c>
      <c r="P1983" t="str">
        <f>TEXT(Inventory_Data[[#This Row],[Date]],"MMM")</f>
        <v>Feb</v>
      </c>
      <c r="Q1983" t="str">
        <f>TEXT(Inventory_Data[[#This Row],[Date]],"YYYY")</f>
        <v>2026</v>
      </c>
    </row>
    <row r="1984" spans="1:17" x14ac:dyDescent="0.3">
      <c r="A1984" s="1">
        <v>46080</v>
      </c>
      <c r="B1984" t="s">
        <v>38</v>
      </c>
      <c r="C1984" t="s">
        <v>17</v>
      </c>
      <c r="D1984" t="s">
        <v>23</v>
      </c>
      <c r="E1984" t="s">
        <v>15</v>
      </c>
      <c r="F1984">
        <v>41</v>
      </c>
      <c r="G1984">
        <v>17</v>
      </c>
      <c r="H1984">
        <v>16</v>
      </c>
      <c r="I1984">
        <v>42</v>
      </c>
      <c r="J1984">
        <v>16</v>
      </c>
      <c r="K1984">
        <v>5613</v>
      </c>
      <c r="L1984">
        <v>235746</v>
      </c>
      <c r="M1984">
        <f>Inventory_Data[[#This Row],[Opening Stock]]+Inventory_Data[[#This Row],[Purchase Qty]]-Inventory_Data[[#This Row],[Sales Qty]]-Inventory_Data[[#This Row],[Closing Stock]]</f>
        <v>0</v>
      </c>
      <c r="N1984">
        <f>Inventory_Data[[#This Row],[Purchase Qty]]*Inventory_Data[[#This Row],[Unit Cost]]</f>
        <v>95421</v>
      </c>
      <c r="O1984" t="str">
        <f>IF(Inventory_Data[[#This Row],[Closing Stock]]&lt;=Inventory_Data[[#This Row],[Reorder Level]],"Low Stock","In Stock")</f>
        <v>In Stock</v>
      </c>
      <c r="P1984" t="str">
        <f>TEXT(Inventory_Data[[#This Row],[Date]],"MMM")</f>
        <v>Feb</v>
      </c>
      <c r="Q1984" t="str">
        <f>TEXT(Inventory_Data[[#This Row],[Date]],"YYYY")</f>
        <v>2026</v>
      </c>
    </row>
    <row r="1985" spans="1:17" x14ac:dyDescent="0.3">
      <c r="A1985" s="1">
        <v>46080</v>
      </c>
      <c r="B1985" t="s">
        <v>43</v>
      </c>
      <c r="C1985" t="s">
        <v>22</v>
      </c>
      <c r="D1985" t="s">
        <v>23</v>
      </c>
      <c r="E1985" t="s">
        <v>29</v>
      </c>
      <c r="F1985">
        <v>294</v>
      </c>
      <c r="G1985">
        <v>136</v>
      </c>
      <c r="H1985">
        <v>97</v>
      </c>
      <c r="I1985">
        <v>333</v>
      </c>
      <c r="J1985">
        <v>60</v>
      </c>
      <c r="K1985">
        <v>148</v>
      </c>
      <c r="L1985">
        <v>49284</v>
      </c>
      <c r="M1985">
        <f>Inventory_Data[[#This Row],[Opening Stock]]+Inventory_Data[[#This Row],[Purchase Qty]]-Inventory_Data[[#This Row],[Sales Qty]]-Inventory_Data[[#This Row],[Closing Stock]]</f>
        <v>0</v>
      </c>
      <c r="N1985">
        <f>Inventory_Data[[#This Row],[Purchase Qty]]*Inventory_Data[[#This Row],[Unit Cost]]</f>
        <v>20128</v>
      </c>
      <c r="O1985" t="str">
        <f>IF(Inventory_Data[[#This Row],[Closing Stock]]&lt;=Inventory_Data[[#This Row],[Reorder Level]],"Low Stock","In Stock")</f>
        <v>In Stock</v>
      </c>
      <c r="P1985" t="str">
        <f>TEXT(Inventory_Data[[#This Row],[Date]],"MMM")</f>
        <v>Feb</v>
      </c>
      <c r="Q1985" t="str">
        <f>TEXT(Inventory_Data[[#This Row],[Date]],"YYYY")</f>
        <v>2026</v>
      </c>
    </row>
    <row r="1986" spans="1:17" x14ac:dyDescent="0.3">
      <c r="A1986" s="1">
        <v>46080</v>
      </c>
      <c r="B1986" t="s">
        <v>45</v>
      </c>
      <c r="C1986" t="s">
        <v>13</v>
      </c>
      <c r="D1986" t="s">
        <v>14</v>
      </c>
      <c r="E1986" t="s">
        <v>20</v>
      </c>
      <c r="F1986">
        <v>96</v>
      </c>
      <c r="G1986">
        <v>75</v>
      </c>
      <c r="H1986">
        <v>19</v>
      </c>
      <c r="I1986">
        <v>152</v>
      </c>
      <c r="J1986">
        <v>18</v>
      </c>
      <c r="K1986">
        <v>6370</v>
      </c>
      <c r="L1986">
        <v>968240</v>
      </c>
      <c r="M1986">
        <f>Inventory_Data[[#This Row],[Opening Stock]]+Inventory_Data[[#This Row],[Purchase Qty]]-Inventory_Data[[#This Row],[Sales Qty]]-Inventory_Data[[#This Row],[Closing Stock]]</f>
        <v>0</v>
      </c>
      <c r="N1986">
        <f>Inventory_Data[[#This Row],[Purchase Qty]]*Inventory_Data[[#This Row],[Unit Cost]]</f>
        <v>477750</v>
      </c>
      <c r="O1986" t="str">
        <f>IF(Inventory_Data[[#This Row],[Closing Stock]]&lt;=Inventory_Data[[#This Row],[Reorder Level]],"Low Stock","In Stock")</f>
        <v>In Stock</v>
      </c>
      <c r="P1986" t="str">
        <f>TEXT(Inventory_Data[[#This Row],[Date]],"MMM")</f>
        <v>Feb</v>
      </c>
      <c r="Q1986" t="str">
        <f>TEXT(Inventory_Data[[#This Row],[Date]],"YYYY")</f>
        <v>2026</v>
      </c>
    </row>
    <row r="1987" spans="1:17" x14ac:dyDescent="0.3">
      <c r="A1987" s="1">
        <v>46080</v>
      </c>
      <c r="B1987" t="s">
        <v>31</v>
      </c>
      <c r="C1987" t="s">
        <v>22</v>
      </c>
      <c r="D1987" t="s">
        <v>23</v>
      </c>
      <c r="E1987" t="s">
        <v>24</v>
      </c>
      <c r="F1987">
        <v>75</v>
      </c>
      <c r="G1987">
        <v>218</v>
      </c>
      <c r="H1987">
        <v>131</v>
      </c>
      <c r="I1987">
        <v>162</v>
      </c>
      <c r="J1987">
        <v>145</v>
      </c>
      <c r="K1987">
        <v>1102</v>
      </c>
      <c r="L1987">
        <v>178524</v>
      </c>
      <c r="M1987">
        <f>Inventory_Data[[#This Row],[Opening Stock]]+Inventory_Data[[#This Row],[Purchase Qty]]-Inventory_Data[[#This Row],[Sales Qty]]-Inventory_Data[[#This Row],[Closing Stock]]</f>
        <v>0</v>
      </c>
      <c r="N1987">
        <f>Inventory_Data[[#This Row],[Purchase Qty]]*Inventory_Data[[#This Row],[Unit Cost]]</f>
        <v>240236</v>
      </c>
      <c r="O1987" t="str">
        <f>IF(Inventory_Data[[#This Row],[Closing Stock]]&lt;=Inventory_Data[[#This Row],[Reorder Level]],"Low Stock","In Stock")</f>
        <v>In Stock</v>
      </c>
      <c r="P1987" t="str">
        <f>TEXT(Inventory_Data[[#This Row],[Date]],"MMM")</f>
        <v>Feb</v>
      </c>
      <c r="Q1987" t="str">
        <f>TEXT(Inventory_Data[[#This Row],[Date]],"YYYY")</f>
        <v>2026</v>
      </c>
    </row>
    <row r="1988" spans="1:17" x14ac:dyDescent="0.3">
      <c r="A1988" s="1">
        <v>46081</v>
      </c>
      <c r="B1988" t="s">
        <v>21</v>
      </c>
      <c r="C1988" t="s">
        <v>22</v>
      </c>
      <c r="D1988" t="s">
        <v>14</v>
      </c>
      <c r="E1988" t="s">
        <v>24</v>
      </c>
      <c r="F1988">
        <v>191</v>
      </c>
      <c r="G1988">
        <v>266</v>
      </c>
      <c r="H1988">
        <v>186</v>
      </c>
      <c r="I1988">
        <v>271</v>
      </c>
      <c r="J1988">
        <v>110</v>
      </c>
      <c r="K1988">
        <v>672</v>
      </c>
      <c r="L1988">
        <v>182112</v>
      </c>
      <c r="M1988">
        <f>Inventory_Data[[#This Row],[Opening Stock]]+Inventory_Data[[#This Row],[Purchase Qty]]-Inventory_Data[[#This Row],[Sales Qty]]-Inventory_Data[[#This Row],[Closing Stock]]</f>
        <v>0</v>
      </c>
      <c r="N1988">
        <f>Inventory_Data[[#This Row],[Purchase Qty]]*Inventory_Data[[#This Row],[Unit Cost]]</f>
        <v>178752</v>
      </c>
      <c r="O1988" t="str">
        <f>IF(Inventory_Data[[#This Row],[Closing Stock]]&lt;=Inventory_Data[[#This Row],[Reorder Level]],"Low Stock","In Stock")</f>
        <v>In Stock</v>
      </c>
      <c r="P1988" t="str">
        <f>TEXT(Inventory_Data[[#This Row],[Date]],"MMM")</f>
        <v>Feb</v>
      </c>
      <c r="Q1988" t="str">
        <f>TEXT(Inventory_Data[[#This Row],[Date]],"YYYY")</f>
        <v>2026</v>
      </c>
    </row>
    <row r="1989" spans="1:17" x14ac:dyDescent="0.3">
      <c r="A1989" s="1">
        <v>46081</v>
      </c>
      <c r="B1989" t="s">
        <v>44</v>
      </c>
      <c r="C1989" t="s">
        <v>28</v>
      </c>
      <c r="D1989" t="s">
        <v>23</v>
      </c>
      <c r="E1989" t="s">
        <v>34</v>
      </c>
      <c r="F1989">
        <v>36</v>
      </c>
      <c r="G1989">
        <v>49</v>
      </c>
      <c r="H1989">
        <v>11</v>
      </c>
      <c r="I1989">
        <v>74</v>
      </c>
      <c r="J1989">
        <v>27</v>
      </c>
      <c r="K1989">
        <v>64088</v>
      </c>
      <c r="L1989">
        <v>4742512</v>
      </c>
      <c r="M1989">
        <f>Inventory_Data[[#This Row],[Opening Stock]]+Inventory_Data[[#This Row],[Purchase Qty]]-Inventory_Data[[#This Row],[Sales Qty]]-Inventory_Data[[#This Row],[Closing Stock]]</f>
        <v>0</v>
      </c>
      <c r="N1989">
        <f>Inventory_Data[[#This Row],[Purchase Qty]]*Inventory_Data[[#This Row],[Unit Cost]]</f>
        <v>3140312</v>
      </c>
      <c r="O1989" t="str">
        <f>IF(Inventory_Data[[#This Row],[Closing Stock]]&lt;=Inventory_Data[[#This Row],[Reorder Level]],"Low Stock","In Stock")</f>
        <v>In Stock</v>
      </c>
      <c r="P1989" t="str">
        <f>TEXT(Inventory_Data[[#This Row],[Date]],"MMM")</f>
        <v>Feb</v>
      </c>
      <c r="Q1989" t="str">
        <f>TEXT(Inventory_Data[[#This Row],[Date]],"YYYY")</f>
        <v>2026</v>
      </c>
    </row>
    <row r="1990" spans="1:17" x14ac:dyDescent="0.3">
      <c r="A1990" s="1">
        <v>46082</v>
      </c>
      <c r="B1990" t="s">
        <v>44</v>
      </c>
      <c r="C1990" t="s">
        <v>28</v>
      </c>
      <c r="D1990" t="s">
        <v>23</v>
      </c>
      <c r="E1990" t="s">
        <v>20</v>
      </c>
      <c r="F1990">
        <v>96</v>
      </c>
      <c r="G1990">
        <v>56</v>
      </c>
      <c r="H1990">
        <v>80</v>
      </c>
      <c r="I1990">
        <v>72</v>
      </c>
      <c r="J1990">
        <v>56</v>
      </c>
      <c r="K1990">
        <v>19556</v>
      </c>
      <c r="L1990">
        <v>1408032</v>
      </c>
      <c r="M1990">
        <f>Inventory_Data[[#This Row],[Opening Stock]]+Inventory_Data[[#This Row],[Purchase Qty]]-Inventory_Data[[#This Row],[Sales Qty]]-Inventory_Data[[#This Row],[Closing Stock]]</f>
        <v>0</v>
      </c>
      <c r="N1990">
        <f>Inventory_Data[[#This Row],[Purchase Qty]]*Inventory_Data[[#This Row],[Unit Cost]]</f>
        <v>1095136</v>
      </c>
      <c r="O1990" t="str">
        <f>IF(Inventory_Data[[#This Row],[Closing Stock]]&lt;=Inventory_Data[[#This Row],[Reorder Level]],"Low Stock","In Stock")</f>
        <v>In Stock</v>
      </c>
      <c r="P1990" t="str">
        <f>TEXT(Inventory_Data[[#This Row],[Date]],"MMM")</f>
        <v>Mar</v>
      </c>
      <c r="Q1990" t="str">
        <f>TEXT(Inventory_Data[[#This Row],[Date]],"YYYY")</f>
        <v>2026</v>
      </c>
    </row>
    <row r="1991" spans="1:17" x14ac:dyDescent="0.3">
      <c r="A1991" s="1">
        <v>46082</v>
      </c>
      <c r="B1991" t="s">
        <v>25</v>
      </c>
      <c r="C1991" t="s">
        <v>17</v>
      </c>
      <c r="D1991" t="s">
        <v>23</v>
      </c>
      <c r="E1991" t="s">
        <v>34</v>
      </c>
      <c r="F1991">
        <v>81</v>
      </c>
      <c r="G1991">
        <v>32</v>
      </c>
      <c r="H1991">
        <v>11</v>
      </c>
      <c r="I1991">
        <v>102</v>
      </c>
      <c r="J1991">
        <v>15</v>
      </c>
      <c r="K1991">
        <v>3282</v>
      </c>
      <c r="L1991">
        <v>334764</v>
      </c>
      <c r="M1991">
        <f>Inventory_Data[[#This Row],[Opening Stock]]+Inventory_Data[[#This Row],[Purchase Qty]]-Inventory_Data[[#This Row],[Sales Qty]]-Inventory_Data[[#This Row],[Closing Stock]]</f>
        <v>0</v>
      </c>
      <c r="N1991">
        <f>Inventory_Data[[#This Row],[Purchase Qty]]*Inventory_Data[[#This Row],[Unit Cost]]</f>
        <v>105024</v>
      </c>
      <c r="O1991" t="str">
        <f>IF(Inventory_Data[[#This Row],[Closing Stock]]&lt;=Inventory_Data[[#This Row],[Reorder Level]],"Low Stock","In Stock")</f>
        <v>In Stock</v>
      </c>
      <c r="P1991" t="str">
        <f>TEXT(Inventory_Data[[#This Row],[Date]],"MMM")</f>
        <v>Mar</v>
      </c>
      <c r="Q1991" t="str">
        <f>TEXT(Inventory_Data[[#This Row],[Date]],"YYYY")</f>
        <v>2026</v>
      </c>
    </row>
    <row r="1992" spans="1:17" x14ac:dyDescent="0.3">
      <c r="A1992" s="1">
        <v>46082</v>
      </c>
      <c r="B1992" t="s">
        <v>42</v>
      </c>
      <c r="C1992" t="s">
        <v>17</v>
      </c>
      <c r="D1992" t="s">
        <v>14</v>
      </c>
      <c r="E1992" t="s">
        <v>20</v>
      </c>
      <c r="F1992">
        <v>54</v>
      </c>
      <c r="G1992">
        <v>41</v>
      </c>
      <c r="H1992">
        <v>8</v>
      </c>
      <c r="I1992">
        <v>87</v>
      </c>
      <c r="J1992">
        <v>25</v>
      </c>
      <c r="K1992">
        <v>17113</v>
      </c>
      <c r="L1992">
        <v>1488831</v>
      </c>
      <c r="M1992">
        <f>Inventory_Data[[#This Row],[Opening Stock]]+Inventory_Data[[#This Row],[Purchase Qty]]-Inventory_Data[[#This Row],[Sales Qty]]-Inventory_Data[[#This Row],[Closing Stock]]</f>
        <v>0</v>
      </c>
      <c r="N1992">
        <f>Inventory_Data[[#This Row],[Purchase Qty]]*Inventory_Data[[#This Row],[Unit Cost]]</f>
        <v>701633</v>
      </c>
      <c r="O1992" t="str">
        <f>IF(Inventory_Data[[#This Row],[Closing Stock]]&lt;=Inventory_Data[[#This Row],[Reorder Level]],"Low Stock","In Stock")</f>
        <v>In Stock</v>
      </c>
      <c r="P1992" t="str">
        <f>TEXT(Inventory_Data[[#This Row],[Date]],"MMM")</f>
        <v>Mar</v>
      </c>
      <c r="Q1992" t="str">
        <f>TEXT(Inventory_Data[[#This Row],[Date]],"YYYY")</f>
        <v>2026</v>
      </c>
    </row>
    <row r="1993" spans="1:17" x14ac:dyDescent="0.3">
      <c r="A1993" s="1">
        <v>46082</v>
      </c>
      <c r="B1993" t="s">
        <v>27</v>
      </c>
      <c r="C1993" t="s">
        <v>28</v>
      </c>
      <c r="D1993" t="s">
        <v>26</v>
      </c>
      <c r="E1993" t="s">
        <v>29</v>
      </c>
      <c r="F1993">
        <v>164</v>
      </c>
      <c r="G1993">
        <v>118</v>
      </c>
      <c r="H1993">
        <v>28</v>
      </c>
      <c r="I1993">
        <v>254</v>
      </c>
      <c r="J1993">
        <v>26</v>
      </c>
      <c r="K1993">
        <v>23226</v>
      </c>
      <c r="L1993">
        <v>5899404</v>
      </c>
      <c r="M1993">
        <f>Inventory_Data[[#This Row],[Opening Stock]]+Inventory_Data[[#This Row],[Purchase Qty]]-Inventory_Data[[#This Row],[Sales Qty]]-Inventory_Data[[#This Row],[Closing Stock]]</f>
        <v>0</v>
      </c>
      <c r="N1993">
        <f>Inventory_Data[[#This Row],[Purchase Qty]]*Inventory_Data[[#This Row],[Unit Cost]]</f>
        <v>2740668</v>
      </c>
      <c r="O1993" t="str">
        <f>IF(Inventory_Data[[#This Row],[Closing Stock]]&lt;=Inventory_Data[[#This Row],[Reorder Level]],"Low Stock","In Stock")</f>
        <v>In Stock</v>
      </c>
      <c r="P1993" t="str">
        <f>TEXT(Inventory_Data[[#This Row],[Date]],"MMM")</f>
        <v>Mar</v>
      </c>
      <c r="Q1993" t="str">
        <f>TEXT(Inventory_Data[[#This Row],[Date]],"YYYY")</f>
        <v>2026</v>
      </c>
    </row>
    <row r="1994" spans="1:17" x14ac:dyDescent="0.3">
      <c r="A1994" s="1">
        <v>46082</v>
      </c>
      <c r="B1994" t="s">
        <v>39</v>
      </c>
      <c r="C1994" t="s">
        <v>28</v>
      </c>
      <c r="D1994" t="s">
        <v>14</v>
      </c>
      <c r="E1994" t="s">
        <v>29</v>
      </c>
      <c r="F1994">
        <v>47</v>
      </c>
      <c r="G1994">
        <v>51</v>
      </c>
      <c r="H1994">
        <v>84</v>
      </c>
      <c r="I1994">
        <v>14</v>
      </c>
      <c r="J1994">
        <v>24</v>
      </c>
      <c r="K1994">
        <v>7531</v>
      </c>
      <c r="L1994">
        <v>105434</v>
      </c>
      <c r="M1994">
        <f>Inventory_Data[[#This Row],[Opening Stock]]+Inventory_Data[[#This Row],[Purchase Qty]]-Inventory_Data[[#This Row],[Sales Qty]]-Inventory_Data[[#This Row],[Closing Stock]]</f>
        <v>0</v>
      </c>
      <c r="N1994">
        <f>Inventory_Data[[#This Row],[Purchase Qty]]*Inventory_Data[[#This Row],[Unit Cost]]</f>
        <v>384081</v>
      </c>
      <c r="O1994" t="str">
        <f>IF(Inventory_Data[[#This Row],[Closing Stock]]&lt;=Inventory_Data[[#This Row],[Reorder Level]],"Low Stock","In Stock")</f>
        <v>Low Stock</v>
      </c>
      <c r="P1994" t="str">
        <f>TEXT(Inventory_Data[[#This Row],[Date]],"MMM")</f>
        <v>Mar</v>
      </c>
      <c r="Q1994" t="str">
        <f>TEXT(Inventory_Data[[#This Row],[Date]],"YYYY")</f>
        <v>2026</v>
      </c>
    </row>
    <row r="1995" spans="1:17" x14ac:dyDescent="0.3">
      <c r="A1995" s="1">
        <v>46083</v>
      </c>
      <c r="B1995" t="s">
        <v>44</v>
      </c>
      <c r="C1995" t="s">
        <v>28</v>
      </c>
      <c r="D1995" t="s">
        <v>37</v>
      </c>
      <c r="E1995" t="s">
        <v>34</v>
      </c>
      <c r="F1995">
        <v>172</v>
      </c>
      <c r="G1995">
        <v>63</v>
      </c>
      <c r="H1995">
        <v>71</v>
      </c>
      <c r="I1995">
        <v>164</v>
      </c>
      <c r="J1995">
        <v>25</v>
      </c>
      <c r="K1995">
        <v>31525</v>
      </c>
      <c r="L1995">
        <v>5170100</v>
      </c>
      <c r="M1995">
        <f>Inventory_Data[[#This Row],[Opening Stock]]+Inventory_Data[[#This Row],[Purchase Qty]]-Inventory_Data[[#This Row],[Sales Qty]]-Inventory_Data[[#This Row],[Closing Stock]]</f>
        <v>0</v>
      </c>
      <c r="N1995">
        <f>Inventory_Data[[#This Row],[Purchase Qty]]*Inventory_Data[[#This Row],[Unit Cost]]</f>
        <v>1986075</v>
      </c>
      <c r="O1995" t="str">
        <f>IF(Inventory_Data[[#This Row],[Closing Stock]]&lt;=Inventory_Data[[#This Row],[Reorder Level]],"Low Stock","In Stock")</f>
        <v>In Stock</v>
      </c>
      <c r="P1995" t="str">
        <f>TEXT(Inventory_Data[[#This Row],[Date]],"MMM")</f>
        <v>Mar</v>
      </c>
      <c r="Q1995" t="str">
        <f>TEXT(Inventory_Data[[#This Row],[Date]],"YYYY")</f>
        <v>2026</v>
      </c>
    </row>
    <row r="1996" spans="1:17" x14ac:dyDescent="0.3">
      <c r="A1996" s="1">
        <v>46083</v>
      </c>
      <c r="B1996" t="s">
        <v>44</v>
      </c>
      <c r="C1996" t="s">
        <v>28</v>
      </c>
      <c r="D1996" t="s">
        <v>14</v>
      </c>
      <c r="E1996" t="s">
        <v>34</v>
      </c>
      <c r="F1996">
        <v>168</v>
      </c>
      <c r="G1996">
        <v>88</v>
      </c>
      <c r="H1996">
        <v>85</v>
      </c>
      <c r="I1996">
        <v>171</v>
      </c>
      <c r="J1996">
        <v>57</v>
      </c>
      <c r="K1996">
        <v>37685</v>
      </c>
      <c r="L1996">
        <v>6444135</v>
      </c>
      <c r="M1996">
        <f>Inventory_Data[[#This Row],[Opening Stock]]+Inventory_Data[[#This Row],[Purchase Qty]]-Inventory_Data[[#This Row],[Sales Qty]]-Inventory_Data[[#This Row],[Closing Stock]]</f>
        <v>0</v>
      </c>
      <c r="N1996">
        <f>Inventory_Data[[#This Row],[Purchase Qty]]*Inventory_Data[[#This Row],[Unit Cost]]</f>
        <v>3316280</v>
      </c>
      <c r="O1996" t="str">
        <f>IF(Inventory_Data[[#This Row],[Closing Stock]]&lt;=Inventory_Data[[#This Row],[Reorder Level]],"Low Stock","In Stock")</f>
        <v>In Stock</v>
      </c>
      <c r="P1996" t="str">
        <f>TEXT(Inventory_Data[[#This Row],[Date]],"MMM")</f>
        <v>Mar</v>
      </c>
      <c r="Q1996" t="str">
        <f>TEXT(Inventory_Data[[#This Row],[Date]],"YYYY")</f>
        <v>2026</v>
      </c>
    </row>
    <row r="1997" spans="1:17" x14ac:dyDescent="0.3">
      <c r="A1997" s="1">
        <v>46083</v>
      </c>
      <c r="B1997" t="s">
        <v>19</v>
      </c>
      <c r="C1997" t="s">
        <v>13</v>
      </c>
      <c r="D1997" t="s">
        <v>23</v>
      </c>
      <c r="E1997" t="s">
        <v>20</v>
      </c>
      <c r="F1997">
        <v>40</v>
      </c>
      <c r="G1997">
        <v>18</v>
      </c>
      <c r="H1997">
        <v>58</v>
      </c>
      <c r="I1997">
        <v>0</v>
      </c>
      <c r="J1997">
        <v>19</v>
      </c>
      <c r="K1997">
        <v>2453</v>
      </c>
      <c r="L1997">
        <v>0</v>
      </c>
      <c r="M1997">
        <f>Inventory_Data[[#This Row],[Opening Stock]]+Inventory_Data[[#This Row],[Purchase Qty]]-Inventory_Data[[#This Row],[Sales Qty]]-Inventory_Data[[#This Row],[Closing Stock]]</f>
        <v>0</v>
      </c>
      <c r="N1997">
        <f>Inventory_Data[[#This Row],[Purchase Qty]]*Inventory_Data[[#This Row],[Unit Cost]]</f>
        <v>44154</v>
      </c>
      <c r="O1997" t="str">
        <f>IF(Inventory_Data[[#This Row],[Closing Stock]]&lt;=Inventory_Data[[#This Row],[Reorder Level]],"Low Stock","In Stock")</f>
        <v>Low Stock</v>
      </c>
      <c r="P1997" t="str">
        <f>TEXT(Inventory_Data[[#This Row],[Date]],"MMM")</f>
        <v>Mar</v>
      </c>
      <c r="Q1997" t="str">
        <f>TEXT(Inventory_Data[[#This Row],[Date]],"YYYY")</f>
        <v>2026</v>
      </c>
    </row>
    <row r="1998" spans="1:17" x14ac:dyDescent="0.3">
      <c r="A1998" s="1">
        <v>46083</v>
      </c>
      <c r="B1998" t="s">
        <v>36</v>
      </c>
      <c r="C1998" t="s">
        <v>22</v>
      </c>
      <c r="D1998" t="s">
        <v>37</v>
      </c>
      <c r="E1998" t="s">
        <v>20</v>
      </c>
      <c r="F1998">
        <v>128</v>
      </c>
      <c r="G1998">
        <v>175</v>
      </c>
      <c r="H1998">
        <v>191</v>
      </c>
      <c r="I1998">
        <v>112</v>
      </c>
      <c r="J1998">
        <v>79</v>
      </c>
      <c r="K1998">
        <v>518</v>
      </c>
      <c r="L1998">
        <v>58016</v>
      </c>
      <c r="M1998">
        <f>Inventory_Data[[#This Row],[Opening Stock]]+Inventory_Data[[#This Row],[Purchase Qty]]-Inventory_Data[[#This Row],[Sales Qty]]-Inventory_Data[[#This Row],[Closing Stock]]</f>
        <v>0</v>
      </c>
      <c r="N1998">
        <f>Inventory_Data[[#This Row],[Purchase Qty]]*Inventory_Data[[#This Row],[Unit Cost]]</f>
        <v>90650</v>
      </c>
      <c r="O1998" t="str">
        <f>IF(Inventory_Data[[#This Row],[Closing Stock]]&lt;=Inventory_Data[[#This Row],[Reorder Level]],"Low Stock","In Stock")</f>
        <v>In Stock</v>
      </c>
      <c r="P1998" t="str">
        <f>TEXT(Inventory_Data[[#This Row],[Date]],"MMM")</f>
        <v>Mar</v>
      </c>
      <c r="Q1998" t="str">
        <f>TEXT(Inventory_Data[[#This Row],[Date]],"YYYY")</f>
        <v>2026</v>
      </c>
    </row>
    <row r="1999" spans="1:17" x14ac:dyDescent="0.3">
      <c r="A1999" s="1">
        <v>46084</v>
      </c>
      <c r="B1999" t="s">
        <v>35</v>
      </c>
      <c r="C1999" t="s">
        <v>22</v>
      </c>
      <c r="D1999" t="s">
        <v>26</v>
      </c>
      <c r="E1999" t="s">
        <v>34</v>
      </c>
      <c r="F1999">
        <v>467</v>
      </c>
      <c r="G1999">
        <v>298</v>
      </c>
      <c r="H1999">
        <v>208</v>
      </c>
      <c r="I1999">
        <v>557</v>
      </c>
      <c r="J1999">
        <v>91</v>
      </c>
      <c r="K1999">
        <v>282</v>
      </c>
      <c r="L1999">
        <v>157074</v>
      </c>
      <c r="M1999">
        <f>Inventory_Data[[#This Row],[Opening Stock]]+Inventory_Data[[#This Row],[Purchase Qty]]-Inventory_Data[[#This Row],[Sales Qty]]-Inventory_Data[[#This Row],[Closing Stock]]</f>
        <v>0</v>
      </c>
      <c r="N1999">
        <f>Inventory_Data[[#This Row],[Purchase Qty]]*Inventory_Data[[#This Row],[Unit Cost]]</f>
        <v>84036</v>
      </c>
      <c r="O1999" t="str">
        <f>IF(Inventory_Data[[#This Row],[Closing Stock]]&lt;=Inventory_Data[[#This Row],[Reorder Level]],"Low Stock","In Stock")</f>
        <v>In Stock</v>
      </c>
      <c r="P1999" t="str">
        <f>TEXT(Inventory_Data[[#This Row],[Date]],"MMM")</f>
        <v>Mar</v>
      </c>
      <c r="Q1999" t="str">
        <f>TEXT(Inventory_Data[[#This Row],[Date]],"YYYY")</f>
        <v>2026</v>
      </c>
    </row>
    <row r="2000" spans="1:17" x14ac:dyDescent="0.3">
      <c r="A2000" s="1">
        <v>46084</v>
      </c>
      <c r="B2000" t="s">
        <v>12</v>
      </c>
      <c r="C2000" t="s">
        <v>13</v>
      </c>
      <c r="D2000" t="s">
        <v>37</v>
      </c>
      <c r="E2000" t="s">
        <v>20</v>
      </c>
      <c r="F2000">
        <v>100</v>
      </c>
      <c r="G2000">
        <v>68</v>
      </c>
      <c r="H2000">
        <v>26</v>
      </c>
      <c r="I2000">
        <v>142</v>
      </c>
      <c r="J2000">
        <v>16</v>
      </c>
      <c r="K2000">
        <v>17026</v>
      </c>
      <c r="L2000">
        <v>2417692</v>
      </c>
      <c r="M2000">
        <f>Inventory_Data[[#This Row],[Opening Stock]]+Inventory_Data[[#This Row],[Purchase Qty]]-Inventory_Data[[#This Row],[Sales Qty]]-Inventory_Data[[#This Row],[Closing Stock]]</f>
        <v>0</v>
      </c>
      <c r="N2000">
        <f>Inventory_Data[[#This Row],[Purchase Qty]]*Inventory_Data[[#This Row],[Unit Cost]]</f>
        <v>1157768</v>
      </c>
      <c r="O2000" t="str">
        <f>IF(Inventory_Data[[#This Row],[Closing Stock]]&lt;=Inventory_Data[[#This Row],[Reorder Level]],"Low Stock","In Stock")</f>
        <v>In Stock</v>
      </c>
      <c r="P2000" t="str">
        <f>TEXT(Inventory_Data[[#This Row],[Date]],"MMM")</f>
        <v>Mar</v>
      </c>
      <c r="Q2000" t="str">
        <f>TEXT(Inventory_Data[[#This Row],[Date]],"YYYY")</f>
        <v>2026</v>
      </c>
    </row>
    <row r="2001" spans="1:17" x14ac:dyDescent="0.3">
      <c r="A2001" s="1">
        <v>46084</v>
      </c>
      <c r="B2001" t="s">
        <v>44</v>
      </c>
      <c r="C2001" t="s">
        <v>28</v>
      </c>
      <c r="D2001" t="s">
        <v>23</v>
      </c>
      <c r="E2001" t="s">
        <v>15</v>
      </c>
      <c r="F2001">
        <v>85</v>
      </c>
      <c r="G2001">
        <v>26</v>
      </c>
      <c r="H2001">
        <v>44</v>
      </c>
      <c r="I2001">
        <v>67</v>
      </c>
      <c r="J2001">
        <v>40</v>
      </c>
      <c r="K2001">
        <v>34757</v>
      </c>
      <c r="L2001">
        <v>2328719</v>
      </c>
      <c r="M2001">
        <f>Inventory_Data[[#This Row],[Opening Stock]]+Inventory_Data[[#This Row],[Purchase Qty]]-Inventory_Data[[#This Row],[Sales Qty]]-Inventory_Data[[#This Row],[Closing Stock]]</f>
        <v>0</v>
      </c>
      <c r="N2001">
        <f>Inventory_Data[[#This Row],[Purchase Qty]]*Inventory_Data[[#This Row],[Unit Cost]]</f>
        <v>903682</v>
      </c>
      <c r="O2001" t="str">
        <f>IF(Inventory_Data[[#This Row],[Closing Stock]]&lt;=Inventory_Data[[#This Row],[Reorder Level]],"Low Stock","In Stock")</f>
        <v>In Stock</v>
      </c>
      <c r="P2001" t="str">
        <f>TEXT(Inventory_Data[[#This Row],[Date]],"MMM")</f>
        <v>Mar</v>
      </c>
      <c r="Q2001" t="str">
        <f>TEXT(Inventory_Data[[#This Row],[Date]],"YYYY")</f>
        <v>2026</v>
      </c>
    </row>
    <row r="2002" spans="1:17" x14ac:dyDescent="0.3">
      <c r="A2002" s="1">
        <v>46084</v>
      </c>
      <c r="B2002" t="s">
        <v>40</v>
      </c>
      <c r="C2002" t="s">
        <v>28</v>
      </c>
      <c r="D2002" t="s">
        <v>26</v>
      </c>
      <c r="E2002" t="s">
        <v>24</v>
      </c>
      <c r="F2002">
        <v>162</v>
      </c>
      <c r="G2002">
        <v>99</v>
      </c>
      <c r="H2002">
        <v>60</v>
      </c>
      <c r="I2002">
        <v>201</v>
      </c>
      <c r="J2002">
        <v>50</v>
      </c>
      <c r="K2002">
        <v>12424</v>
      </c>
      <c r="L2002">
        <v>2497224</v>
      </c>
      <c r="M2002">
        <f>Inventory_Data[[#This Row],[Opening Stock]]+Inventory_Data[[#This Row],[Purchase Qty]]-Inventory_Data[[#This Row],[Sales Qty]]-Inventory_Data[[#This Row],[Closing Stock]]</f>
        <v>0</v>
      </c>
      <c r="N2002">
        <f>Inventory_Data[[#This Row],[Purchase Qty]]*Inventory_Data[[#This Row],[Unit Cost]]</f>
        <v>1229976</v>
      </c>
      <c r="O2002" t="str">
        <f>IF(Inventory_Data[[#This Row],[Closing Stock]]&lt;=Inventory_Data[[#This Row],[Reorder Level]],"Low Stock","In Stock")</f>
        <v>In Stock</v>
      </c>
      <c r="P2002" t="str">
        <f>TEXT(Inventory_Data[[#This Row],[Date]],"MMM")</f>
        <v>Mar</v>
      </c>
      <c r="Q2002" t="str">
        <f>TEXT(Inventory_Data[[#This Row],[Date]],"YYYY")</f>
        <v>2026</v>
      </c>
    </row>
    <row r="2003" spans="1:17" x14ac:dyDescent="0.3">
      <c r="A2003" s="1">
        <v>46084</v>
      </c>
      <c r="B2003" t="s">
        <v>33</v>
      </c>
      <c r="C2003" t="s">
        <v>13</v>
      </c>
      <c r="D2003" t="s">
        <v>26</v>
      </c>
      <c r="E2003" t="s">
        <v>29</v>
      </c>
      <c r="F2003">
        <v>70</v>
      </c>
      <c r="G2003">
        <v>19</v>
      </c>
      <c r="H2003">
        <v>50</v>
      </c>
      <c r="I2003">
        <v>39</v>
      </c>
      <c r="J2003">
        <v>26</v>
      </c>
      <c r="K2003">
        <v>5516</v>
      </c>
      <c r="L2003">
        <v>215124</v>
      </c>
      <c r="M2003">
        <f>Inventory_Data[[#This Row],[Opening Stock]]+Inventory_Data[[#This Row],[Purchase Qty]]-Inventory_Data[[#This Row],[Sales Qty]]-Inventory_Data[[#This Row],[Closing Stock]]</f>
        <v>0</v>
      </c>
      <c r="N2003">
        <f>Inventory_Data[[#This Row],[Purchase Qty]]*Inventory_Data[[#This Row],[Unit Cost]]</f>
        <v>104804</v>
      </c>
      <c r="O2003" t="str">
        <f>IF(Inventory_Data[[#This Row],[Closing Stock]]&lt;=Inventory_Data[[#This Row],[Reorder Level]],"Low Stock","In Stock")</f>
        <v>In Stock</v>
      </c>
      <c r="P2003" t="str">
        <f>TEXT(Inventory_Data[[#This Row],[Date]],"MMM")</f>
        <v>Mar</v>
      </c>
      <c r="Q2003" t="str">
        <f>TEXT(Inventory_Data[[#This Row],[Date]],"YYYY")</f>
        <v>2026</v>
      </c>
    </row>
    <row r="2004" spans="1:17" x14ac:dyDescent="0.3">
      <c r="A2004" s="1">
        <v>46084</v>
      </c>
      <c r="B2004" t="s">
        <v>44</v>
      </c>
      <c r="C2004" t="s">
        <v>28</v>
      </c>
      <c r="D2004" t="s">
        <v>14</v>
      </c>
      <c r="E2004" t="s">
        <v>20</v>
      </c>
      <c r="F2004">
        <v>120</v>
      </c>
      <c r="G2004">
        <v>21</v>
      </c>
      <c r="H2004">
        <v>71</v>
      </c>
      <c r="I2004">
        <v>70</v>
      </c>
      <c r="J2004">
        <v>52</v>
      </c>
      <c r="K2004">
        <v>33120</v>
      </c>
      <c r="L2004">
        <v>2318400</v>
      </c>
      <c r="M2004">
        <f>Inventory_Data[[#This Row],[Opening Stock]]+Inventory_Data[[#This Row],[Purchase Qty]]-Inventory_Data[[#This Row],[Sales Qty]]-Inventory_Data[[#This Row],[Closing Stock]]</f>
        <v>0</v>
      </c>
      <c r="N2004">
        <f>Inventory_Data[[#This Row],[Purchase Qty]]*Inventory_Data[[#This Row],[Unit Cost]]</f>
        <v>695520</v>
      </c>
      <c r="O2004" t="str">
        <f>IF(Inventory_Data[[#This Row],[Closing Stock]]&lt;=Inventory_Data[[#This Row],[Reorder Level]],"Low Stock","In Stock")</f>
        <v>In Stock</v>
      </c>
      <c r="P2004" t="str">
        <f>TEXT(Inventory_Data[[#This Row],[Date]],"MMM")</f>
        <v>Mar</v>
      </c>
      <c r="Q2004" t="str">
        <f>TEXT(Inventory_Data[[#This Row],[Date]],"YYYY")</f>
        <v>2026</v>
      </c>
    </row>
    <row r="2005" spans="1:17" x14ac:dyDescent="0.3">
      <c r="A2005" s="1">
        <v>46084</v>
      </c>
      <c r="B2005" t="s">
        <v>36</v>
      </c>
      <c r="C2005" t="s">
        <v>22</v>
      </c>
      <c r="D2005" t="s">
        <v>26</v>
      </c>
      <c r="E2005" t="s">
        <v>34</v>
      </c>
      <c r="F2005">
        <v>324</v>
      </c>
      <c r="G2005">
        <v>259</v>
      </c>
      <c r="H2005">
        <v>229</v>
      </c>
      <c r="I2005">
        <v>354</v>
      </c>
      <c r="J2005">
        <v>108</v>
      </c>
      <c r="K2005">
        <v>347</v>
      </c>
      <c r="L2005">
        <v>122838</v>
      </c>
      <c r="M2005">
        <f>Inventory_Data[[#This Row],[Opening Stock]]+Inventory_Data[[#This Row],[Purchase Qty]]-Inventory_Data[[#This Row],[Sales Qty]]-Inventory_Data[[#This Row],[Closing Stock]]</f>
        <v>0</v>
      </c>
      <c r="N2005">
        <f>Inventory_Data[[#This Row],[Purchase Qty]]*Inventory_Data[[#This Row],[Unit Cost]]</f>
        <v>89873</v>
      </c>
      <c r="O2005" t="str">
        <f>IF(Inventory_Data[[#This Row],[Closing Stock]]&lt;=Inventory_Data[[#This Row],[Reorder Level]],"Low Stock","In Stock")</f>
        <v>In Stock</v>
      </c>
      <c r="P2005" t="str">
        <f>TEXT(Inventory_Data[[#This Row],[Date]],"MMM")</f>
        <v>Mar</v>
      </c>
      <c r="Q2005" t="str">
        <f>TEXT(Inventory_Data[[#This Row],[Date]],"YYYY")</f>
        <v>2026</v>
      </c>
    </row>
    <row r="2006" spans="1:17" x14ac:dyDescent="0.3">
      <c r="A2006" s="1">
        <v>46085</v>
      </c>
      <c r="B2006" t="s">
        <v>16</v>
      </c>
      <c r="C2006" t="s">
        <v>17</v>
      </c>
      <c r="D2006" t="s">
        <v>26</v>
      </c>
      <c r="E2006" t="s">
        <v>20</v>
      </c>
      <c r="F2006">
        <v>71</v>
      </c>
      <c r="G2006">
        <v>46</v>
      </c>
      <c r="H2006">
        <v>36</v>
      </c>
      <c r="I2006">
        <v>81</v>
      </c>
      <c r="J2006">
        <v>10</v>
      </c>
      <c r="K2006">
        <v>7839</v>
      </c>
      <c r="L2006">
        <v>634959</v>
      </c>
      <c r="M2006">
        <f>Inventory_Data[[#This Row],[Opening Stock]]+Inventory_Data[[#This Row],[Purchase Qty]]-Inventory_Data[[#This Row],[Sales Qty]]-Inventory_Data[[#This Row],[Closing Stock]]</f>
        <v>0</v>
      </c>
      <c r="N2006">
        <f>Inventory_Data[[#This Row],[Purchase Qty]]*Inventory_Data[[#This Row],[Unit Cost]]</f>
        <v>360594</v>
      </c>
      <c r="O2006" t="str">
        <f>IF(Inventory_Data[[#This Row],[Closing Stock]]&lt;=Inventory_Data[[#This Row],[Reorder Level]],"Low Stock","In Stock")</f>
        <v>In Stock</v>
      </c>
      <c r="P2006" t="str">
        <f>TEXT(Inventory_Data[[#This Row],[Date]],"MMM")</f>
        <v>Mar</v>
      </c>
      <c r="Q2006" t="str">
        <f>TEXT(Inventory_Data[[#This Row],[Date]],"YYYY")</f>
        <v>2026</v>
      </c>
    </row>
    <row r="2007" spans="1:17" x14ac:dyDescent="0.3">
      <c r="A2007" s="1">
        <v>46085</v>
      </c>
      <c r="B2007" t="s">
        <v>35</v>
      </c>
      <c r="C2007" t="s">
        <v>22</v>
      </c>
      <c r="D2007" t="s">
        <v>14</v>
      </c>
      <c r="E2007" t="s">
        <v>29</v>
      </c>
      <c r="F2007">
        <v>345</v>
      </c>
      <c r="G2007">
        <v>72</v>
      </c>
      <c r="H2007">
        <v>24</v>
      </c>
      <c r="I2007">
        <v>393</v>
      </c>
      <c r="J2007">
        <v>93</v>
      </c>
      <c r="K2007">
        <v>779</v>
      </c>
      <c r="L2007">
        <v>306147</v>
      </c>
      <c r="M2007">
        <f>Inventory_Data[[#This Row],[Opening Stock]]+Inventory_Data[[#This Row],[Purchase Qty]]-Inventory_Data[[#This Row],[Sales Qty]]-Inventory_Data[[#This Row],[Closing Stock]]</f>
        <v>0</v>
      </c>
      <c r="N2007">
        <f>Inventory_Data[[#This Row],[Purchase Qty]]*Inventory_Data[[#This Row],[Unit Cost]]</f>
        <v>56088</v>
      </c>
      <c r="O2007" t="str">
        <f>IF(Inventory_Data[[#This Row],[Closing Stock]]&lt;=Inventory_Data[[#This Row],[Reorder Level]],"Low Stock","In Stock")</f>
        <v>In Stock</v>
      </c>
      <c r="P2007" t="str">
        <f>TEXT(Inventory_Data[[#This Row],[Date]],"MMM")</f>
        <v>Mar</v>
      </c>
      <c r="Q2007" t="str">
        <f>TEXT(Inventory_Data[[#This Row],[Date]],"YYYY")</f>
        <v>2026</v>
      </c>
    </row>
    <row r="2008" spans="1:17" x14ac:dyDescent="0.3">
      <c r="A2008" s="1">
        <v>46085</v>
      </c>
      <c r="B2008" t="s">
        <v>12</v>
      </c>
      <c r="C2008" t="s">
        <v>13</v>
      </c>
      <c r="D2008" t="s">
        <v>23</v>
      </c>
      <c r="E2008" t="s">
        <v>34</v>
      </c>
      <c r="F2008">
        <v>55</v>
      </c>
      <c r="G2008">
        <v>7</v>
      </c>
      <c r="H2008">
        <v>49</v>
      </c>
      <c r="I2008">
        <v>13</v>
      </c>
      <c r="J2008">
        <v>29</v>
      </c>
      <c r="K2008">
        <v>3751</v>
      </c>
      <c r="L2008">
        <v>48763</v>
      </c>
      <c r="M2008">
        <f>Inventory_Data[[#This Row],[Opening Stock]]+Inventory_Data[[#This Row],[Purchase Qty]]-Inventory_Data[[#This Row],[Sales Qty]]-Inventory_Data[[#This Row],[Closing Stock]]</f>
        <v>0</v>
      </c>
      <c r="N2008">
        <f>Inventory_Data[[#This Row],[Purchase Qty]]*Inventory_Data[[#This Row],[Unit Cost]]</f>
        <v>26257</v>
      </c>
      <c r="O2008" t="str">
        <f>IF(Inventory_Data[[#This Row],[Closing Stock]]&lt;=Inventory_Data[[#This Row],[Reorder Level]],"Low Stock","In Stock")</f>
        <v>Low Stock</v>
      </c>
      <c r="P2008" t="str">
        <f>TEXT(Inventory_Data[[#This Row],[Date]],"MMM")</f>
        <v>Mar</v>
      </c>
      <c r="Q2008" t="str">
        <f>TEXT(Inventory_Data[[#This Row],[Date]],"YYYY")</f>
        <v>2026</v>
      </c>
    </row>
    <row r="2009" spans="1:17" x14ac:dyDescent="0.3">
      <c r="A2009" s="1">
        <v>46085</v>
      </c>
      <c r="B2009" t="s">
        <v>12</v>
      </c>
      <c r="C2009" t="s">
        <v>13</v>
      </c>
      <c r="D2009" t="s">
        <v>23</v>
      </c>
      <c r="E2009" t="s">
        <v>34</v>
      </c>
      <c r="F2009">
        <v>106</v>
      </c>
      <c r="G2009">
        <v>46</v>
      </c>
      <c r="H2009">
        <v>47</v>
      </c>
      <c r="I2009">
        <v>105</v>
      </c>
      <c r="J2009">
        <v>25</v>
      </c>
      <c r="K2009">
        <v>10009</v>
      </c>
      <c r="L2009">
        <v>1050945</v>
      </c>
      <c r="M2009">
        <f>Inventory_Data[[#This Row],[Opening Stock]]+Inventory_Data[[#This Row],[Purchase Qty]]-Inventory_Data[[#This Row],[Sales Qty]]-Inventory_Data[[#This Row],[Closing Stock]]</f>
        <v>0</v>
      </c>
      <c r="N2009">
        <f>Inventory_Data[[#This Row],[Purchase Qty]]*Inventory_Data[[#This Row],[Unit Cost]]</f>
        <v>460414</v>
      </c>
      <c r="O2009" t="str">
        <f>IF(Inventory_Data[[#This Row],[Closing Stock]]&lt;=Inventory_Data[[#This Row],[Reorder Level]],"Low Stock","In Stock")</f>
        <v>In Stock</v>
      </c>
      <c r="P2009" t="str">
        <f>TEXT(Inventory_Data[[#This Row],[Date]],"MMM")</f>
        <v>Mar</v>
      </c>
      <c r="Q2009" t="str">
        <f>TEXT(Inventory_Data[[#This Row],[Date]],"YYYY")</f>
        <v>2026</v>
      </c>
    </row>
    <row r="2010" spans="1:17" x14ac:dyDescent="0.3">
      <c r="A2010" s="1">
        <v>46085</v>
      </c>
      <c r="B2010" t="s">
        <v>43</v>
      </c>
      <c r="C2010" t="s">
        <v>22</v>
      </c>
      <c r="D2010" t="s">
        <v>26</v>
      </c>
      <c r="E2010" t="s">
        <v>20</v>
      </c>
      <c r="F2010">
        <v>234</v>
      </c>
      <c r="G2010">
        <v>163</v>
      </c>
      <c r="H2010">
        <v>229</v>
      </c>
      <c r="I2010">
        <v>168</v>
      </c>
      <c r="J2010">
        <v>123</v>
      </c>
      <c r="K2010">
        <v>819</v>
      </c>
      <c r="L2010">
        <v>137592</v>
      </c>
      <c r="M2010">
        <f>Inventory_Data[[#This Row],[Opening Stock]]+Inventory_Data[[#This Row],[Purchase Qty]]-Inventory_Data[[#This Row],[Sales Qty]]-Inventory_Data[[#This Row],[Closing Stock]]</f>
        <v>0</v>
      </c>
      <c r="N2010">
        <f>Inventory_Data[[#This Row],[Purchase Qty]]*Inventory_Data[[#This Row],[Unit Cost]]</f>
        <v>133497</v>
      </c>
      <c r="O2010" t="str">
        <f>IF(Inventory_Data[[#This Row],[Closing Stock]]&lt;=Inventory_Data[[#This Row],[Reorder Level]],"Low Stock","In Stock")</f>
        <v>In Stock</v>
      </c>
      <c r="P2010" t="str">
        <f>TEXT(Inventory_Data[[#This Row],[Date]],"MMM")</f>
        <v>Mar</v>
      </c>
      <c r="Q2010" t="str">
        <f>TEXT(Inventory_Data[[#This Row],[Date]],"YYYY")</f>
        <v>2026</v>
      </c>
    </row>
    <row r="2011" spans="1:17" x14ac:dyDescent="0.3">
      <c r="A2011" s="1">
        <v>46086</v>
      </c>
      <c r="B2011" t="s">
        <v>40</v>
      </c>
      <c r="C2011" t="s">
        <v>28</v>
      </c>
      <c r="D2011" t="s">
        <v>37</v>
      </c>
      <c r="E2011" t="s">
        <v>20</v>
      </c>
      <c r="F2011">
        <v>48</v>
      </c>
      <c r="G2011">
        <v>97</v>
      </c>
      <c r="H2011">
        <v>63</v>
      </c>
      <c r="I2011">
        <v>82</v>
      </c>
      <c r="J2011">
        <v>25</v>
      </c>
      <c r="K2011">
        <v>53678</v>
      </c>
      <c r="L2011">
        <v>4401596</v>
      </c>
      <c r="M2011">
        <f>Inventory_Data[[#This Row],[Opening Stock]]+Inventory_Data[[#This Row],[Purchase Qty]]-Inventory_Data[[#This Row],[Sales Qty]]-Inventory_Data[[#This Row],[Closing Stock]]</f>
        <v>0</v>
      </c>
      <c r="N2011">
        <f>Inventory_Data[[#This Row],[Purchase Qty]]*Inventory_Data[[#This Row],[Unit Cost]]</f>
        <v>5206766</v>
      </c>
      <c r="O2011" t="str">
        <f>IF(Inventory_Data[[#This Row],[Closing Stock]]&lt;=Inventory_Data[[#This Row],[Reorder Level]],"Low Stock","In Stock")</f>
        <v>In Stock</v>
      </c>
      <c r="P2011" t="str">
        <f>TEXT(Inventory_Data[[#This Row],[Date]],"MMM")</f>
        <v>Mar</v>
      </c>
      <c r="Q2011" t="str">
        <f>TEXT(Inventory_Data[[#This Row],[Date]],"YYYY")</f>
        <v>2026</v>
      </c>
    </row>
    <row r="2012" spans="1:17" x14ac:dyDescent="0.3">
      <c r="A2012" s="1">
        <v>46086</v>
      </c>
      <c r="B2012" t="s">
        <v>16</v>
      </c>
      <c r="C2012" t="s">
        <v>17</v>
      </c>
      <c r="D2012" t="s">
        <v>26</v>
      </c>
      <c r="E2012" t="s">
        <v>29</v>
      </c>
      <c r="F2012">
        <v>22</v>
      </c>
      <c r="G2012">
        <v>9</v>
      </c>
      <c r="H2012">
        <v>26</v>
      </c>
      <c r="I2012">
        <v>5</v>
      </c>
      <c r="J2012">
        <v>27</v>
      </c>
      <c r="K2012">
        <v>13935</v>
      </c>
      <c r="L2012">
        <v>69675</v>
      </c>
      <c r="M2012">
        <f>Inventory_Data[[#This Row],[Opening Stock]]+Inventory_Data[[#This Row],[Purchase Qty]]-Inventory_Data[[#This Row],[Sales Qty]]-Inventory_Data[[#This Row],[Closing Stock]]</f>
        <v>0</v>
      </c>
      <c r="N2012">
        <f>Inventory_Data[[#This Row],[Purchase Qty]]*Inventory_Data[[#This Row],[Unit Cost]]</f>
        <v>125415</v>
      </c>
      <c r="O2012" t="str">
        <f>IF(Inventory_Data[[#This Row],[Closing Stock]]&lt;=Inventory_Data[[#This Row],[Reorder Level]],"Low Stock","In Stock")</f>
        <v>Low Stock</v>
      </c>
      <c r="P2012" t="str">
        <f>TEXT(Inventory_Data[[#This Row],[Date]],"MMM")</f>
        <v>Mar</v>
      </c>
      <c r="Q2012" t="str">
        <f>TEXT(Inventory_Data[[#This Row],[Date]],"YYYY")</f>
        <v>2026</v>
      </c>
    </row>
    <row r="2013" spans="1:17" x14ac:dyDescent="0.3">
      <c r="A2013" s="1">
        <v>46086</v>
      </c>
      <c r="B2013" t="s">
        <v>35</v>
      </c>
      <c r="C2013" t="s">
        <v>22</v>
      </c>
      <c r="D2013" t="s">
        <v>37</v>
      </c>
      <c r="E2013" t="s">
        <v>24</v>
      </c>
      <c r="F2013">
        <v>214</v>
      </c>
      <c r="G2013">
        <v>35</v>
      </c>
      <c r="H2013">
        <v>23</v>
      </c>
      <c r="I2013">
        <v>226</v>
      </c>
      <c r="J2013">
        <v>135</v>
      </c>
      <c r="K2013">
        <v>151</v>
      </c>
      <c r="L2013">
        <v>34126</v>
      </c>
      <c r="M2013">
        <f>Inventory_Data[[#This Row],[Opening Stock]]+Inventory_Data[[#This Row],[Purchase Qty]]-Inventory_Data[[#This Row],[Sales Qty]]-Inventory_Data[[#This Row],[Closing Stock]]</f>
        <v>0</v>
      </c>
      <c r="N2013">
        <f>Inventory_Data[[#This Row],[Purchase Qty]]*Inventory_Data[[#This Row],[Unit Cost]]</f>
        <v>5285</v>
      </c>
      <c r="O2013" t="str">
        <f>IF(Inventory_Data[[#This Row],[Closing Stock]]&lt;=Inventory_Data[[#This Row],[Reorder Level]],"Low Stock","In Stock")</f>
        <v>In Stock</v>
      </c>
      <c r="P2013" t="str">
        <f>TEXT(Inventory_Data[[#This Row],[Date]],"MMM")</f>
        <v>Mar</v>
      </c>
      <c r="Q2013" t="str">
        <f>TEXT(Inventory_Data[[#This Row],[Date]],"YYYY")</f>
        <v>2026</v>
      </c>
    </row>
    <row r="2014" spans="1:17" x14ac:dyDescent="0.3">
      <c r="A2014" s="1">
        <v>46086</v>
      </c>
      <c r="B2014" t="s">
        <v>35</v>
      </c>
      <c r="C2014" t="s">
        <v>22</v>
      </c>
      <c r="D2014" t="s">
        <v>26</v>
      </c>
      <c r="E2014" t="s">
        <v>24</v>
      </c>
      <c r="F2014">
        <v>399</v>
      </c>
      <c r="G2014">
        <v>149</v>
      </c>
      <c r="H2014">
        <v>84</v>
      </c>
      <c r="I2014">
        <v>464</v>
      </c>
      <c r="J2014">
        <v>70</v>
      </c>
      <c r="K2014">
        <v>693</v>
      </c>
      <c r="L2014">
        <v>321552</v>
      </c>
      <c r="M2014">
        <f>Inventory_Data[[#This Row],[Opening Stock]]+Inventory_Data[[#This Row],[Purchase Qty]]-Inventory_Data[[#This Row],[Sales Qty]]-Inventory_Data[[#This Row],[Closing Stock]]</f>
        <v>0</v>
      </c>
      <c r="N2014">
        <f>Inventory_Data[[#This Row],[Purchase Qty]]*Inventory_Data[[#This Row],[Unit Cost]]</f>
        <v>103257</v>
      </c>
      <c r="O2014" t="str">
        <f>IF(Inventory_Data[[#This Row],[Closing Stock]]&lt;=Inventory_Data[[#This Row],[Reorder Level]],"Low Stock","In Stock")</f>
        <v>In Stock</v>
      </c>
      <c r="P2014" t="str">
        <f>TEXT(Inventory_Data[[#This Row],[Date]],"MMM")</f>
        <v>Mar</v>
      </c>
      <c r="Q2014" t="str">
        <f>TEXT(Inventory_Data[[#This Row],[Date]],"YYYY")</f>
        <v>2026</v>
      </c>
    </row>
    <row r="2015" spans="1:17" x14ac:dyDescent="0.3">
      <c r="A2015" s="1">
        <v>46086</v>
      </c>
      <c r="B2015" t="s">
        <v>12</v>
      </c>
      <c r="C2015" t="s">
        <v>13</v>
      </c>
      <c r="D2015" t="s">
        <v>14</v>
      </c>
      <c r="E2015" t="s">
        <v>34</v>
      </c>
      <c r="F2015">
        <v>36</v>
      </c>
      <c r="G2015">
        <v>36</v>
      </c>
      <c r="H2015">
        <v>7</v>
      </c>
      <c r="I2015">
        <v>65</v>
      </c>
      <c r="J2015">
        <v>24</v>
      </c>
      <c r="K2015">
        <v>3824</v>
      </c>
      <c r="L2015">
        <v>248560</v>
      </c>
      <c r="M2015">
        <f>Inventory_Data[[#This Row],[Opening Stock]]+Inventory_Data[[#This Row],[Purchase Qty]]-Inventory_Data[[#This Row],[Sales Qty]]-Inventory_Data[[#This Row],[Closing Stock]]</f>
        <v>0</v>
      </c>
      <c r="N2015">
        <f>Inventory_Data[[#This Row],[Purchase Qty]]*Inventory_Data[[#This Row],[Unit Cost]]</f>
        <v>137664</v>
      </c>
      <c r="O2015" t="str">
        <f>IF(Inventory_Data[[#This Row],[Closing Stock]]&lt;=Inventory_Data[[#This Row],[Reorder Level]],"Low Stock","In Stock")</f>
        <v>In Stock</v>
      </c>
      <c r="P2015" t="str">
        <f>TEXT(Inventory_Data[[#This Row],[Date]],"MMM")</f>
        <v>Mar</v>
      </c>
      <c r="Q2015" t="str">
        <f>TEXT(Inventory_Data[[#This Row],[Date]],"YYYY")</f>
        <v>2026</v>
      </c>
    </row>
    <row r="2016" spans="1:17" x14ac:dyDescent="0.3">
      <c r="A2016" s="1">
        <v>46086</v>
      </c>
      <c r="B2016" t="s">
        <v>25</v>
      </c>
      <c r="C2016" t="s">
        <v>17</v>
      </c>
      <c r="D2016" t="s">
        <v>37</v>
      </c>
      <c r="E2016" t="s">
        <v>20</v>
      </c>
      <c r="F2016">
        <v>95</v>
      </c>
      <c r="G2016">
        <v>20</v>
      </c>
      <c r="H2016">
        <v>25</v>
      </c>
      <c r="I2016">
        <v>90</v>
      </c>
      <c r="J2016">
        <v>23</v>
      </c>
      <c r="K2016">
        <v>6223</v>
      </c>
      <c r="L2016">
        <v>560070</v>
      </c>
      <c r="M2016">
        <f>Inventory_Data[[#This Row],[Opening Stock]]+Inventory_Data[[#This Row],[Purchase Qty]]-Inventory_Data[[#This Row],[Sales Qty]]-Inventory_Data[[#This Row],[Closing Stock]]</f>
        <v>0</v>
      </c>
      <c r="N2016">
        <f>Inventory_Data[[#This Row],[Purchase Qty]]*Inventory_Data[[#This Row],[Unit Cost]]</f>
        <v>124460</v>
      </c>
      <c r="O2016" t="str">
        <f>IF(Inventory_Data[[#This Row],[Closing Stock]]&lt;=Inventory_Data[[#This Row],[Reorder Level]],"Low Stock","In Stock")</f>
        <v>In Stock</v>
      </c>
      <c r="P2016" t="str">
        <f>TEXT(Inventory_Data[[#This Row],[Date]],"MMM")</f>
        <v>Mar</v>
      </c>
      <c r="Q2016" t="str">
        <f>TEXT(Inventory_Data[[#This Row],[Date]],"YYYY")</f>
        <v>2026</v>
      </c>
    </row>
    <row r="2017" spans="1:17" x14ac:dyDescent="0.3">
      <c r="A2017" s="1">
        <v>46086</v>
      </c>
      <c r="B2017" t="s">
        <v>45</v>
      </c>
      <c r="C2017" t="s">
        <v>13</v>
      </c>
      <c r="D2017" t="s">
        <v>26</v>
      </c>
      <c r="E2017" t="s">
        <v>18</v>
      </c>
      <c r="F2017">
        <v>29</v>
      </c>
      <c r="G2017">
        <v>7</v>
      </c>
      <c r="H2017">
        <v>13</v>
      </c>
      <c r="I2017">
        <v>23</v>
      </c>
      <c r="J2017">
        <v>28</v>
      </c>
      <c r="K2017">
        <v>4464</v>
      </c>
      <c r="L2017">
        <v>102672</v>
      </c>
      <c r="M2017">
        <f>Inventory_Data[[#This Row],[Opening Stock]]+Inventory_Data[[#This Row],[Purchase Qty]]-Inventory_Data[[#This Row],[Sales Qty]]-Inventory_Data[[#This Row],[Closing Stock]]</f>
        <v>0</v>
      </c>
      <c r="N2017">
        <f>Inventory_Data[[#This Row],[Purchase Qty]]*Inventory_Data[[#This Row],[Unit Cost]]</f>
        <v>31248</v>
      </c>
      <c r="O2017" t="str">
        <f>IF(Inventory_Data[[#This Row],[Closing Stock]]&lt;=Inventory_Data[[#This Row],[Reorder Level]],"Low Stock","In Stock")</f>
        <v>Low Stock</v>
      </c>
      <c r="P2017" t="str">
        <f>TEXT(Inventory_Data[[#This Row],[Date]],"MMM")</f>
        <v>Mar</v>
      </c>
      <c r="Q2017" t="str">
        <f>TEXT(Inventory_Data[[#This Row],[Date]],"YYYY")</f>
        <v>2026</v>
      </c>
    </row>
    <row r="2018" spans="1:17" x14ac:dyDescent="0.3">
      <c r="A2018" s="1">
        <v>46087</v>
      </c>
      <c r="B2018" t="s">
        <v>40</v>
      </c>
      <c r="C2018" t="s">
        <v>28</v>
      </c>
      <c r="D2018" t="s">
        <v>37</v>
      </c>
      <c r="E2018" t="s">
        <v>29</v>
      </c>
      <c r="F2018">
        <v>173</v>
      </c>
      <c r="G2018">
        <v>118</v>
      </c>
      <c r="H2018">
        <v>82</v>
      </c>
      <c r="I2018">
        <v>209</v>
      </c>
      <c r="J2018">
        <v>55</v>
      </c>
      <c r="K2018">
        <v>18914</v>
      </c>
      <c r="L2018">
        <v>3953026</v>
      </c>
      <c r="M2018">
        <f>Inventory_Data[[#This Row],[Opening Stock]]+Inventory_Data[[#This Row],[Purchase Qty]]-Inventory_Data[[#This Row],[Sales Qty]]-Inventory_Data[[#This Row],[Closing Stock]]</f>
        <v>0</v>
      </c>
      <c r="N2018">
        <f>Inventory_Data[[#This Row],[Purchase Qty]]*Inventory_Data[[#This Row],[Unit Cost]]</f>
        <v>2231852</v>
      </c>
      <c r="O2018" t="str">
        <f>IF(Inventory_Data[[#This Row],[Closing Stock]]&lt;=Inventory_Data[[#This Row],[Reorder Level]],"Low Stock","In Stock")</f>
        <v>In Stock</v>
      </c>
      <c r="P2018" t="str">
        <f>TEXT(Inventory_Data[[#This Row],[Date]],"MMM")</f>
        <v>Mar</v>
      </c>
      <c r="Q2018" t="str">
        <f>TEXT(Inventory_Data[[#This Row],[Date]],"YYYY")</f>
        <v>2026</v>
      </c>
    </row>
    <row r="2019" spans="1:17" x14ac:dyDescent="0.3">
      <c r="A2019" s="1">
        <v>46088</v>
      </c>
      <c r="B2019" t="s">
        <v>31</v>
      </c>
      <c r="C2019" t="s">
        <v>22</v>
      </c>
      <c r="D2019" t="s">
        <v>14</v>
      </c>
      <c r="E2019" t="s">
        <v>24</v>
      </c>
      <c r="F2019">
        <v>381</v>
      </c>
      <c r="G2019">
        <v>213</v>
      </c>
      <c r="H2019">
        <v>188</v>
      </c>
      <c r="I2019">
        <v>406</v>
      </c>
      <c r="J2019">
        <v>69</v>
      </c>
      <c r="K2019">
        <v>1171</v>
      </c>
      <c r="L2019">
        <v>475426</v>
      </c>
      <c r="M2019">
        <f>Inventory_Data[[#This Row],[Opening Stock]]+Inventory_Data[[#This Row],[Purchase Qty]]-Inventory_Data[[#This Row],[Sales Qty]]-Inventory_Data[[#This Row],[Closing Stock]]</f>
        <v>0</v>
      </c>
      <c r="N2019">
        <f>Inventory_Data[[#This Row],[Purchase Qty]]*Inventory_Data[[#This Row],[Unit Cost]]</f>
        <v>249423</v>
      </c>
      <c r="O2019" t="str">
        <f>IF(Inventory_Data[[#This Row],[Closing Stock]]&lt;=Inventory_Data[[#This Row],[Reorder Level]],"Low Stock","In Stock")</f>
        <v>In Stock</v>
      </c>
      <c r="P2019" t="str">
        <f>TEXT(Inventory_Data[[#This Row],[Date]],"MMM")</f>
        <v>Mar</v>
      </c>
      <c r="Q2019" t="str">
        <f>TEXT(Inventory_Data[[#This Row],[Date]],"YYYY")</f>
        <v>2026</v>
      </c>
    </row>
    <row r="2020" spans="1:17" x14ac:dyDescent="0.3">
      <c r="A2020" s="1">
        <v>46088</v>
      </c>
      <c r="B2020" t="s">
        <v>36</v>
      </c>
      <c r="C2020" t="s">
        <v>22</v>
      </c>
      <c r="D2020" t="s">
        <v>14</v>
      </c>
      <c r="E2020" t="s">
        <v>15</v>
      </c>
      <c r="F2020">
        <v>330</v>
      </c>
      <c r="G2020">
        <v>123</v>
      </c>
      <c r="H2020">
        <v>210</v>
      </c>
      <c r="I2020">
        <v>243</v>
      </c>
      <c r="J2020">
        <v>133</v>
      </c>
      <c r="K2020">
        <v>552</v>
      </c>
      <c r="L2020">
        <v>134136</v>
      </c>
      <c r="M2020">
        <f>Inventory_Data[[#This Row],[Opening Stock]]+Inventory_Data[[#This Row],[Purchase Qty]]-Inventory_Data[[#This Row],[Sales Qty]]-Inventory_Data[[#This Row],[Closing Stock]]</f>
        <v>0</v>
      </c>
      <c r="N2020">
        <f>Inventory_Data[[#This Row],[Purchase Qty]]*Inventory_Data[[#This Row],[Unit Cost]]</f>
        <v>67896</v>
      </c>
      <c r="O2020" t="str">
        <f>IF(Inventory_Data[[#This Row],[Closing Stock]]&lt;=Inventory_Data[[#This Row],[Reorder Level]],"Low Stock","In Stock")</f>
        <v>In Stock</v>
      </c>
      <c r="P2020" t="str">
        <f>TEXT(Inventory_Data[[#This Row],[Date]],"MMM")</f>
        <v>Mar</v>
      </c>
      <c r="Q2020" t="str">
        <f>TEXT(Inventory_Data[[#This Row],[Date]],"YYYY")</f>
        <v>2026</v>
      </c>
    </row>
    <row r="2021" spans="1:17" x14ac:dyDescent="0.3">
      <c r="A2021" s="1">
        <v>46088</v>
      </c>
      <c r="B2021" t="s">
        <v>32</v>
      </c>
      <c r="C2021" t="s">
        <v>28</v>
      </c>
      <c r="D2021" t="s">
        <v>37</v>
      </c>
      <c r="E2021" t="s">
        <v>24</v>
      </c>
      <c r="F2021">
        <v>141</v>
      </c>
      <c r="G2021">
        <v>78</v>
      </c>
      <c r="H2021">
        <v>62</v>
      </c>
      <c r="I2021">
        <v>157</v>
      </c>
      <c r="J2021">
        <v>51</v>
      </c>
      <c r="K2021">
        <v>13891</v>
      </c>
      <c r="L2021">
        <v>2180887</v>
      </c>
      <c r="M2021">
        <f>Inventory_Data[[#This Row],[Opening Stock]]+Inventory_Data[[#This Row],[Purchase Qty]]-Inventory_Data[[#This Row],[Sales Qty]]-Inventory_Data[[#This Row],[Closing Stock]]</f>
        <v>0</v>
      </c>
      <c r="N2021">
        <f>Inventory_Data[[#This Row],[Purchase Qty]]*Inventory_Data[[#This Row],[Unit Cost]]</f>
        <v>1083498</v>
      </c>
      <c r="O2021" t="str">
        <f>IF(Inventory_Data[[#This Row],[Closing Stock]]&lt;=Inventory_Data[[#This Row],[Reorder Level]],"Low Stock","In Stock")</f>
        <v>In Stock</v>
      </c>
      <c r="P2021" t="str">
        <f>TEXT(Inventory_Data[[#This Row],[Date]],"MMM")</f>
        <v>Mar</v>
      </c>
      <c r="Q2021" t="str">
        <f>TEXT(Inventory_Data[[#This Row],[Date]],"YYYY")</f>
        <v>2026</v>
      </c>
    </row>
    <row r="2022" spans="1:17" x14ac:dyDescent="0.3">
      <c r="A2022" s="1">
        <v>46088</v>
      </c>
      <c r="B2022" t="s">
        <v>35</v>
      </c>
      <c r="C2022" t="s">
        <v>22</v>
      </c>
      <c r="D2022" t="s">
        <v>23</v>
      </c>
      <c r="E2022" t="s">
        <v>20</v>
      </c>
      <c r="F2022">
        <v>79</v>
      </c>
      <c r="G2022">
        <v>144</v>
      </c>
      <c r="H2022">
        <v>99</v>
      </c>
      <c r="I2022">
        <v>124</v>
      </c>
      <c r="J2022">
        <v>136</v>
      </c>
      <c r="K2022">
        <v>379</v>
      </c>
      <c r="L2022">
        <v>46996</v>
      </c>
      <c r="M2022">
        <f>Inventory_Data[[#This Row],[Opening Stock]]+Inventory_Data[[#This Row],[Purchase Qty]]-Inventory_Data[[#This Row],[Sales Qty]]-Inventory_Data[[#This Row],[Closing Stock]]</f>
        <v>0</v>
      </c>
      <c r="N2022">
        <f>Inventory_Data[[#This Row],[Purchase Qty]]*Inventory_Data[[#This Row],[Unit Cost]]</f>
        <v>54576</v>
      </c>
      <c r="O2022" t="str">
        <f>IF(Inventory_Data[[#This Row],[Closing Stock]]&lt;=Inventory_Data[[#This Row],[Reorder Level]],"Low Stock","In Stock")</f>
        <v>Low Stock</v>
      </c>
      <c r="P2022" t="str">
        <f>TEXT(Inventory_Data[[#This Row],[Date]],"MMM")</f>
        <v>Mar</v>
      </c>
      <c r="Q2022" t="str">
        <f>TEXT(Inventory_Data[[#This Row],[Date]],"YYYY")</f>
        <v>2026</v>
      </c>
    </row>
    <row r="2023" spans="1:17" x14ac:dyDescent="0.3">
      <c r="A2023" s="1">
        <v>46088</v>
      </c>
      <c r="B2023" t="s">
        <v>38</v>
      </c>
      <c r="C2023" t="s">
        <v>17</v>
      </c>
      <c r="D2023" t="s">
        <v>26</v>
      </c>
      <c r="E2023" t="s">
        <v>24</v>
      </c>
      <c r="F2023">
        <v>77</v>
      </c>
      <c r="G2023">
        <v>36</v>
      </c>
      <c r="H2023">
        <v>20</v>
      </c>
      <c r="I2023">
        <v>93</v>
      </c>
      <c r="J2023">
        <v>23</v>
      </c>
      <c r="K2023">
        <v>21468</v>
      </c>
      <c r="L2023">
        <v>1996524</v>
      </c>
      <c r="M2023">
        <f>Inventory_Data[[#This Row],[Opening Stock]]+Inventory_Data[[#This Row],[Purchase Qty]]-Inventory_Data[[#This Row],[Sales Qty]]-Inventory_Data[[#This Row],[Closing Stock]]</f>
        <v>0</v>
      </c>
      <c r="N2023">
        <f>Inventory_Data[[#This Row],[Purchase Qty]]*Inventory_Data[[#This Row],[Unit Cost]]</f>
        <v>772848</v>
      </c>
      <c r="O2023" t="str">
        <f>IF(Inventory_Data[[#This Row],[Closing Stock]]&lt;=Inventory_Data[[#This Row],[Reorder Level]],"Low Stock","In Stock")</f>
        <v>In Stock</v>
      </c>
      <c r="P2023" t="str">
        <f>TEXT(Inventory_Data[[#This Row],[Date]],"MMM")</f>
        <v>Mar</v>
      </c>
      <c r="Q2023" t="str">
        <f>TEXT(Inventory_Data[[#This Row],[Date]],"YYYY")</f>
        <v>2026</v>
      </c>
    </row>
    <row r="2024" spans="1:17" x14ac:dyDescent="0.3">
      <c r="A2024" s="1">
        <v>46089</v>
      </c>
      <c r="B2024" t="s">
        <v>27</v>
      </c>
      <c r="C2024" t="s">
        <v>28</v>
      </c>
      <c r="D2024" t="s">
        <v>23</v>
      </c>
      <c r="E2024" t="s">
        <v>24</v>
      </c>
      <c r="F2024">
        <v>113</v>
      </c>
      <c r="G2024">
        <v>64</v>
      </c>
      <c r="H2024">
        <v>59</v>
      </c>
      <c r="I2024">
        <v>118</v>
      </c>
      <c r="J2024">
        <v>37</v>
      </c>
      <c r="K2024">
        <v>11520</v>
      </c>
      <c r="L2024">
        <v>1359360</v>
      </c>
      <c r="M2024">
        <f>Inventory_Data[[#This Row],[Opening Stock]]+Inventory_Data[[#This Row],[Purchase Qty]]-Inventory_Data[[#This Row],[Sales Qty]]-Inventory_Data[[#This Row],[Closing Stock]]</f>
        <v>0</v>
      </c>
      <c r="N2024">
        <f>Inventory_Data[[#This Row],[Purchase Qty]]*Inventory_Data[[#This Row],[Unit Cost]]</f>
        <v>737280</v>
      </c>
      <c r="O2024" t="str">
        <f>IF(Inventory_Data[[#This Row],[Closing Stock]]&lt;=Inventory_Data[[#This Row],[Reorder Level]],"Low Stock","In Stock")</f>
        <v>In Stock</v>
      </c>
      <c r="P2024" t="str">
        <f>TEXT(Inventory_Data[[#This Row],[Date]],"MMM")</f>
        <v>Mar</v>
      </c>
      <c r="Q2024" t="str">
        <f>TEXT(Inventory_Data[[#This Row],[Date]],"YYYY")</f>
        <v>2026</v>
      </c>
    </row>
    <row r="2025" spans="1:17" x14ac:dyDescent="0.3">
      <c r="A2025" s="1">
        <v>46089</v>
      </c>
      <c r="B2025" t="s">
        <v>12</v>
      </c>
      <c r="C2025" t="s">
        <v>13</v>
      </c>
      <c r="D2025" t="s">
        <v>26</v>
      </c>
      <c r="E2025" t="s">
        <v>15</v>
      </c>
      <c r="F2025">
        <v>33</v>
      </c>
      <c r="G2025">
        <v>55</v>
      </c>
      <c r="H2025">
        <v>9</v>
      </c>
      <c r="I2025">
        <v>79</v>
      </c>
      <c r="J2025">
        <v>25</v>
      </c>
      <c r="K2025">
        <v>10930</v>
      </c>
      <c r="L2025">
        <v>863470</v>
      </c>
      <c r="M2025">
        <f>Inventory_Data[[#This Row],[Opening Stock]]+Inventory_Data[[#This Row],[Purchase Qty]]-Inventory_Data[[#This Row],[Sales Qty]]-Inventory_Data[[#This Row],[Closing Stock]]</f>
        <v>0</v>
      </c>
      <c r="N2025">
        <f>Inventory_Data[[#This Row],[Purchase Qty]]*Inventory_Data[[#This Row],[Unit Cost]]</f>
        <v>601150</v>
      </c>
      <c r="O2025" t="str">
        <f>IF(Inventory_Data[[#This Row],[Closing Stock]]&lt;=Inventory_Data[[#This Row],[Reorder Level]],"Low Stock","In Stock")</f>
        <v>In Stock</v>
      </c>
      <c r="P2025" t="str">
        <f>TEXT(Inventory_Data[[#This Row],[Date]],"MMM")</f>
        <v>Mar</v>
      </c>
      <c r="Q2025" t="str">
        <f>TEXT(Inventory_Data[[#This Row],[Date]],"YYYY")</f>
        <v>2026</v>
      </c>
    </row>
    <row r="2026" spans="1:17" x14ac:dyDescent="0.3">
      <c r="A2026" s="1">
        <v>46089</v>
      </c>
      <c r="B2026" t="s">
        <v>44</v>
      </c>
      <c r="C2026" t="s">
        <v>28</v>
      </c>
      <c r="D2026" t="s">
        <v>37</v>
      </c>
      <c r="E2026" t="s">
        <v>20</v>
      </c>
      <c r="F2026">
        <v>56</v>
      </c>
      <c r="G2026">
        <v>24</v>
      </c>
      <c r="H2026">
        <v>39</v>
      </c>
      <c r="I2026">
        <v>41</v>
      </c>
      <c r="J2026">
        <v>26</v>
      </c>
      <c r="K2026">
        <v>34555</v>
      </c>
      <c r="L2026">
        <v>1416755</v>
      </c>
      <c r="M2026">
        <f>Inventory_Data[[#This Row],[Opening Stock]]+Inventory_Data[[#This Row],[Purchase Qty]]-Inventory_Data[[#This Row],[Sales Qty]]-Inventory_Data[[#This Row],[Closing Stock]]</f>
        <v>0</v>
      </c>
      <c r="N2026">
        <f>Inventory_Data[[#This Row],[Purchase Qty]]*Inventory_Data[[#This Row],[Unit Cost]]</f>
        <v>829320</v>
      </c>
      <c r="O2026" t="str">
        <f>IF(Inventory_Data[[#This Row],[Closing Stock]]&lt;=Inventory_Data[[#This Row],[Reorder Level]],"Low Stock","In Stock")</f>
        <v>In Stock</v>
      </c>
      <c r="P2026" t="str">
        <f>TEXT(Inventory_Data[[#This Row],[Date]],"MMM")</f>
        <v>Mar</v>
      </c>
      <c r="Q2026" t="str">
        <f>TEXT(Inventory_Data[[#This Row],[Date]],"YYYY")</f>
        <v>2026</v>
      </c>
    </row>
    <row r="2027" spans="1:17" x14ac:dyDescent="0.3">
      <c r="A2027" s="1">
        <v>46090</v>
      </c>
      <c r="B2027" t="s">
        <v>33</v>
      </c>
      <c r="C2027" t="s">
        <v>13</v>
      </c>
      <c r="D2027" t="s">
        <v>23</v>
      </c>
      <c r="E2027" t="s">
        <v>34</v>
      </c>
      <c r="F2027">
        <v>42</v>
      </c>
      <c r="G2027">
        <v>17</v>
      </c>
      <c r="H2027">
        <v>35</v>
      </c>
      <c r="I2027">
        <v>24</v>
      </c>
      <c r="J2027">
        <v>19</v>
      </c>
      <c r="K2027">
        <v>7091</v>
      </c>
      <c r="L2027">
        <v>170184</v>
      </c>
      <c r="M2027">
        <f>Inventory_Data[[#This Row],[Opening Stock]]+Inventory_Data[[#This Row],[Purchase Qty]]-Inventory_Data[[#This Row],[Sales Qty]]-Inventory_Data[[#This Row],[Closing Stock]]</f>
        <v>0</v>
      </c>
      <c r="N2027">
        <f>Inventory_Data[[#This Row],[Purchase Qty]]*Inventory_Data[[#This Row],[Unit Cost]]</f>
        <v>120547</v>
      </c>
      <c r="O2027" t="str">
        <f>IF(Inventory_Data[[#This Row],[Closing Stock]]&lt;=Inventory_Data[[#This Row],[Reorder Level]],"Low Stock","In Stock")</f>
        <v>In Stock</v>
      </c>
      <c r="P2027" t="str">
        <f>TEXT(Inventory_Data[[#This Row],[Date]],"MMM")</f>
        <v>Mar</v>
      </c>
      <c r="Q2027" t="str">
        <f>TEXT(Inventory_Data[[#This Row],[Date]],"YYYY")</f>
        <v>2026</v>
      </c>
    </row>
    <row r="2028" spans="1:17" x14ac:dyDescent="0.3">
      <c r="A2028" s="1">
        <v>46090</v>
      </c>
      <c r="B2028" t="s">
        <v>12</v>
      </c>
      <c r="C2028" t="s">
        <v>13</v>
      </c>
      <c r="D2028" t="s">
        <v>37</v>
      </c>
      <c r="E2028" t="s">
        <v>34</v>
      </c>
      <c r="F2028">
        <v>100</v>
      </c>
      <c r="G2028">
        <v>25</v>
      </c>
      <c r="H2028">
        <v>38</v>
      </c>
      <c r="I2028">
        <v>87</v>
      </c>
      <c r="J2028">
        <v>39</v>
      </c>
      <c r="K2028">
        <v>10375</v>
      </c>
      <c r="L2028">
        <v>902625</v>
      </c>
      <c r="M2028">
        <f>Inventory_Data[[#This Row],[Opening Stock]]+Inventory_Data[[#This Row],[Purchase Qty]]-Inventory_Data[[#This Row],[Sales Qty]]-Inventory_Data[[#This Row],[Closing Stock]]</f>
        <v>0</v>
      </c>
      <c r="N2028">
        <f>Inventory_Data[[#This Row],[Purchase Qty]]*Inventory_Data[[#This Row],[Unit Cost]]</f>
        <v>259375</v>
      </c>
      <c r="O2028" t="str">
        <f>IF(Inventory_Data[[#This Row],[Closing Stock]]&lt;=Inventory_Data[[#This Row],[Reorder Level]],"Low Stock","In Stock")</f>
        <v>In Stock</v>
      </c>
      <c r="P2028" t="str">
        <f>TEXT(Inventory_Data[[#This Row],[Date]],"MMM")</f>
        <v>Mar</v>
      </c>
      <c r="Q2028" t="str">
        <f>TEXT(Inventory_Data[[#This Row],[Date]],"YYYY")</f>
        <v>2026</v>
      </c>
    </row>
    <row r="2029" spans="1:17" x14ac:dyDescent="0.3">
      <c r="A2029" s="1">
        <v>46090</v>
      </c>
      <c r="B2029" t="s">
        <v>21</v>
      </c>
      <c r="C2029" t="s">
        <v>22</v>
      </c>
      <c r="D2029" t="s">
        <v>26</v>
      </c>
      <c r="E2029" t="s">
        <v>18</v>
      </c>
      <c r="F2029">
        <v>466</v>
      </c>
      <c r="G2029">
        <v>129</v>
      </c>
      <c r="H2029">
        <v>155</v>
      </c>
      <c r="I2029">
        <v>440</v>
      </c>
      <c r="J2029">
        <v>111</v>
      </c>
      <c r="K2029">
        <v>28</v>
      </c>
      <c r="L2029">
        <v>12320</v>
      </c>
      <c r="M2029">
        <f>Inventory_Data[[#This Row],[Opening Stock]]+Inventory_Data[[#This Row],[Purchase Qty]]-Inventory_Data[[#This Row],[Sales Qty]]-Inventory_Data[[#This Row],[Closing Stock]]</f>
        <v>0</v>
      </c>
      <c r="N2029">
        <f>Inventory_Data[[#This Row],[Purchase Qty]]*Inventory_Data[[#This Row],[Unit Cost]]</f>
        <v>3612</v>
      </c>
      <c r="O2029" t="str">
        <f>IF(Inventory_Data[[#This Row],[Closing Stock]]&lt;=Inventory_Data[[#This Row],[Reorder Level]],"Low Stock","In Stock")</f>
        <v>In Stock</v>
      </c>
      <c r="P2029" t="str">
        <f>TEXT(Inventory_Data[[#This Row],[Date]],"MMM")</f>
        <v>Mar</v>
      </c>
      <c r="Q2029" t="str">
        <f>TEXT(Inventory_Data[[#This Row],[Date]],"YYYY")</f>
        <v>2026</v>
      </c>
    </row>
    <row r="2030" spans="1:17" x14ac:dyDescent="0.3">
      <c r="A2030" s="1">
        <v>46090</v>
      </c>
      <c r="B2030" t="s">
        <v>35</v>
      </c>
      <c r="C2030" t="s">
        <v>22</v>
      </c>
      <c r="D2030" t="s">
        <v>23</v>
      </c>
      <c r="E2030" t="s">
        <v>20</v>
      </c>
      <c r="F2030">
        <v>109</v>
      </c>
      <c r="G2030">
        <v>278</v>
      </c>
      <c r="H2030">
        <v>178</v>
      </c>
      <c r="I2030">
        <v>209</v>
      </c>
      <c r="J2030">
        <v>116</v>
      </c>
      <c r="K2030">
        <v>996</v>
      </c>
      <c r="L2030">
        <v>208164</v>
      </c>
      <c r="M2030">
        <f>Inventory_Data[[#This Row],[Opening Stock]]+Inventory_Data[[#This Row],[Purchase Qty]]-Inventory_Data[[#This Row],[Sales Qty]]-Inventory_Data[[#This Row],[Closing Stock]]</f>
        <v>0</v>
      </c>
      <c r="N2030">
        <f>Inventory_Data[[#This Row],[Purchase Qty]]*Inventory_Data[[#This Row],[Unit Cost]]</f>
        <v>276888</v>
      </c>
      <c r="O2030" t="str">
        <f>IF(Inventory_Data[[#This Row],[Closing Stock]]&lt;=Inventory_Data[[#This Row],[Reorder Level]],"Low Stock","In Stock")</f>
        <v>In Stock</v>
      </c>
      <c r="P2030" t="str">
        <f>TEXT(Inventory_Data[[#This Row],[Date]],"MMM")</f>
        <v>Mar</v>
      </c>
      <c r="Q2030" t="str">
        <f>TEXT(Inventory_Data[[#This Row],[Date]],"YYYY")</f>
        <v>2026</v>
      </c>
    </row>
    <row r="2031" spans="1:17" x14ac:dyDescent="0.3">
      <c r="A2031" s="1">
        <v>46091</v>
      </c>
      <c r="B2031" t="s">
        <v>42</v>
      </c>
      <c r="C2031" t="s">
        <v>17</v>
      </c>
      <c r="D2031" t="s">
        <v>23</v>
      </c>
      <c r="E2031" t="s">
        <v>29</v>
      </c>
      <c r="F2031">
        <v>15</v>
      </c>
      <c r="G2031">
        <v>23</v>
      </c>
      <c r="H2031">
        <v>12</v>
      </c>
      <c r="I2031">
        <v>26</v>
      </c>
      <c r="J2031">
        <v>24</v>
      </c>
      <c r="K2031">
        <v>23453</v>
      </c>
      <c r="L2031">
        <v>609778</v>
      </c>
      <c r="M2031">
        <f>Inventory_Data[[#This Row],[Opening Stock]]+Inventory_Data[[#This Row],[Purchase Qty]]-Inventory_Data[[#This Row],[Sales Qty]]-Inventory_Data[[#This Row],[Closing Stock]]</f>
        <v>0</v>
      </c>
      <c r="N2031">
        <f>Inventory_Data[[#This Row],[Purchase Qty]]*Inventory_Data[[#This Row],[Unit Cost]]</f>
        <v>539419</v>
      </c>
      <c r="O2031" t="str">
        <f>IF(Inventory_Data[[#This Row],[Closing Stock]]&lt;=Inventory_Data[[#This Row],[Reorder Level]],"Low Stock","In Stock")</f>
        <v>In Stock</v>
      </c>
      <c r="P2031" t="str">
        <f>TEXT(Inventory_Data[[#This Row],[Date]],"MMM")</f>
        <v>Mar</v>
      </c>
      <c r="Q2031" t="str">
        <f>TEXT(Inventory_Data[[#This Row],[Date]],"YYYY")</f>
        <v>2026</v>
      </c>
    </row>
    <row r="2032" spans="1:17" x14ac:dyDescent="0.3">
      <c r="A2032" s="1">
        <v>46091</v>
      </c>
      <c r="B2032" t="s">
        <v>31</v>
      </c>
      <c r="C2032" t="s">
        <v>22</v>
      </c>
      <c r="D2032" t="s">
        <v>26</v>
      </c>
      <c r="E2032" t="s">
        <v>15</v>
      </c>
      <c r="F2032">
        <v>161</v>
      </c>
      <c r="G2032">
        <v>88</v>
      </c>
      <c r="H2032">
        <v>52</v>
      </c>
      <c r="I2032">
        <v>197</v>
      </c>
      <c r="J2032">
        <v>61</v>
      </c>
      <c r="K2032">
        <v>226</v>
      </c>
      <c r="L2032">
        <v>44522</v>
      </c>
      <c r="M2032">
        <f>Inventory_Data[[#This Row],[Opening Stock]]+Inventory_Data[[#This Row],[Purchase Qty]]-Inventory_Data[[#This Row],[Sales Qty]]-Inventory_Data[[#This Row],[Closing Stock]]</f>
        <v>0</v>
      </c>
      <c r="N2032">
        <f>Inventory_Data[[#This Row],[Purchase Qty]]*Inventory_Data[[#This Row],[Unit Cost]]</f>
        <v>19888</v>
      </c>
      <c r="O2032" t="str">
        <f>IF(Inventory_Data[[#This Row],[Closing Stock]]&lt;=Inventory_Data[[#This Row],[Reorder Level]],"Low Stock","In Stock")</f>
        <v>In Stock</v>
      </c>
      <c r="P2032" t="str">
        <f>TEXT(Inventory_Data[[#This Row],[Date]],"MMM")</f>
        <v>Mar</v>
      </c>
      <c r="Q2032" t="str">
        <f>TEXT(Inventory_Data[[#This Row],[Date]],"YYYY")</f>
        <v>2026</v>
      </c>
    </row>
    <row r="2033" spans="1:17" x14ac:dyDescent="0.3">
      <c r="A2033" s="1">
        <v>46091</v>
      </c>
      <c r="B2033" t="s">
        <v>27</v>
      </c>
      <c r="C2033" t="s">
        <v>28</v>
      </c>
      <c r="D2033" t="s">
        <v>14</v>
      </c>
      <c r="E2033" t="s">
        <v>20</v>
      </c>
      <c r="F2033">
        <v>88</v>
      </c>
      <c r="G2033">
        <v>39</v>
      </c>
      <c r="H2033">
        <v>92</v>
      </c>
      <c r="I2033">
        <v>35</v>
      </c>
      <c r="J2033">
        <v>22</v>
      </c>
      <c r="K2033">
        <v>34010</v>
      </c>
      <c r="L2033">
        <v>1190350</v>
      </c>
      <c r="M2033">
        <f>Inventory_Data[[#This Row],[Opening Stock]]+Inventory_Data[[#This Row],[Purchase Qty]]-Inventory_Data[[#This Row],[Sales Qty]]-Inventory_Data[[#This Row],[Closing Stock]]</f>
        <v>0</v>
      </c>
      <c r="N2033">
        <f>Inventory_Data[[#This Row],[Purchase Qty]]*Inventory_Data[[#This Row],[Unit Cost]]</f>
        <v>1326390</v>
      </c>
      <c r="O2033" t="str">
        <f>IF(Inventory_Data[[#This Row],[Closing Stock]]&lt;=Inventory_Data[[#This Row],[Reorder Level]],"Low Stock","In Stock")</f>
        <v>In Stock</v>
      </c>
      <c r="P2033" t="str">
        <f>TEXT(Inventory_Data[[#This Row],[Date]],"MMM")</f>
        <v>Mar</v>
      </c>
      <c r="Q2033" t="str">
        <f>TEXT(Inventory_Data[[#This Row],[Date]],"YYYY")</f>
        <v>2026</v>
      </c>
    </row>
    <row r="2034" spans="1:17" x14ac:dyDescent="0.3">
      <c r="A2034" s="1">
        <v>46092</v>
      </c>
      <c r="B2034" t="s">
        <v>25</v>
      </c>
      <c r="C2034" t="s">
        <v>17</v>
      </c>
      <c r="D2034" t="s">
        <v>37</v>
      </c>
      <c r="E2034" t="s">
        <v>24</v>
      </c>
      <c r="F2034">
        <v>28</v>
      </c>
      <c r="G2034">
        <v>16</v>
      </c>
      <c r="H2034">
        <v>23</v>
      </c>
      <c r="I2034">
        <v>21</v>
      </c>
      <c r="J2034">
        <v>23</v>
      </c>
      <c r="K2034">
        <v>20928</v>
      </c>
      <c r="L2034">
        <v>439488</v>
      </c>
      <c r="M2034">
        <f>Inventory_Data[[#This Row],[Opening Stock]]+Inventory_Data[[#This Row],[Purchase Qty]]-Inventory_Data[[#This Row],[Sales Qty]]-Inventory_Data[[#This Row],[Closing Stock]]</f>
        <v>0</v>
      </c>
      <c r="N2034">
        <f>Inventory_Data[[#This Row],[Purchase Qty]]*Inventory_Data[[#This Row],[Unit Cost]]</f>
        <v>334848</v>
      </c>
      <c r="O2034" t="str">
        <f>IF(Inventory_Data[[#This Row],[Closing Stock]]&lt;=Inventory_Data[[#This Row],[Reorder Level]],"Low Stock","In Stock")</f>
        <v>Low Stock</v>
      </c>
      <c r="P2034" t="str">
        <f>TEXT(Inventory_Data[[#This Row],[Date]],"MMM")</f>
        <v>Mar</v>
      </c>
      <c r="Q2034" t="str">
        <f>TEXT(Inventory_Data[[#This Row],[Date]],"YYYY")</f>
        <v>2026</v>
      </c>
    </row>
    <row r="2035" spans="1:17" x14ac:dyDescent="0.3">
      <c r="A2035" s="1">
        <v>46092</v>
      </c>
      <c r="B2035" t="s">
        <v>35</v>
      </c>
      <c r="C2035" t="s">
        <v>22</v>
      </c>
      <c r="D2035" t="s">
        <v>37</v>
      </c>
      <c r="E2035" t="s">
        <v>34</v>
      </c>
      <c r="F2035">
        <v>222</v>
      </c>
      <c r="G2035">
        <v>162</v>
      </c>
      <c r="H2035">
        <v>127</v>
      </c>
      <c r="I2035">
        <v>257</v>
      </c>
      <c r="J2035">
        <v>68</v>
      </c>
      <c r="K2035">
        <v>855</v>
      </c>
      <c r="L2035">
        <v>219735</v>
      </c>
      <c r="M2035">
        <f>Inventory_Data[[#This Row],[Opening Stock]]+Inventory_Data[[#This Row],[Purchase Qty]]-Inventory_Data[[#This Row],[Sales Qty]]-Inventory_Data[[#This Row],[Closing Stock]]</f>
        <v>0</v>
      </c>
      <c r="N2035">
        <f>Inventory_Data[[#This Row],[Purchase Qty]]*Inventory_Data[[#This Row],[Unit Cost]]</f>
        <v>138510</v>
      </c>
      <c r="O2035" t="str">
        <f>IF(Inventory_Data[[#This Row],[Closing Stock]]&lt;=Inventory_Data[[#This Row],[Reorder Level]],"Low Stock","In Stock")</f>
        <v>In Stock</v>
      </c>
      <c r="P2035" t="str">
        <f>TEXT(Inventory_Data[[#This Row],[Date]],"MMM")</f>
        <v>Mar</v>
      </c>
      <c r="Q2035" t="str">
        <f>TEXT(Inventory_Data[[#This Row],[Date]],"YYYY")</f>
        <v>2026</v>
      </c>
    </row>
    <row r="2036" spans="1:17" x14ac:dyDescent="0.3">
      <c r="A2036" s="1">
        <v>46092</v>
      </c>
      <c r="B2036" t="s">
        <v>21</v>
      </c>
      <c r="C2036" t="s">
        <v>22</v>
      </c>
      <c r="D2036" t="s">
        <v>23</v>
      </c>
      <c r="E2036" t="s">
        <v>18</v>
      </c>
      <c r="F2036">
        <v>375</v>
      </c>
      <c r="G2036">
        <v>165</v>
      </c>
      <c r="H2036">
        <v>205</v>
      </c>
      <c r="I2036">
        <v>335</v>
      </c>
      <c r="J2036">
        <v>138</v>
      </c>
      <c r="K2036">
        <v>152</v>
      </c>
      <c r="L2036">
        <v>50920</v>
      </c>
      <c r="M2036">
        <f>Inventory_Data[[#This Row],[Opening Stock]]+Inventory_Data[[#This Row],[Purchase Qty]]-Inventory_Data[[#This Row],[Sales Qty]]-Inventory_Data[[#This Row],[Closing Stock]]</f>
        <v>0</v>
      </c>
      <c r="N2036">
        <f>Inventory_Data[[#This Row],[Purchase Qty]]*Inventory_Data[[#This Row],[Unit Cost]]</f>
        <v>25080</v>
      </c>
      <c r="O2036" t="str">
        <f>IF(Inventory_Data[[#This Row],[Closing Stock]]&lt;=Inventory_Data[[#This Row],[Reorder Level]],"Low Stock","In Stock")</f>
        <v>In Stock</v>
      </c>
      <c r="P2036" t="str">
        <f>TEXT(Inventory_Data[[#This Row],[Date]],"MMM")</f>
        <v>Mar</v>
      </c>
      <c r="Q2036" t="str">
        <f>TEXT(Inventory_Data[[#This Row],[Date]],"YYYY")</f>
        <v>2026</v>
      </c>
    </row>
    <row r="2037" spans="1:17" x14ac:dyDescent="0.3">
      <c r="A2037" s="1">
        <v>46092</v>
      </c>
      <c r="B2037" t="s">
        <v>39</v>
      </c>
      <c r="C2037" t="s">
        <v>28</v>
      </c>
      <c r="D2037" t="s">
        <v>37</v>
      </c>
      <c r="E2037" t="s">
        <v>34</v>
      </c>
      <c r="F2037">
        <v>132</v>
      </c>
      <c r="G2037">
        <v>33</v>
      </c>
      <c r="H2037">
        <v>17</v>
      </c>
      <c r="I2037">
        <v>148</v>
      </c>
      <c r="J2037">
        <v>46</v>
      </c>
      <c r="K2037">
        <v>31164</v>
      </c>
      <c r="L2037">
        <v>4612272</v>
      </c>
      <c r="M2037">
        <f>Inventory_Data[[#This Row],[Opening Stock]]+Inventory_Data[[#This Row],[Purchase Qty]]-Inventory_Data[[#This Row],[Sales Qty]]-Inventory_Data[[#This Row],[Closing Stock]]</f>
        <v>0</v>
      </c>
      <c r="N2037">
        <f>Inventory_Data[[#This Row],[Purchase Qty]]*Inventory_Data[[#This Row],[Unit Cost]]</f>
        <v>1028412</v>
      </c>
      <c r="O2037" t="str">
        <f>IF(Inventory_Data[[#This Row],[Closing Stock]]&lt;=Inventory_Data[[#This Row],[Reorder Level]],"Low Stock","In Stock")</f>
        <v>In Stock</v>
      </c>
      <c r="P2037" t="str">
        <f>TEXT(Inventory_Data[[#This Row],[Date]],"MMM")</f>
        <v>Mar</v>
      </c>
      <c r="Q2037" t="str">
        <f>TEXT(Inventory_Data[[#This Row],[Date]],"YYYY")</f>
        <v>2026</v>
      </c>
    </row>
    <row r="2038" spans="1:17" x14ac:dyDescent="0.3">
      <c r="A2038" s="1">
        <v>46092</v>
      </c>
      <c r="B2038" t="s">
        <v>35</v>
      </c>
      <c r="C2038" t="s">
        <v>22</v>
      </c>
      <c r="D2038" t="s">
        <v>26</v>
      </c>
      <c r="E2038" t="s">
        <v>24</v>
      </c>
      <c r="F2038">
        <v>322</v>
      </c>
      <c r="G2038">
        <v>128</v>
      </c>
      <c r="H2038">
        <v>261</v>
      </c>
      <c r="I2038">
        <v>189</v>
      </c>
      <c r="J2038">
        <v>135</v>
      </c>
      <c r="K2038">
        <v>123</v>
      </c>
      <c r="L2038">
        <v>23247</v>
      </c>
      <c r="M2038">
        <f>Inventory_Data[[#This Row],[Opening Stock]]+Inventory_Data[[#This Row],[Purchase Qty]]-Inventory_Data[[#This Row],[Sales Qty]]-Inventory_Data[[#This Row],[Closing Stock]]</f>
        <v>0</v>
      </c>
      <c r="N2038">
        <f>Inventory_Data[[#This Row],[Purchase Qty]]*Inventory_Data[[#This Row],[Unit Cost]]</f>
        <v>15744</v>
      </c>
      <c r="O2038" t="str">
        <f>IF(Inventory_Data[[#This Row],[Closing Stock]]&lt;=Inventory_Data[[#This Row],[Reorder Level]],"Low Stock","In Stock")</f>
        <v>In Stock</v>
      </c>
      <c r="P2038" t="str">
        <f>TEXT(Inventory_Data[[#This Row],[Date]],"MMM")</f>
        <v>Mar</v>
      </c>
      <c r="Q2038" t="str">
        <f>TEXT(Inventory_Data[[#This Row],[Date]],"YYYY")</f>
        <v>2026</v>
      </c>
    </row>
    <row r="2039" spans="1:17" x14ac:dyDescent="0.3">
      <c r="A2039" s="1">
        <v>46092</v>
      </c>
      <c r="B2039" t="s">
        <v>30</v>
      </c>
      <c r="C2039" t="s">
        <v>28</v>
      </c>
      <c r="D2039" t="s">
        <v>23</v>
      </c>
      <c r="E2039" t="s">
        <v>34</v>
      </c>
      <c r="F2039">
        <v>105</v>
      </c>
      <c r="G2039">
        <v>66</v>
      </c>
      <c r="H2039">
        <v>33</v>
      </c>
      <c r="I2039">
        <v>138</v>
      </c>
      <c r="J2039">
        <v>47</v>
      </c>
      <c r="K2039">
        <v>62189</v>
      </c>
      <c r="L2039">
        <v>8582082</v>
      </c>
      <c r="M2039">
        <f>Inventory_Data[[#This Row],[Opening Stock]]+Inventory_Data[[#This Row],[Purchase Qty]]-Inventory_Data[[#This Row],[Sales Qty]]-Inventory_Data[[#This Row],[Closing Stock]]</f>
        <v>0</v>
      </c>
      <c r="N2039">
        <f>Inventory_Data[[#This Row],[Purchase Qty]]*Inventory_Data[[#This Row],[Unit Cost]]</f>
        <v>4104474</v>
      </c>
      <c r="O2039" t="str">
        <f>IF(Inventory_Data[[#This Row],[Closing Stock]]&lt;=Inventory_Data[[#This Row],[Reorder Level]],"Low Stock","In Stock")</f>
        <v>In Stock</v>
      </c>
      <c r="P2039" t="str">
        <f>TEXT(Inventory_Data[[#This Row],[Date]],"MMM")</f>
        <v>Mar</v>
      </c>
      <c r="Q2039" t="str">
        <f>TEXT(Inventory_Data[[#This Row],[Date]],"YYYY")</f>
        <v>2026</v>
      </c>
    </row>
    <row r="2040" spans="1:17" x14ac:dyDescent="0.3">
      <c r="A2040" s="1">
        <v>46093</v>
      </c>
      <c r="B2040" t="s">
        <v>43</v>
      </c>
      <c r="C2040" t="s">
        <v>22</v>
      </c>
      <c r="D2040" t="s">
        <v>23</v>
      </c>
      <c r="E2040" t="s">
        <v>34</v>
      </c>
      <c r="F2040">
        <v>291</v>
      </c>
      <c r="G2040">
        <v>172</v>
      </c>
      <c r="H2040">
        <v>59</v>
      </c>
      <c r="I2040">
        <v>404</v>
      </c>
      <c r="J2040">
        <v>82</v>
      </c>
      <c r="K2040">
        <v>281</v>
      </c>
      <c r="L2040">
        <v>113524</v>
      </c>
      <c r="M2040">
        <f>Inventory_Data[[#This Row],[Opening Stock]]+Inventory_Data[[#This Row],[Purchase Qty]]-Inventory_Data[[#This Row],[Sales Qty]]-Inventory_Data[[#This Row],[Closing Stock]]</f>
        <v>0</v>
      </c>
      <c r="N2040">
        <f>Inventory_Data[[#This Row],[Purchase Qty]]*Inventory_Data[[#This Row],[Unit Cost]]</f>
        <v>48332</v>
      </c>
      <c r="O2040" t="str">
        <f>IF(Inventory_Data[[#This Row],[Closing Stock]]&lt;=Inventory_Data[[#This Row],[Reorder Level]],"Low Stock","In Stock")</f>
        <v>In Stock</v>
      </c>
      <c r="P2040" t="str">
        <f>TEXT(Inventory_Data[[#This Row],[Date]],"MMM")</f>
        <v>Mar</v>
      </c>
      <c r="Q2040" t="str">
        <f>TEXT(Inventory_Data[[#This Row],[Date]],"YYYY")</f>
        <v>2026</v>
      </c>
    </row>
    <row r="2041" spans="1:17" x14ac:dyDescent="0.3">
      <c r="A2041" s="1">
        <v>46093</v>
      </c>
      <c r="B2041" t="s">
        <v>19</v>
      </c>
      <c r="C2041" t="s">
        <v>13</v>
      </c>
      <c r="D2041" t="s">
        <v>37</v>
      </c>
      <c r="E2041" t="s">
        <v>24</v>
      </c>
      <c r="F2041">
        <v>82</v>
      </c>
      <c r="G2041">
        <v>30</v>
      </c>
      <c r="H2041">
        <v>13</v>
      </c>
      <c r="I2041">
        <v>99</v>
      </c>
      <c r="J2041">
        <v>28</v>
      </c>
      <c r="K2041">
        <v>2237</v>
      </c>
      <c r="L2041">
        <v>221463</v>
      </c>
      <c r="M2041">
        <f>Inventory_Data[[#This Row],[Opening Stock]]+Inventory_Data[[#This Row],[Purchase Qty]]-Inventory_Data[[#This Row],[Sales Qty]]-Inventory_Data[[#This Row],[Closing Stock]]</f>
        <v>0</v>
      </c>
      <c r="N2041">
        <f>Inventory_Data[[#This Row],[Purchase Qty]]*Inventory_Data[[#This Row],[Unit Cost]]</f>
        <v>67110</v>
      </c>
      <c r="O2041" t="str">
        <f>IF(Inventory_Data[[#This Row],[Closing Stock]]&lt;=Inventory_Data[[#This Row],[Reorder Level]],"Low Stock","In Stock")</f>
        <v>In Stock</v>
      </c>
      <c r="P2041" t="str">
        <f>TEXT(Inventory_Data[[#This Row],[Date]],"MMM")</f>
        <v>Mar</v>
      </c>
      <c r="Q2041" t="str">
        <f>TEXT(Inventory_Data[[#This Row],[Date]],"YYYY")</f>
        <v>2026</v>
      </c>
    </row>
    <row r="2042" spans="1:17" x14ac:dyDescent="0.3">
      <c r="A2042" s="1">
        <v>46093</v>
      </c>
      <c r="B2042" t="s">
        <v>40</v>
      </c>
      <c r="C2042" t="s">
        <v>28</v>
      </c>
      <c r="D2042" t="s">
        <v>23</v>
      </c>
      <c r="E2042" t="s">
        <v>24</v>
      </c>
      <c r="F2042">
        <v>165</v>
      </c>
      <c r="G2042">
        <v>100</v>
      </c>
      <c r="H2042">
        <v>86</v>
      </c>
      <c r="I2042">
        <v>179</v>
      </c>
      <c r="J2042">
        <v>51</v>
      </c>
      <c r="K2042">
        <v>34943</v>
      </c>
      <c r="L2042">
        <v>6254797</v>
      </c>
      <c r="M2042">
        <f>Inventory_Data[[#This Row],[Opening Stock]]+Inventory_Data[[#This Row],[Purchase Qty]]-Inventory_Data[[#This Row],[Sales Qty]]-Inventory_Data[[#This Row],[Closing Stock]]</f>
        <v>0</v>
      </c>
      <c r="N2042">
        <f>Inventory_Data[[#This Row],[Purchase Qty]]*Inventory_Data[[#This Row],[Unit Cost]]</f>
        <v>3494300</v>
      </c>
      <c r="O2042" t="str">
        <f>IF(Inventory_Data[[#This Row],[Closing Stock]]&lt;=Inventory_Data[[#This Row],[Reorder Level]],"Low Stock","In Stock")</f>
        <v>In Stock</v>
      </c>
      <c r="P2042" t="str">
        <f>TEXT(Inventory_Data[[#This Row],[Date]],"MMM")</f>
        <v>Mar</v>
      </c>
      <c r="Q2042" t="str">
        <f>TEXT(Inventory_Data[[#This Row],[Date]],"YYYY")</f>
        <v>2026</v>
      </c>
    </row>
    <row r="2043" spans="1:17" x14ac:dyDescent="0.3">
      <c r="A2043" s="1">
        <v>46093</v>
      </c>
      <c r="B2043" t="s">
        <v>31</v>
      </c>
      <c r="C2043" t="s">
        <v>22</v>
      </c>
      <c r="D2043" t="s">
        <v>23</v>
      </c>
      <c r="E2043" t="s">
        <v>24</v>
      </c>
      <c r="F2043">
        <v>353</v>
      </c>
      <c r="G2043">
        <v>245</v>
      </c>
      <c r="H2043">
        <v>184</v>
      </c>
      <c r="I2043">
        <v>414</v>
      </c>
      <c r="J2043">
        <v>122</v>
      </c>
      <c r="K2043">
        <v>847</v>
      </c>
      <c r="L2043">
        <v>350658</v>
      </c>
      <c r="M2043">
        <f>Inventory_Data[[#This Row],[Opening Stock]]+Inventory_Data[[#This Row],[Purchase Qty]]-Inventory_Data[[#This Row],[Sales Qty]]-Inventory_Data[[#This Row],[Closing Stock]]</f>
        <v>0</v>
      </c>
      <c r="N2043">
        <f>Inventory_Data[[#This Row],[Purchase Qty]]*Inventory_Data[[#This Row],[Unit Cost]]</f>
        <v>207515</v>
      </c>
      <c r="O2043" t="str">
        <f>IF(Inventory_Data[[#This Row],[Closing Stock]]&lt;=Inventory_Data[[#This Row],[Reorder Level]],"Low Stock","In Stock")</f>
        <v>In Stock</v>
      </c>
      <c r="P2043" t="str">
        <f>TEXT(Inventory_Data[[#This Row],[Date]],"MMM")</f>
        <v>Mar</v>
      </c>
      <c r="Q2043" t="str">
        <f>TEXT(Inventory_Data[[#This Row],[Date]],"YYYY")</f>
        <v>2026</v>
      </c>
    </row>
    <row r="2044" spans="1:17" x14ac:dyDescent="0.3">
      <c r="A2044" s="1">
        <v>46093</v>
      </c>
      <c r="B2044" t="s">
        <v>25</v>
      </c>
      <c r="C2044" t="s">
        <v>17</v>
      </c>
      <c r="D2044" t="s">
        <v>23</v>
      </c>
      <c r="E2044" t="s">
        <v>24</v>
      </c>
      <c r="F2044">
        <v>32</v>
      </c>
      <c r="G2044">
        <v>29</v>
      </c>
      <c r="H2044">
        <v>44</v>
      </c>
      <c r="I2044">
        <v>17</v>
      </c>
      <c r="J2044">
        <v>28</v>
      </c>
      <c r="K2044">
        <v>8352</v>
      </c>
      <c r="L2044">
        <v>141984</v>
      </c>
      <c r="M2044">
        <f>Inventory_Data[[#This Row],[Opening Stock]]+Inventory_Data[[#This Row],[Purchase Qty]]-Inventory_Data[[#This Row],[Sales Qty]]-Inventory_Data[[#This Row],[Closing Stock]]</f>
        <v>0</v>
      </c>
      <c r="N2044">
        <f>Inventory_Data[[#This Row],[Purchase Qty]]*Inventory_Data[[#This Row],[Unit Cost]]</f>
        <v>242208</v>
      </c>
      <c r="O2044" t="str">
        <f>IF(Inventory_Data[[#This Row],[Closing Stock]]&lt;=Inventory_Data[[#This Row],[Reorder Level]],"Low Stock","In Stock")</f>
        <v>Low Stock</v>
      </c>
      <c r="P2044" t="str">
        <f>TEXT(Inventory_Data[[#This Row],[Date]],"MMM")</f>
        <v>Mar</v>
      </c>
      <c r="Q2044" t="str">
        <f>TEXT(Inventory_Data[[#This Row],[Date]],"YYYY")</f>
        <v>2026</v>
      </c>
    </row>
    <row r="2045" spans="1:17" x14ac:dyDescent="0.3">
      <c r="A2045" s="1">
        <v>46093</v>
      </c>
      <c r="B2045" t="s">
        <v>43</v>
      </c>
      <c r="C2045" t="s">
        <v>22</v>
      </c>
      <c r="D2045" t="s">
        <v>37</v>
      </c>
      <c r="E2045" t="s">
        <v>20</v>
      </c>
      <c r="F2045">
        <v>456</v>
      </c>
      <c r="G2045">
        <v>78</v>
      </c>
      <c r="H2045">
        <v>81</v>
      </c>
      <c r="I2045">
        <v>453</v>
      </c>
      <c r="J2045">
        <v>126</v>
      </c>
      <c r="K2045">
        <v>241</v>
      </c>
      <c r="L2045">
        <v>109173</v>
      </c>
      <c r="M2045">
        <f>Inventory_Data[[#This Row],[Opening Stock]]+Inventory_Data[[#This Row],[Purchase Qty]]-Inventory_Data[[#This Row],[Sales Qty]]-Inventory_Data[[#This Row],[Closing Stock]]</f>
        <v>0</v>
      </c>
      <c r="N2045">
        <f>Inventory_Data[[#This Row],[Purchase Qty]]*Inventory_Data[[#This Row],[Unit Cost]]</f>
        <v>18798</v>
      </c>
      <c r="O2045" t="str">
        <f>IF(Inventory_Data[[#This Row],[Closing Stock]]&lt;=Inventory_Data[[#This Row],[Reorder Level]],"Low Stock","In Stock")</f>
        <v>In Stock</v>
      </c>
      <c r="P2045" t="str">
        <f>TEXT(Inventory_Data[[#This Row],[Date]],"MMM")</f>
        <v>Mar</v>
      </c>
      <c r="Q2045" t="str">
        <f>TEXT(Inventory_Data[[#This Row],[Date]],"YYYY")</f>
        <v>2026</v>
      </c>
    </row>
    <row r="2046" spans="1:17" x14ac:dyDescent="0.3">
      <c r="A2046" s="1">
        <v>46094</v>
      </c>
      <c r="B2046" t="s">
        <v>12</v>
      </c>
      <c r="C2046" t="s">
        <v>13</v>
      </c>
      <c r="D2046" t="s">
        <v>14</v>
      </c>
      <c r="E2046" t="s">
        <v>20</v>
      </c>
      <c r="F2046">
        <v>37</v>
      </c>
      <c r="G2046">
        <v>57</v>
      </c>
      <c r="H2046">
        <v>39</v>
      </c>
      <c r="I2046">
        <v>55</v>
      </c>
      <c r="J2046">
        <v>24</v>
      </c>
      <c r="K2046">
        <v>5509</v>
      </c>
      <c r="L2046">
        <v>302995</v>
      </c>
      <c r="M2046">
        <f>Inventory_Data[[#This Row],[Opening Stock]]+Inventory_Data[[#This Row],[Purchase Qty]]-Inventory_Data[[#This Row],[Sales Qty]]-Inventory_Data[[#This Row],[Closing Stock]]</f>
        <v>0</v>
      </c>
      <c r="N2046">
        <f>Inventory_Data[[#This Row],[Purchase Qty]]*Inventory_Data[[#This Row],[Unit Cost]]</f>
        <v>314013</v>
      </c>
      <c r="O2046" t="str">
        <f>IF(Inventory_Data[[#This Row],[Closing Stock]]&lt;=Inventory_Data[[#This Row],[Reorder Level]],"Low Stock","In Stock")</f>
        <v>In Stock</v>
      </c>
      <c r="P2046" t="str">
        <f>TEXT(Inventory_Data[[#This Row],[Date]],"MMM")</f>
        <v>Mar</v>
      </c>
      <c r="Q2046" t="str">
        <f>TEXT(Inventory_Data[[#This Row],[Date]],"YYYY")</f>
        <v>2026</v>
      </c>
    </row>
    <row r="2047" spans="1:17" x14ac:dyDescent="0.3">
      <c r="A2047" s="1">
        <v>46094</v>
      </c>
      <c r="B2047" t="s">
        <v>35</v>
      </c>
      <c r="C2047" t="s">
        <v>22</v>
      </c>
      <c r="D2047" t="s">
        <v>26</v>
      </c>
      <c r="E2047" t="s">
        <v>18</v>
      </c>
      <c r="F2047">
        <v>368</v>
      </c>
      <c r="G2047">
        <v>189</v>
      </c>
      <c r="H2047">
        <v>47</v>
      </c>
      <c r="I2047">
        <v>510</v>
      </c>
      <c r="J2047">
        <v>78</v>
      </c>
      <c r="K2047">
        <v>839</v>
      </c>
      <c r="L2047">
        <v>427890</v>
      </c>
      <c r="M2047">
        <f>Inventory_Data[[#This Row],[Opening Stock]]+Inventory_Data[[#This Row],[Purchase Qty]]-Inventory_Data[[#This Row],[Sales Qty]]-Inventory_Data[[#This Row],[Closing Stock]]</f>
        <v>0</v>
      </c>
      <c r="N2047">
        <f>Inventory_Data[[#This Row],[Purchase Qty]]*Inventory_Data[[#This Row],[Unit Cost]]</f>
        <v>158571</v>
      </c>
      <c r="O2047" t="str">
        <f>IF(Inventory_Data[[#This Row],[Closing Stock]]&lt;=Inventory_Data[[#This Row],[Reorder Level]],"Low Stock","In Stock")</f>
        <v>In Stock</v>
      </c>
      <c r="P2047" t="str">
        <f>TEXT(Inventory_Data[[#This Row],[Date]],"MMM")</f>
        <v>Mar</v>
      </c>
      <c r="Q2047" t="str">
        <f>TEXT(Inventory_Data[[#This Row],[Date]],"YYYY")</f>
        <v>2026</v>
      </c>
    </row>
    <row r="2048" spans="1:17" x14ac:dyDescent="0.3">
      <c r="A2048" s="1">
        <v>46094</v>
      </c>
      <c r="B2048" t="s">
        <v>25</v>
      </c>
      <c r="C2048" t="s">
        <v>17</v>
      </c>
      <c r="D2048" t="s">
        <v>37</v>
      </c>
      <c r="E2048" t="s">
        <v>20</v>
      </c>
      <c r="F2048">
        <v>71</v>
      </c>
      <c r="G2048">
        <v>52</v>
      </c>
      <c r="H2048">
        <v>31</v>
      </c>
      <c r="I2048">
        <v>92</v>
      </c>
      <c r="J2048">
        <v>24</v>
      </c>
      <c r="K2048">
        <v>8917</v>
      </c>
      <c r="L2048">
        <v>820364</v>
      </c>
      <c r="M2048">
        <f>Inventory_Data[[#This Row],[Opening Stock]]+Inventory_Data[[#This Row],[Purchase Qty]]-Inventory_Data[[#This Row],[Sales Qty]]-Inventory_Data[[#This Row],[Closing Stock]]</f>
        <v>0</v>
      </c>
      <c r="N2048">
        <f>Inventory_Data[[#This Row],[Purchase Qty]]*Inventory_Data[[#This Row],[Unit Cost]]</f>
        <v>463684</v>
      </c>
      <c r="O2048" t="str">
        <f>IF(Inventory_Data[[#This Row],[Closing Stock]]&lt;=Inventory_Data[[#This Row],[Reorder Level]],"Low Stock","In Stock")</f>
        <v>In Stock</v>
      </c>
      <c r="P2048" t="str">
        <f>TEXT(Inventory_Data[[#This Row],[Date]],"MMM")</f>
        <v>Mar</v>
      </c>
      <c r="Q2048" t="str">
        <f>TEXT(Inventory_Data[[#This Row],[Date]],"YYYY")</f>
        <v>2026</v>
      </c>
    </row>
    <row r="2049" spans="1:17" x14ac:dyDescent="0.3">
      <c r="A2049" s="1">
        <v>46094</v>
      </c>
      <c r="B2049" t="s">
        <v>19</v>
      </c>
      <c r="C2049" t="s">
        <v>13</v>
      </c>
      <c r="D2049" t="s">
        <v>26</v>
      </c>
      <c r="E2049" t="s">
        <v>34</v>
      </c>
      <c r="F2049">
        <v>78</v>
      </c>
      <c r="G2049">
        <v>27</v>
      </c>
      <c r="H2049">
        <v>47</v>
      </c>
      <c r="I2049">
        <v>58</v>
      </c>
      <c r="J2049">
        <v>31</v>
      </c>
      <c r="K2049">
        <v>9814</v>
      </c>
      <c r="L2049">
        <v>569212</v>
      </c>
      <c r="M2049">
        <f>Inventory_Data[[#This Row],[Opening Stock]]+Inventory_Data[[#This Row],[Purchase Qty]]-Inventory_Data[[#This Row],[Sales Qty]]-Inventory_Data[[#This Row],[Closing Stock]]</f>
        <v>0</v>
      </c>
      <c r="N2049">
        <f>Inventory_Data[[#This Row],[Purchase Qty]]*Inventory_Data[[#This Row],[Unit Cost]]</f>
        <v>264978</v>
      </c>
      <c r="O2049" t="str">
        <f>IF(Inventory_Data[[#This Row],[Closing Stock]]&lt;=Inventory_Data[[#This Row],[Reorder Level]],"Low Stock","In Stock")</f>
        <v>In Stock</v>
      </c>
      <c r="P2049" t="str">
        <f>TEXT(Inventory_Data[[#This Row],[Date]],"MMM")</f>
        <v>Mar</v>
      </c>
      <c r="Q2049" t="str">
        <f>TEXT(Inventory_Data[[#This Row],[Date]],"YYYY")</f>
        <v>2026</v>
      </c>
    </row>
    <row r="2050" spans="1:17" x14ac:dyDescent="0.3">
      <c r="A2050" s="1">
        <v>46095</v>
      </c>
      <c r="B2050" t="s">
        <v>40</v>
      </c>
      <c r="C2050" t="s">
        <v>28</v>
      </c>
      <c r="D2050" t="s">
        <v>23</v>
      </c>
      <c r="E2050" t="s">
        <v>34</v>
      </c>
      <c r="F2050">
        <v>132</v>
      </c>
      <c r="G2050">
        <v>107</v>
      </c>
      <c r="H2050">
        <v>55</v>
      </c>
      <c r="I2050">
        <v>184</v>
      </c>
      <c r="J2050">
        <v>25</v>
      </c>
      <c r="K2050">
        <v>3155</v>
      </c>
      <c r="L2050">
        <v>580520</v>
      </c>
      <c r="M2050">
        <f>Inventory_Data[[#This Row],[Opening Stock]]+Inventory_Data[[#This Row],[Purchase Qty]]-Inventory_Data[[#This Row],[Sales Qty]]-Inventory_Data[[#This Row],[Closing Stock]]</f>
        <v>0</v>
      </c>
      <c r="N2050">
        <f>Inventory_Data[[#This Row],[Purchase Qty]]*Inventory_Data[[#This Row],[Unit Cost]]</f>
        <v>337585</v>
      </c>
      <c r="O2050" t="str">
        <f>IF(Inventory_Data[[#This Row],[Closing Stock]]&lt;=Inventory_Data[[#This Row],[Reorder Level]],"Low Stock","In Stock")</f>
        <v>In Stock</v>
      </c>
      <c r="P2050" t="str">
        <f>TEXT(Inventory_Data[[#This Row],[Date]],"MMM")</f>
        <v>Mar</v>
      </c>
      <c r="Q2050" t="str">
        <f>TEXT(Inventory_Data[[#This Row],[Date]],"YYYY")</f>
        <v>2026</v>
      </c>
    </row>
    <row r="2051" spans="1:17" x14ac:dyDescent="0.3">
      <c r="A2051" s="1">
        <v>46095</v>
      </c>
      <c r="B2051" t="s">
        <v>45</v>
      </c>
      <c r="C2051" t="s">
        <v>13</v>
      </c>
      <c r="D2051" t="s">
        <v>23</v>
      </c>
      <c r="E2051" t="s">
        <v>20</v>
      </c>
      <c r="F2051">
        <v>103</v>
      </c>
      <c r="G2051">
        <v>15</v>
      </c>
      <c r="H2051">
        <v>62</v>
      </c>
      <c r="I2051">
        <v>56</v>
      </c>
      <c r="J2051">
        <v>28</v>
      </c>
      <c r="K2051">
        <v>7167</v>
      </c>
      <c r="L2051">
        <v>401352</v>
      </c>
      <c r="M2051">
        <f>Inventory_Data[[#This Row],[Opening Stock]]+Inventory_Data[[#This Row],[Purchase Qty]]-Inventory_Data[[#This Row],[Sales Qty]]-Inventory_Data[[#This Row],[Closing Stock]]</f>
        <v>0</v>
      </c>
      <c r="N2051">
        <f>Inventory_Data[[#This Row],[Purchase Qty]]*Inventory_Data[[#This Row],[Unit Cost]]</f>
        <v>107505</v>
      </c>
      <c r="O2051" t="str">
        <f>IF(Inventory_Data[[#This Row],[Closing Stock]]&lt;=Inventory_Data[[#This Row],[Reorder Level]],"Low Stock","In Stock")</f>
        <v>In Stock</v>
      </c>
      <c r="P2051" t="str">
        <f>TEXT(Inventory_Data[[#This Row],[Date]],"MMM")</f>
        <v>Mar</v>
      </c>
      <c r="Q2051" t="str">
        <f>TEXT(Inventory_Data[[#This Row],[Date]],"YYYY")</f>
        <v>2026</v>
      </c>
    </row>
    <row r="2052" spans="1:17" x14ac:dyDescent="0.3">
      <c r="A2052" s="1">
        <v>46095</v>
      </c>
      <c r="B2052" t="s">
        <v>19</v>
      </c>
      <c r="C2052" t="s">
        <v>13</v>
      </c>
      <c r="D2052" t="s">
        <v>26</v>
      </c>
      <c r="E2052" t="s">
        <v>34</v>
      </c>
      <c r="F2052">
        <v>22</v>
      </c>
      <c r="G2052">
        <v>59</v>
      </c>
      <c r="H2052">
        <v>7</v>
      </c>
      <c r="I2052">
        <v>74</v>
      </c>
      <c r="J2052">
        <v>27</v>
      </c>
      <c r="K2052">
        <v>5991</v>
      </c>
      <c r="L2052">
        <v>443334</v>
      </c>
      <c r="M2052">
        <f>Inventory_Data[[#This Row],[Opening Stock]]+Inventory_Data[[#This Row],[Purchase Qty]]-Inventory_Data[[#This Row],[Sales Qty]]-Inventory_Data[[#This Row],[Closing Stock]]</f>
        <v>0</v>
      </c>
      <c r="N2052">
        <f>Inventory_Data[[#This Row],[Purchase Qty]]*Inventory_Data[[#This Row],[Unit Cost]]</f>
        <v>353469</v>
      </c>
      <c r="O2052" t="str">
        <f>IF(Inventory_Data[[#This Row],[Closing Stock]]&lt;=Inventory_Data[[#This Row],[Reorder Level]],"Low Stock","In Stock")</f>
        <v>In Stock</v>
      </c>
      <c r="P2052" t="str">
        <f>TEXT(Inventory_Data[[#This Row],[Date]],"MMM")</f>
        <v>Mar</v>
      </c>
      <c r="Q2052" t="str">
        <f>TEXT(Inventory_Data[[#This Row],[Date]],"YYYY")</f>
        <v>2026</v>
      </c>
    </row>
    <row r="2053" spans="1:17" x14ac:dyDescent="0.3">
      <c r="A2053" s="1">
        <v>46095</v>
      </c>
      <c r="B2053" t="s">
        <v>36</v>
      </c>
      <c r="C2053" t="s">
        <v>22</v>
      </c>
      <c r="D2053" t="s">
        <v>14</v>
      </c>
      <c r="E2053" t="s">
        <v>34</v>
      </c>
      <c r="F2053">
        <v>204</v>
      </c>
      <c r="G2053">
        <v>195</v>
      </c>
      <c r="H2053">
        <v>99</v>
      </c>
      <c r="I2053">
        <v>300</v>
      </c>
      <c r="J2053">
        <v>95</v>
      </c>
      <c r="K2053">
        <v>377</v>
      </c>
      <c r="L2053">
        <v>113100</v>
      </c>
      <c r="M2053">
        <f>Inventory_Data[[#This Row],[Opening Stock]]+Inventory_Data[[#This Row],[Purchase Qty]]-Inventory_Data[[#This Row],[Sales Qty]]-Inventory_Data[[#This Row],[Closing Stock]]</f>
        <v>0</v>
      </c>
      <c r="N2053">
        <f>Inventory_Data[[#This Row],[Purchase Qty]]*Inventory_Data[[#This Row],[Unit Cost]]</f>
        <v>73515</v>
      </c>
      <c r="O2053" t="str">
        <f>IF(Inventory_Data[[#This Row],[Closing Stock]]&lt;=Inventory_Data[[#This Row],[Reorder Level]],"Low Stock","In Stock")</f>
        <v>In Stock</v>
      </c>
      <c r="P2053" t="str">
        <f>TEXT(Inventory_Data[[#This Row],[Date]],"MMM")</f>
        <v>Mar</v>
      </c>
      <c r="Q2053" t="str">
        <f>TEXT(Inventory_Data[[#This Row],[Date]],"YYYY")</f>
        <v>2026</v>
      </c>
    </row>
    <row r="2054" spans="1:17" x14ac:dyDescent="0.3">
      <c r="A2054" s="1">
        <v>46095</v>
      </c>
      <c r="B2054" t="s">
        <v>40</v>
      </c>
      <c r="C2054" t="s">
        <v>28</v>
      </c>
      <c r="D2054" t="s">
        <v>23</v>
      </c>
      <c r="E2054" t="s">
        <v>20</v>
      </c>
      <c r="F2054">
        <v>126</v>
      </c>
      <c r="G2054">
        <v>27</v>
      </c>
      <c r="H2054">
        <v>40</v>
      </c>
      <c r="I2054">
        <v>113</v>
      </c>
      <c r="J2054">
        <v>28</v>
      </c>
      <c r="K2054">
        <v>36226</v>
      </c>
      <c r="L2054">
        <v>4093538</v>
      </c>
      <c r="M2054">
        <f>Inventory_Data[[#This Row],[Opening Stock]]+Inventory_Data[[#This Row],[Purchase Qty]]-Inventory_Data[[#This Row],[Sales Qty]]-Inventory_Data[[#This Row],[Closing Stock]]</f>
        <v>0</v>
      </c>
      <c r="N2054">
        <f>Inventory_Data[[#This Row],[Purchase Qty]]*Inventory_Data[[#This Row],[Unit Cost]]</f>
        <v>978102</v>
      </c>
      <c r="O2054" t="str">
        <f>IF(Inventory_Data[[#This Row],[Closing Stock]]&lt;=Inventory_Data[[#This Row],[Reorder Level]],"Low Stock","In Stock")</f>
        <v>In Stock</v>
      </c>
      <c r="P2054" t="str">
        <f>TEXT(Inventory_Data[[#This Row],[Date]],"MMM")</f>
        <v>Mar</v>
      </c>
      <c r="Q2054" t="str">
        <f>TEXT(Inventory_Data[[#This Row],[Date]],"YYYY")</f>
        <v>2026</v>
      </c>
    </row>
    <row r="2055" spans="1:17" x14ac:dyDescent="0.3">
      <c r="A2055" s="1">
        <v>46095</v>
      </c>
      <c r="B2055" t="s">
        <v>21</v>
      </c>
      <c r="C2055" t="s">
        <v>22</v>
      </c>
      <c r="D2055" t="s">
        <v>37</v>
      </c>
      <c r="E2055" t="s">
        <v>20</v>
      </c>
      <c r="F2055">
        <v>269</v>
      </c>
      <c r="G2055">
        <v>123</v>
      </c>
      <c r="H2055">
        <v>112</v>
      </c>
      <c r="I2055">
        <v>280</v>
      </c>
      <c r="J2055">
        <v>134</v>
      </c>
      <c r="K2055">
        <v>717</v>
      </c>
      <c r="L2055">
        <v>200760</v>
      </c>
      <c r="M2055">
        <f>Inventory_Data[[#This Row],[Opening Stock]]+Inventory_Data[[#This Row],[Purchase Qty]]-Inventory_Data[[#This Row],[Sales Qty]]-Inventory_Data[[#This Row],[Closing Stock]]</f>
        <v>0</v>
      </c>
      <c r="N2055">
        <f>Inventory_Data[[#This Row],[Purchase Qty]]*Inventory_Data[[#This Row],[Unit Cost]]</f>
        <v>88191</v>
      </c>
      <c r="O2055" t="str">
        <f>IF(Inventory_Data[[#This Row],[Closing Stock]]&lt;=Inventory_Data[[#This Row],[Reorder Level]],"Low Stock","In Stock")</f>
        <v>In Stock</v>
      </c>
      <c r="P2055" t="str">
        <f>TEXT(Inventory_Data[[#This Row],[Date]],"MMM")</f>
        <v>Mar</v>
      </c>
      <c r="Q2055" t="str">
        <f>TEXT(Inventory_Data[[#This Row],[Date]],"YYYY")</f>
        <v>2026</v>
      </c>
    </row>
    <row r="2056" spans="1:17" x14ac:dyDescent="0.3">
      <c r="A2056" s="1">
        <v>46095</v>
      </c>
      <c r="B2056" t="s">
        <v>21</v>
      </c>
      <c r="C2056" t="s">
        <v>22</v>
      </c>
      <c r="D2056" t="s">
        <v>26</v>
      </c>
      <c r="E2056" t="s">
        <v>20</v>
      </c>
      <c r="F2056">
        <v>75</v>
      </c>
      <c r="G2056">
        <v>104</v>
      </c>
      <c r="H2056">
        <v>159</v>
      </c>
      <c r="I2056">
        <v>20</v>
      </c>
      <c r="J2056">
        <v>57</v>
      </c>
      <c r="K2056">
        <v>679</v>
      </c>
      <c r="L2056">
        <v>13580</v>
      </c>
      <c r="M2056">
        <f>Inventory_Data[[#This Row],[Opening Stock]]+Inventory_Data[[#This Row],[Purchase Qty]]-Inventory_Data[[#This Row],[Sales Qty]]-Inventory_Data[[#This Row],[Closing Stock]]</f>
        <v>0</v>
      </c>
      <c r="N2056">
        <f>Inventory_Data[[#This Row],[Purchase Qty]]*Inventory_Data[[#This Row],[Unit Cost]]</f>
        <v>70616</v>
      </c>
      <c r="O2056" t="str">
        <f>IF(Inventory_Data[[#This Row],[Closing Stock]]&lt;=Inventory_Data[[#This Row],[Reorder Level]],"Low Stock","In Stock")</f>
        <v>Low Stock</v>
      </c>
      <c r="P2056" t="str">
        <f>TEXT(Inventory_Data[[#This Row],[Date]],"MMM")</f>
        <v>Mar</v>
      </c>
      <c r="Q2056" t="str">
        <f>TEXT(Inventory_Data[[#This Row],[Date]],"YYYY")</f>
        <v>2026</v>
      </c>
    </row>
    <row r="2057" spans="1:17" x14ac:dyDescent="0.3">
      <c r="A2057" s="1">
        <v>46095</v>
      </c>
      <c r="B2057" t="s">
        <v>41</v>
      </c>
      <c r="C2057" t="s">
        <v>22</v>
      </c>
      <c r="D2057" t="s">
        <v>14</v>
      </c>
      <c r="E2057" t="s">
        <v>34</v>
      </c>
      <c r="F2057">
        <v>229</v>
      </c>
      <c r="G2057">
        <v>236</v>
      </c>
      <c r="H2057">
        <v>184</v>
      </c>
      <c r="I2057">
        <v>281</v>
      </c>
      <c r="J2057">
        <v>100</v>
      </c>
      <c r="K2057">
        <v>48</v>
      </c>
      <c r="L2057">
        <v>13488</v>
      </c>
      <c r="M2057">
        <f>Inventory_Data[[#This Row],[Opening Stock]]+Inventory_Data[[#This Row],[Purchase Qty]]-Inventory_Data[[#This Row],[Sales Qty]]-Inventory_Data[[#This Row],[Closing Stock]]</f>
        <v>0</v>
      </c>
      <c r="N2057">
        <f>Inventory_Data[[#This Row],[Purchase Qty]]*Inventory_Data[[#This Row],[Unit Cost]]</f>
        <v>11328</v>
      </c>
      <c r="O2057" t="str">
        <f>IF(Inventory_Data[[#This Row],[Closing Stock]]&lt;=Inventory_Data[[#This Row],[Reorder Level]],"Low Stock","In Stock")</f>
        <v>In Stock</v>
      </c>
      <c r="P2057" t="str">
        <f>TEXT(Inventory_Data[[#This Row],[Date]],"MMM")</f>
        <v>Mar</v>
      </c>
      <c r="Q2057" t="str">
        <f>TEXT(Inventory_Data[[#This Row],[Date]],"YYYY")</f>
        <v>2026</v>
      </c>
    </row>
    <row r="2058" spans="1:17" x14ac:dyDescent="0.3">
      <c r="A2058" s="1">
        <v>46095</v>
      </c>
      <c r="B2058" t="s">
        <v>21</v>
      </c>
      <c r="C2058" t="s">
        <v>22</v>
      </c>
      <c r="D2058" t="s">
        <v>37</v>
      </c>
      <c r="E2058" t="s">
        <v>29</v>
      </c>
      <c r="F2058">
        <v>78</v>
      </c>
      <c r="G2058">
        <v>51</v>
      </c>
      <c r="H2058">
        <v>57</v>
      </c>
      <c r="I2058">
        <v>72</v>
      </c>
      <c r="J2058">
        <v>84</v>
      </c>
      <c r="K2058">
        <v>781</v>
      </c>
      <c r="L2058">
        <v>56232</v>
      </c>
      <c r="M2058">
        <f>Inventory_Data[[#This Row],[Opening Stock]]+Inventory_Data[[#This Row],[Purchase Qty]]-Inventory_Data[[#This Row],[Sales Qty]]-Inventory_Data[[#This Row],[Closing Stock]]</f>
        <v>0</v>
      </c>
      <c r="N2058">
        <f>Inventory_Data[[#This Row],[Purchase Qty]]*Inventory_Data[[#This Row],[Unit Cost]]</f>
        <v>39831</v>
      </c>
      <c r="O2058" t="str">
        <f>IF(Inventory_Data[[#This Row],[Closing Stock]]&lt;=Inventory_Data[[#This Row],[Reorder Level]],"Low Stock","In Stock")</f>
        <v>Low Stock</v>
      </c>
      <c r="P2058" t="str">
        <f>TEXT(Inventory_Data[[#This Row],[Date]],"MMM")</f>
        <v>Mar</v>
      </c>
      <c r="Q2058" t="str">
        <f>TEXT(Inventory_Data[[#This Row],[Date]],"YYYY")</f>
        <v>2026</v>
      </c>
    </row>
    <row r="2059" spans="1:17" x14ac:dyDescent="0.3">
      <c r="A2059" s="1">
        <v>46095</v>
      </c>
      <c r="B2059" t="s">
        <v>30</v>
      </c>
      <c r="C2059" t="s">
        <v>28</v>
      </c>
      <c r="D2059" t="s">
        <v>26</v>
      </c>
      <c r="E2059" t="s">
        <v>18</v>
      </c>
      <c r="F2059">
        <v>163</v>
      </c>
      <c r="G2059">
        <v>94</v>
      </c>
      <c r="H2059">
        <v>16</v>
      </c>
      <c r="I2059">
        <v>241</v>
      </c>
      <c r="J2059">
        <v>43</v>
      </c>
      <c r="K2059">
        <v>60443</v>
      </c>
      <c r="L2059">
        <v>14566763</v>
      </c>
      <c r="M2059">
        <f>Inventory_Data[[#This Row],[Opening Stock]]+Inventory_Data[[#This Row],[Purchase Qty]]-Inventory_Data[[#This Row],[Sales Qty]]-Inventory_Data[[#This Row],[Closing Stock]]</f>
        <v>0</v>
      </c>
      <c r="N2059">
        <f>Inventory_Data[[#This Row],[Purchase Qty]]*Inventory_Data[[#This Row],[Unit Cost]]</f>
        <v>5681642</v>
      </c>
      <c r="O2059" t="str">
        <f>IF(Inventory_Data[[#This Row],[Closing Stock]]&lt;=Inventory_Data[[#This Row],[Reorder Level]],"Low Stock","In Stock")</f>
        <v>In Stock</v>
      </c>
      <c r="P2059" t="str">
        <f>TEXT(Inventory_Data[[#This Row],[Date]],"MMM")</f>
        <v>Mar</v>
      </c>
      <c r="Q2059" t="str">
        <f>TEXT(Inventory_Data[[#This Row],[Date]],"YYYY")</f>
        <v>2026</v>
      </c>
    </row>
    <row r="2060" spans="1:17" x14ac:dyDescent="0.3">
      <c r="A2060" s="1">
        <v>46095</v>
      </c>
      <c r="B2060" t="s">
        <v>21</v>
      </c>
      <c r="C2060" t="s">
        <v>22</v>
      </c>
      <c r="D2060" t="s">
        <v>23</v>
      </c>
      <c r="E2060" t="s">
        <v>20</v>
      </c>
      <c r="F2060">
        <v>75</v>
      </c>
      <c r="G2060">
        <v>223</v>
      </c>
      <c r="H2060">
        <v>247</v>
      </c>
      <c r="I2060">
        <v>51</v>
      </c>
      <c r="J2060">
        <v>124</v>
      </c>
      <c r="K2060">
        <v>340</v>
      </c>
      <c r="L2060">
        <v>17340</v>
      </c>
      <c r="M2060">
        <f>Inventory_Data[[#This Row],[Opening Stock]]+Inventory_Data[[#This Row],[Purchase Qty]]-Inventory_Data[[#This Row],[Sales Qty]]-Inventory_Data[[#This Row],[Closing Stock]]</f>
        <v>0</v>
      </c>
      <c r="N2060">
        <f>Inventory_Data[[#This Row],[Purchase Qty]]*Inventory_Data[[#This Row],[Unit Cost]]</f>
        <v>75820</v>
      </c>
      <c r="O2060" t="str">
        <f>IF(Inventory_Data[[#This Row],[Closing Stock]]&lt;=Inventory_Data[[#This Row],[Reorder Level]],"Low Stock","In Stock")</f>
        <v>Low Stock</v>
      </c>
      <c r="P2060" t="str">
        <f>TEXT(Inventory_Data[[#This Row],[Date]],"MMM")</f>
        <v>Mar</v>
      </c>
      <c r="Q2060" t="str">
        <f>TEXT(Inventory_Data[[#This Row],[Date]],"YYYY")</f>
        <v>2026</v>
      </c>
    </row>
    <row r="2061" spans="1:17" x14ac:dyDescent="0.3">
      <c r="A2061" s="1">
        <v>46096</v>
      </c>
      <c r="B2061" t="s">
        <v>12</v>
      </c>
      <c r="C2061" t="s">
        <v>13</v>
      </c>
      <c r="D2061" t="s">
        <v>14</v>
      </c>
      <c r="E2061" t="s">
        <v>34</v>
      </c>
      <c r="F2061">
        <v>67</v>
      </c>
      <c r="G2061">
        <v>60</v>
      </c>
      <c r="H2061">
        <v>36</v>
      </c>
      <c r="I2061">
        <v>91</v>
      </c>
      <c r="J2061">
        <v>36</v>
      </c>
      <c r="K2061">
        <v>17860</v>
      </c>
      <c r="L2061">
        <v>1625260</v>
      </c>
      <c r="M2061">
        <f>Inventory_Data[[#This Row],[Opening Stock]]+Inventory_Data[[#This Row],[Purchase Qty]]-Inventory_Data[[#This Row],[Sales Qty]]-Inventory_Data[[#This Row],[Closing Stock]]</f>
        <v>0</v>
      </c>
      <c r="N2061">
        <f>Inventory_Data[[#This Row],[Purchase Qty]]*Inventory_Data[[#This Row],[Unit Cost]]</f>
        <v>1071600</v>
      </c>
      <c r="O2061" t="str">
        <f>IF(Inventory_Data[[#This Row],[Closing Stock]]&lt;=Inventory_Data[[#This Row],[Reorder Level]],"Low Stock","In Stock")</f>
        <v>In Stock</v>
      </c>
      <c r="P2061" t="str">
        <f>TEXT(Inventory_Data[[#This Row],[Date]],"MMM")</f>
        <v>Mar</v>
      </c>
      <c r="Q2061" t="str">
        <f>TEXT(Inventory_Data[[#This Row],[Date]],"YYYY")</f>
        <v>2026</v>
      </c>
    </row>
    <row r="2062" spans="1:17" x14ac:dyDescent="0.3">
      <c r="A2062" s="1">
        <v>46096</v>
      </c>
      <c r="B2062" t="s">
        <v>21</v>
      </c>
      <c r="C2062" t="s">
        <v>22</v>
      </c>
      <c r="D2062" t="s">
        <v>23</v>
      </c>
      <c r="E2062" t="s">
        <v>29</v>
      </c>
      <c r="F2062">
        <v>68</v>
      </c>
      <c r="G2062">
        <v>156</v>
      </c>
      <c r="H2062">
        <v>214</v>
      </c>
      <c r="I2062">
        <v>10</v>
      </c>
      <c r="J2062">
        <v>110</v>
      </c>
      <c r="K2062">
        <v>48</v>
      </c>
      <c r="L2062">
        <v>480</v>
      </c>
      <c r="M2062">
        <f>Inventory_Data[[#This Row],[Opening Stock]]+Inventory_Data[[#This Row],[Purchase Qty]]-Inventory_Data[[#This Row],[Sales Qty]]-Inventory_Data[[#This Row],[Closing Stock]]</f>
        <v>0</v>
      </c>
      <c r="N2062">
        <f>Inventory_Data[[#This Row],[Purchase Qty]]*Inventory_Data[[#This Row],[Unit Cost]]</f>
        <v>7488</v>
      </c>
      <c r="O2062" t="str">
        <f>IF(Inventory_Data[[#This Row],[Closing Stock]]&lt;=Inventory_Data[[#This Row],[Reorder Level]],"Low Stock","In Stock")</f>
        <v>Low Stock</v>
      </c>
      <c r="P2062" t="str">
        <f>TEXT(Inventory_Data[[#This Row],[Date]],"MMM")</f>
        <v>Mar</v>
      </c>
      <c r="Q2062" t="str">
        <f>TEXT(Inventory_Data[[#This Row],[Date]],"YYYY")</f>
        <v>2026</v>
      </c>
    </row>
    <row r="2063" spans="1:17" x14ac:dyDescent="0.3">
      <c r="A2063" s="1">
        <v>46096</v>
      </c>
      <c r="B2063" t="s">
        <v>25</v>
      </c>
      <c r="C2063" t="s">
        <v>17</v>
      </c>
      <c r="D2063" t="s">
        <v>14</v>
      </c>
      <c r="E2063" t="s">
        <v>34</v>
      </c>
      <c r="F2063">
        <v>78</v>
      </c>
      <c r="G2063">
        <v>51</v>
      </c>
      <c r="H2063">
        <v>36</v>
      </c>
      <c r="I2063">
        <v>93</v>
      </c>
      <c r="J2063">
        <v>11</v>
      </c>
      <c r="K2063">
        <v>21063</v>
      </c>
      <c r="L2063">
        <v>1958859</v>
      </c>
      <c r="M2063">
        <f>Inventory_Data[[#This Row],[Opening Stock]]+Inventory_Data[[#This Row],[Purchase Qty]]-Inventory_Data[[#This Row],[Sales Qty]]-Inventory_Data[[#This Row],[Closing Stock]]</f>
        <v>0</v>
      </c>
      <c r="N2063">
        <f>Inventory_Data[[#This Row],[Purchase Qty]]*Inventory_Data[[#This Row],[Unit Cost]]</f>
        <v>1074213</v>
      </c>
      <c r="O2063" t="str">
        <f>IF(Inventory_Data[[#This Row],[Closing Stock]]&lt;=Inventory_Data[[#This Row],[Reorder Level]],"Low Stock","In Stock")</f>
        <v>In Stock</v>
      </c>
      <c r="P2063" t="str">
        <f>TEXT(Inventory_Data[[#This Row],[Date]],"MMM")</f>
        <v>Mar</v>
      </c>
      <c r="Q2063" t="str">
        <f>TEXT(Inventory_Data[[#This Row],[Date]],"YYYY")</f>
        <v>2026</v>
      </c>
    </row>
    <row r="2064" spans="1:17" x14ac:dyDescent="0.3">
      <c r="A2064" s="1">
        <v>46096</v>
      </c>
      <c r="B2064" t="s">
        <v>36</v>
      </c>
      <c r="C2064" t="s">
        <v>22</v>
      </c>
      <c r="D2064" t="s">
        <v>14</v>
      </c>
      <c r="E2064" t="s">
        <v>34</v>
      </c>
      <c r="F2064">
        <v>99</v>
      </c>
      <c r="G2064">
        <v>147</v>
      </c>
      <c r="H2064">
        <v>211</v>
      </c>
      <c r="I2064">
        <v>35</v>
      </c>
      <c r="J2064">
        <v>148</v>
      </c>
      <c r="K2064">
        <v>924</v>
      </c>
      <c r="L2064">
        <v>32340</v>
      </c>
      <c r="M2064">
        <f>Inventory_Data[[#This Row],[Opening Stock]]+Inventory_Data[[#This Row],[Purchase Qty]]-Inventory_Data[[#This Row],[Sales Qty]]-Inventory_Data[[#This Row],[Closing Stock]]</f>
        <v>0</v>
      </c>
      <c r="N2064">
        <f>Inventory_Data[[#This Row],[Purchase Qty]]*Inventory_Data[[#This Row],[Unit Cost]]</f>
        <v>135828</v>
      </c>
      <c r="O2064" t="str">
        <f>IF(Inventory_Data[[#This Row],[Closing Stock]]&lt;=Inventory_Data[[#This Row],[Reorder Level]],"Low Stock","In Stock")</f>
        <v>Low Stock</v>
      </c>
      <c r="P2064" t="str">
        <f>TEXT(Inventory_Data[[#This Row],[Date]],"MMM")</f>
        <v>Mar</v>
      </c>
      <c r="Q2064" t="str">
        <f>TEXT(Inventory_Data[[#This Row],[Date]],"YYYY")</f>
        <v>2026</v>
      </c>
    </row>
    <row r="2065" spans="1:17" x14ac:dyDescent="0.3">
      <c r="A2065" s="1">
        <v>46097</v>
      </c>
      <c r="B2065" t="s">
        <v>38</v>
      </c>
      <c r="C2065" t="s">
        <v>17</v>
      </c>
      <c r="D2065" t="s">
        <v>26</v>
      </c>
      <c r="E2065" t="s">
        <v>20</v>
      </c>
      <c r="F2065">
        <v>67</v>
      </c>
      <c r="G2065">
        <v>33</v>
      </c>
      <c r="H2065">
        <v>40</v>
      </c>
      <c r="I2065">
        <v>60</v>
      </c>
      <c r="J2065">
        <v>16</v>
      </c>
      <c r="K2065">
        <v>10087</v>
      </c>
      <c r="L2065">
        <v>605220</v>
      </c>
      <c r="M2065">
        <f>Inventory_Data[[#This Row],[Opening Stock]]+Inventory_Data[[#This Row],[Purchase Qty]]-Inventory_Data[[#This Row],[Sales Qty]]-Inventory_Data[[#This Row],[Closing Stock]]</f>
        <v>0</v>
      </c>
      <c r="N2065">
        <f>Inventory_Data[[#This Row],[Purchase Qty]]*Inventory_Data[[#This Row],[Unit Cost]]</f>
        <v>332871</v>
      </c>
      <c r="O2065" t="str">
        <f>IF(Inventory_Data[[#This Row],[Closing Stock]]&lt;=Inventory_Data[[#This Row],[Reorder Level]],"Low Stock","In Stock")</f>
        <v>In Stock</v>
      </c>
      <c r="P2065" t="str">
        <f>TEXT(Inventory_Data[[#This Row],[Date]],"MMM")</f>
        <v>Mar</v>
      </c>
      <c r="Q2065" t="str">
        <f>TEXT(Inventory_Data[[#This Row],[Date]],"YYYY")</f>
        <v>2026</v>
      </c>
    </row>
    <row r="2066" spans="1:17" x14ac:dyDescent="0.3">
      <c r="A2066" s="1">
        <v>46098</v>
      </c>
      <c r="B2066" t="s">
        <v>36</v>
      </c>
      <c r="C2066" t="s">
        <v>22</v>
      </c>
      <c r="D2066" t="s">
        <v>26</v>
      </c>
      <c r="E2066" t="s">
        <v>18</v>
      </c>
      <c r="F2066">
        <v>484</v>
      </c>
      <c r="G2066">
        <v>298</v>
      </c>
      <c r="H2066">
        <v>148</v>
      </c>
      <c r="I2066">
        <v>634</v>
      </c>
      <c r="J2066">
        <v>66</v>
      </c>
      <c r="K2066">
        <v>583</v>
      </c>
      <c r="L2066">
        <v>369622</v>
      </c>
      <c r="M2066">
        <f>Inventory_Data[[#This Row],[Opening Stock]]+Inventory_Data[[#This Row],[Purchase Qty]]-Inventory_Data[[#This Row],[Sales Qty]]-Inventory_Data[[#This Row],[Closing Stock]]</f>
        <v>0</v>
      </c>
      <c r="N2066">
        <f>Inventory_Data[[#This Row],[Purchase Qty]]*Inventory_Data[[#This Row],[Unit Cost]]</f>
        <v>173734</v>
      </c>
      <c r="O2066" t="str">
        <f>IF(Inventory_Data[[#This Row],[Closing Stock]]&lt;=Inventory_Data[[#This Row],[Reorder Level]],"Low Stock","In Stock")</f>
        <v>In Stock</v>
      </c>
      <c r="P2066" t="str">
        <f>TEXT(Inventory_Data[[#This Row],[Date]],"MMM")</f>
        <v>Mar</v>
      </c>
      <c r="Q2066" t="str">
        <f>TEXT(Inventory_Data[[#This Row],[Date]],"YYYY")</f>
        <v>2026</v>
      </c>
    </row>
    <row r="2067" spans="1:17" x14ac:dyDescent="0.3">
      <c r="A2067" s="1">
        <v>46098</v>
      </c>
      <c r="B2067" t="s">
        <v>42</v>
      </c>
      <c r="C2067" t="s">
        <v>17</v>
      </c>
      <c r="D2067" t="s">
        <v>23</v>
      </c>
      <c r="E2067" t="s">
        <v>24</v>
      </c>
      <c r="F2067">
        <v>78</v>
      </c>
      <c r="G2067">
        <v>45</v>
      </c>
      <c r="H2067">
        <v>23</v>
      </c>
      <c r="I2067">
        <v>100</v>
      </c>
      <c r="J2067">
        <v>18</v>
      </c>
      <c r="K2067">
        <v>3867</v>
      </c>
      <c r="L2067">
        <v>386700</v>
      </c>
      <c r="M2067">
        <f>Inventory_Data[[#This Row],[Opening Stock]]+Inventory_Data[[#This Row],[Purchase Qty]]-Inventory_Data[[#This Row],[Sales Qty]]-Inventory_Data[[#This Row],[Closing Stock]]</f>
        <v>0</v>
      </c>
      <c r="N2067">
        <f>Inventory_Data[[#This Row],[Purchase Qty]]*Inventory_Data[[#This Row],[Unit Cost]]</f>
        <v>174015</v>
      </c>
      <c r="O2067" t="str">
        <f>IF(Inventory_Data[[#This Row],[Closing Stock]]&lt;=Inventory_Data[[#This Row],[Reorder Level]],"Low Stock","In Stock")</f>
        <v>In Stock</v>
      </c>
      <c r="P2067" t="str">
        <f>TEXT(Inventory_Data[[#This Row],[Date]],"MMM")</f>
        <v>Mar</v>
      </c>
      <c r="Q2067" t="str">
        <f>TEXT(Inventory_Data[[#This Row],[Date]],"YYYY")</f>
        <v>2026</v>
      </c>
    </row>
    <row r="2068" spans="1:17" x14ac:dyDescent="0.3">
      <c r="A2068" s="1">
        <v>46098</v>
      </c>
      <c r="B2068" t="s">
        <v>16</v>
      </c>
      <c r="C2068" t="s">
        <v>17</v>
      </c>
      <c r="D2068" t="s">
        <v>37</v>
      </c>
      <c r="E2068" t="s">
        <v>18</v>
      </c>
      <c r="F2068">
        <v>89</v>
      </c>
      <c r="G2068">
        <v>13</v>
      </c>
      <c r="H2068">
        <v>32</v>
      </c>
      <c r="I2068">
        <v>70</v>
      </c>
      <c r="J2068">
        <v>25</v>
      </c>
      <c r="K2068">
        <v>21356</v>
      </c>
      <c r="L2068">
        <v>1494920</v>
      </c>
      <c r="M2068">
        <f>Inventory_Data[[#This Row],[Opening Stock]]+Inventory_Data[[#This Row],[Purchase Qty]]-Inventory_Data[[#This Row],[Sales Qty]]-Inventory_Data[[#This Row],[Closing Stock]]</f>
        <v>0</v>
      </c>
      <c r="N2068">
        <f>Inventory_Data[[#This Row],[Purchase Qty]]*Inventory_Data[[#This Row],[Unit Cost]]</f>
        <v>277628</v>
      </c>
      <c r="O2068" t="str">
        <f>IF(Inventory_Data[[#This Row],[Closing Stock]]&lt;=Inventory_Data[[#This Row],[Reorder Level]],"Low Stock","In Stock")</f>
        <v>In Stock</v>
      </c>
      <c r="P2068" t="str">
        <f>TEXT(Inventory_Data[[#This Row],[Date]],"MMM")</f>
        <v>Mar</v>
      </c>
      <c r="Q2068" t="str">
        <f>TEXT(Inventory_Data[[#This Row],[Date]],"YYYY")</f>
        <v>2026</v>
      </c>
    </row>
    <row r="2069" spans="1:17" x14ac:dyDescent="0.3">
      <c r="A2069" s="1">
        <v>46098</v>
      </c>
      <c r="B2069" t="s">
        <v>38</v>
      </c>
      <c r="C2069" t="s">
        <v>17</v>
      </c>
      <c r="D2069" t="s">
        <v>14</v>
      </c>
      <c r="E2069" t="s">
        <v>24</v>
      </c>
      <c r="F2069">
        <v>46</v>
      </c>
      <c r="G2069">
        <v>11</v>
      </c>
      <c r="H2069">
        <v>6</v>
      </c>
      <c r="I2069">
        <v>51</v>
      </c>
      <c r="J2069">
        <v>28</v>
      </c>
      <c r="K2069">
        <v>4266</v>
      </c>
      <c r="L2069">
        <v>217566</v>
      </c>
      <c r="M2069">
        <f>Inventory_Data[[#This Row],[Opening Stock]]+Inventory_Data[[#This Row],[Purchase Qty]]-Inventory_Data[[#This Row],[Sales Qty]]-Inventory_Data[[#This Row],[Closing Stock]]</f>
        <v>0</v>
      </c>
      <c r="N2069">
        <f>Inventory_Data[[#This Row],[Purchase Qty]]*Inventory_Data[[#This Row],[Unit Cost]]</f>
        <v>46926</v>
      </c>
      <c r="O2069" t="str">
        <f>IF(Inventory_Data[[#This Row],[Closing Stock]]&lt;=Inventory_Data[[#This Row],[Reorder Level]],"Low Stock","In Stock")</f>
        <v>In Stock</v>
      </c>
      <c r="P2069" t="str">
        <f>TEXT(Inventory_Data[[#This Row],[Date]],"MMM")</f>
        <v>Mar</v>
      </c>
      <c r="Q2069" t="str">
        <f>TEXT(Inventory_Data[[#This Row],[Date]],"YYYY")</f>
        <v>2026</v>
      </c>
    </row>
    <row r="2070" spans="1:17" x14ac:dyDescent="0.3">
      <c r="A2070" s="1">
        <v>46098</v>
      </c>
      <c r="B2070" t="s">
        <v>19</v>
      </c>
      <c r="C2070" t="s">
        <v>13</v>
      </c>
      <c r="D2070" t="s">
        <v>37</v>
      </c>
      <c r="E2070" t="s">
        <v>15</v>
      </c>
      <c r="F2070">
        <v>70</v>
      </c>
      <c r="G2070">
        <v>11</v>
      </c>
      <c r="H2070">
        <v>53</v>
      </c>
      <c r="I2070">
        <v>28</v>
      </c>
      <c r="J2070">
        <v>31</v>
      </c>
      <c r="K2070">
        <v>17909</v>
      </c>
      <c r="L2070">
        <v>501452</v>
      </c>
      <c r="M2070">
        <f>Inventory_Data[[#This Row],[Opening Stock]]+Inventory_Data[[#This Row],[Purchase Qty]]-Inventory_Data[[#This Row],[Sales Qty]]-Inventory_Data[[#This Row],[Closing Stock]]</f>
        <v>0</v>
      </c>
      <c r="N2070">
        <f>Inventory_Data[[#This Row],[Purchase Qty]]*Inventory_Data[[#This Row],[Unit Cost]]</f>
        <v>196999</v>
      </c>
      <c r="O2070" t="str">
        <f>IF(Inventory_Data[[#This Row],[Closing Stock]]&lt;=Inventory_Data[[#This Row],[Reorder Level]],"Low Stock","In Stock")</f>
        <v>Low Stock</v>
      </c>
      <c r="P2070" t="str">
        <f>TEXT(Inventory_Data[[#This Row],[Date]],"MMM")</f>
        <v>Mar</v>
      </c>
      <c r="Q2070" t="str">
        <f>TEXT(Inventory_Data[[#This Row],[Date]],"YYYY")</f>
        <v>2026</v>
      </c>
    </row>
    <row r="2071" spans="1:17" x14ac:dyDescent="0.3">
      <c r="A2071" s="1">
        <v>46098</v>
      </c>
      <c r="B2071" t="s">
        <v>33</v>
      </c>
      <c r="C2071" t="s">
        <v>13</v>
      </c>
      <c r="D2071" t="s">
        <v>14</v>
      </c>
      <c r="E2071" t="s">
        <v>18</v>
      </c>
      <c r="F2071">
        <v>16</v>
      </c>
      <c r="G2071">
        <v>74</v>
      </c>
      <c r="H2071">
        <v>33</v>
      </c>
      <c r="I2071">
        <v>57</v>
      </c>
      <c r="J2071">
        <v>33</v>
      </c>
      <c r="K2071">
        <v>17777</v>
      </c>
      <c r="L2071">
        <v>1013289</v>
      </c>
      <c r="M2071">
        <f>Inventory_Data[[#This Row],[Opening Stock]]+Inventory_Data[[#This Row],[Purchase Qty]]-Inventory_Data[[#This Row],[Sales Qty]]-Inventory_Data[[#This Row],[Closing Stock]]</f>
        <v>0</v>
      </c>
      <c r="N2071">
        <f>Inventory_Data[[#This Row],[Purchase Qty]]*Inventory_Data[[#This Row],[Unit Cost]]</f>
        <v>1315498</v>
      </c>
      <c r="O2071" t="str">
        <f>IF(Inventory_Data[[#This Row],[Closing Stock]]&lt;=Inventory_Data[[#This Row],[Reorder Level]],"Low Stock","In Stock")</f>
        <v>In Stock</v>
      </c>
      <c r="P2071" t="str">
        <f>TEXT(Inventory_Data[[#This Row],[Date]],"MMM")</f>
        <v>Mar</v>
      </c>
      <c r="Q2071" t="str">
        <f>TEXT(Inventory_Data[[#This Row],[Date]],"YYYY")</f>
        <v>2026</v>
      </c>
    </row>
    <row r="2072" spans="1:17" x14ac:dyDescent="0.3">
      <c r="A2072" s="1">
        <v>46098</v>
      </c>
      <c r="B2072" t="s">
        <v>39</v>
      </c>
      <c r="C2072" t="s">
        <v>28</v>
      </c>
      <c r="D2072" t="s">
        <v>37</v>
      </c>
      <c r="E2072" t="s">
        <v>34</v>
      </c>
      <c r="F2072">
        <v>149</v>
      </c>
      <c r="G2072">
        <v>65</v>
      </c>
      <c r="H2072">
        <v>88</v>
      </c>
      <c r="I2072">
        <v>126</v>
      </c>
      <c r="J2072">
        <v>53</v>
      </c>
      <c r="K2072">
        <v>63453</v>
      </c>
      <c r="L2072">
        <v>7995078</v>
      </c>
      <c r="M2072">
        <f>Inventory_Data[[#This Row],[Opening Stock]]+Inventory_Data[[#This Row],[Purchase Qty]]-Inventory_Data[[#This Row],[Sales Qty]]-Inventory_Data[[#This Row],[Closing Stock]]</f>
        <v>0</v>
      </c>
      <c r="N2072">
        <f>Inventory_Data[[#This Row],[Purchase Qty]]*Inventory_Data[[#This Row],[Unit Cost]]</f>
        <v>4124445</v>
      </c>
      <c r="O2072" t="str">
        <f>IF(Inventory_Data[[#This Row],[Closing Stock]]&lt;=Inventory_Data[[#This Row],[Reorder Level]],"Low Stock","In Stock")</f>
        <v>In Stock</v>
      </c>
      <c r="P2072" t="str">
        <f>TEXT(Inventory_Data[[#This Row],[Date]],"MMM")</f>
        <v>Mar</v>
      </c>
      <c r="Q2072" t="str">
        <f>TEXT(Inventory_Data[[#This Row],[Date]],"YYYY")</f>
        <v>2026</v>
      </c>
    </row>
    <row r="2073" spans="1:17" x14ac:dyDescent="0.3">
      <c r="A2073" s="1">
        <v>46099</v>
      </c>
      <c r="B2073" t="s">
        <v>40</v>
      </c>
      <c r="C2073" t="s">
        <v>28</v>
      </c>
      <c r="D2073" t="s">
        <v>23</v>
      </c>
      <c r="E2073" t="s">
        <v>29</v>
      </c>
      <c r="F2073">
        <v>166</v>
      </c>
      <c r="G2073">
        <v>111</v>
      </c>
      <c r="H2073">
        <v>33</v>
      </c>
      <c r="I2073">
        <v>244</v>
      </c>
      <c r="J2073">
        <v>51</v>
      </c>
      <c r="K2073">
        <v>49590</v>
      </c>
      <c r="L2073">
        <v>12099960</v>
      </c>
      <c r="M2073">
        <f>Inventory_Data[[#This Row],[Opening Stock]]+Inventory_Data[[#This Row],[Purchase Qty]]-Inventory_Data[[#This Row],[Sales Qty]]-Inventory_Data[[#This Row],[Closing Stock]]</f>
        <v>0</v>
      </c>
      <c r="N2073">
        <f>Inventory_Data[[#This Row],[Purchase Qty]]*Inventory_Data[[#This Row],[Unit Cost]]</f>
        <v>5504490</v>
      </c>
      <c r="O2073" t="str">
        <f>IF(Inventory_Data[[#This Row],[Closing Stock]]&lt;=Inventory_Data[[#This Row],[Reorder Level]],"Low Stock","In Stock")</f>
        <v>In Stock</v>
      </c>
      <c r="P2073" t="str">
        <f>TEXT(Inventory_Data[[#This Row],[Date]],"MMM")</f>
        <v>Mar</v>
      </c>
      <c r="Q2073" t="str">
        <f>TEXT(Inventory_Data[[#This Row],[Date]],"YYYY")</f>
        <v>2026</v>
      </c>
    </row>
    <row r="2074" spans="1:17" x14ac:dyDescent="0.3">
      <c r="A2074" s="1">
        <v>46099</v>
      </c>
      <c r="B2074" t="s">
        <v>27</v>
      </c>
      <c r="C2074" t="s">
        <v>28</v>
      </c>
      <c r="D2074" t="s">
        <v>26</v>
      </c>
      <c r="E2074" t="s">
        <v>29</v>
      </c>
      <c r="F2074">
        <v>57</v>
      </c>
      <c r="G2074">
        <v>98</v>
      </c>
      <c r="H2074">
        <v>84</v>
      </c>
      <c r="I2074">
        <v>71</v>
      </c>
      <c r="J2074">
        <v>20</v>
      </c>
      <c r="K2074">
        <v>13297</v>
      </c>
      <c r="L2074">
        <v>944087</v>
      </c>
      <c r="M2074">
        <f>Inventory_Data[[#This Row],[Opening Stock]]+Inventory_Data[[#This Row],[Purchase Qty]]-Inventory_Data[[#This Row],[Sales Qty]]-Inventory_Data[[#This Row],[Closing Stock]]</f>
        <v>0</v>
      </c>
      <c r="N2074">
        <f>Inventory_Data[[#This Row],[Purchase Qty]]*Inventory_Data[[#This Row],[Unit Cost]]</f>
        <v>1303106</v>
      </c>
      <c r="O2074" t="str">
        <f>IF(Inventory_Data[[#This Row],[Closing Stock]]&lt;=Inventory_Data[[#This Row],[Reorder Level]],"Low Stock","In Stock")</f>
        <v>In Stock</v>
      </c>
      <c r="P2074" t="str">
        <f>TEXT(Inventory_Data[[#This Row],[Date]],"MMM")</f>
        <v>Mar</v>
      </c>
      <c r="Q2074" t="str">
        <f>TEXT(Inventory_Data[[#This Row],[Date]],"YYYY")</f>
        <v>2026</v>
      </c>
    </row>
    <row r="2075" spans="1:17" x14ac:dyDescent="0.3">
      <c r="A2075" s="1">
        <v>46099</v>
      </c>
      <c r="B2075" t="s">
        <v>31</v>
      </c>
      <c r="C2075" t="s">
        <v>22</v>
      </c>
      <c r="D2075" t="s">
        <v>14</v>
      </c>
      <c r="E2075" t="s">
        <v>20</v>
      </c>
      <c r="F2075">
        <v>240</v>
      </c>
      <c r="G2075">
        <v>208</v>
      </c>
      <c r="H2075">
        <v>121</v>
      </c>
      <c r="I2075">
        <v>327</v>
      </c>
      <c r="J2075">
        <v>59</v>
      </c>
      <c r="K2075">
        <v>233</v>
      </c>
      <c r="L2075">
        <v>76191</v>
      </c>
      <c r="M2075">
        <f>Inventory_Data[[#This Row],[Opening Stock]]+Inventory_Data[[#This Row],[Purchase Qty]]-Inventory_Data[[#This Row],[Sales Qty]]-Inventory_Data[[#This Row],[Closing Stock]]</f>
        <v>0</v>
      </c>
      <c r="N2075">
        <f>Inventory_Data[[#This Row],[Purchase Qty]]*Inventory_Data[[#This Row],[Unit Cost]]</f>
        <v>48464</v>
      </c>
      <c r="O2075" t="str">
        <f>IF(Inventory_Data[[#This Row],[Closing Stock]]&lt;=Inventory_Data[[#This Row],[Reorder Level]],"Low Stock","In Stock")</f>
        <v>In Stock</v>
      </c>
      <c r="P2075" t="str">
        <f>TEXT(Inventory_Data[[#This Row],[Date]],"MMM")</f>
        <v>Mar</v>
      </c>
      <c r="Q2075" t="str">
        <f>TEXT(Inventory_Data[[#This Row],[Date]],"YYYY")</f>
        <v>2026</v>
      </c>
    </row>
    <row r="2076" spans="1:17" x14ac:dyDescent="0.3">
      <c r="A2076" s="1">
        <v>46099</v>
      </c>
      <c r="B2076" t="s">
        <v>25</v>
      </c>
      <c r="C2076" t="s">
        <v>17</v>
      </c>
      <c r="D2076" t="s">
        <v>26</v>
      </c>
      <c r="E2076" t="s">
        <v>24</v>
      </c>
      <c r="F2076">
        <v>10</v>
      </c>
      <c r="G2076">
        <v>9</v>
      </c>
      <c r="H2076">
        <v>5</v>
      </c>
      <c r="I2076">
        <v>14</v>
      </c>
      <c r="J2076">
        <v>25</v>
      </c>
      <c r="K2076">
        <v>20723</v>
      </c>
      <c r="L2076">
        <v>290122</v>
      </c>
      <c r="M2076">
        <f>Inventory_Data[[#This Row],[Opening Stock]]+Inventory_Data[[#This Row],[Purchase Qty]]-Inventory_Data[[#This Row],[Sales Qty]]-Inventory_Data[[#This Row],[Closing Stock]]</f>
        <v>0</v>
      </c>
      <c r="N2076">
        <f>Inventory_Data[[#This Row],[Purchase Qty]]*Inventory_Data[[#This Row],[Unit Cost]]</f>
        <v>186507</v>
      </c>
      <c r="O2076" t="str">
        <f>IF(Inventory_Data[[#This Row],[Closing Stock]]&lt;=Inventory_Data[[#This Row],[Reorder Level]],"Low Stock","In Stock")</f>
        <v>Low Stock</v>
      </c>
      <c r="P2076" t="str">
        <f>TEXT(Inventory_Data[[#This Row],[Date]],"MMM")</f>
        <v>Mar</v>
      </c>
      <c r="Q2076" t="str">
        <f>TEXT(Inventory_Data[[#This Row],[Date]],"YYYY")</f>
        <v>2026</v>
      </c>
    </row>
    <row r="2077" spans="1:17" x14ac:dyDescent="0.3">
      <c r="A2077" s="1">
        <v>46100</v>
      </c>
      <c r="B2077" t="s">
        <v>42</v>
      </c>
      <c r="C2077" t="s">
        <v>17</v>
      </c>
      <c r="D2077" t="s">
        <v>26</v>
      </c>
      <c r="E2077" t="s">
        <v>20</v>
      </c>
      <c r="F2077">
        <v>95</v>
      </c>
      <c r="G2077">
        <v>32</v>
      </c>
      <c r="H2077">
        <v>31</v>
      </c>
      <c r="I2077">
        <v>96</v>
      </c>
      <c r="J2077">
        <v>13</v>
      </c>
      <c r="K2077">
        <v>13519</v>
      </c>
      <c r="L2077">
        <v>1297824</v>
      </c>
      <c r="M2077">
        <f>Inventory_Data[[#This Row],[Opening Stock]]+Inventory_Data[[#This Row],[Purchase Qty]]-Inventory_Data[[#This Row],[Sales Qty]]-Inventory_Data[[#This Row],[Closing Stock]]</f>
        <v>0</v>
      </c>
      <c r="N2077">
        <f>Inventory_Data[[#This Row],[Purchase Qty]]*Inventory_Data[[#This Row],[Unit Cost]]</f>
        <v>432608</v>
      </c>
      <c r="O2077" t="str">
        <f>IF(Inventory_Data[[#This Row],[Closing Stock]]&lt;=Inventory_Data[[#This Row],[Reorder Level]],"Low Stock","In Stock")</f>
        <v>In Stock</v>
      </c>
      <c r="P2077" t="str">
        <f>TEXT(Inventory_Data[[#This Row],[Date]],"MMM")</f>
        <v>Mar</v>
      </c>
      <c r="Q2077" t="str">
        <f>TEXT(Inventory_Data[[#This Row],[Date]],"YYYY")</f>
        <v>2026</v>
      </c>
    </row>
    <row r="2078" spans="1:17" x14ac:dyDescent="0.3">
      <c r="A2078" s="1">
        <v>46100</v>
      </c>
      <c r="B2078" t="s">
        <v>39</v>
      </c>
      <c r="C2078" t="s">
        <v>28</v>
      </c>
      <c r="D2078" t="s">
        <v>37</v>
      </c>
      <c r="E2078" t="s">
        <v>18</v>
      </c>
      <c r="F2078">
        <v>163</v>
      </c>
      <c r="G2078">
        <v>65</v>
      </c>
      <c r="H2078">
        <v>49</v>
      </c>
      <c r="I2078">
        <v>179</v>
      </c>
      <c r="J2078">
        <v>40</v>
      </c>
      <c r="K2078">
        <v>23058</v>
      </c>
      <c r="L2078">
        <v>4127382</v>
      </c>
      <c r="M2078">
        <f>Inventory_Data[[#This Row],[Opening Stock]]+Inventory_Data[[#This Row],[Purchase Qty]]-Inventory_Data[[#This Row],[Sales Qty]]-Inventory_Data[[#This Row],[Closing Stock]]</f>
        <v>0</v>
      </c>
      <c r="N2078">
        <f>Inventory_Data[[#This Row],[Purchase Qty]]*Inventory_Data[[#This Row],[Unit Cost]]</f>
        <v>1498770</v>
      </c>
      <c r="O2078" t="str">
        <f>IF(Inventory_Data[[#This Row],[Closing Stock]]&lt;=Inventory_Data[[#This Row],[Reorder Level]],"Low Stock","In Stock")</f>
        <v>In Stock</v>
      </c>
      <c r="P2078" t="str">
        <f>TEXT(Inventory_Data[[#This Row],[Date]],"MMM")</f>
        <v>Mar</v>
      </c>
      <c r="Q2078" t="str">
        <f>TEXT(Inventory_Data[[#This Row],[Date]],"YYYY")</f>
        <v>2026</v>
      </c>
    </row>
    <row r="2079" spans="1:17" x14ac:dyDescent="0.3">
      <c r="A2079" s="1">
        <v>46100</v>
      </c>
      <c r="B2079" t="s">
        <v>33</v>
      </c>
      <c r="C2079" t="s">
        <v>13</v>
      </c>
      <c r="D2079" t="s">
        <v>37</v>
      </c>
      <c r="E2079" t="s">
        <v>24</v>
      </c>
      <c r="F2079">
        <v>50</v>
      </c>
      <c r="G2079">
        <v>77</v>
      </c>
      <c r="H2079">
        <v>57</v>
      </c>
      <c r="I2079">
        <v>70</v>
      </c>
      <c r="J2079">
        <v>33</v>
      </c>
      <c r="K2079">
        <v>5648</v>
      </c>
      <c r="L2079">
        <v>395360</v>
      </c>
      <c r="M2079">
        <f>Inventory_Data[[#This Row],[Opening Stock]]+Inventory_Data[[#This Row],[Purchase Qty]]-Inventory_Data[[#This Row],[Sales Qty]]-Inventory_Data[[#This Row],[Closing Stock]]</f>
        <v>0</v>
      </c>
      <c r="N2079">
        <f>Inventory_Data[[#This Row],[Purchase Qty]]*Inventory_Data[[#This Row],[Unit Cost]]</f>
        <v>434896</v>
      </c>
      <c r="O2079" t="str">
        <f>IF(Inventory_Data[[#This Row],[Closing Stock]]&lt;=Inventory_Data[[#This Row],[Reorder Level]],"Low Stock","In Stock")</f>
        <v>In Stock</v>
      </c>
      <c r="P2079" t="str">
        <f>TEXT(Inventory_Data[[#This Row],[Date]],"MMM")</f>
        <v>Mar</v>
      </c>
      <c r="Q2079" t="str">
        <f>TEXT(Inventory_Data[[#This Row],[Date]],"YYYY")</f>
        <v>2026</v>
      </c>
    </row>
    <row r="2080" spans="1:17" x14ac:dyDescent="0.3">
      <c r="A2080" s="1">
        <v>46100</v>
      </c>
      <c r="B2080" t="s">
        <v>12</v>
      </c>
      <c r="C2080" t="s">
        <v>13</v>
      </c>
      <c r="D2080" t="s">
        <v>37</v>
      </c>
      <c r="E2080" t="s">
        <v>29</v>
      </c>
      <c r="F2080">
        <v>22</v>
      </c>
      <c r="G2080">
        <v>76</v>
      </c>
      <c r="H2080">
        <v>21</v>
      </c>
      <c r="I2080">
        <v>77</v>
      </c>
      <c r="J2080">
        <v>23</v>
      </c>
      <c r="K2080">
        <v>9179</v>
      </c>
      <c r="L2080">
        <v>706783</v>
      </c>
      <c r="M2080">
        <f>Inventory_Data[[#This Row],[Opening Stock]]+Inventory_Data[[#This Row],[Purchase Qty]]-Inventory_Data[[#This Row],[Sales Qty]]-Inventory_Data[[#This Row],[Closing Stock]]</f>
        <v>0</v>
      </c>
      <c r="N2080">
        <f>Inventory_Data[[#This Row],[Purchase Qty]]*Inventory_Data[[#This Row],[Unit Cost]]</f>
        <v>697604</v>
      </c>
      <c r="O2080" t="str">
        <f>IF(Inventory_Data[[#This Row],[Closing Stock]]&lt;=Inventory_Data[[#This Row],[Reorder Level]],"Low Stock","In Stock")</f>
        <v>In Stock</v>
      </c>
      <c r="P2080" t="str">
        <f>TEXT(Inventory_Data[[#This Row],[Date]],"MMM")</f>
        <v>Mar</v>
      </c>
      <c r="Q2080" t="str">
        <f>TEXT(Inventory_Data[[#This Row],[Date]],"YYYY")</f>
        <v>2026</v>
      </c>
    </row>
    <row r="2081" spans="1:17" x14ac:dyDescent="0.3">
      <c r="A2081" s="1">
        <v>46100</v>
      </c>
      <c r="B2081" t="s">
        <v>43</v>
      </c>
      <c r="C2081" t="s">
        <v>22</v>
      </c>
      <c r="D2081" t="s">
        <v>26</v>
      </c>
      <c r="E2081" t="s">
        <v>18</v>
      </c>
      <c r="F2081">
        <v>149</v>
      </c>
      <c r="G2081">
        <v>88</v>
      </c>
      <c r="H2081">
        <v>237</v>
      </c>
      <c r="I2081">
        <v>0</v>
      </c>
      <c r="J2081">
        <v>117</v>
      </c>
      <c r="K2081">
        <v>432</v>
      </c>
      <c r="L2081">
        <v>0</v>
      </c>
      <c r="M2081">
        <f>Inventory_Data[[#This Row],[Opening Stock]]+Inventory_Data[[#This Row],[Purchase Qty]]-Inventory_Data[[#This Row],[Sales Qty]]-Inventory_Data[[#This Row],[Closing Stock]]</f>
        <v>0</v>
      </c>
      <c r="N2081">
        <f>Inventory_Data[[#This Row],[Purchase Qty]]*Inventory_Data[[#This Row],[Unit Cost]]</f>
        <v>38016</v>
      </c>
      <c r="O2081" t="str">
        <f>IF(Inventory_Data[[#This Row],[Closing Stock]]&lt;=Inventory_Data[[#This Row],[Reorder Level]],"Low Stock","In Stock")</f>
        <v>Low Stock</v>
      </c>
      <c r="P2081" t="str">
        <f>TEXT(Inventory_Data[[#This Row],[Date]],"MMM")</f>
        <v>Mar</v>
      </c>
      <c r="Q2081" t="str">
        <f>TEXT(Inventory_Data[[#This Row],[Date]],"YYYY")</f>
        <v>2026</v>
      </c>
    </row>
    <row r="2082" spans="1:17" x14ac:dyDescent="0.3">
      <c r="A2082" s="1">
        <v>46101</v>
      </c>
      <c r="B2082" t="s">
        <v>43</v>
      </c>
      <c r="C2082" t="s">
        <v>22</v>
      </c>
      <c r="D2082" t="s">
        <v>23</v>
      </c>
      <c r="E2082" t="s">
        <v>24</v>
      </c>
      <c r="F2082">
        <v>222</v>
      </c>
      <c r="G2082">
        <v>75</v>
      </c>
      <c r="H2082">
        <v>245</v>
      </c>
      <c r="I2082">
        <v>52</v>
      </c>
      <c r="J2082">
        <v>134</v>
      </c>
      <c r="K2082">
        <v>233</v>
      </c>
      <c r="L2082">
        <v>12116</v>
      </c>
      <c r="M2082">
        <f>Inventory_Data[[#This Row],[Opening Stock]]+Inventory_Data[[#This Row],[Purchase Qty]]-Inventory_Data[[#This Row],[Sales Qty]]-Inventory_Data[[#This Row],[Closing Stock]]</f>
        <v>0</v>
      </c>
      <c r="N2082">
        <f>Inventory_Data[[#This Row],[Purchase Qty]]*Inventory_Data[[#This Row],[Unit Cost]]</f>
        <v>17475</v>
      </c>
      <c r="O2082" t="str">
        <f>IF(Inventory_Data[[#This Row],[Closing Stock]]&lt;=Inventory_Data[[#This Row],[Reorder Level]],"Low Stock","In Stock")</f>
        <v>Low Stock</v>
      </c>
      <c r="P2082" t="str">
        <f>TEXT(Inventory_Data[[#This Row],[Date]],"MMM")</f>
        <v>Mar</v>
      </c>
      <c r="Q2082" t="str">
        <f>TEXT(Inventory_Data[[#This Row],[Date]],"YYYY")</f>
        <v>2026</v>
      </c>
    </row>
    <row r="2083" spans="1:17" x14ac:dyDescent="0.3">
      <c r="A2083" s="1">
        <v>46101</v>
      </c>
      <c r="B2083" t="s">
        <v>31</v>
      </c>
      <c r="C2083" t="s">
        <v>22</v>
      </c>
      <c r="D2083" t="s">
        <v>23</v>
      </c>
      <c r="E2083" t="s">
        <v>18</v>
      </c>
      <c r="F2083">
        <v>205</v>
      </c>
      <c r="G2083">
        <v>269</v>
      </c>
      <c r="H2083">
        <v>268</v>
      </c>
      <c r="I2083">
        <v>206</v>
      </c>
      <c r="J2083">
        <v>110</v>
      </c>
      <c r="K2083">
        <v>647</v>
      </c>
      <c r="L2083">
        <v>133282</v>
      </c>
      <c r="M2083">
        <f>Inventory_Data[[#This Row],[Opening Stock]]+Inventory_Data[[#This Row],[Purchase Qty]]-Inventory_Data[[#This Row],[Sales Qty]]-Inventory_Data[[#This Row],[Closing Stock]]</f>
        <v>0</v>
      </c>
      <c r="N2083">
        <f>Inventory_Data[[#This Row],[Purchase Qty]]*Inventory_Data[[#This Row],[Unit Cost]]</f>
        <v>174043</v>
      </c>
      <c r="O2083" t="str">
        <f>IF(Inventory_Data[[#This Row],[Closing Stock]]&lt;=Inventory_Data[[#This Row],[Reorder Level]],"Low Stock","In Stock")</f>
        <v>In Stock</v>
      </c>
      <c r="P2083" t="str">
        <f>TEXT(Inventory_Data[[#This Row],[Date]],"MMM")</f>
        <v>Mar</v>
      </c>
      <c r="Q2083" t="str">
        <f>TEXT(Inventory_Data[[#This Row],[Date]],"YYYY")</f>
        <v>2026</v>
      </c>
    </row>
    <row r="2084" spans="1:17" x14ac:dyDescent="0.3">
      <c r="A2084" s="1">
        <v>46101</v>
      </c>
      <c r="B2084" t="s">
        <v>27</v>
      </c>
      <c r="C2084" t="s">
        <v>28</v>
      </c>
      <c r="D2084" t="s">
        <v>26</v>
      </c>
      <c r="E2084" t="s">
        <v>18</v>
      </c>
      <c r="F2084">
        <v>100</v>
      </c>
      <c r="G2084">
        <v>55</v>
      </c>
      <c r="H2084">
        <v>53</v>
      </c>
      <c r="I2084">
        <v>102</v>
      </c>
      <c r="J2084">
        <v>42</v>
      </c>
      <c r="K2084">
        <v>12512</v>
      </c>
      <c r="L2084">
        <v>1276224</v>
      </c>
      <c r="M2084">
        <f>Inventory_Data[[#This Row],[Opening Stock]]+Inventory_Data[[#This Row],[Purchase Qty]]-Inventory_Data[[#This Row],[Sales Qty]]-Inventory_Data[[#This Row],[Closing Stock]]</f>
        <v>0</v>
      </c>
      <c r="N2084">
        <f>Inventory_Data[[#This Row],[Purchase Qty]]*Inventory_Data[[#This Row],[Unit Cost]]</f>
        <v>688160</v>
      </c>
      <c r="O2084" t="str">
        <f>IF(Inventory_Data[[#This Row],[Closing Stock]]&lt;=Inventory_Data[[#This Row],[Reorder Level]],"Low Stock","In Stock")</f>
        <v>In Stock</v>
      </c>
      <c r="P2084" t="str">
        <f>TEXT(Inventory_Data[[#This Row],[Date]],"MMM")</f>
        <v>Mar</v>
      </c>
      <c r="Q2084" t="str">
        <f>TEXT(Inventory_Data[[#This Row],[Date]],"YYYY")</f>
        <v>2026</v>
      </c>
    </row>
    <row r="2085" spans="1:17" x14ac:dyDescent="0.3">
      <c r="A2085" s="1">
        <v>46101</v>
      </c>
      <c r="B2085" t="s">
        <v>32</v>
      </c>
      <c r="C2085" t="s">
        <v>28</v>
      </c>
      <c r="D2085" t="s">
        <v>14</v>
      </c>
      <c r="E2085" t="s">
        <v>20</v>
      </c>
      <c r="F2085">
        <v>136</v>
      </c>
      <c r="G2085">
        <v>79</v>
      </c>
      <c r="H2085">
        <v>6</v>
      </c>
      <c r="I2085">
        <v>209</v>
      </c>
      <c r="J2085">
        <v>23</v>
      </c>
      <c r="K2085">
        <v>32613</v>
      </c>
      <c r="L2085">
        <v>6816117</v>
      </c>
      <c r="M2085">
        <f>Inventory_Data[[#This Row],[Opening Stock]]+Inventory_Data[[#This Row],[Purchase Qty]]-Inventory_Data[[#This Row],[Sales Qty]]-Inventory_Data[[#This Row],[Closing Stock]]</f>
        <v>0</v>
      </c>
      <c r="N2085">
        <f>Inventory_Data[[#This Row],[Purchase Qty]]*Inventory_Data[[#This Row],[Unit Cost]]</f>
        <v>2576427</v>
      </c>
      <c r="O2085" t="str">
        <f>IF(Inventory_Data[[#This Row],[Closing Stock]]&lt;=Inventory_Data[[#This Row],[Reorder Level]],"Low Stock","In Stock")</f>
        <v>In Stock</v>
      </c>
      <c r="P2085" t="str">
        <f>TEXT(Inventory_Data[[#This Row],[Date]],"MMM")</f>
        <v>Mar</v>
      </c>
      <c r="Q2085" t="str">
        <f>TEXT(Inventory_Data[[#This Row],[Date]],"YYYY")</f>
        <v>2026</v>
      </c>
    </row>
    <row r="2086" spans="1:17" x14ac:dyDescent="0.3">
      <c r="A2086" s="1">
        <v>46102</v>
      </c>
      <c r="B2086" t="s">
        <v>38</v>
      </c>
      <c r="C2086" t="s">
        <v>17</v>
      </c>
      <c r="D2086" t="s">
        <v>37</v>
      </c>
      <c r="E2086" t="s">
        <v>18</v>
      </c>
      <c r="F2086">
        <v>51</v>
      </c>
      <c r="G2086">
        <v>40</v>
      </c>
      <c r="H2086">
        <v>21</v>
      </c>
      <c r="I2086">
        <v>70</v>
      </c>
      <c r="J2086">
        <v>16</v>
      </c>
      <c r="K2086">
        <v>11167</v>
      </c>
      <c r="L2086">
        <v>781690</v>
      </c>
      <c r="M2086">
        <f>Inventory_Data[[#This Row],[Opening Stock]]+Inventory_Data[[#This Row],[Purchase Qty]]-Inventory_Data[[#This Row],[Sales Qty]]-Inventory_Data[[#This Row],[Closing Stock]]</f>
        <v>0</v>
      </c>
      <c r="N2086">
        <f>Inventory_Data[[#This Row],[Purchase Qty]]*Inventory_Data[[#This Row],[Unit Cost]]</f>
        <v>446680</v>
      </c>
      <c r="O2086" t="str">
        <f>IF(Inventory_Data[[#This Row],[Closing Stock]]&lt;=Inventory_Data[[#This Row],[Reorder Level]],"Low Stock","In Stock")</f>
        <v>In Stock</v>
      </c>
      <c r="P2086" t="str">
        <f>TEXT(Inventory_Data[[#This Row],[Date]],"MMM")</f>
        <v>Mar</v>
      </c>
      <c r="Q2086" t="str">
        <f>TEXT(Inventory_Data[[#This Row],[Date]],"YYYY")</f>
        <v>2026</v>
      </c>
    </row>
    <row r="2087" spans="1:17" x14ac:dyDescent="0.3">
      <c r="A2087" s="1">
        <v>46102</v>
      </c>
      <c r="B2087" t="s">
        <v>25</v>
      </c>
      <c r="C2087" t="s">
        <v>17</v>
      </c>
      <c r="D2087" t="s">
        <v>37</v>
      </c>
      <c r="E2087" t="s">
        <v>15</v>
      </c>
      <c r="F2087">
        <v>70</v>
      </c>
      <c r="G2087">
        <v>10</v>
      </c>
      <c r="H2087">
        <v>15</v>
      </c>
      <c r="I2087">
        <v>65</v>
      </c>
      <c r="J2087">
        <v>24</v>
      </c>
      <c r="K2087">
        <v>24629</v>
      </c>
      <c r="L2087">
        <v>1600885</v>
      </c>
      <c r="M2087">
        <f>Inventory_Data[[#This Row],[Opening Stock]]+Inventory_Data[[#This Row],[Purchase Qty]]-Inventory_Data[[#This Row],[Sales Qty]]-Inventory_Data[[#This Row],[Closing Stock]]</f>
        <v>0</v>
      </c>
      <c r="N2087">
        <f>Inventory_Data[[#This Row],[Purchase Qty]]*Inventory_Data[[#This Row],[Unit Cost]]</f>
        <v>246290</v>
      </c>
      <c r="O2087" t="str">
        <f>IF(Inventory_Data[[#This Row],[Closing Stock]]&lt;=Inventory_Data[[#This Row],[Reorder Level]],"Low Stock","In Stock")</f>
        <v>In Stock</v>
      </c>
      <c r="P2087" t="str">
        <f>TEXT(Inventory_Data[[#This Row],[Date]],"MMM")</f>
        <v>Mar</v>
      </c>
      <c r="Q2087" t="str">
        <f>TEXT(Inventory_Data[[#This Row],[Date]],"YYYY")</f>
        <v>2026</v>
      </c>
    </row>
    <row r="2088" spans="1:17" x14ac:dyDescent="0.3">
      <c r="A2088" s="1">
        <v>46102</v>
      </c>
      <c r="B2088" t="s">
        <v>40</v>
      </c>
      <c r="C2088" t="s">
        <v>28</v>
      </c>
      <c r="D2088" t="s">
        <v>23</v>
      </c>
      <c r="E2088" t="s">
        <v>24</v>
      </c>
      <c r="F2088">
        <v>127</v>
      </c>
      <c r="G2088">
        <v>63</v>
      </c>
      <c r="H2088">
        <v>43</v>
      </c>
      <c r="I2088">
        <v>147</v>
      </c>
      <c r="J2088">
        <v>29</v>
      </c>
      <c r="K2088">
        <v>54138</v>
      </c>
      <c r="L2088">
        <v>7958286</v>
      </c>
      <c r="M2088">
        <f>Inventory_Data[[#This Row],[Opening Stock]]+Inventory_Data[[#This Row],[Purchase Qty]]-Inventory_Data[[#This Row],[Sales Qty]]-Inventory_Data[[#This Row],[Closing Stock]]</f>
        <v>0</v>
      </c>
      <c r="N2088">
        <f>Inventory_Data[[#This Row],[Purchase Qty]]*Inventory_Data[[#This Row],[Unit Cost]]</f>
        <v>3410694</v>
      </c>
      <c r="O2088" t="str">
        <f>IF(Inventory_Data[[#This Row],[Closing Stock]]&lt;=Inventory_Data[[#This Row],[Reorder Level]],"Low Stock","In Stock")</f>
        <v>In Stock</v>
      </c>
      <c r="P2088" t="str">
        <f>TEXT(Inventory_Data[[#This Row],[Date]],"MMM")</f>
        <v>Mar</v>
      </c>
      <c r="Q2088" t="str">
        <f>TEXT(Inventory_Data[[#This Row],[Date]],"YYYY")</f>
        <v>2026</v>
      </c>
    </row>
    <row r="2089" spans="1:17" x14ac:dyDescent="0.3">
      <c r="A2089" s="1">
        <v>46102</v>
      </c>
      <c r="B2089" t="s">
        <v>42</v>
      </c>
      <c r="C2089" t="s">
        <v>17</v>
      </c>
      <c r="D2089" t="s">
        <v>23</v>
      </c>
      <c r="E2089" t="s">
        <v>34</v>
      </c>
      <c r="F2089">
        <v>58</v>
      </c>
      <c r="G2089">
        <v>51</v>
      </c>
      <c r="H2089">
        <v>40</v>
      </c>
      <c r="I2089">
        <v>69</v>
      </c>
      <c r="J2089">
        <v>27</v>
      </c>
      <c r="K2089">
        <v>13492</v>
      </c>
      <c r="L2089">
        <v>930948</v>
      </c>
      <c r="M2089">
        <f>Inventory_Data[[#This Row],[Opening Stock]]+Inventory_Data[[#This Row],[Purchase Qty]]-Inventory_Data[[#This Row],[Sales Qty]]-Inventory_Data[[#This Row],[Closing Stock]]</f>
        <v>0</v>
      </c>
      <c r="N2089">
        <f>Inventory_Data[[#This Row],[Purchase Qty]]*Inventory_Data[[#This Row],[Unit Cost]]</f>
        <v>688092</v>
      </c>
      <c r="O2089" t="str">
        <f>IF(Inventory_Data[[#This Row],[Closing Stock]]&lt;=Inventory_Data[[#This Row],[Reorder Level]],"Low Stock","In Stock")</f>
        <v>In Stock</v>
      </c>
      <c r="P2089" t="str">
        <f>TEXT(Inventory_Data[[#This Row],[Date]],"MMM")</f>
        <v>Mar</v>
      </c>
      <c r="Q2089" t="str">
        <f>TEXT(Inventory_Data[[#This Row],[Date]],"YYYY")</f>
        <v>2026</v>
      </c>
    </row>
    <row r="2090" spans="1:17" x14ac:dyDescent="0.3">
      <c r="A2090" s="1">
        <v>46102</v>
      </c>
      <c r="B2090" t="s">
        <v>30</v>
      </c>
      <c r="C2090" t="s">
        <v>28</v>
      </c>
      <c r="D2090" t="s">
        <v>23</v>
      </c>
      <c r="E2090" t="s">
        <v>18</v>
      </c>
      <c r="F2090">
        <v>125</v>
      </c>
      <c r="G2090">
        <v>78</v>
      </c>
      <c r="H2090">
        <v>15</v>
      </c>
      <c r="I2090">
        <v>188</v>
      </c>
      <c r="J2090">
        <v>23</v>
      </c>
      <c r="K2090">
        <v>7109</v>
      </c>
      <c r="L2090">
        <v>1336492</v>
      </c>
      <c r="M2090">
        <f>Inventory_Data[[#This Row],[Opening Stock]]+Inventory_Data[[#This Row],[Purchase Qty]]-Inventory_Data[[#This Row],[Sales Qty]]-Inventory_Data[[#This Row],[Closing Stock]]</f>
        <v>0</v>
      </c>
      <c r="N2090">
        <f>Inventory_Data[[#This Row],[Purchase Qty]]*Inventory_Data[[#This Row],[Unit Cost]]</f>
        <v>554502</v>
      </c>
      <c r="O2090" t="str">
        <f>IF(Inventory_Data[[#This Row],[Closing Stock]]&lt;=Inventory_Data[[#This Row],[Reorder Level]],"Low Stock","In Stock")</f>
        <v>In Stock</v>
      </c>
      <c r="P2090" t="str">
        <f>TEXT(Inventory_Data[[#This Row],[Date]],"MMM")</f>
        <v>Mar</v>
      </c>
      <c r="Q2090" t="str">
        <f>TEXT(Inventory_Data[[#This Row],[Date]],"YYYY")</f>
        <v>2026</v>
      </c>
    </row>
    <row r="2091" spans="1:17" x14ac:dyDescent="0.3">
      <c r="A2091" s="1">
        <v>46103</v>
      </c>
      <c r="B2091" t="s">
        <v>40</v>
      </c>
      <c r="C2091" t="s">
        <v>28</v>
      </c>
      <c r="D2091" t="s">
        <v>26</v>
      </c>
      <c r="E2091" t="s">
        <v>29</v>
      </c>
      <c r="F2091">
        <v>97</v>
      </c>
      <c r="G2091">
        <v>83</v>
      </c>
      <c r="H2091">
        <v>50</v>
      </c>
      <c r="I2091">
        <v>130</v>
      </c>
      <c r="J2091">
        <v>50</v>
      </c>
      <c r="K2091">
        <v>2732</v>
      </c>
      <c r="L2091">
        <v>355160</v>
      </c>
      <c r="M2091">
        <f>Inventory_Data[[#This Row],[Opening Stock]]+Inventory_Data[[#This Row],[Purchase Qty]]-Inventory_Data[[#This Row],[Sales Qty]]-Inventory_Data[[#This Row],[Closing Stock]]</f>
        <v>0</v>
      </c>
      <c r="N2091">
        <f>Inventory_Data[[#This Row],[Purchase Qty]]*Inventory_Data[[#This Row],[Unit Cost]]</f>
        <v>226756</v>
      </c>
      <c r="O2091" t="str">
        <f>IF(Inventory_Data[[#This Row],[Closing Stock]]&lt;=Inventory_Data[[#This Row],[Reorder Level]],"Low Stock","In Stock")</f>
        <v>In Stock</v>
      </c>
      <c r="P2091" t="str">
        <f>TEXT(Inventory_Data[[#This Row],[Date]],"MMM")</f>
        <v>Mar</v>
      </c>
      <c r="Q2091" t="str">
        <f>TEXT(Inventory_Data[[#This Row],[Date]],"YYYY")</f>
        <v>2026</v>
      </c>
    </row>
    <row r="2092" spans="1:17" x14ac:dyDescent="0.3">
      <c r="A2092" s="1">
        <v>46103</v>
      </c>
      <c r="B2092" t="s">
        <v>39</v>
      </c>
      <c r="C2092" t="s">
        <v>28</v>
      </c>
      <c r="D2092" t="s">
        <v>23</v>
      </c>
      <c r="E2092" t="s">
        <v>15</v>
      </c>
      <c r="F2092">
        <v>21</v>
      </c>
      <c r="G2092">
        <v>117</v>
      </c>
      <c r="H2092">
        <v>84</v>
      </c>
      <c r="I2092">
        <v>54</v>
      </c>
      <c r="J2092">
        <v>53</v>
      </c>
      <c r="K2092">
        <v>58162</v>
      </c>
      <c r="L2092">
        <v>3140748</v>
      </c>
      <c r="M2092">
        <f>Inventory_Data[[#This Row],[Opening Stock]]+Inventory_Data[[#This Row],[Purchase Qty]]-Inventory_Data[[#This Row],[Sales Qty]]-Inventory_Data[[#This Row],[Closing Stock]]</f>
        <v>0</v>
      </c>
      <c r="N2092">
        <f>Inventory_Data[[#This Row],[Purchase Qty]]*Inventory_Data[[#This Row],[Unit Cost]]</f>
        <v>6804954</v>
      </c>
      <c r="O2092" t="str">
        <f>IF(Inventory_Data[[#This Row],[Closing Stock]]&lt;=Inventory_Data[[#This Row],[Reorder Level]],"Low Stock","In Stock")</f>
        <v>In Stock</v>
      </c>
      <c r="P2092" t="str">
        <f>TEXT(Inventory_Data[[#This Row],[Date]],"MMM")</f>
        <v>Mar</v>
      </c>
      <c r="Q2092" t="str">
        <f>TEXT(Inventory_Data[[#This Row],[Date]],"YYYY")</f>
        <v>2026</v>
      </c>
    </row>
    <row r="2093" spans="1:17" x14ac:dyDescent="0.3">
      <c r="A2093" s="1">
        <v>46103</v>
      </c>
      <c r="B2093" t="s">
        <v>21</v>
      </c>
      <c r="C2093" t="s">
        <v>22</v>
      </c>
      <c r="D2093" t="s">
        <v>26</v>
      </c>
      <c r="E2093" t="s">
        <v>24</v>
      </c>
      <c r="F2093">
        <v>162</v>
      </c>
      <c r="G2093">
        <v>272</v>
      </c>
      <c r="H2093">
        <v>66</v>
      </c>
      <c r="I2093">
        <v>368</v>
      </c>
      <c r="J2093">
        <v>109</v>
      </c>
      <c r="K2093">
        <v>386</v>
      </c>
      <c r="L2093">
        <v>142048</v>
      </c>
      <c r="M2093">
        <f>Inventory_Data[[#This Row],[Opening Stock]]+Inventory_Data[[#This Row],[Purchase Qty]]-Inventory_Data[[#This Row],[Sales Qty]]-Inventory_Data[[#This Row],[Closing Stock]]</f>
        <v>0</v>
      </c>
      <c r="N2093">
        <f>Inventory_Data[[#This Row],[Purchase Qty]]*Inventory_Data[[#This Row],[Unit Cost]]</f>
        <v>104992</v>
      </c>
      <c r="O2093" t="str">
        <f>IF(Inventory_Data[[#This Row],[Closing Stock]]&lt;=Inventory_Data[[#This Row],[Reorder Level]],"Low Stock","In Stock")</f>
        <v>In Stock</v>
      </c>
      <c r="P2093" t="str">
        <f>TEXT(Inventory_Data[[#This Row],[Date]],"MMM")</f>
        <v>Mar</v>
      </c>
      <c r="Q2093" t="str">
        <f>TEXT(Inventory_Data[[#This Row],[Date]],"YYYY")</f>
        <v>2026</v>
      </c>
    </row>
    <row r="2094" spans="1:17" x14ac:dyDescent="0.3">
      <c r="A2094" s="1">
        <v>46103</v>
      </c>
      <c r="B2094" t="s">
        <v>32</v>
      </c>
      <c r="C2094" t="s">
        <v>28</v>
      </c>
      <c r="D2094" t="s">
        <v>26</v>
      </c>
      <c r="E2094" t="s">
        <v>29</v>
      </c>
      <c r="F2094">
        <v>44</v>
      </c>
      <c r="G2094">
        <v>107</v>
      </c>
      <c r="H2094">
        <v>16</v>
      </c>
      <c r="I2094">
        <v>135</v>
      </c>
      <c r="J2094">
        <v>28</v>
      </c>
      <c r="K2094">
        <v>56757</v>
      </c>
      <c r="L2094">
        <v>7662195</v>
      </c>
      <c r="M2094">
        <f>Inventory_Data[[#This Row],[Opening Stock]]+Inventory_Data[[#This Row],[Purchase Qty]]-Inventory_Data[[#This Row],[Sales Qty]]-Inventory_Data[[#This Row],[Closing Stock]]</f>
        <v>0</v>
      </c>
      <c r="N2094">
        <f>Inventory_Data[[#This Row],[Purchase Qty]]*Inventory_Data[[#This Row],[Unit Cost]]</f>
        <v>6072999</v>
      </c>
      <c r="O2094" t="str">
        <f>IF(Inventory_Data[[#This Row],[Closing Stock]]&lt;=Inventory_Data[[#This Row],[Reorder Level]],"Low Stock","In Stock")</f>
        <v>In Stock</v>
      </c>
      <c r="P2094" t="str">
        <f>TEXT(Inventory_Data[[#This Row],[Date]],"MMM")</f>
        <v>Mar</v>
      </c>
      <c r="Q2094" t="str">
        <f>TEXT(Inventory_Data[[#This Row],[Date]],"YYYY")</f>
        <v>2026</v>
      </c>
    </row>
    <row r="2095" spans="1:17" x14ac:dyDescent="0.3">
      <c r="A2095" s="1">
        <v>46103</v>
      </c>
      <c r="B2095" t="s">
        <v>19</v>
      </c>
      <c r="C2095" t="s">
        <v>13</v>
      </c>
      <c r="D2095" t="s">
        <v>26</v>
      </c>
      <c r="E2095" t="s">
        <v>34</v>
      </c>
      <c r="F2095">
        <v>72</v>
      </c>
      <c r="G2095">
        <v>26</v>
      </c>
      <c r="H2095">
        <v>50</v>
      </c>
      <c r="I2095">
        <v>48</v>
      </c>
      <c r="J2095">
        <v>39</v>
      </c>
      <c r="K2095">
        <v>16902</v>
      </c>
      <c r="L2095">
        <v>811296</v>
      </c>
      <c r="M2095">
        <f>Inventory_Data[[#This Row],[Opening Stock]]+Inventory_Data[[#This Row],[Purchase Qty]]-Inventory_Data[[#This Row],[Sales Qty]]-Inventory_Data[[#This Row],[Closing Stock]]</f>
        <v>0</v>
      </c>
      <c r="N2095">
        <f>Inventory_Data[[#This Row],[Purchase Qty]]*Inventory_Data[[#This Row],[Unit Cost]]</f>
        <v>439452</v>
      </c>
      <c r="O2095" t="str">
        <f>IF(Inventory_Data[[#This Row],[Closing Stock]]&lt;=Inventory_Data[[#This Row],[Reorder Level]],"Low Stock","In Stock")</f>
        <v>In Stock</v>
      </c>
      <c r="P2095" t="str">
        <f>TEXT(Inventory_Data[[#This Row],[Date]],"MMM")</f>
        <v>Mar</v>
      </c>
      <c r="Q2095" t="str">
        <f>TEXT(Inventory_Data[[#This Row],[Date]],"YYYY")</f>
        <v>2026</v>
      </c>
    </row>
    <row r="2096" spans="1:17" x14ac:dyDescent="0.3">
      <c r="A2096" s="1">
        <v>46104</v>
      </c>
      <c r="B2096" t="s">
        <v>31</v>
      </c>
      <c r="C2096" t="s">
        <v>22</v>
      </c>
      <c r="D2096" t="s">
        <v>23</v>
      </c>
      <c r="E2096" t="s">
        <v>34</v>
      </c>
      <c r="F2096">
        <v>439</v>
      </c>
      <c r="G2096">
        <v>189</v>
      </c>
      <c r="H2096">
        <v>52</v>
      </c>
      <c r="I2096">
        <v>576</v>
      </c>
      <c r="J2096">
        <v>51</v>
      </c>
      <c r="K2096">
        <v>273</v>
      </c>
      <c r="L2096">
        <v>157248</v>
      </c>
      <c r="M2096">
        <f>Inventory_Data[[#This Row],[Opening Stock]]+Inventory_Data[[#This Row],[Purchase Qty]]-Inventory_Data[[#This Row],[Sales Qty]]-Inventory_Data[[#This Row],[Closing Stock]]</f>
        <v>0</v>
      </c>
      <c r="N2096">
        <f>Inventory_Data[[#This Row],[Purchase Qty]]*Inventory_Data[[#This Row],[Unit Cost]]</f>
        <v>51597</v>
      </c>
      <c r="O2096" t="str">
        <f>IF(Inventory_Data[[#This Row],[Closing Stock]]&lt;=Inventory_Data[[#This Row],[Reorder Level]],"Low Stock","In Stock")</f>
        <v>In Stock</v>
      </c>
      <c r="P2096" t="str">
        <f>TEXT(Inventory_Data[[#This Row],[Date]],"MMM")</f>
        <v>Mar</v>
      </c>
      <c r="Q2096" t="str">
        <f>TEXT(Inventory_Data[[#This Row],[Date]],"YYYY")</f>
        <v>2026</v>
      </c>
    </row>
    <row r="2097" spans="1:17" x14ac:dyDescent="0.3">
      <c r="A2097" s="1">
        <v>46104</v>
      </c>
      <c r="B2097" t="s">
        <v>42</v>
      </c>
      <c r="C2097" t="s">
        <v>17</v>
      </c>
      <c r="D2097" t="s">
        <v>23</v>
      </c>
      <c r="E2097" t="s">
        <v>24</v>
      </c>
      <c r="F2097">
        <v>77</v>
      </c>
      <c r="G2097">
        <v>40</v>
      </c>
      <c r="H2097">
        <v>29</v>
      </c>
      <c r="I2097">
        <v>88</v>
      </c>
      <c r="J2097">
        <v>22</v>
      </c>
      <c r="K2097">
        <v>3988</v>
      </c>
      <c r="L2097">
        <v>350944</v>
      </c>
      <c r="M2097">
        <f>Inventory_Data[[#This Row],[Opening Stock]]+Inventory_Data[[#This Row],[Purchase Qty]]-Inventory_Data[[#This Row],[Sales Qty]]-Inventory_Data[[#This Row],[Closing Stock]]</f>
        <v>0</v>
      </c>
      <c r="N2097">
        <f>Inventory_Data[[#This Row],[Purchase Qty]]*Inventory_Data[[#This Row],[Unit Cost]]</f>
        <v>159520</v>
      </c>
      <c r="O2097" t="str">
        <f>IF(Inventory_Data[[#This Row],[Closing Stock]]&lt;=Inventory_Data[[#This Row],[Reorder Level]],"Low Stock","In Stock")</f>
        <v>In Stock</v>
      </c>
      <c r="P2097" t="str">
        <f>TEXT(Inventory_Data[[#This Row],[Date]],"MMM")</f>
        <v>Mar</v>
      </c>
      <c r="Q2097" t="str">
        <f>TEXT(Inventory_Data[[#This Row],[Date]],"YYYY")</f>
        <v>2026</v>
      </c>
    </row>
    <row r="2098" spans="1:17" x14ac:dyDescent="0.3">
      <c r="A2098" s="1">
        <v>46104</v>
      </c>
      <c r="B2098" t="s">
        <v>25</v>
      </c>
      <c r="C2098" t="s">
        <v>17</v>
      </c>
      <c r="D2098" t="s">
        <v>37</v>
      </c>
      <c r="E2098" t="s">
        <v>20</v>
      </c>
      <c r="F2098">
        <v>35</v>
      </c>
      <c r="G2098">
        <v>22</v>
      </c>
      <c r="H2098">
        <v>19</v>
      </c>
      <c r="I2098">
        <v>38</v>
      </c>
      <c r="J2098">
        <v>16</v>
      </c>
      <c r="K2098">
        <v>6676</v>
      </c>
      <c r="L2098">
        <v>253688</v>
      </c>
      <c r="M2098">
        <f>Inventory_Data[[#This Row],[Opening Stock]]+Inventory_Data[[#This Row],[Purchase Qty]]-Inventory_Data[[#This Row],[Sales Qty]]-Inventory_Data[[#This Row],[Closing Stock]]</f>
        <v>0</v>
      </c>
      <c r="N2098">
        <f>Inventory_Data[[#This Row],[Purchase Qty]]*Inventory_Data[[#This Row],[Unit Cost]]</f>
        <v>146872</v>
      </c>
      <c r="O2098" t="str">
        <f>IF(Inventory_Data[[#This Row],[Closing Stock]]&lt;=Inventory_Data[[#This Row],[Reorder Level]],"Low Stock","In Stock")</f>
        <v>In Stock</v>
      </c>
      <c r="P2098" t="str">
        <f>TEXT(Inventory_Data[[#This Row],[Date]],"MMM")</f>
        <v>Mar</v>
      </c>
      <c r="Q2098" t="str">
        <f>TEXT(Inventory_Data[[#This Row],[Date]],"YYYY")</f>
        <v>2026</v>
      </c>
    </row>
    <row r="2099" spans="1:17" x14ac:dyDescent="0.3">
      <c r="A2099" s="1">
        <v>46104</v>
      </c>
      <c r="B2099" t="s">
        <v>36</v>
      </c>
      <c r="C2099" t="s">
        <v>22</v>
      </c>
      <c r="D2099" t="s">
        <v>14</v>
      </c>
      <c r="E2099" t="s">
        <v>15</v>
      </c>
      <c r="F2099">
        <v>111</v>
      </c>
      <c r="G2099">
        <v>239</v>
      </c>
      <c r="H2099">
        <v>61</v>
      </c>
      <c r="I2099">
        <v>289</v>
      </c>
      <c r="J2099">
        <v>51</v>
      </c>
      <c r="K2099">
        <v>596</v>
      </c>
      <c r="L2099">
        <v>172244</v>
      </c>
      <c r="M2099">
        <f>Inventory_Data[[#This Row],[Opening Stock]]+Inventory_Data[[#This Row],[Purchase Qty]]-Inventory_Data[[#This Row],[Sales Qty]]-Inventory_Data[[#This Row],[Closing Stock]]</f>
        <v>0</v>
      </c>
      <c r="N2099">
        <f>Inventory_Data[[#This Row],[Purchase Qty]]*Inventory_Data[[#This Row],[Unit Cost]]</f>
        <v>142444</v>
      </c>
      <c r="O2099" t="str">
        <f>IF(Inventory_Data[[#This Row],[Closing Stock]]&lt;=Inventory_Data[[#This Row],[Reorder Level]],"Low Stock","In Stock")</f>
        <v>In Stock</v>
      </c>
      <c r="P2099" t="str">
        <f>TEXT(Inventory_Data[[#This Row],[Date]],"MMM")</f>
        <v>Mar</v>
      </c>
      <c r="Q2099" t="str">
        <f>TEXT(Inventory_Data[[#This Row],[Date]],"YYYY")</f>
        <v>2026</v>
      </c>
    </row>
    <row r="2100" spans="1:17" x14ac:dyDescent="0.3">
      <c r="A2100" s="1">
        <v>46104</v>
      </c>
      <c r="B2100" t="s">
        <v>38</v>
      </c>
      <c r="C2100" t="s">
        <v>17</v>
      </c>
      <c r="D2100" t="s">
        <v>37</v>
      </c>
      <c r="E2100" t="s">
        <v>34</v>
      </c>
      <c r="F2100">
        <v>99</v>
      </c>
      <c r="G2100">
        <v>50</v>
      </c>
      <c r="H2100">
        <v>28</v>
      </c>
      <c r="I2100">
        <v>121</v>
      </c>
      <c r="J2100">
        <v>29</v>
      </c>
      <c r="K2100">
        <v>13894</v>
      </c>
      <c r="L2100">
        <v>1681174</v>
      </c>
      <c r="M2100">
        <f>Inventory_Data[[#This Row],[Opening Stock]]+Inventory_Data[[#This Row],[Purchase Qty]]-Inventory_Data[[#This Row],[Sales Qty]]-Inventory_Data[[#This Row],[Closing Stock]]</f>
        <v>0</v>
      </c>
      <c r="N2100">
        <f>Inventory_Data[[#This Row],[Purchase Qty]]*Inventory_Data[[#This Row],[Unit Cost]]</f>
        <v>694700</v>
      </c>
      <c r="O2100" t="str">
        <f>IF(Inventory_Data[[#This Row],[Closing Stock]]&lt;=Inventory_Data[[#This Row],[Reorder Level]],"Low Stock","In Stock")</f>
        <v>In Stock</v>
      </c>
      <c r="P2100" t="str">
        <f>TEXT(Inventory_Data[[#This Row],[Date]],"MMM")</f>
        <v>Mar</v>
      </c>
      <c r="Q2100" t="str">
        <f>TEXT(Inventory_Data[[#This Row],[Date]],"YYYY")</f>
        <v>2026</v>
      </c>
    </row>
    <row r="2101" spans="1:17" x14ac:dyDescent="0.3">
      <c r="A2101" s="1">
        <v>46104</v>
      </c>
      <c r="B2101" t="s">
        <v>25</v>
      </c>
      <c r="C2101" t="s">
        <v>17</v>
      </c>
      <c r="D2101" t="s">
        <v>14</v>
      </c>
      <c r="E2101" t="s">
        <v>15</v>
      </c>
      <c r="F2101">
        <v>70</v>
      </c>
      <c r="G2101">
        <v>44</v>
      </c>
      <c r="H2101">
        <v>23</v>
      </c>
      <c r="I2101">
        <v>91</v>
      </c>
      <c r="J2101">
        <v>10</v>
      </c>
      <c r="K2101">
        <v>15246</v>
      </c>
      <c r="L2101">
        <v>1387386</v>
      </c>
      <c r="M2101">
        <f>Inventory_Data[[#This Row],[Opening Stock]]+Inventory_Data[[#This Row],[Purchase Qty]]-Inventory_Data[[#This Row],[Sales Qty]]-Inventory_Data[[#This Row],[Closing Stock]]</f>
        <v>0</v>
      </c>
      <c r="N2101">
        <f>Inventory_Data[[#This Row],[Purchase Qty]]*Inventory_Data[[#This Row],[Unit Cost]]</f>
        <v>670824</v>
      </c>
      <c r="O2101" t="str">
        <f>IF(Inventory_Data[[#This Row],[Closing Stock]]&lt;=Inventory_Data[[#This Row],[Reorder Level]],"Low Stock","In Stock")</f>
        <v>In Stock</v>
      </c>
      <c r="P2101" t="str">
        <f>TEXT(Inventory_Data[[#This Row],[Date]],"MMM")</f>
        <v>Mar</v>
      </c>
      <c r="Q2101" t="str">
        <f>TEXT(Inventory_Data[[#This Row],[Date]],"YYYY")</f>
        <v>2026</v>
      </c>
    </row>
    <row r="2102" spans="1:17" x14ac:dyDescent="0.3">
      <c r="A2102" s="1">
        <v>46105</v>
      </c>
      <c r="B2102" t="s">
        <v>16</v>
      </c>
      <c r="C2102" t="s">
        <v>17</v>
      </c>
      <c r="D2102" t="s">
        <v>37</v>
      </c>
      <c r="E2102" t="s">
        <v>34</v>
      </c>
      <c r="F2102">
        <v>97</v>
      </c>
      <c r="G2102">
        <v>49</v>
      </c>
      <c r="H2102">
        <v>36</v>
      </c>
      <c r="I2102">
        <v>110</v>
      </c>
      <c r="J2102">
        <v>15</v>
      </c>
      <c r="K2102">
        <v>2507</v>
      </c>
      <c r="L2102">
        <v>275770</v>
      </c>
      <c r="M2102">
        <f>Inventory_Data[[#This Row],[Opening Stock]]+Inventory_Data[[#This Row],[Purchase Qty]]-Inventory_Data[[#This Row],[Sales Qty]]-Inventory_Data[[#This Row],[Closing Stock]]</f>
        <v>0</v>
      </c>
      <c r="N2102">
        <f>Inventory_Data[[#This Row],[Purchase Qty]]*Inventory_Data[[#This Row],[Unit Cost]]</f>
        <v>122843</v>
      </c>
      <c r="O2102" t="str">
        <f>IF(Inventory_Data[[#This Row],[Closing Stock]]&lt;=Inventory_Data[[#This Row],[Reorder Level]],"Low Stock","In Stock")</f>
        <v>In Stock</v>
      </c>
      <c r="P2102" t="str">
        <f>TEXT(Inventory_Data[[#This Row],[Date]],"MMM")</f>
        <v>Mar</v>
      </c>
      <c r="Q2102" t="str">
        <f>TEXT(Inventory_Data[[#This Row],[Date]],"YYYY")</f>
        <v>2026</v>
      </c>
    </row>
    <row r="2103" spans="1:17" x14ac:dyDescent="0.3">
      <c r="A2103" s="1">
        <v>46105</v>
      </c>
      <c r="B2103" t="s">
        <v>40</v>
      </c>
      <c r="C2103" t="s">
        <v>28</v>
      </c>
      <c r="D2103" t="s">
        <v>26</v>
      </c>
      <c r="E2103" t="s">
        <v>24</v>
      </c>
      <c r="F2103">
        <v>165</v>
      </c>
      <c r="G2103">
        <v>13</v>
      </c>
      <c r="H2103">
        <v>21</v>
      </c>
      <c r="I2103">
        <v>157</v>
      </c>
      <c r="J2103">
        <v>33</v>
      </c>
      <c r="K2103">
        <v>6168</v>
      </c>
      <c r="L2103">
        <v>968376</v>
      </c>
      <c r="M2103">
        <f>Inventory_Data[[#This Row],[Opening Stock]]+Inventory_Data[[#This Row],[Purchase Qty]]-Inventory_Data[[#This Row],[Sales Qty]]-Inventory_Data[[#This Row],[Closing Stock]]</f>
        <v>0</v>
      </c>
      <c r="N2103">
        <f>Inventory_Data[[#This Row],[Purchase Qty]]*Inventory_Data[[#This Row],[Unit Cost]]</f>
        <v>80184</v>
      </c>
      <c r="O2103" t="str">
        <f>IF(Inventory_Data[[#This Row],[Closing Stock]]&lt;=Inventory_Data[[#This Row],[Reorder Level]],"Low Stock","In Stock")</f>
        <v>In Stock</v>
      </c>
      <c r="P2103" t="str">
        <f>TEXT(Inventory_Data[[#This Row],[Date]],"MMM")</f>
        <v>Mar</v>
      </c>
      <c r="Q2103" t="str">
        <f>TEXT(Inventory_Data[[#This Row],[Date]],"YYYY")</f>
        <v>2026</v>
      </c>
    </row>
    <row r="2104" spans="1:17" x14ac:dyDescent="0.3">
      <c r="A2104" s="1">
        <v>46106</v>
      </c>
      <c r="B2104" t="s">
        <v>25</v>
      </c>
      <c r="C2104" t="s">
        <v>17</v>
      </c>
      <c r="D2104" t="s">
        <v>14</v>
      </c>
      <c r="E2104" t="s">
        <v>29</v>
      </c>
      <c r="F2104">
        <v>68</v>
      </c>
      <c r="G2104">
        <v>18</v>
      </c>
      <c r="H2104">
        <v>37</v>
      </c>
      <c r="I2104">
        <v>49</v>
      </c>
      <c r="J2104">
        <v>18</v>
      </c>
      <c r="K2104">
        <v>19958</v>
      </c>
      <c r="L2104">
        <v>977942</v>
      </c>
      <c r="M2104">
        <f>Inventory_Data[[#This Row],[Opening Stock]]+Inventory_Data[[#This Row],[Purchase Qty]]-Inventory_Data[[#This Row],[Sales Qty]]-Inventory_Data[[#This Row],[Closing Stock]]</f>
        <v>0</v>
      </c>
      <c r="N2104">
        <f>Inventory_Data[[#This Row],[Purchase Qty]]*Inventory_Data[[#This Row],[Unit Cost]]</f>
        <v>359244</v>
      </c>
      <c r="O2104" t="str">
        <f>IF(Inventory_Data[[#This Row],[Closing Stock]]&lt;=Inventory_Data[[#This Row],[Reorder Level]],"Low Stock","In Stock")</f>
        <v>In Stock</v>
      </c>
      <c r="P2104" t="str">
        <f>TEXT(Inventory_Data[[#This Row],[Date]],"MMM")</f>
        <v>Mar</v>
      </c>
      <c r="Q2104" t="str">
        <f>TEXT(Inventory_Data[[#This Row],[Date]],"YYYY")</f>
        <v>2026</v>
      </c>
    </row>
    <row r="2105" spans="1:17" x14ac:dyDescent="0.3">
      <c r="A2105" s="1">
        <v>46106</v>
      </c>
      <c r="B2105" t="s">
        <v>42</v>
      </c>
      <c r="C2105" t="s">
        <v>17</v>
      </c>
      <c r="D2105" t="s">
        <v>14</v>
      </c>
      <c r="E2105" t="s">
        <v>34</v>
      </c>
      <c r="F2105">
        <v>84</v>
      </c>
      <c r="G2105">
        <v>7</v>
      </c>
      <c r="H2105">
        <v>24</v>
      </c>
      <c r="I2105">
        <v>67</v>
      </c>
      <c r="J2105">
        <v>13</v>
      </c>
      <c r="K2105">
        <v>19573</v>
      </c>
      <c r="L2105">
        <v>1311391</v>
      </c>
      <c r="M2105">
        <f>Inventory_Data[[#This Row],[Opening Stock]]+Inventory_Data[[#This Row],[Purchase Qty]]-Inventory_Data[[#This Row],[Sales Qty]]-Inventory_Data[[#This Row],[Closing Stock]]</f>
        <v>0</v>
      </c>
      <c r="N2105">
        <f>Inventory_Data[[#This Row],[Purchase Qty]]*Inventory_Data[[#This Row],[Unit Cost]]</f>
        <v>137011</v>
      </c>
      <c r="O2105" t="str">
        <f>IF(Inventory_Data[[#This Row],[Closing Stock]]&lt;=Inventory_Data[[#This Row],[Reorder Level]],"Low Stock","In Stock")</f>
        <v>In Stock</v>
      </c>
      <c r="P2105" t="str">
        <f>TEXT(Inventory_Data[[#This Row],[Date]],"MMM")</f>
        <v>Mar</v>
      </c>
      <c r="Q2105" t="str">
        <f>TEXT(Inventory_Data[[#This Row],[Date]],"YYYY")</f>
        <v>2026</v>
      </c>
    </row>
    <row r="2106" spans="1:17" x14ac:dyDescent="0.3">
      <c r="A2106" s="1">
        <v>46106</v>
      </c>
      <c r="B2106" t="s">
        <v>45</v>
      </c>
      <c r="C2106" t="s">
        <v>13</v>
      </c>
      <c r="D2106" t="s">
        <v>26</v>
      </c>
      <c r="E2106" t="s">
        <v>18</v>
      </c>
      <c r="F2106">
        <v>83</v>
      </c>
      <c r="G2106">
        <v>53</v>
      </c>
      <c r="H2106">
        <v>35</v>
      </c>
      <c r="I2106">
        <v>101</v>
      </c>
      <c r="J2106">
        <v>29</v>
      </c>
      <c r="K2106">
        <v>13367</v>
      </c>
      <c r="L2106">
        <v>1350067</v>
      </c>
      <c r="M2106">
        <f>Inventory_Data[[#This Row],[Opening Stock]]+Inventory_Data[[#This Row],[Purchase Qty]]-Inventory_Data[[#This Row],[Sales Qty]]-Inventory_Data[[#This Row],[Closing Stock]]</f>
        <v>0</v>
      </c>
      <c r="N2106">
        <f>Inventory_Data[[#This Row],[Purchase Qty]]*Inventory_Data[[#This Row],[Unit Cost]]</f>
        <v>708451</v>
      </c>
      <c r="O2106" t="str">
        <f>IF(Inventory_Data[[#This Row],[Closing Stock]]&lt;=Inventory_Data[[#This Row],[Reorder Level]],"Low Stock","In Stock")</f>
        <v>In Stock</v>
      </c>
      <c r="P2106" t="str">
        <f>TEXT(Inventory_Data[[#This Row],[Date]],"MMM")</f>
        <v>Mar</v>
      </c>
      <c r="Q2106" t="str">
        <f>TEXT(Inventory_Data[[#This Row],[Date]],"YYYY")</f>
        <v>2026</v>
      </c>
    </row>
    <row r="2107" spans="1:17" x14ac:dyDescent="0.3">
      <c r="A2107" s="1">
        <v>46106</v>
      </c>
      <c r="B2107" t="s">
        <v>40</v>
      </c>
      <c r="C2107" t="s">
        <v>28</v>
      </c>
      <c r="D2107" t="s">
        <v>14</v>
      </c>
      <c r="E2107" t="s">
        <v>29</v>
      </c>
      <c r="F2107">
        <v>136</v>
      </c>
      <c r="G2107">
        <v>35</v>
      </c>
      <c r="H2107">
        <v>12</v>
      </c>
      <c r="I2107">
        <v>159</v>
      </c>
      <c r="J2107">
        <v>35</v>
      </c>
      <c r="K2107">
        <v>42321</v>
      </c>
      <c r="L2107">
        <v>6729039</v>
      </c>
      <c r="M2107">
        <f>Inventory_Data[[#This Row],[Opening Stock]]+Inventory_Data[[#This Row],[Purchase Qty]]-Inventory_Data[[#This Row],[Sales Qty]]-Inventory_Data[[#This Row],[Closing Stock]]</f>
        <v>0</v>
      </c>
      <c r="N2107">
        <f>Inventory_Data[[#This Row],[Purchase Qty]]*Inventory_Data[[#This Row],[Unit Cost]]</f>
        <v>1481235</v>
      </c>
      <c r="O2107" t="str">
        <f>IF(Inventory_Data[[#This Row],[Closing Stock]]&lt;=Inventory_Data[[#This Row],[Reorder Level]],"Low Stock","In Stock")</f>
        <v>In Stock</v>
      </c>
      <c r="P2107" t="str">
        <f>TEXT(Inventory_Data[[#This Row],[Date]],"MMM")</f>
        <v>Mar</v>
      </c>
      <c r="Q2107" t="str">
        <f>TEXT(Inventory_Data[[#This Row],[Date]],"YYYY")</f>
        <v>2026</v>
      </c>
    </row>
    <row r="2108" spans="1:17" x14ac:dyDescent="0.3">
      <c r="A2108" s="1">
        <v>46106</v>
      </c>
      <c r="B2108" t="s">
        <v>25</v>
      </c>
      <c r="C2108" t="s">
        <v>17</v>
      </c>
      <c r="D2108" t="s">
        <v>37</v>
      </c>
      <c r="E2108" t="s">
        <v>18</v>
      </c>
      <c r="F2108">
        <v>38</v>
      </c>
      <c r="G2108">
        <v>49</v>
      </c>
      <c r="H2108">
        <v>4</v>
      </c>
      <c r="I2108">
        <v>83</v>
      </c>
      <c r="J2108">
        <v>24</v>
      </c>
      <c r="K2108">
        <v>22286</v>
      </c>
      <c r="L2108">
        <v>1849738</v>
      </c>
      <c r="M2108">
        <f>Inventory_Data[[#This Row],[Opening Stock]]+Inventory_Data[[#This Row],[Purchase Qty]]-Inventory_Data[[#This Row],[Sales Qty]]-Inventory_Data[[#This Row],[Closing Stock]]</f>
        <v>0</v>
      </c>
      <c r="N2108">
        <f>Inventory_Data[[#This Row],[Purchase Qty]]*Inventory_Data[[#This Row],[Unit Cost]]</f>
        <v>1092014</v>
      </c>
      <c r="O2108" t="str">
        <f>IF(Inventory_Data[[#This Row],[Closing Stock]]&lt;=Inventory_Data[[#This Row],[Reorder Level]],"Low Stock","In Stock")</f>
        <v>In Stock</v>
      </c>
      <c r="P2108" t="str">
        <f>TEXT(Inventory_Data[[#This Row],[Date]],"MMM")</f>
        <v>Mar</v>
      </c>
      <c r="Q2108" t="str">
        <f>TEXT(Inventory_Data[[#This Row],[Date]],"YYYY")</f>
        <v>2026</v>
      </c>
    </row>
    <row r="2109" spans="1:17" x14ac:dyDescent="0.3">
      <c r="A2109" s="1">
        <v>46107</v>
      </c>
      <c r="B2109" t="s">
        <v>45</v>
      </c>
      <c r="C2109" t="s">
        <v>13</v>
      </c>
      <c r="D2109" t="s">
        <v>14</v>
      </c>
      <c r="E2109" t="s">
        <v>15</v>
      </c>
      <c r="F2109">
        <v>89</v>
      </c>
      <c r="G2109">
        <v>66</v>
      </c>
      <c r="H2109">
        <v>32</v>
      </c>
      <c r="I2109">
        <v>123</v>
      </c>
      <c r="J2109">
        <v>32</v>
      </c>
      <c r="K2109">
        <v>13685</v>
      </c>
      <c r="L2109">
        <v>1683255</v>
      </c>
      <c r="M2109">
        <f>Inventory_Data[[#This Row],[Opening Stock]]+Inventory_Data[[#This Row],[Purchase Qty]]-Inventory_Data[[#This Row],[Sales Qty]]-Inventory_Data[[#This Row],[Closing Stock]]</f>
        <v>0</v>
      </c>
      <c r="N2109">
        <f>Inventory_Data[[#This Row],[Purchase Qty]]*Inventory_Data[[#This Row],[Unit Cost]]</f>
        <v>903210</v>
      </c>
      <c r="O2109" t="str">
        <f>IF(Inventory_Data[[#This Row],[Closing Stock]]&lt;=Inventory_Data[[#This Row],[Reorder Level]],"Low Stock","In Stock")</f>
        <v>In Stock</v>
      </c>
      <c r="P2109" t="str">
        <f>TEXT(Inventory_Data[[#This Row],[Date]],"MMM")</f>
        <v>Mar</v>
      </c>
      <c r="Q2109" t="str">
        <f>TEXT(Inventory_Data[[#This Row],[Date]],"YYYY")</f>
        <v>2026</v>
      </c>
    </row>
    <row r="2110" spans="1:17" x14ac:dyDescent="0.3">
      <c r="A2110" s="1">
        <v>46107</v>
      </c>
      <c r="B2110" t="s">
        <v>39</v>
      </c>
      <c r="C2110" t="s">
        <v>28</v>
      </c>
      <c r="D2110" t="s">
        <v>14</v>
      </c>
      <c r="E2110" t="s">
        <v>34</v>
      </c>
      <c r="F2110">
        <v>92</v>
      </c>
      <c r="G2110">
        <v>82</v>
      </c>
      <c r="H2110">
        <v>44</v>
      </c>
      <c r="I2110">
        <v>130</v>
      </c>
      <c r="J2110">
        <v>20</v>
      </c>
      <c r="K2110">
        <v>38704</v>
      </c>
      <c r="L2110">
        <v>5031520</v>
      </c>
      <c r="M2110">
        <f>Inventory_Data[[#This Row],[Opening Stock]]+Inventory_Data[[#This Row],[Purchase Qty]]-Inventory_Data[[#This Row],[Sales Qty]]-Inventory_Data[[#This Row],[Closing Stock]]</f>
        <v>0</v>
      </c>
      <c r="N2110">
        <f>Inventory_Data[[#This Row],[Purchase Qty]]*Inventory_Data[[#This Row],[Unit Cost]]</f>
        <v>3173728</v>
      </c>
      <c r="O2110" t="str">
        <f>IF(Inventory_Data[[#This Row],[Closing Stock]]&lt;=Inventory_Data[[#This Row],[Reorder Level]],"Low Stock","In Stock")</f>
        <v>In Stock</v>
      </c>
      <c r="P2110" t="str">
        <f>TEXT(Inventory_Data[[#This Row],[Date]],"MMM")</f>
        <v>Mar</v>
      </c>
      <c r="Q2110" t="str">
        <f>TEXT(Inventory_Data[[#This Row],[Date]],"YYYY")</f>
        <v>2026</v>
      </c>
    </row>
    <row r="2111" spans="1:17" x14ac:dyDescent="0.3">
      <c r="A2111" s="1">
        <v>46108</v>
      </c>
      <c r="B2111" t="s">
        <v>45</v>
      </c>
      <c r="C2111" t="s">
        <v>13</v>
      </c>
      <c r="D2111" t="s">
        <v>37</v>
      </c>
      <c r="E2111" t="s">
        <v>29</v>
      </c>
      <c r="F2111">
        <v>59</v>
      </c>
      <c r="G2111">
        <v>17</v>
      </c>
      <c r="H2111">
        <v>52</v>
      </c>
      <c r="I2111">
        <v>24</v>
      </c>
      <c r="J2111">
        <v>34</v>
      </c>
      <c r="K2111">
        <v>10135</v>
      </c>
      <c r="L2111">
        <v>243240</v>
      </c>
      <c r="M2111">
        <f>Inventory_Data[[#This Row],[Opening Stock]]+Inventory_Data[[#This Row],[Purchase Qty]]-Inventory_Data[[#This Row],[Sales Qty]]-Inventory_Data[[#This Row],[Closing Stock]]</f>
        <v>0</v>
      </c>
      <c r="N2111">
        <f>Inventory_Data[[#This Row],[Purchase Qty]]*Inventory_Data[[#This Row],[Unit Cost]]</f>
        <v>172295</v>
      </c>
      <c r="O2111" t="str">
        <f>IF(Inventory_Data[[#This Row],[Closing Stock]]&lt;=Inventory_Data[[#This Row],[Reorder Level]],"Low Stock","In Stock")</f>
        <v>Low Stock</v>
      </c>
      <c r="P2111" t="str">
        <f>TEXT(Inventory_Data[[#This Row],[Date]],"MMM")</f>
        <v>Mar</v>
      </c>
      <c r="Q2111" t="str">
        <f>TEXT(Inventory_Data[[#This Row],[Date]],"YYYY")</f>
        <v>2026</v>
      </c>
    </row>
    <row r="2112" spans="1:17" x14ac:dyDescent="0.3">
      <c r="A2112" s="1">
        <v>46108</v>
      </c>
      <c r="B2112" t="s">
        <v>32</v>
      </c>
      <c r="C2112" t="s">
        <v>28</v>
      </c>
      <c r="D2112" t="s">
        <v>26</v>
      </c>
      <c r="E2112" t="s">
        <v>18</v>
      </c>
      <c r="F2112">
        <v>26</v>
      </c>
      <c r="G2112">
        <v>67</v>
      </c>
      <c r="H2112">
        <v>53</v>
      </c>
      <c r="I2112">
        <v>40</v>
      </c>
      <c r="J2112">
        <v>20</v>
      </c>
      <c r="K2112">
        <v>46982</v>
      </c>
      <c r="L2112">
        <v>1879280</v>
      </c>
      <c r="M2112">
        <f>Inventory_Data[[#This Row],[Opening Stock]]+Inventory_Data[[#This Row],[Purchase Qty]]-Inventory_Data[[#This Row],[Sales Qty]]-Inventory_Data[[#This Row],[Closing Stock]]</f>
        <v>0</v>
      </c>
      <c r="N2112">
        <f>Inventory_Data[[#This Row],[Purchase Qty]]*Inventory_Data[[#This Row],[Unit Cost]]</f>
        <v>3147794</v>
      </c>
      <c r="O2112" t="str">
        <f>IF(Inventory_Data[[#This Row],[Closing Stock]]&lt;=Inventory_Data[[#This Row],[Reorder Level]],"Low Stock","In Stock")</f>
        <v>In Stock</v>
      </c>
      <c r="P2112" t="str">
        <f>TEXT(Inventory_Data[[#This Row],[Date]],"MMM")</f>
        <v>Mar</v>
      </c>
      <c r="Q2112" t="str">
        <f>TEXT(Inventory_Data[[#This Row],[Date]],"YYYY")</f>
        <v>2026</v>
      </c>
    </row>
    <row r="2113" spans="1:17" x14ac:dyDescent="0.3">
      <c r="A2113" s="1">
        <v>46108</v>
      </c>
      <c r="B2113" t="s">
        <v>19</v>
      </c>
      <c r="C2113" t="s">
        <v>13</v>
      </c>
      <c r="D2113" t="s">
        <v>23</v>
      </c>
      <c r="E2113" t="s">
        <v>20</v>
      </c>
      <c r="F2113">
        <v>101</v>
      </c>
      <c r="G2113">
        <v>30</v>
      </c>
      <c r="H2113">
        <v>63</v>
      </c>
      <c r="I2113">
        <v>68</v>
      </c>
      <c r="J2113">
        <v>15</v>
      </c>
      <c r="K2113">
        <v>3559</v>
      </c>
      <c r="L2113">
        <v>242012</v>
      </c>
      <c r="M2113">
        <f>Inventory_Data[[#This Row],[Opening Stock]]+Inventory_Data[[#This Row],[Purchase Qty]]-Inventory_Data[[#This Row],[Sales Qty]]-Inventory_Data[[#This Row],[Closing Stock]]</f>
        <v>0</v>
      </c>
      <c r="N2113">
        <f>Inventory_Data[[#This Row],[Purchase Qty]]*Inventory_Data[[#This Row],[Unit Cost]]</f>
        <v>106770</v>
      </c>
      <c r="O2113" t="str">
        <f>IF(Inventory_Data[[#This Row],[Closing Stock]]&lt;=Inventory_Data[[#This Row],[Reorder Level]],"Low Stock","In Stock")</f>
        <v>In Stock</v>
      </c>
      <c r="P2113" t="str">
        <f>TEXT(Inventory_Data[[#This Row],[Date]],"MMM")</f>
        <v>Mar</v>
      </c>
      <c r="Q2113" t="str">
        <f>TEXT(Inventory_Data[[#This Row],[Date]],"YYYY")</f>
        <v>2026</v>
      </c>
    </row>
    <row r="2114" spans="1:17" x14ac:dyDescent="0.3">
      <c r="A2114" s="1">
        <v>46109</v>
      </c>
      <c r="B2114" t="s">
        <v>16</v>
      </c>
      <c r="C2114" t="s">
        <v>17</v>
      </c>
      <c r="D2114" t="s">
        <v>37</v>
      </c>
      <c r="E2114" t="s">
        <v>29</v>
      </c>
      <c r="F2114">
        <v>88</v>
      </c>
      <c r="G2114">
        <v>24</v>
      </c>
      <c r="H2114">
        <v>21</v>
      </c>
      <c r="I2114">
        <v>91</v>
      </c>
      <c r="J2114">
        <v>19</v>
      </c>
      <c r="K2114">
        <v>12625</v>
      </c>
      <c r="L2114">
        <v>1148875</v>
      </c>
      <c r="M2114">
        <f>Inventory_Data[[#This Row],[Opening Stock]]+Inventory_Data[[#This Row],[Purchase Qty]]-Inventory_Data[[#This Row],[Sales Qty]]-Inventory_Data[[#This Row],[Closing Stock]]</f>
        <v>0</v>
      </c>
      <c r="N2114">
        <f>Inventory_Data[[#This Row],[Purchase Qty]]*Inventory_Data[[#This Row],[Unit Cost]]</f>
        <v>303000</v>
      </c>
      <c r="O2114" t="str">
        <f>IF(Inventory_Data[[#This Row],[Closing Stock]]&lt;=Inventory_Data[[#This Row],[Reorder Level]],"Low Stock","In Stock")</f>
        <v>In Stock</v>
      </c>
      <c r="P2114" t="str">
        <f>TEXT(Inventory_Data[[#This Row],[Date]],"MMM")</f>
        <v>Mar</v>
      </c>
      <c r="Q2114" t="str">
        <f>TEXT(Inventory_Data[[#This Row],[Date]],"YYYY")</f>
        <v>2026</v>
      </c>
    </row>
    <row r="2115" spans="1:17" x14ac:dyDescent="0.3">
      <c r="A2115" s="1">
        <v>46109</v>
      </c>
      <c r="B2115" t="s">
        <v>21</v>
      </c>
      <c r="C2115" t="s">
        <v>22</v>
      </c>
      <c r="D2115" t="s">
        <v>37</v>
      </c>
      <c r="E2115" t="s">
        <v>24</v>
      </c>
      <c r="F2115">
        <v>198</v>
      </c>
      <c r="G2115">
        <v>133</v>
      </c>
      <c r="H2115">
        <v>252</v>
      </c>
      <c r="I2115">
        <v>79</v>
      </c>
      <c r="J2115">
        <v>61</v>
      </c>
      <c r="K2115">
        <v>729</v>
      </c>
      <c r="L2115">
        <v>57591</v>
      </c>
      <c r="M2115">
        <f>Inventory_Data[[#This Row],[Opening Stock]]+Inventory_Data[[#This Row],[Purchase Qty]]-Inventory_Data[[#This Row],[Sales Qty]]-Inventory_Data[[#This Row],[Closing Stock]]</f>
        <v>0</v>
      </c>
      <c r="N2115">
        <f>Inventory_Data[[#This Row],[Purchase Qty]]*Inventory_Data[[#This Row],[Unit Cost]]</f>
        <v>96957</v>
      </c>
      <c r="O2115" t="str">
        <f>IF(Inventory_Data[[#This Row],[Closing Stock]]&lt;=Inventory_Data[[#This Row],[Reorder Level]],"Low Stock","In Stock")</f>
        <v>In Stock</v>
      </c>
      <c r="P2115" t="str">
        <f>TEXT(Inventory_Data[[#This Row],[Date]],"MMM")</f>
        <v>Mar</v>
      </c>
      <c r="Q2115" t="str">
        <f>TEXT(Inventory_Data[[#This Row],[Date]],"YYYY")</f>
        <v>2026</v>
      </c>
    </row>
    <row r="2116" spans="1:17" x14ac:dyDescent="0.3">
      <c r="A2116" s="1">
        <v>46110</v>
      </c>
      <c r="B2116" t="s">
        <v>41</v>
      </c>
      <c r="C2116" t="s">
        <v>22</v>
      </c>
      <c r="D2116" t="s">
        <v>26</v>
      </c>
      <c r="E2116" t="s">
        <v>15</v>
      </c>
      <c r="F2116">
        <v>382</v>
      </c>
      <c r="G2116">
        <v>237</v>
      </c>
      <c r="H2116">
        <v>115</v>
      </c>
      <c r="I2116">
        <v>504</v>
      </c>
      <c r="J2116">
        <v>79</v>
      </c>
      <c r="K2116">
        <v>465</v>
      </c>
      <c r="L2116">
        <v>234360</v>
      </c>
      <c r="M2116">
        <f>Inventory_Data[[#This Row],[Opening Stock]]+Inventory_Data[[#This Row],[Purchase Qty]]-Inventory_Data[[#This Row],[Sales Qty]]-Inventory_Data[[#This Row],[Closing Stock]]</f>
        <v>0</v>
      </c>
      <c r="N2116">
        <f>Inventory_Data[[#This Row],[Purchase Qty]]*Inventory_Data[[#This Row],[Unit Cost]]</f>
        <v>110205</v>
      </c>
      <c r="O2116" t="str">
        <f>IF(Inventory_Data[[#This Row],[Closing Stock]]&lt;=Inventory_Data[[#This Row],[Reorder Level]],"Low Stock","In Stock")</f>
        <v>In Stock</v>
      </c>
      <c r="P2116" t="str">
        <f>TEXT(Inventory_Data[[#This Row],[Date]],"MMM")</f>
        <v>Mar</v>
      </c>
      <c r="Q2116" t="str">
        <f>TEXT(Inventory_Data[[#This Row],[Date]],"YYYY")</f>
        <v>2026</v>
      </c>
    </row>
    <row r="2117" spans="1:17" x14ac:dyDescent="0.3">
      <c r="A2117" s="1">
        <v>46110</v>
      </c>
      <c r="B2117" t="s">
        <v>38</v>
      </c>
      <c r="C2117" t="s">
        <v>17</v>
      </c>
      <c r="D2117" t="s">
        <v>23</v>
      </c>
      <c r="E2117" t="s">
        <v>34</v>
      </c>
      <c r="F2117">
        <v>56</v>
      </c>
      <c r="G2117">
        <v>16</v>
      </c>
      <c r="H2117">
        <v>33</v>
      </c>
      <c r="I2117">
        <v>39</v>
      </c>
      <c r="J2117">
        <v>26</v>
      </c>
      <c r="K2117">
        <v>19962</v>
      </c>
      <c r="L2117">
        <v>778518</v>
      </c>
      <c r="M2117">
        <f>Inventory_Data[[#This Row],[Opening Stock]]+Inventory_Data[[#This Row],[Purchase Qty]]-Inventory_Data[[#This Row],[Sales Qty]]-Inventory_Data[[#This Row],[Closing Stock]]</f>
        <v>0</v>
      </c>
      <c r="N2117">
        <f>Inventory_Data[[#This Row],[Purchase Qty]]*Inventory_Data[[#This Row],[Unit Cost]]</f>
        <v>319392</v>
      </c>
      <c r="O2117" t="str">
        <f>IF(Inventory_Data[[#This Row],[Closing Stock]]&lt;=Inventory_Data[[#This Row],[Reorder Level]],"Low Stock","In Stock")</f>
        <v>In Stock</v>
      </c>
      <c r="P2117" t="str">
        <f>TEXT(Inventory_Data[[#This Row],[Date]],"MMM")</f>
        <v>Mar</v>
      </c>
      <c r="Q2117" t="str">
        <f>TEXT(Inventory_Data[[#This Row],[Date]],"YYYY")</f>
        <v>2026</v>
      </c>
    </row>
    <row r="2118" spans="1:17" x14ac:dyDescent="0.3">
      <c r="A2118" s="1">
        <v>46110</v>
      </c>
      <c r="B2118" t="s">
        <v>35</v>
      </c>
      <c r="C2118" t="s">
        <v>22</v>
      </c>
      <c r="D2118" t="s">
        <v>23</v>
      </c>
      <c r="E2118" t="s">
        <v>18</v>
      </c>
      <c r="F2118">
        <v>432</v>
      </c>
      <c r="G2118">
        <v>299</v>
      </c>
      <c r="H2118">
        <v>57</v>
      </c>
      <c r="I2118">
        <v>674</v>
      </c>
      <c r="J2118">
        <v>130</v>
      </c>
      <c r="K2118">
        <v>336</v>
      </c>
      <c r="L2118">
        <v>226464</v>
      </c>
      <c r="M2118">
        <f>Inventory_Data[[#This Row],[Opening Stock]]+Inventory_Data[[#This Row],[Purchase Qty]]-Inventory_Data[[#This Row],[Sales Qty]]-Inventory_Data[[#This Row],[Closing Stock]]</f>
        <v>0</v>
      </c>
      <c r="N2118">
        <f>Inventory_Data[[#This Row],[Purchase Qty]]*Inventory_Data[[#This Row],[Unit Cost]]</f>
        <v>100464</v>
      </c>
      <c r="O2118" t="str">
        <f>IF(Inventory_Data[[#This Row],[Closing Stock]]&lt;=Inventory_Data[[#This Row],[Reorder Level]],"Low Stock","In Stock")</f>
        <v>In Stock</v>
      </c>
      <c r="P2118" t="str">
        <f>TEXT(Inventory_Data[[#This Row],[Date]],"MMM")</f>
        <v>Mar</v>
      </c>
      <c r="Q2118" t="str">
        <f>TEXT(Inventory_Data[[#This Row],[Date]],"YYYY")</f>
        <v>2026</v>
      </c>
    </row>
    <row r="2119" spans="1:17" x14ac:dyDescent="0.3">
      <c r="A2119" s="1">
        <v>46110</v>
      </c>
      <c r="B2119" t="s">
        <v>43</v>
      </c>
      <c r="C2119" t="s">
        <v>22</v>
      </c>
      <c r="D2119" t="s">
        <v>23</v>
      </c>
      <c r="E2119" t="s">
        <v>18</v>
      </c>
      <c r="F2119">
        <v>453</v>
      </c>
      <c r="G2119">
        <v>269</v>
      </c>
      <c r="H2119">
        <v>235</v>
      </c>
      <c r="I2119">
        <v>487</v>
      </c>
      <c r="J2119">
        <v>131</v>
      </c>
      <c r="K2119">
        <v>67</v>
      </c>
      <c r="L2119">
        <v>32629</v>
      </c>
      <c r="M2119">
        <f>Inventory_Data[[#This Row],[Opening Stock]]+Inventory_Data[[#This Row],[Purchase Qty]]-Inventory_Data[[#This Row],[Sales Qty]]-Inventory_Data[[#This Row],[Closing Stock]]</f>
        <v>0</v>
      </c>
      <c r="N2119">
        <f>Inventory_Data[[#This Row],[Purchase Qty]]*Inventory_Data[[#This Row],[Unit Cost]]</f>
        <v>18023</v>
      </c>
      <c r="O2119" t="str">
        <f>IF(Inventory_Data[[#This Row],[Closing Stock]]&lt;=Inventory_Data[[#This Row],[Reorder Level]],"Low Stock","In Stock")</f>
        <v>In Stock</v>
      </c>
      <c r="P2119" t="str">
        <f>TEXT(Inventory_Data[[#This Row],[Date]],"MMM")</f>
        <v>Mar</v>
      </c>
      <c r="Q2119" t="str">
        <f>TEXT(Inventory_Data[[#This Row],[Date]],"YYYY")</f>
        <v>2026</v>
      </c>
    </row>
    <row r="2120" spans="1:17" x14ac:dyDescent="0.3">
      <c r="A2120" s="1">
        <v>46111</v>
      </c>
      <c r="B2120" t="s">
        <v>38</v>
      </c>
      <c r="C2120" t="s">
        <v>17</v>
      </c>
      <c r="D2120" t="s">
        <v>14</v>
      </c>
      <c r="E2120" t="s">
        <v>34</v>
      </c>
      <c r="F2120">
        <v>68</v>
      </c>
      <c r="G2120">
        <v>36</v>
      </c>
      <c r="H2120">
        <v>22</v>
      </c>
      <c r="I2120">
        <v>82</v>
      </c>
      <c r="J2120">
        <v>11</v>
      </c>
      <c r="K2120">
        <v>11139</v>
      </c>
      <c r="L2120">
        <v>913398</v>
      </c>
      <c r="M2120">
        <f>Inventory_Data[[#This Row],[Opening Stock]]+Inventory_Data[[#This Row],[Purchase Qty]]-Inventory_Data[[#This Row],[Sales Qty]]-Inventory_Data[[#This Row],[Closing Stock]]</f>
        <v>0</v>
      </c>
      <c r="N2120">
        <f>Inventory_Data[[#This Row],[Purchase Qty]]*Inventory_Data[[#This Row],[Unit Cost]]</f>
        <v>401004</v>
      </c>
      <c r="O2120" t="str">
        <f>IF(Inventory_Data[[#This Row],[Closing Stock]]&lt;=Inventory_Data[[#This Row],[Reorder Level]],"Low Stock","In Stock")</f>
        <v>In Stock</v>
      </c>
      <c r="P2120" t="str">
        <f>TEXT(Inventory_Data[[#This Row],[Date]],"MMM")</f>
        <v>Mar</v>
      </c>
      <c r="Q2120" t="str">
        <f>TEXT(Inventory_Data[[#This Row],[Date]],"YYYY")</f>
        <v>2026</v>
      </c>
    </row>
    <row r="2121" spans="1:17" x14ac:dyDescent="0.3">
      <c r="A2121" s="1">
        <v>46111</v>
      </c>
      <c r="B2121" t="s">
        <v>31</v>
      </c>
      <c r="C2121" t="s">
        <v>22</v>
      </c>
      <c r="D2121" t="s">
        <v>23</v>
      </c>
      <c r="E2121" t="s">
        <v>24</v>
      </c>
      <c r="F2121">
        <v>210</v>
      </c>
      <c r="G2121">
        <v>258</v>
      </c>
      <c r="H2121">
        <v>243</v>
      </c>
      <c r="I2121">
        <v>225</v>
      </c>
      <c r="J2121">
        <v>126</v>
      </c>
      <c r="K2121">
        <v>1132</v>
      </c>
      <c r="L2121">
        <v>254700</v>
      </c>
      <c r="M2121">
        <f>Inventory_Data[[#This Row],[Opening Stock]]+Inventory_Data[[#This Row],[Purchase Qty]]-Inventory_Data[[#This Row],[Sales Qty]]-Inventory_Data[[#This Row],[Closing Stock]]</f>
        <v>0</v>
      </c>
      <c r="N2121">
        <f>Inventory_Data[[#This Row],[Purchase Qty]]*Inventory_Data[[#This Row],[Unit Cost]]</f>
        <v>292056</v>
      </c>
      <c r="O2121" t="str">
        <f>IF(Inventory_Data[[#This Row],[Closing Stock]]&lt;=Inventory_Data[[#This Row],[Reorder Level]],"Low Stock","In Stock")</f>
        <v>In Stock</v>
      </c>
      <c r="P2121" t="str">
        <f>TEXT(Inventory_Data[[#This Row],[Date]],"MMM")</f>
        <v>Mar</v>
      </c>
      <c r="Q2121" t="str">
        <f>TEXT(Inventory_Data[[#This Row],[Date]],"YYYY")</f>
        <v>2026</v>
      </c>
    </row>
    <row r="2122" spans="1:17" x14ac:dyDescent="0.3">
      <c r="A2122" s="1">
        <v>46111</v>
      </c>
      <c r="B2122" t="s">
        <v>44</v>
      </c>
      <c r="C2122" t="s">
        <v>28</v>
      </c>
      <c r="D2122" t="s">
        <v>37</v>
      </c>
      <c r="E2122" t="s">
        <v>24</v>
      </c>
      <c r="F2122">
        <v>170</v>
      </c>
      <c r="G2122">
        <v>49</v>
      </c>
      <c r="H2122">
        <v>67</v>
      </c>
      <c r="I2122">
        <v>152</v>
      </c>
      <c r="J2122">
        <v>34</v>
      </c>
      <c r="K2122">
        <v>64929</v>
      </c>
      <c r="L2122">
        <v>9869208</v>
      </c>
      <c r="M2122">
        <f>Inventory_Data[[#This Row],[Opening Stock]]+Inventory_Data[[#This Row],[Purchase Qty]]-Inventory_Data[[#This Row],[Sales Qty]]-Inventory_Data[[#This Row],[Closing Stock]]</f>
        <v>0</v>
      </c>
      <c r="N2122">
        <f>Inventory_Data[[#This Row],[Purchase Qty]]*Inventory_Data[[#This Row],[Unit Cost]]</f>
        <v>3181521</v>
      </c>
      <c r="O2122" t="str">
        <f>IF(Inventory_Data[[#This Row],[Closing Stock]]&lt;=Inventory_Data[[#This Row],[Reorder Level]],"Low Stock","In Stock")</f>
        <v>In Stock</v>
      </c>
      <c r="P2122" t="str">
        <f>TEXT(Inventory_Data[[#This Row],[Date]],"MMM")</f>
        <v>Mar</v>
      </c>
      <c r="Q2122" t="str">
        <f>TEXT(Inventory_Data[[#This Row],[Date]],"YYYY")</f>
        <v>2026</v>
      </c>
    </row>
    <row r="2123" spans="1:17" x14ac:dyDescent="0.3">
      <c r="A2123" s="1">
        <v>46112</v>
      </c>
      <c r="B2123" t="s">
        <v>38</v>
      </c>
      <c r="C2123" t="s">
        <v>17</v>
      </c>
      <c r="D2123" t="s">
        <v>37</v>
      </c>
      <c r="E2123" t="s">
        <v>20</v>
      </c>
      <c r="F2123">
        <v>43</v>
      </c>
      <c r="G2123">
        <v>46</v>
      </c>
      <c r="H2123">
        <v>20</v>
      </c>
      <c r="I2123">
        <v>69</v>
      </c>
      <c r="J2123">
        <v>18</v>
      </c>
      <c r="K2123">
        <v>3605</v>
      </c>
      <c r="L2123">
        <v>248745</v>
      </c>
      <c r="M2123">
        <f>Inventory_Data[[#This Row],[Opening Stock]]+Inventory_Data[[#This Row],[Purchase Qty]]-Inventory_Data[[#This Row],[Sales Qty]]-Inventory_Data[[#This Row],[Closing Stock]]</f>
        <v>0</v>
      </c>
      <c r="N2123">
        <f>Inventory_Data[[#This Row],[Purchase Qty]]*Inventory_Data[[#This Row],[Unit Cost]]</f>
        <v>165830</v>
      </c>
      <c r="O2123" t="str">
        <f>IF(Inventory_Data[[#This Row],[Closing Stock]]&lt;=Inventory_Data[[#This Row],[Reorder Level]],"Low Stock","In Stock")</f>
        <v>In Stock</v>
      </c>
      <c r="P2123" t="str">
        <f>TEXT(Inventory_Data[[#This Row],[Date]],"MMM")</f>
        <v>Mar</v>
      </c>
      <c r="Q2123" t="str">
        <f>TEXT(Inventory_Data[[#This Row],[Date]],"YYYY")</f>
        <v>2026</v>
      </c>
    </row>
    <row r="2124" spans="1:17" x14ac:dyDescent="0.3">
      <c r="A2124" s="1">
        <v>46112</v>
      </c>
      <c r="B2124" t="s">
        <v>44</v>
      </c>
      <c r="C2124" t="s">
        <v>28</v>
      </c>
      <c r="D2124" t="s">
        <v>23</v>
      </c>
      <c r="E2124" t="s">
        <v>29</v>
      </c>
      <c r="F2124">
        <v>108</v>
      </c>
      <c r="G2124">
        <v>94</v>
      </c>
      <c r="H2124">
        <v>19</v>
      </c>
      <c r="I2124">
        <v>183</v>
      </c>
      <c r="J2124">
        <v>31</v>
      </c>
      <c r="K2124">
        <v>24416</v>
      </c>
      <c r="L2124">
        <v>4468128</v>
      </c>
      <c r="M2124">
        <f>Inventory_Data[[#This Row],[Opening Stock]]+Inventory_Data[[#This Row],[Purchase Qty]]-Inventory_Data[[#This Row],[Sales Qty]]-Inventory_Data[[#This Row],[Closing Stock]]</f>
        <v>0</v>
      </c>
      <c r="N2124">
        <f>Inventory_Data[[#This Row],[Purchase Qty]]*Inventory_Data[[#This Row],[Unit Cost]]</f>
        <v>2295104</v>
      </c>
      <c r="O2124" t="str">
        <f>IF(Inventory_Data[[#This Row],[Closing Stock]]&lt;=Inventory_Data[[#This Row],[Reorder Level]],"Low Stock","In Stock")</f>
        <v>In Stock</v>
      </c>
      <c r="P2124" t="str">
        <f>TEXT(Inventory_Data[[#This Row],[Date]],"MMM")</f>
        <v>Mar</v>
      </c>
      <c r="Q2124" t="str">
        <f>TEXT(Inventory_Data[[#This Row],[Date]],"YYYY")</f>
        <v>2026</v>
      </c>
    </row>
    <row r="2125" spans="1:17" x14ac:dyDescent="0.3">
      <c r="A2125" s="1">
        <v>46112</v>
      </c>
      <c r="B2125" t="s">
        <v>31</v>
      </c>
      <c r="C2125" t="s">
        <v>22</v>
      </c>
      <c r="D2125" t="s">
        <v>14</v>
      </c>
      <c r="E2125" t="s">
        <v>24</v>
      </c>
      <c r="F2125">
        <v>443</v>
      </c>
      <c r="G2125">
        <v>144</v>
      </c>
      <c r="H2125">
        <v>237</v>
      </c>
      <c r="I2125">
        <v>350</v>
      </c>
      <c r="J2125">
        <v>139</v>
      </c>
      <c r="K2125">
        <v>853</v>
      </c>
      <c r="L2125">
        <v>298550</v>
      </c>
      <c r="M2125">
        <f>Inventory_Data[[#This Row],[Opening Stock]]+Inventory_Data[[#This Row],[Purchase Qty]]-Inventory_Data[[#This Row],[Sales Qty]]-Inventory_Data[[#This Row],[Closing Stock]]</f>
        <v>0</v>
      </c>
      <c r="N2125">
        <f>Inventory_Data[[#This Row],[Purchase Qty]]*Inventory_Data[[#This Row],[Unit Cost]]</f>
        <v>122832</v>
      </c>
      <c r="O2125" t="str">
        <f>IF(Inventory_Data[[#This Row],[Closing Stock]]&lt;=Inventory_Data[[#This Row],[Reorder Level]],"Low Stock","In Stock")</f>
        <v>In Stock</v>
      </c>
      <c r="P2125" t="str">
        <f>TEXT(Inventory_Data[[#This Row],[Date]],"MMM")</f>
        <v>Mar</v>
      </c>
      <c r="Q2125" t="str">
        <f>TEXT(Inventory_Data[[#This Row],[Date]],"YYYY")</f>
        <v>2026</v>
      </c>
    </row>
    <row r="2126" spans="1:17" x14ac:dyDescent="0.3">
      <c r="A2126" s="1">
        <v>46112</v>
      </c>
      <c r="B2126" t="s">
        <v>32</v>
      </c>
      <c r="C2126" t="s">
        <v>28</v>
      </c>
      <c r="D2126" t="s">
        <v>23</v>
      </c>
      <c r="E2126" t="s">
        <v>34</v>
      </c>
      <c r="F2126">
        <v>179</v>
      </c>
      <c r="G2126">
        <v>13</v>
      </c>
      <c r="H2126">
        <v>24</v>
      </c>
      <c r="I2126">
        <v>168</v>
      </c>
      <c r="J2126">
        <v>55</v>
      </c>
      <c r="K2126">
        <v>11537</v>
      </c>
      <c r="L2126">
        <v>1938216</v>
      </c>
      <c r="M2126">
        <f>Inventory_Data[[#This Row],[Opening Stock]]+Inventory_Data[[#This Row],[Purchase Qty]]-Inventory_Data[[#This Row],[Sales Qty]]-Inventory_Data[[#This Row],[Closing Stock]]</f>
        <v>0</v>
      </c>
      <c r="N2126">
        <f>Inventory_Data[[#This Row],[Purchase Qty]]*Inventory_Data[[#This Row],[Unit Cost]]</f>
        <v>149981</v>
      </c>
      <c r="O2126" t="str">
        <f>IF(Inventory_Data[[#This Row],[Closing Stock]]&lt;=Inventory_Data[[#This Row],[Reorder Level]],"Low Stock","In Stock")</f>
        <v>In Stock</v>
      </c>
      <c r="P2126" t="str">
        <f>TEXT(Inventory_Data[[#This Row],[Date]],"MMM")</f>
        <v>Mar</v>
      </c>
      <c r="Q2126" t="str">
        <f>TEXT(Inventory_Data[[#This Row],[Date]],"YYYY")</f>
        <v>2026</v>
      </c>
    </row>
    <row r="2127" spans="1:17" x14ac:dyDescent="0.3">
      <c r="A2127" s="1">
        <v>46113</v>
      </c>
      <c r="B2127" t="s">
        <v>33</v>
      </c>
      <c r="C2127" t="s">
        <v>13</v>
      </c>
      <c r="D2127" t="s">
        <v>37</v>
      </c>
      <c r="E2127" t="s">
        <v>34</v>
      </c>
      <c r="F2127">
        <v>36</v>
      </c>
      <c r="G2127">
        <v>30</v>
      </c>
      <c r="H2127">
        <v>28</v>
      </c>
      <c r="I2127">
        <v>38</v>
      </c>
      <c r="J2127">
        <v>34</v>
      </c>
      <c r="K2127">
        <v>4890</v>
      </c>
      <c r="L2127">
        <v>185820</v>
      </c>
      <c r="M2127">
        <f>Inventory_Data[[#This Row],[Opening Stock]]+Inventory_Data[[#This Row],[Purchase Qty]]-Inventory_Data[[#This Row],[Sales Qty]]-Inventory_Data[[#This Row],[Closing Stock]]</f>
        <v>0</v>
      </c>
      <c r="N2127">
        <f>Inventory_Data[[#This Row],[Purchase Qty]]*Inventory_Data[[#This Row],[Unit Cost]]</f>
        <v>146700</v>
      </c>
      <c r="O2127" t="str">
        <f>IF(Inventory_Data[[#This Row],[Closing Stock]]&lt;=Inventory_Data[[#This Row],[Reorder Level]],"Low Stock","In Stock")</f>
        <v>In Stock</v>
      </c>
      <c r="P2127" t="str">
        <f>TEXT(Inventory_Data[[#This Row],[Date]],"MMM")</f>
        <v>Apr</v>
      </c>
      <c r="Q2127" t="str">
        <f>TEXT(Inventory_Data[[#This Row],[Date]],"YYYY")</f>
        <v>2026</v>
      </c>
    </row>
    <row r="2128" spans="1:17" x14ac:dyDescent="0.3">
      <c r="A2128" s="1">
        <v>46113</v>
      </c>
      <c r="B2128" t="s">
        <v>19</v>
      </c>
      <c r="C2128" t="s">
        <v>13</v>
      </c>
      <c r="D2128" t="s">
        <v>26</v>
      </c>
      <c r="E2128" t="s">
        <v>29</v>
      </c>
      <c r="F2128">
        <v>117</v>
      </c>
      <c r="G2128">
        <v>36</v>
      </c>
      <c r="H2128">
        <v>35</v>
      </c>
      <c r="I2128">
        <v>118</v>
      </c>
      <c r="J2128">
        <v>26</v>
      </c>
      <c r="K2128">
        <v>11723</v>
      </c>
      <c r="L2128">
        <v>1383314</v>
      </c>
      <c r="M2128">
        <f>Inventory_Data[[#This Row],[Opening Stock]]+Inventory_Data[[#This Row],[Purchase Qty]]-Inventory_Data[[#This Row],[Sales Qty]]-Inventory_Data[[#This Row],[Closing Stock]]</f>
        <v>0</v>
      </c>
      <c r="N2128">
        <f>Inventory_Data[[#This Row],[Purchase Qty]]*Inventory_Data[[#This Row],[Unit Cost]]</f>
        <v>422028</v>
      </c>
      <c r="O2128" t="str">
        <f>IF(Inventory_Data[[#This Row],[Closing Stock]]&lt;=Inventory_Data[[#This Row],[Reorder Level]],"Low Stock","In Stock")</f>
        <v>In Stock</v>
      </c>
      <c r="P2128" t="str">
        <f>TEXT(Inventory_Data[[#This Row],[Date]],"MMM")</f>
        <v>Apr</v>
      </c>
      <c r="Q2128" t="str">
        <f>TEXT(Inventory_Data[[#This Row],[Date]],"YYYY")</f>
        <v>2026</v>
      </c>
    </row>
    <row r="2129" spans="1:17" x14ac:dyDescent="0.3">
      <c r="A2129" s="1">
        <v>46113</v>
      </c>
      <c r="B2129" t="s">
        <v>19</v>
      </c>
      <c r="C2129" t="s">
        <v>13</v>
      </c>
      <c r="D2129" t="s">
        <v>23</v>
      </c>
      <c r="E2129" t="s">
        <v>15</v>
      </c>
      <c r="F2129">
        <v>58</v>
      </c>
      <c r="G2129">
        <v>51</v>
      </c>
      <c r="H2129">
        <v>62</v>
      </c>
      <c r="I2129">
        <v>47</v>
      </c>
      <c r="J2129">
        <v>26</v>
      </c>
      <c r="K2129">
        <v>5387</v>
      </c>
      <c r="L2129">
        <v>253189</v>
      </c>
      <c r="M2129">
        <f>Inventory_Data[[#This Row],[Opening Stock]]+Inventory_Data[[#This Row],[Purchase Qty]]-Inventory_Data[[#This Row],[Sales Qty]]-Inventory_Data[[#This Row],[Closing Stock]]</f>
        <v>0</v>
      </c>
      <c r="N2129">
        <f>Inventory_Data[[#This Row],[Purchase Qty]]*Inventory_Data[[#This Row],[Unit Cost]]</f>
        <v>274737</v>
      </c>
      <c r="O2129" t="str">
        <f>IF(Inventory_Data[[#This Row],[Closing Stock]]&lt;=Inventory_Data[[#This Row],[Reorder Level]],"Low Stock","In Stock")</f>
        <v>In Stock</v>
      </c>
      <c r="P2129" t="str">
        <f>TEXT(Inventory_Data[[#This Row],[Date]],"MMM")</f>
        <v>Apr</v>
      </c>
      <c r="Q2129" t="str">
        <f>TEXT(Inventory_Data[[#This Row],[Date]],"YYYY")</f>
        <v>2026</v>
      </c>
    </row>
    <row r="2130" spans="1:17" x14ac:dyDescent="0.3">
      <c r="A2130" s="1">
        <v>46113</v>
      </c>
      <c r="B2130" t="s">
        <v>44</v>
      </c>
      <c r="C2130" t="s">
        <v>28</v>
      </c>
      <c r="D2130" t="s">
        <v>14</v>
      </c>
      <c r="E2130" t="s">
        <v>24</v>
      </c>
      <c r="F2130">
        <v>162</v>
      </c>
      <c r="G2130">
        <v>88</v>
      </c>
      <c r="H2130">
        <v>54</v>
      </c>
      <c r="I2130">
        <v>196</v>
      </c>
      <c r="J2130">
        <v>41</v>
      </c>
      <c r="K2130">
        <v>6150</v>
      </c>
      <c r="L2130">
        <v>1205400</v>
      </c>
      <c r="M2130">
        <f>Inventory_Data[[#This Row],[Opening Stock]]+Inventory_Data[[#This Row],[Purchase Qty]]-Inventory_Data[[#This Row],[Sales Qty]]-Inventory_Data[[#This Row],[Closing Stock]]</f>
        <v>0</v>
      </c>
      <c r="N2130">
        <f>Inventory_Data[[#This Row],[Purchase Qty]]*Inventory_Data[[#This Row],[Unit Cost]]</f>
        <v>541200</v>
      </c>
      <c r="O2130" t="str">
        <f>IF(Inventory_Data[[#This Row],[Closing Stock]]&lt;=Inventory_Data[[#This Row],[Reorder Level]],"Low Stock","In Stock")</f>
        <v>In Stock</v>
      </c>
      <c r="P2130" t="str">
        <f>TEXT(Inventory_Data[[#This Row],[Date]],"MMM")</f>
        <v>Apr</v>
      </c>
      <c r="Q2130" t="str">
        <f>TEXT(Inventory_Data[[#This Row],[Date]],"YYYY")</f>
        <v>2026</v>
      </c>
    </row>
    <row r="2131" spans="1:17" x14ac:dyDescent="0.3">
      <c r="A2131" s="1">
        <v>46113</v>
      </c>
      <c r="B2131" t="s">
        <v>33</v>
      </c>
      <c r="C2131" t="s">
        <v>13</v>
      </c>
      <c r="D2131" t="s">
        <v>14</v>
      </c>
      <c r="E2131" t="s">
        <v>18</v>
      </c>
      <c r="F2131">
        <v>36</v>
      </c>
      <c r="G2131">
        <v>58</v>
      </c>
      <c r="H2131">
        <v>7</v>
      </c>
      <c r="I2131">
        <v>87</v>
      </c>
      <c r="J2131">
        <v>19</v>
      </c>
      <c r="K2131">
        <v>9548</v>
      </c>
      <c r="L2131">
        <v>830676</v>
      </c>
      <c r="M2131">
        <f>Inventory_Data[[#This Row],[Opening Stock]]+Inventory_Data[[#This Row],[Purchase Qty]]-Inventory_Data[[#This Row],[Sales Qty]]-Inventory_Data[[#This Row],[Closing Stock]]</f>
        <v>0</v>
      </c>
      <c r="N2131">
        <f>Inventory_Data[[#This Row],[Purchase Qty]]*Inventory_Data[[#This Row],[Unit Cost]]</f>
        <v>553784</v>
      </c>
      <c r="O2131" t="str">
        <f>IF(Inventory_Data[[#This Row],[Closing Stock]]&lt;=Inventory_Data[[#This Row],[Reorder Level]],"Low Stock","In Stock")</f>
        <v>In Stock</v>
      </c>
      <c r="P2131" t="str">
        <f>TEXT(Inventory_Data[[#This Row],[Date]],"MMM")</f>
        <v>Apr</v>
      </c>
      <c r="Q2131" t="str">
        <f>TEXT(Inventory_Data[[#This Row],[Date]],"YYYY")</f>
        <v>2026</v>
      </c>
    </row>
    <row r="2132" spans="1:17" x14ac:dyDescent="0.3">
      <c r="A2132" s="1">
        <v>46113</v>
      </c>
      <c r="B2132" t="s">
        <v>42</v>
      </c>
      <c r="C2132" t="s">
        <v>17</v>
      </c>
      <c r="D2132" t="s">
        <v>37</v>
      </c>
      <c r="E2132" t="s">
        <v>29</v>
      </c>
      <c r="F2132">
        <v>36</v>
      </c>
      <c r="G2132">
        <v>13</v>
      </c>
      <c r="H2132">
        <v>38</v>
      </c>
      <c r="I2132">
        <v>11</v>
      </c>
      <c r="J2132">
        <v>21</v>
      </c>
      <c r="K2132">
        <v>15045</v>
      </c>
      <c r="L2132">
        <v>165495</v>
      </c>
      <c r="M2132">
        <f>Inventory_Data[[#This Row],[Opening Stock]]+Inventory_Data[[#This Row],[Purchase Qty]]-Inventory_Data[[#This Row],[Sales Qty]]-Inventory_Data[[#This Row],[Closing Stock]]</f>
        <v>0</v>
      </c>
      <c r="N2132">
        <f>Inventory_Data[[#This Row],[Purchase Qty]]*Inventory_Data[[#This Row],[Unit Cost]]</f>
        <v>195585</v>
      </c>
      <c r="O2132" t="str">
        <f>IF(Inventory_Data[[#This Row],[Closing Stock]]&lt;=Inventory_Data[[#This Row],[Reorder Level]],"Low Stock","In Stock")</f>
        <v>Low Stock</v>
      </c>
      <c r="P2132" t="str">
        <f>TEXT(Inventory_Data[[#This Row],[Date]],"MMM")</f>
        <v>Apr</v>
      </c>
      <c r="Q2132" t="str">
        <f>TEXT(Inventory_Data[[#This Row],[Date]],"YYYY")</f>
        <v>2026</v>
      </c>
    </row>
    <row r="2133" spans="1:17" x14ac:dyDescent="0.3">
      <c r="A2133" s="1">
        <v>46114</v>
      </c>
      <c r="B2133" t="s">
        <v>25</v>
      </c>
      <c r="C2133" t="s">
        <v>17</v>
      </c>
      <c r="D2133" t="s">
        <v>26</v>
      </c>
      <c r="E2133" t="s">
        <v>34</v>
      </c>
      <c r="F2133">
        <v>48</v>
      </c>
      <c r="G2133">
        <v>40</v>
      </c>
      <c r="H2133">
        <v>37</v>
      </c>
      <c r="I2133">
        <v>51</v>
      </c>
      <c r="J2133">
        <v>28</v>
      </c>
      <c r="K2133">
        <v>4123</v>
      </c>
      <c r="L2133">
        <v>210273</v>
      </c>
      <c r="M2133">
        <f>Inventory_Data[[#This Row],[Opening Stock]]+Inventory_Data[[#This Row],[Purchase Qty]]-Inventory_Data[[#This Row],[Sales Qty]]-Inventory_Data[[#This Row],[Closing Stock]]</f>
        <v>0</v>
      </c>
      <c r="N2133">
        <f>Inventory_Data[[#This Row],[Purchase Qty]]*Inventory_Data[[#This Row],[Unit Cost]]</f>
        <v>164920</v>
      </c>
      <c r="O2133" t="str">
        <f>IF(Inventory_Data[[#This Row],[Closing Stock]]&lt;=Inventory_Data[[#This Row],[Reorder Level]],"Low Stock","In Stock")</f>
        <v>In Stock</v>
      </c>
      <c r="P2133" t="str">
        <f>TEXT(Inventory_Data[[#This Row],[Date]],"MMM")</f>
        <v>Apr</v>
      </c>
      <c r="Q2133" t="str">
        <f>TEXT(Inventory_Data[[#This Row],[Date]],"YYYY")</f>
        <v>2026</v>
      </c>
    </row>
    <row r="2134" spans="1:17" x14ac:dyDescent="0.3">
      <c r="A2134" s="1">
        <v>46114</v>
      </c>
      <c r="B2134" t="s">
        <v>39</v>
      </c>
      <c r="C2134" t="s">
        <v>28</v>
      </c>
      <c r="D2134" t="s">
        <v>23</v>
      </c>
      <c r="E2134" t="s">
        <v>24</v>
      </c>
      <c r="F2134">
        <v>113</v>
      </c>
      <c r="G2134">
        <v>88</v>
      </c>
      <c r="H2134">
        <v>55</v>
      </c>
      <c r="I2134">
        <v>146</v>
      </c>
      <c r="J2134">
        <v>34</v>
      </c>
      <c r="K2134">
        <v>64724</v>
      </c>
      <c r="L2134">
        <v>9449704</v>
      </c>
      <c r="M2134">
        <f>Inventory_Data[[#This Row],[Opening Stock]]+Inventory_Data[[#This Row],[Purchase Qty]]-Inventory_Data[[#This Row],[Sales Qty]]-Inventory_Data[[#This Row],[Closing Stock]]</f>
        <v>0</v>
      </c>
      <c r="N2134">
        <f>Inventory_Data[[#This Row],[Purchase Qty]]*Inventory_Data[[#This Row],[Unit Cost]]</f>
        <v>5695712</v>
      </c>
      <c r="O2134" t="str">
        <f>IF(Inventory_Data[[#This Row],[Closing Stock]]&lt;=Inventory_Data[[#This Row],[Reorder Level]],"Low Stock","In Stock")</f>
        <v>In Stock</v>
      </c>
      <c r="P2134" t="str">
        <f>TEXT(Inventory_Data[[#This Row],[Date]],"MMM")</f>
        <v>Apr</v>
      </c>
      <c r="Q2134" t="str">
        <f>TEXT(Inventory_Data[[#This Row],[Date]],"YYYY")</f>
        <v>2026</v>
      </c>
    </row>
    <row r="2135" spans="1:17" x14ac:dyDescent="0.3">
      <c r="A2135" s="1">
        <v>46114</v>
      </c>
      <c r="B2135" t="s">
        <v>33</v>
      </c>
      <c r="C2135" t="s">
        <v>13</v>
      </c>
      <c r="D2135" t="s">
        <v>26</v>
      </c>
      <c r="E2135" t="s">
        <v>15</v>
      </c>
      <c r="F2135">
        <v>21</v>
      </c>
      <c r="G2135">
        <v>12</v>
      </c>
      <c r="H2135">
        <v>33</v>
      </c>
      <c r="I2135">
        <v>0</v>
      </c>
      <c r="J2135">
        <v>22</v>
      </c>
      <c r="K2135">
        <v>8932</v>
      </c>
      <c r="L2135">
        <v>0</v>
      </c>
      <c r="M2135">
        <f>Inventory_Data[[#This Row],[Opening Stock]]+Inventory_Data[[#This Row],[Purchase Qty]]-Inventory_Data[[#This Row],[Sales Qty]]-Inventory_Data[[#This Row],[Closing Stock]]</f>
        <v>0</v>
      </c>
      <c r="N2135">
        <f>Inventory_Data[[#This Row],[Purchase Qty]]*Inventory_Data[[#This Row],[Unit Cost]]</f>
        <v>107184</v>
      </c>
      <c r="O2135" t="str">
        <f>IF(Inventory_Data[[#This Row],[Closing Stock]]&lt;=Inventory_Data[[#This Row],[Reorder Level]],"Low Stock","In Stock")</f>
        <v>Low Stock</v>
      </c>
      <c r="P2135" t="str">
        <f>TEXT(Inventory_Data[[#This Row],[Date]],"MMM")</f>
        <v>Apr</v>
      </c>
      <c r="Q2135" t="str">
        <f>TEXT(Inventory_Data[[#This Row],[Date]],"YYYY")</f>
        <v>2026</v>
      </c>
    </row>
    <row r="2136" spans="1:17" x14ac:dyDescent="0.3">
      <c r="A2136" s="1">
        <v>46114</v>
      </c>
      <c r="B2136" t="s">
        <v>19</v>
      </c>
      <c r="C2136" t="s">
        <v>13</v>
      </c>
      <c r="D2136" t="s">
        <v>14</v>
      </c>
      <c r="E2136" t="s">
        <v>20</v>
      </c>
      <c r="F2136">
        <v>106</v>
      </c>
      <c r="G2136">
        <v>76</v>
      </c>
      <c r="H2136">
        <v>33</v>
      </c>
      <c r="I2136">
        <v>149</v>
      </c>
      <c r="J2136">
        <v>36</v>
      </c>
      <c r="K2136">
        <v>8643</v>
      </c>
      <c r="L2136">
        <v>1287807</v>
      </c>
      <c r="M2136">
        <f>Inventory_Data[[#This Row],[Opening Stock]]+Inventory_Data[[#This Row],[Purchase Qty]]-Inventory_Data[[#This Row],[Sales Qty]]-Inventory_Data[[#This Row],[Closing Stock]]</f>
        <v>0</v>
      </c>
      <c r="N2136">
        <f>Inventory_Data[[#This Row],[Purchase Qty]]*Inventory_Data[[#This Row],[Unit Cost]]</f>
        <v>656868</v>
      </c>
      <c r="O2136" t="str">
        <f>IF(Inventory_Data[[#This Row],[Closing Stock]]&lt;=Inventory_Data[[#This Row],[Reorder Level]],"Low Stock","In Stock")</f>
        <v>In Stock</v>
      </c>
      <c r="P2136" t="str">
        <f>TEXT(Inventory_Data[[#This Row],[Date]],"MMM")</f>
        <v>Apr</v>
      </c>
      <c r="Q2136" t="str">
        <f>TEXT(Inventory_Data[[#This Row],[Date]],"YYYY")</f>
        <v>2026</v>
      </c>
    </row>
    <row r="2137" spans="1:17" x14ac:dyDescent="0.3">
      <c r="A2137" s="1">
        <v>46114</v>
      </c>
      <c r="B2137" t="s">
        <v>40</v>
      </c>
      <c r="C2137" t="s">
        <v>28</v>
      </c>
      <c r="D2137" t="s">
        <v>37</v>
      </c>
      <c r="E2137" t="s">
        <v>34</v>
      </c>
      <c r="F2137">
        <v>91</v>
      </c>
      <c r="G2137">
        <v>98</v>
      </c>
      <c r="H2137">
        <v>99</v>
      </c>
      <c r="I2137">
        <v>90</v>
      </c>
      <c r="J2137">
        <v>23</v>
      </c>
      <c r="K2137">
        <v>17737</v>
      </c>
      <c r="L2137">
        <v>1596330</v>
      </c>
      <c r="M2137">
        <f>Inventory_Data[[#This Row],[Opening Stock]]+Inventory_Data[[#This Row],[Purchase Qty]]-Inventory_Data[[#This Row],[Sales Qty]]-Inventory_Data[[#This Row],[Closing Stock]]</f>
        <v>0</v>
      </c>
      <c r="N2137">
        <f>Inventory_Data[[#This Row],[Purchase Qty]]*Inventory_Data[[#This Row],[Unit Cost]]</f>
        <v>1738226</v>
      </c>
      <c r="O2137" t="str">
        <f>IF(Inventory_Data[[#This Row],[Closing Stock]]&lt;=Inventory_Data[[#This Row],[Reorder Level]],"Low Stock","In Stock")</f>
        <v>In Stock</v>
      </c>
      <c r="P2137" t="str">
        <f>TEXT(Inventory_Data[[#This Row],[Date]],"MMM")</f>
        <v>Apr</v>
      </c>
      <c r="Q2137" t="str">
        <f>TEXT(Inventory_Data[[#This Row],[Date]],"YYYY")</f>
        <v>2026</v>
      </c>
    </row>
    <row r="2138" spans="1:17" x14ac:dyDescent="0.3">
      <c r="A2138" s="1">
        <v>46114</v>
      </c>
      <c r="B2138" t="s">
        <v>27</v>
      </c>
      <c r="C2138" t="s">
        <v>28</v>
      </c>
      <c r="D2138" t="s">
        <v>26</v>
      </c>
      <c r="E2138" t="s">
        <v>20</v>
      </c>
      <c r="F2138">
        <v>171</v>
      </c>
      <c r="G2138">
        <v>73</v>
      </c>
      <c r="H2138">
        <v>53</v>
      </c>
      <c r="I2138">
        <v>191</v>
      </c>
      <c r="J2138">
        <v>55</v>
      </c>
      <c r="K2138">
        <v>18306</v>
      </c>
      <c r="L2138">
        <v>3496446</v>
      </c>
      <c r="M2138">
        <f>Inventory_Data[[#This Row],[Opening Stock]]+Inventory_Data[[#This Row],[Purchase Qty]]-Inventory_Data[[#This Row],[Sales Qty]]-Inventory_Data[[#This Row],[Closing Stock]]</f>
        <v>0</v>
      </c>
      <c r="N2138">
        <f>Inventory_Data[[#This Row],[Purchase Qty]]*Inventory_Data[[#This Row],[Unit Cost]]</f>
        <v>1336338</v>
      </c>
      <c r="O2138" t="str">
        <f>IF(Inventory_Data[[#This Row],[Closing Stock]]&lt;=Inventory_Data[[#This Row],[Reorder Level]],"Low Stock","In Stock")</f>
        <v>In Stock</v>
      </c>
      <c r="P2138" t="str">
        <f>TEXT(Inventory_Data[[#This Row],[Date]],"MMM")</f>
        <v>Apr</v>
      </c>
      <c r="Q2138" t="str">
        <f>TEXT(Inventory_Data[[#This Row],[Date]],"YYYY")</f>
        <v>2026</v>
      </c>
    </row>
    <row r="2139" spans="1:17" x14ac:dyDescent="0.3">
      <c r="A2139" s="1">
        <v>46115</v>
      </c>
      <c r="B2139" t="s">
        <v>31</v>
      </c>
      <c r="C2139" t="s">
        <v>22</v>
      </c>
      <c r="D2139" t="s">
        <v>26</v>
      </c>
      <c r="E2139" t="s">
        <v>34</v>
      </c>
      <c r="F2139">
        <v>236</v>
      </c>
      <c r="G2139">
        <v>37</v>
      </c>
      <c r="H2139">
        <v>62</v>
      </c>
      <c r="I2139">
        <v>211</v>
      </c>
      <c r="J2139">
        <v>58</v>
      </c>
      <c r="K2139">
        <v>410</v>
      </c>
      <c r="L2139">
        <v>86510</v>
      </c>
      <c r="M2139">
        <f>Inventory_Data[[#This Row],[Opening Stock]]+Inventory_Data[[#This Row],[Purchase Qty]]-Inventory_Data[[#This Row],[Sales Qty]]-Inventory_Data[[#This Row],[Closing Stock]]</f>
        <v>0</v>
      </c>
      <c r="N2139">
        <f>Inventory_Data[[#This Row],[Purchase Qty]]*Inventory_Data[[#This Row],[Unit Cost]]</f>
        <v>15170</v>
      </c>
      <c r="O2139" t="str">
        <f>IF(Inventory_Data[[#This Row],[Closing Stock]]&lt;=Inventory_Data[[#This Row],[Reorder Level]],"Low Stock","In Stock")</f>
        <v>In Stock</v>
      </c>
      <c r="P2139" t="str">
        <f>TEXT(Inventory_Data[[#This Row],[Date]],"MMM")</f>
        <v>Apr</v>
      </c>
      <c r="Q2139" t="str">
        <f>TEXT(Inventory_Data[[#This Row],[Date]],"YYYY")</f>
        <v>2026</v>
      </c>
    </row>
    <row r="2140" spans="1:17" x14ac:dyDescent="0.3">
      <c r="A2140" s="1">
        <v>46115</v>
      </c>
      <c r="B2140" t="s">
        <v>30</v>
      </c>
      <c r="C2140" t="s">
        <v>28</v>
      </c>
      <c r="D2140" t="s">
        <v>23</v>
      </c>
      <c r="E2140" t="s">
        <v>34</v>
      </c>
      <c r="F2140">
        <v>129</v>
      </c>
      <c r="G2140">
        <v>43</v>
      </c>
      <c r="H2140">
        <v>91</v>
      </c>
      <c r="I2140">
        <v>81</v>
      </c>
      <c r="J2140">
        <v>47</v>
      </c>
      <c r="K2140">
        <v>17238</v>
      </c>
      <c r="L2140">
        <v>1396278</v>
      </c>
      <c r="M2140">
        <f>Inventory_Data[[#This Row],[Opening Stock]]+Inventory_Data[[#This Row],[Purchase Qty]]-Inventory_Data[[#This Row],[Sales Qty]]-Inventory_Data[[#This Row],[Closing Stock]]</f>
        <v>0</v>
      </c>
      <c r="N2140">
        <f>Inventory_Data[[#This Row],[Purchase Qty]]*Inventory_Data[[#This Row],[Unit Cost]]</f>
        <v>741234</v>
      </c>
      <c r="O2140" t="str">
        <f>IF(Inventory_Data[[#This Row],[Closing Stock]]&lt;=Inventory_Data[[#This Row],[Reorder Level]],"Low Stock","In Stock")</f>
        <v>In Stock</v>
      </c>
      <c r="P2140" t="str">
        <f>TEXT(Inventory_Data[[#This Row],[Date]],"MMM")</f>
        <v>Apr</v>
      </c>
      <c r="Q2140" t="str">
        <f>TEXT(Inventory_Data[[#This Row],[Date]],"YYYY")</f>
        <v>2026</v>
      </c>
    </row>
    <row r="2141" spans="1:17" x14ac:dyDescent="0.3">
      <c r="A2141" s="1">
        <v>46115</v>
      </c>
      <c r="B2141" t="s">
        <v>41</v>
      </c>
      <c r="C2141" t="s">
        <v>22</v>
      </c>
      <c r="D2141" t="s">
        <v>26</v>
      </c>
      <c r="E2141" t="s">
        <v>24</v>
      </c>
      <c r="F2141">
        <v>228</v>
      </c>
      <c r="G2141">
        <v>235</v>
      </c>
      <c r="H2141">
        <v>49</v>
      </c>
      <c r="I2141">
        <v>414</v>
      </c>
      <c r="J2141">
        <v>109</v>
      </c>
      <c r="K2141">
        <v>127</v>
      </c>
      <c r="L2141">
        <v>52578</v>
      </c>
      <c r="M2141">
        <f>Inventory_Data[[#This Row],[Opening Stock]]+Inventory_Data[[#This Row],[Purchase Qty]]-Inventory_Data[[#This Row],[Sales Qty]]-Inventory_Data[[#This Row],[Closing Stock]]</f>
        <v>0</v>
      </c>
      <c r="N2141">
        <f>Inventory_Data[[#This Row],[Purchase Qty]]*Inventory_Data[[#This Row],[Unit Cost]]</f>
        <v>29845</v>
      </c>
      <c r="O2141" t="str">
        <f>IF(Inventory_Data[[#This Row],[Closing Stock]]&lt;=Inventory_Data[[#This Row],[Reorder Level]],"Low Stock","In Stock")</f>
        <v>In Stock</v>
      </c>
      <c r="P2141" t="str">
        <f>TEXT(Inventory_Data[[#This Row],[Date]],"MMM")</f>
        <v>Apr</v>
      </c>
      <c r="Q2141" t="str">
        <f>TEXT(Inventory_Data[[#This Row],[Date]],"YYYY")</f>
        <v>2026</v>
      </c>
    </row>
    <row r="2142" spans="1:17" x14ac:dyDescent="0.3">
      <c r="A2142" s="1">
        <v>46115</v>
      </c>
      <c r="B2142" t="s">
        <v>12</v>
      </c>
      <c r="C2142" t="s">
        <v>13</v>
      </c>
      <c r="D2142" t="s">
        <v>37</v>
      </c>
      <c r="E2142" t="s">
        <v>18</v>
      </c>
      <c r="F2142">
        <v>69</v>
      </c>
      <c r="G2142">
        <v>32</v>
      </c>
      <c r="H2142">
        <v>40</v>
      </c>
      <c r="I2142">
        <v>61</v>
      </c>
      <c r="J2142">
        <v>32</v>
      </c>
      <c r="K2142">
        <v>3371</v>
      </c>
      <c r="L2142">
        <v>205631</v>
      </c>
      <c r="M2142">
        <f>Inventory_Data[[#This Row],[Opening Stock]]+Inventory_Data[[#This Row],[Purchase Qty]]-Inventory_Data[[#This Row],[Sales Qty]]-Inventory_Data[[#This Row],[Closing Stock]]</f>
        <v>0</v>
      </c>
      <c r="N2142">
        <f>Inventory_Data[[#This Row],[Purchase Qty]]*Inventory_Data[[#This Row],[Unit Cost]]</f>
        <v>107872</v>
      </c>
      <c r="O2142" t="str">
        <f>IF(Inventory_Data[[#This Row],[Closing Stock]]&lt;=Inventory_Data[[#This Row],[Reorder Level]],"Low Stock","In Stock")</f>
        <v>In Stock</v>
      </c>
      <c r="P2142" t="str">
        <f>TEXT(Inventory_Data[[#This Row],[Date]],"MMM")</f>
        <v>Apr</v>
      </c>
      <c r="Q2142" t="str">
        <f>TEXT(Inventory_Data[[#This Row],[Date]],"YYYY")</f>
        <v>2026</v>
      </c>
    </row>
    <row r="2143" spans="1:17" x14ac:dyDescent="0.3">
      <c r="A2143" s="1">
        <v>46116</v>
      </c>
      <c r="B2143" t="s">
        <v>40</v>
      </c>
      <c r="C2143" t="s">
        <v>28</v>
      </c>
      <c r="D2143" t="s">
        <v>37</v>
      </c>
      <c r="E2143" t="s">
        <v>24</v>
      </c>
      <c r="F2143">
        <v>77</v>
      </c>
      <c r="G2143">
        <v>96</v>
      </c>
      <c r="H2143">
        <v>30</v>
      </c>
      <c r="I2143">
        <v>143</v>
      </c>
      <c r="J2143">
        <v>53</v>
      </c>
      <c r="K2143">
        <v>12545</v>
      </c>
      <c r="L2143">
        <v>1793935</v>
      </c>
      <c r="M2143">
        <f>Inventory_Data[[#This Row],[Opening Stock]]+Inventory_Data[[#This Row],[Purchase Qty]]-Inventory_Data[[#This Row],[Sales Qty]]-Inventory_Data[[#This Row],[Closing Stock]]</f>
        <v>0</v>
      </c>
      <c r="N2143">
        <f>Inventory_Data[[#This Row],[Purchase Qty]]*Inventory_Data[[#This Row],[Unit Cost]]</f>
        <v>1204320</v>
      </c>
      <c r="O2143" t="str">
        <f>IF(Inventory_Data[[#This Row],[Closing Stock]]&lt;=Inventory_Data[[#This Row],[Reorder Level]],"Low Stock","In Stock")</f>
        <v>In Stock</v>
      </c>
      <c r="P2143" t="str">
        <f>TEXT(Inventory_Data[[#This Row],[Date]],"MMM")</f>
        <v>Apr</v>
      </c>
      <c r="Q2143" t="str">
        <f>TEXT(Inventory_Data[[#This Row],[Date]],"YYYY")</f>
        <v>2026</v>
      </c>
    </row>
    <row r="2144" spans="1:17" x14ac:dyDescent="0.3">
      <c r="A2144" s="1">
        <v>46116</v>
      </c>
      <c r="B2144" t="s">
        <v>16</v>
      </c>
      <c r="C2144" t="s">
        <v>17</v>
      </c>
      <c r="D2144" t="s">
        <v>37</v>
      </c>
      <c r="E2144" t="s">
        <v>20</v>
      </c>
      <c r="F2144">
        <v>11</v>
      </c>
      <c r="G2144">
        <v>53</v>
      </c>
      <c r="H2144">
        <v>7</v>
      </c>
      <c r="I2144">
        <v>57</v>
      </c>
      <c r="J2144">
        <v>18</v>
      </c>
      <c r="K2144">
        <v>9056</v>
      </c>
      <c r="L2144">
        <v>516192</v>
      </c>
      <c r="M2144">
        <f>Inventory_Data[[#This Row],[Opening Stock]]+Inventory_Data[[#This Row],[Purchase Qty]]-Inventory_Data[[#This Row],[Sales Qty]]-Inventory_Data[[#This Row],[Closing Stock]]</f>
        <v>0</v>
      </c>
      <c r="N2144">
        <f>Inventory_Data[[#This Row],[Purchase Qty]]*Inventory_Data[[#This Row],[Unit Cost]]</f>
        <v>479968</v>
      </c>
      <c r="O2144" t="str">
        <f>IF(Inventory_Data[[#This Row],[Closing Stock]]&lt;=Inventory_Data[[#This Row],[Reorder Level]],"Low Stock","In Stock")</f>
        <v>In Stock</v>
      </c>
      <c r="P2144" t="str">
        <f>TEXT(Inventory_Data[[#This Row],[Date]],"MMM")</f>
        <v>Apr</v>
      </c>
      <c r="Q2144" t="str">
        <f>TEXT(Inventory_Data[[#This Row],[Date]],"YYYY")</f>
        <v>2026</v>
      </c>
    </row>
    <row r="2145" spans="1:17" x14ac:dyDescent="0.3">
      <c r="A2145" s="1">
        <v>46116</v>
      </c>
      <c r="B2145" t="s">
        <v>30</v>
      </c>
      <c r="C2145" t="s">
        <v>28</v>
      </c>
      <c r="D2145" t="s">
        <v>26</v>
      </c>
      <c r="E2145" t="s">
        <v>34</v>
      </c>
      <c r="F2145">
        <v>57</v>
      </c>
      <c r="G2145">
        <v>106</v>
      </c>
      <c r="H2145">
        <v>74</v>
      </c>
      <c r="I2145">
        <v>89</v>
      </c>
      <c r="J2145">
        <v>56</v>
      </c>
      <c r="K2145">
        <v>37343</v>
      </c>
      <c r="L2145">
        <v>3323527</v>
      </c>
      <c r="M2145">
        <f>Inventory_Data[[#This Row],[Opening Stock]]+Inventory_Data[[#This Row],[Purchase Qty]]-Inventory_Data[[#This Row],[Sales Qty]]-Inventory_Data[[#This Row],[Closing Stock]]</f>
        <v>0</v>
      </c>
      <c r="N2145">
        <f>Inventory_Data[[#This Row],[Purchase Qty]]*Inventory_Data[[#This Row],[Unit Cost]]</f>
        <v>3958358</v>
      </c>
      <c r="O2145" t="str">
        <f>IF(Inventory_Data[[#This Row],[Closing Stock]]&lt;=Inventory_Data[[#This Row],[Reorder Level]],"Low Stock","In Stock")</f>
        <v>In Stock</v>
      </c>
      <c r="P2145" t="str">
        <f>TEXT(Inventory_Data[[#This Row],[Date]],"MMM")</f>
        <v>Apr</v>
      </c>
      <c r="Q2145" t="str">
        <f>TEXT(Inventory_Data[[#This Row],[Date]],"YYYY")</f>
        <v>2026</v>
      </c>
    </row>
    <row r="2146" spans="1:17" x14ac:dyDescent="0.3">
      <c r="A2146" s="1">
        <v>46117</v>
      </c>
      <c r="B2146" t="s">
        <v>35</v>
      </c>
      <c r="C2146" t="s">
        <v>22</v>
      </c>
      <c r="D2146" t="s">
        <v>14</v>
      </c>
      <c r="E2146" t="s">
        <v>24</v>
      </c>
      <c r="F2146">
        <v>127</v>
      </c>
      <c r="G2146">
        <v>169</v>
      </c>
      <c r="H2146">
        <v>178</v>
      </c>
      <c r="I2146">
        <v>118</v>
      </c>
      <c r="J2146">
        <v>118</v>
      </c>
      <c r="K2146">
        <v>728</v>
      </c>
      <c r="L2146">
        <v>85904</v>
      </c>
      <c r="M2146">
        <f>Inventory_Data[[#This Row],[Opening Stock]]+Inventory_Data[[#This Row],[Purchase Qty]]-Inventory_Data[[#This Row],[Sales Qty]]-Inventory_Data[[#This Row],[Closing Stock]]</f>
        <v>0</v>
      </c>
      <c r="N2146">
        <f>Inventory_Data[[#This Row],[Purchase Qty]]*Inventory_Data[[#This Row],[Unit Cost]]</f>
        <v>123032</v>
      </c>
      <c r="O2146" t="str">
        <f>IF(Inventory_Data[[#This Row],[Closing Stock]]&lt;=Inventory_Data[[#This Row],[Reorder Level]],"Low Stock","In Stock")</f>
        <v>Low Stock</v>
      </c>
      <c r="P2146" t="str">
        <f>TEXT(Inventory_Data[[#This Row],[Date]],"MMM")</f>
        <v>Apr</v>
      </c>
      <c r="Q2146" t="str">
        <f>TEXT(Inventory_Data[[#This Row],[Date]],"YYYY")</f>
        <v>2026</v>
      </c>
    </row>
    <row r="2147" spans="1:17" x14ac:dyDescent="0.3">
      <c r="A2147" s="1">
        <v>46117</v>
      </c>
      <c r="B2147" t="s">
        <v>27</v>
      </c>
      <c r="C2147" t="s">
        <v>28</v>
      </c>
      <c r="D2147" t="s">
        <v>14</v>
      </c>
      <c r="E2147" t="s">
        <v>34</v>
      </c>
      <c r="F2147">
        <v>33</v>
      </c>
      <c r="G2147">
        <v>63</v>
      </c>
      <c r="H2147">
        <v>89</v>
      </c>
      <c r="I2147">
        <v>7</v>
      </c>
      <c r="J2147">
        <v>40</v>
      </c>
      <c r="K2147">
        <v>9845</v>
      </c>
      <c r="L2147">
        <v>68915</v>
      </c>
      <c r="M2147">
        <f>Inventory_Data[[#This Row],[Opening Stock]]+Inventory_Data[[#This Row],[Purchase Qty]]-Inventory_Data[[#This Row],[Sales Qty]]-Inventory_Data[[#This Row],[Closing Stock]]</f>
        <v>0</v>
      </c>
      <c r="N2147">
        <f>Inventory_Data[[#This Row],[Purchase Qty]]*Inventory_Data[[#This Row],[Unit Cost]]</f>
        <v>620235</v>
      </c>
      <c r="O2147" t="str">
        <f>IF(Inventory_Data[[#This Row],[Closing Stock]]&lt;=Inventory_Data[[#This Row],[Reorder Level]],"Low Stock","In Stock")</f>
        <v>Low Stock</v>
      </c>
      <c r="P2147" t="str">
        <f>TEXT(Inventory_Data[[#This Row],[Date]],"MMM")</f>
        <v>Apr</v>
      </c>
      <c r="Q2147" t="str">
        <f>TEXT(Inventory_Data[[#This Row],[Date]],"YYYY")</f>
        <v>2026</v>
      </c>
    </row>
    <row r="2148" spans="1:17" x14ac:dyDescent="0.3">
      <c r="A2148" s="1">
        <v>46117</v>
      </c>
      <c r="B2148" t="s">
        <v>36</v>
      </c>
      <c r="C2148" t="s">
        <v>22</v>
      </c>
      <c r="D2148" t="s">
        <v>37</v>
      </c>
      <c r="E2148" t="s">
        <v>15</v>
      </c>
      <c r="F2148">
        <v>372</v>
      </c>
      <c r="G2148">
        <v>210</v>
      </c>
      <c r="H2148">
        <v>87</v>
      </c>
      <c r="I2148">
        <v>495</v>
      </c>
      <c r="J2148">
        <v>77</v>
      </c>
      <c r="K2148">
        <v>971</v>
      </c>
      <c r="L2148">
        <v>480645</v>
      </c>
      <c r="M2148">
        <f>Inventory_Data[[#This Row],[Opening Stock]]+Inventory_Data[[#This Row],[Purchase Qty]]-Inventory_Data[[#This Row],[Sales Qty]]-Inventory_Data[[#This Row],[Closing Stock]]</f>
        <v>0</v>
      </c>
      <c r="N2148">
        <f>Inventory_Data[[#This Row],[Purchase Qty]]*Inventory_Data[[#This Row],[Unit Cost]]</f>
        <v>203910</v>
      </c>
      <c r="O2148" t="str">
        <f>IF(Inventory_Data[[#This Row],[Closing Stock]]&lt;=Inventory_Data[[#This Row],[Reorder Level]],"Low Stock","In Stock")</f>
        <v>In Stock</v>
      </c>
      <c r="P2148" t="str">
        <f>TEXT(Inventory_Data[[#This Row],[Date]],"MMM")</f>
        <v>Apr</v>
      </c>
      <c r="Q2148" t="str">
        <f>TEXT(Inventory_Data[[#This Row],[Date]],"YYYY")</f>
        <v>2026</v>
      </c>
    </row>
    <row r="2149" spans="1:17" x14ac:dyDescent="0.3">
      <c r="A2149" s="1">
        <v>46117</v>
      </c>
      <c r="B2149" t="s">
        <v>44</v>
      </c>
      <c r="C2149" t="s">
        <v>28</v>
      </c>
      <c r="D2149" t="s">
        <v>37</v>
      </c>
      <c r="E2149" t="s">
        <v>15</v>
      </c>
      <c r="F2149">
        <v>119</v>
      </c>
      <c r="G2149">
        <v>77</v>
      </c>
      <c r="H2149">
        <v>9</v>
      </c>
      <c r="I2149">
        <v>187</v>
      </c>
      <c r="J2149">
        <v>56</v>
      </c>
      <c r="K2149">
        <v>61079</v>
      </c>
      <c r="L2149">
        <v>11421773</v>
      </c>
      <c r="M2149">
        <f>Inventory_Data[[#This Row],[Opening Stock]]+Inventory_Data[[#This Row],[Purchase Qty]]-Inventory_Data[[#This Row],[Sales Qty]]-Inventory_Data[[#This Row],[Closing Stock]]</f>
        <v>0</v>
      </c>
      <c r="N2149">
        <f>Inventory_Data[[#This Row],[Purchase Qty]]*Inventory_Data[[#This Row],[Unit Cost]]</f>
        <v>4703083</v>
      </c>
      <c r="O2149" t="str">
        <f>IF(Inventory_Data[[#This Row],[Closing Stock]]&lt;=Inventory_Data[[#This Row],[Reorder Level]],"Low Stock","In Stock")</f>
        <v>In Stock</v>
      </c>
      <c r="P2149" t="str">
        <f>TEXT(Inventory_Data[[#This Row],[Date]],"MMM")</f>
        <v>Apr</v>
      </c>
      <c r="Q2149" t="str">
        <f>TEXT(Inventory_Data[[#This Row],[Date]],"YYYY")</f>
        <v>2026</v>
      </c>
    </row>
    <row r="2150" spans="1:17" x14ac:dyDescent="0.3">
      <c r="A2150" s="1">
        <v>46118</v>
      </c>
      <c r="B2150" t="s">
        <v>12</v>
      </c>
      <c r="C2150" t="s">
        <v>13</v>
      </c>
      <c r="D2150" t="s">
        <v>14</v>
      </c>
      <c r="E2150" t="s">
        <v>18</v>
      </c>
      <c r="F2150">
        <v>106</v>
      </c>
      <c r="G2150">
        <v>33</v>
      </c>
      <c r="H2150">
        <v>15</v>
      </c>
      <c r="I2150">
        <v>124</v>
      </c>
      <c r="J2150">
        <v>17</v>
      </c>
      <c r="K2150">
        <v>2281</v>
      </c>
      <c r="L2150">
        <v>282844</v>
      </c>
      <c r="M2150">
        <f>Inventory_Data[[#This Row],[Opening Stock]]+Inventory_Data[[#This Row],[Purchase Qty]]-Inventory_Data[[#This Row],[Sales Qty]]-Inventory_Data[[#This Row],[Closing Stock]]</f>
        <v>0</v>
      </c>
      <c r="N2150">
        <f>Inventory_Data[[#This Row],[Purchase Qty]]*Inventory_Data[[#This Row],[Unit Cost]]</f>
        <v>75273</v>
      </c>
      <c r="O2150" t="str">
        <f>IF(Inventory_Data[[#This Row],[Closing Stock]]&lt;=Inventory_Data[[#This Row],[Reorder Level]],"Low Stock","In Stock")</f>
        <v>In Stock</v>
      </c>
      <c r="P2150" t="str">
        <f>TEXT(Inventory_Data[[#This Row],[Date]],"MMM")</f>
        <v>Apr</v>
      </c>
      <c r="Q2150" t="str">
        <f>TEXT(Inventory_Data[[#This Row],[Date]],"YYYY")</f>
        <v>2026</v>
      </c>
    </row>
    <row r="2151" spans="1:17" x14ac:dyDescent="0.3">
      <c r="A2151" s="1">
        <v>46118</v>
      </c>
      <c r="B2151" t="s">
        <v>31</v>
      </c>
      <c r="C2151" t="s">
        <v>22</v>
      </c>
      <c r="D2151" t="s">
        <v>23</v>
      </c>
      <c r="E2151" t="s">
        <v>24</v>
      </c>
      <c r="F2151">
        <v>155</v>
      </c>
      <c r="G2151">
        <v>50</v>
      </c>
      <c r="H2151">
        <v>73</v>
      </c>
      <c r="I2151">
        <v>132</v>
      </c>
      <c r="J2151">
        <v>76</v>
      </c>
      <c r="K2151">
        <v>184</v>
      </c>
      <c r="L2151">
        <v>24288</v>
      </c>
      <c r="M2151">
        <f>Inventory_Data[[#This Row],[Opening Stock]]+Inventory_Data[[#This Row],[Purchase Qty]]-Inventory_Data[[#This Row],[Sales Qty]]-Inventory_Data[[#This Row],[Closing Stock]]</f>
        <v>0</v>
      </c>
      <c r="N2151">
        <f>Inventory_Data[[#This Row],[Purchase Qty]]*Inventory_Data[[#This Row],[Unit Cost]]</f>
        <v>9200</v>
      </c>
      <c r="O2151" t="str">
        <f>IF(Inventory_Data[[#This Row],[Closing Stock]]&lt;=Inventory_Data[[#This Row],[Reorder Level]],"Low Stock","In Stock")</f>
        <v>In Stock</v>
      </c>
      <c r="P2151" t="str">
        <f>TEXT(Inventory_Data[[#This Row],[Date]],"MMM")</f>
        <v>Apr</v>
      </c>
      <c r="Q2151" t="str">
        <f>TEXT(Inventory_Data[[#This Row],[Date]],"YYYY")</f>
        <v>2026</v>
      </c>
    </row>
    <row r="2152" spans="1:17" x14ac:dyDescent="0.3">
      <c r="A2152" s="1">
        <v>46118</v>
      </c>
      <c r="B2152" t="s">
        <v>31</v>
      </c>
      <c r="C2152" t="s">
        <v>22</v>
      </c>
      <c r="D2152" t="s">
        <v>26</v>
      </c>
      <c r="E2152" t="s">
        <v>34</v>
      </c>
      <c r="F2152">
        <v>244</v>
      </c>
      <c r="G2152">
        <v>187</v>
      </c>
      <c r="H2152">
        <v>155</v>
      </c>
      <c r="I2152">
        <v>276</v>
      </c>
      <c r="J2152">
        <v>149</v>
      </c>
      <c r="K2152">
        <v>73</v>
      </c>
      <c r="L2152">
        <v>20148</v>
      </c>
      <c r="M2152">
        <f>Inventory_Data[[#This Row],[Opening Stock]]+Inventory_Data[[#This Row],[Purchase Qty]]-Inventory_Data[[#This Row],[Sales Qty]]-Inventory_Data[[#This Row],[Closing Stock]]</f>
        <v>0</v>
      </c>
      <c r="N2152">
        <f>Inventory_Data[[#This Row],[Purchase Qty]]*Inventory_Data[[#This Row],[Unit Cost]]</f>
        <v>13651</v>
      </c>
      <c r="O2152" t="str">
        <f>IF(Inventory_Data[[#This Row],[Closing Stock]]&lt;=Inventory_Data[[#This Row],[Reorder Level]],"Low Stock","In Stock")</f>
        <v>In Stock</v>
      </c>
      <c r="P2152" t="str">
        <f>TEXT(Inventory_Data[[#This Row],[Date]],"MMM")</f>
        <v>Apr</v>
      </c>
      <c r="Q2152" t="str">
        <f>TEXT(Inventory_Data[[#This Row],[Date]],"YYYY")</f>
        <v>2026</v>
      </c>
    </row>
    <row r="2153" spans="1:17" x14ac:dyDescent="0.3">
      <c r="A2153" s="1">
        <v>46118</v>
      </c>
      <c r="B2153" t="s">
        <v>21</v>
      </c>
      <c r="C2153" t="s">
        <v>22</v>
      </c>
      <c r="D2153" t="s">
        <v>37</v>
      </c>
      <c r="E2153" t="s">
        <v>24</v>
      </c>
      <c r="F2153">
        <v>230</v>
      </c>
      <c r="G2153">
        <v>97</v>
      </c>
      <c r="H2153">
        <v>58</v>
      </c>
      <c r="I2153">
        <v>269</v>
      </c>
      <c r="J2153">
        <v>137</v>
      </c>
      <c r="K2153">
        <v>583</v>
      </c>
      <c r="L2153">
        <v>156827</v>
      </c>
      <c r="M2153">
        <f>Inventory_Data[[#This Row],[Opening Stock]]+Inventory_Data[[#This Row],[Purchase Qty]]-Inventory_Data[[#This Row],[Sales Qty]]-Inventory_Data[[#This Row],[Closing Stock]]</f>
        <v>0</v>
      </c>
      <c r="N2153">
        <f>Inventory_Data[[#This Row],[Purchase Qty]]*Inventory_Data[[#This Row],[Unit Cost]]</f>
        <v>56551</v>
      </c>
      <c r="O2153" t="str">
        <f>IF(Inventory_Data[[#This Row],[Closing Stock]]&lt;=Inventory_Data[[#This Row],[Reorder Level]],"Low Stock","In Stock")</f>
        <v>In Stock</v>
      </c>
      <c r="P2153" t="str">
        <f>TEXT(Inventory_Data[[#This Row],[Date]],"MMM")</f>
        <v>Apr</v>
      </c>
      <c r="Q2153" t="str">
        <f>TEXT(Inventory_Data[[#This Row],[Date]],"YYYY")</f>
        <v>2026</v>
      </c>
    </row>
    <row r="2154" spans="1:17" x14ac:dyDescent="0.3">
      <c r="A2154" s="1">
        <v>46119</v>
      </c>
      <c r="B2154" t="s">
        <v>40</v>
      </c>
      <c r="C2154" t="s">
        <v>28</v>
      </c>
      <c r="D2154" t="s">
        <v>14</v>
      </c>
      <c r="E2154" t="s">
        <v>15</v>
      </c>
      <c r="F2154">
        <v>116</v>
      </c>
      <c r="G2154">
        <v>101</v>
      </c>
      <c r="H2154">
        <v>56</v>
      </c>
      <c r="I2154">
        <v>161</v>
      </c>
      <c r="J2154">
        <v>27</v>
      </c>
      <c r="K2154">
        <v>53828</v>
      </c>
      <c r="L2154">
        <v>8666308</v>
      </c>
      <c r="M2154">
        <f>Inventory_Data[[#This Row],[Opening Stock]]+Inventory_Data[[#This Row],[Purchase Qty]]-Inventory_Data[[#This Row],[Sales Qty]]-Inventory_Data[[#This Row],[Closing Stock]]</f>
        <v>0</v>
      </c>
      <c r="N2154">
        <f>Inventory_Data[[#This Row],[Purchase Qty]]*Inventory_Data[[#This Row],[Unit Cost]]</f>
        <v>5436628</v>
      </c>
      <c r="O2154" t="str">
        <f>IF(Inventory_Data[[#This Row],[Closing Stock]]&lt;=Inventory_Data[[#This Row],[Reorder Level]],"Low Stock","In Stock")</f>
        <v>In Stock</v>
      </c>
      <c r="P2154" t="str">
        <f>TEXT(Inventory_Data[[#This Row],[Date]],"MMM")</f>
        <v>Apr</v>
      </c>
      <c r="Q2154" t="str">
        <f>TEXT(Inventory_Data[[#This Row],[Date]],"YYYY")</f>
        <v>2026</v>
      </c>
    </row>
    <row r="2155" spans="1:17" x14ac:dyDescent="0.3">
      <c r="A2155" s="1">
        <v>46119</v>
      </c>
      <c r="B2155" t="s">
        <v>16</v>
      </c>
      <c r="C2155" t="s">
        <v>17</v>
      </c>
      <c r="D2155" t="s">
        <v>14</v>
      </c>
      <c r="E2155" t="s">
        <v>20</v>
      </c>
      <c r="F2155">
        <v>13</v>
      </c>
      <c r="G2155">
        <v>27</v>
      </c>
      <c r="H2155">
        <v>40</v>
      </c>
      <c r="I2155">
        <v>0</v>
      </c>
      <c r="J2155">
        <v>24</v>
      </c>
      <c r="K2155">
        <v>9775</v>
      </c>
      <c r="L2155">
        <v>0</v>
      </c>
      <c r="M2155">
        <f>Inventory_Data[[#This Row],[Opening Stock]]+Inventory_Data[[#This Row],[Purchase Qty]]-Inventory_Data[[#This Row],[Sales Qty]]-Inventory_Data[[#This Row],[Closing Stock]]</f>
        <v>0</v>
      </c>
      <c r="N2155">
        <f>Inventory_Data[[#This Row],[Purchase Qty]]*Inventory_Data[[#This Row],[Unit Cost]]</f>
        <v>263925</v>
      </c>
      <c r="O2155" t="str">
        <f>IF(Inventory_Data[[#This Row],[Closing Stock]]&lt;=Inventory_Data[[#This Row],[Reorder Level]],"Low Stock","In Stock")</f>
        <v>Low Stock</v>
      </c>
      <c r="P2155" t="str">
        <f>TEXT(Inventory_Data[[#This Row],[Date]],"MMM")</f>
        <v>Apr</v>
      </c>
      <c r="Q2155" t="str">
        <f>TEXT(Inventory_Data[[#This Row],[Date]],"YYYY")</f>
        <v>2026</v>
      </c>
    </row>
    <row r="2156" spans="1:17" x14ac:dyDescent="0.3">
      <c r="A2156" s="1">
        <v>46119</v>
      </c>
      <c r="B2156" t="s">
        <v>33</v>
      </c>
      <c r="C2156" t="s">
        <v>13</v>
      </c>
      <c r="D2156" t="s">
        <v>37</v>
      </c>
      <c r="E2156" t="s">
        <v>18</v>
      </c>
      <c r="F2156">
        <v>94</v>
      </c>
      <c r="G2156">
        <v>15</v>
      </c>
      <c r="H2156">
        <v>35</v>
      </c>
      <c r="I2156">
        <v>74</v>
      </c>
      <c r="J2156">
        <v>21</v>
      </c>
      <c r="K2156">
        <v>1465</v>
      </c>
      <c r="L2156">
        <v>108410</v>
      </c>
      <c r="M2156">
        <f>Inventory_Data[[#This Row],[Opening Stock]]+Inventory_Data[[#This Row],[Purchase Qty]]-Inventory_Data[[#This Row],[Sales Qty]]-Inventory_Data[[#This Row],[Closing Stock]]</f>
        <v>0</v>
      </c>
      <c r="N2156">
        <f>Inventory_Data[[#This Row],[Purchase Qty]]*Inventory_Data[[#This Row],[Unit Cost]]</f>
        <v>21975</v>
      </c>
      <c r="O2156" t="str">
        <f>IF(Inventory_Data[[#This Row],[Closing Stock]]&lt;=Inventory_Data[[#This Row],[Reorder Level]],"Low Stock","In Stock")</f>
        <v>In Stock</v>
      </c>
      <c r="P2156" t="str">
        <f>TEXT(Inventory_Data[[#This Row],[Date]],"MMM")</f>
        <v>Apr</v>
      </c>
      <c r="Q2156" t="str">
        <f>TEXT(Inventory_Data[[#This Row],[Date]],"YYYY")</f>
        <v>2026</v>
      </c>
    </row>
    <row r="2157" spans="1:17" x14ac:dyDescent="0.3">
      <c r="A2157" s="1">
        <v>46119</v>
      </c>
      <c r="B2157" t="s">
        <v>30</v>
      </c>
      <c r="C2157" t="s">
        <v>28</v>
      </c>
      <c r="D2157" t="s">
        <v>26</v>
      </c>
      <c r="E2157" t="s">
        <v>34</v>
      </c>
      <c r="F2157">
        <v>135</v>
      </c>
      <c r="G2157">
        <v>77</v>
      </c>
      <c r="H2157">
        <v>40</v>
      </c>
      <c r="I2157">
        <v>172</v>
      </c>
      <c r="J2157">
        <v>24</v>
      </c>
      <c r="K2157">
        <v>39778</v>
      </c>
      <c r="L2157">
        <v>6841816</v>
      </c>
      <c r="M2157">
        <f>Inventory_Data[[#This Row],[Opening Stock]]+Inventory_Data[[#This Row],[Purchase Qty]]-Inventory_Data[[#This Row],[Sales Qty]]-Inventory_Data[[#This Row],[Closing Stock]]</f>
        <v>0</v>
      </c>
      <c r="N2157">
        <f>Inventory_Data[[#This Row],[Purchase Qty]]*Inventory_Data[[#This Row],[Unit Cost]]</f>
        <v>3062906</v>
      </c>
      <c r="O2157" t="str">
        <f>IF(Inventory_Data[[#This Row],[Closing Stock]]&lt;=Inventory_Data[[#This Row],[Reorder Level]],"Low Stock","In Stock")</f>
        <v>In Stock</v>
      </c>
      <c r="P2157" t="str">
        <f>TEXT(Inventory_Data[[#This Row],[Date]],"MMM")</f>
        <v>Apr</v>
      </c>
      <c r="Q2157" t="str">
        <f>TEXT(Inventory_Data[[#This Row],[Date]],"YYYY")</f>
        <v>2026</v>
      </c>
    </row>
    <row r="2158" spans="1:17" x14ac:dyDescent="0.3">
      <c r="A2158" s="1">
        <v>46119</v>
      </c>
      <c r="B2158" t="s">
        <v>42</v>
      </c>
      <c r="C2158" t="s">
        <v>17</v>
      </c>
      <c r="D2158" t="s">
        <v>23</v>
      </c>
      <c r="E2158" t="s">
        <v>20</v>
      </c>
      <c r="F2158">
        <v>13</v>
      </c>
      <c r="G2158">
        <v>48</v>
      </c>
      <c r="H2158">
        <v>43</v>
      </c>
      <c r="I2158">
        <v>18</v>
      </c>
      <c r="J2158">
        <v>27</v>
      </c>
      <c r="K2158">
        <v>20671</v>
      </c>
      <c r="L2158">
        <v>372078</v>
      </c>
      <c r="M2158">
        <f>Inventory_Data[[#This Row],[Opening Stock]]+Inventory_Data[[#This Row],[Purchase Qty]]-Inventory_Data[[#This Row],[Sales Qty]]-Inventory_Data[[#This Row],[Closing Stock]]</f>
        <v>0</v>
      </c>
      <c r="N2158">
        <f>Inventory_Data[[#This Row],[Purchase Qty]]*Inventory_Data[[#This Row],[Unit Cost]]</f>
        <v>992208</v>
      </c>
      <c r="O2158" t="str">
        <f>IF(Inventory_Data[[#This Row],[Closing Stock]]&lt;=Inventory_Data[[#This Row],[Reorder Level]],"Low Stock","In Stock")</f>
        <v>Low Stock</v>
      </c>
      <c r="P2158" t="str">
        <f>TEXT(Inventory_Data[[#This Row],[Date]],"MMM")</f>
        <v>Apr</v>
      </c>
      <c r="Q2158" t="str">
        <f>TEXT(Inventory_Data[[#This Row],[Date]],"YYYY")</f>
        <v>2026</v>
      </c>
    </row>
    <row r="2159" spans="1:17" x14ac:dyDescent="0.3">
      <c r="A2159" s="1">
        <v>46119</v>
      </c>
      <c r="B2159" t="s">
        <v>42</v>
      </c>
      <c r="C2159" t="s">
        <v>17</v>
      </c>
      <c r="D2159" t="s">
        <v>26</v>
      </c>
      <c r="E2159" t="s">
        <v>34</v>
      </c>
      <c r="F2159">
        <v>28</v>
      </c>
      <c r="G2159">
        <v>18</v>
      </c>
      <c r="H2159">
        <v>41</v>
      </c>
      <c r="I2159">
        <v>5</v>
      </c>
      <c r="J2159">
        <v>12</v>
      </c>
      <c r="K2159">
        <v>23703</v>
      </c>
      <c r="L2159">
        <v>118515</v>
      </c>
      <c r="M2159">
        <f>Inventory_Data[[#This Row],[Opening Stock]]+Inventory_Data[[#This Row],[Purchase Qty]]-Inventory_Data[[#This Row],[Sales Qty]]-Inventory_Data[[#This Row],[Closing Stock]]</f>
        <v>0</v>
      </c>
      <c r="N2159">
        <f>Inventory_Data[[#This Row],[Purchase Qty]]*Inventory_Data[[#This Row],[Unit Cost]]</f>
        <v>426654</v>
      </c>
      <c r="O2159" t="str">
        <f>IF(Inventory_Data[[#This Row],[Closing Stock]]&lt;=Inventory_Data[[#This Row],[Reorder Level]],"Low Stock","In Stock")</f>
        <v>Low Stock</v>
      </c>
      <c r="P2159" t="str">
        <f>TEXT(Inventory_Data[[#This Row],[Date]],"MMM")</f>
        <v>Apr</v>
      </c>
      <c r="Q2159" t="str">
        <f>TEXT(Inventory_Data[[#This Row],[Date]],"YYYY")</f>
        <v>2026</v>
      </c>
    </row>
    <row r="2160" spans="1:17" x14ac:dyDescent="0.3">
      <c r="A2160" s="1">
        <v>46120</v>
      </c>
      <c r="B2160" t="s">
        <v>41</v>
      </c>
      <c r="C2160" t="s">
        <v>22</v>
      </c>
      <c r="D2160" t="s">
        <v>14</v>
      </c>
      <c r="E2160" t="s">
        <v>20</v>
      </c>
      <c r="F2160">
        <v>123</v>
      </c>
      <c r="G2160">
        <v>256</v>
      </c>
      <c r="H2160">
        <v>102</v>
      </c>
      <c r="I2160">
        <v>277</v>
      </c>
      <c r="J2160">
        <v>59</v>
      </c>
      <c r="K2160">
        <v>340</v>
      </c>
      <c r="L2160">
        <v>94180</v>
      </c>
      <c r="M2160">
        <f>Inventory_Data[[#This Row],[Opening Stock]]+Inventory_Data[[#This Row],[Purchase Qty]]-Inventory_Data[[#This Row],[Sales Qty]]-Inventory_Data[[#This Row],[Closing Stock]]</f>
        <v>0</v>
      </c>
      <c r="N2160">
        <f>Inventory_Data[[#This Row],[Purchase Qty]]*Inventory_Data[[#This Row],[Unit Cost]]</f>
        <v>87040</v>
      </c>
      <c r="O2160" t="str">
        <f>IF(Inventory_Data[[#This Row],[Closing Stock]]&lt;=Inventory_Data[[#This Row],[Reorder Level]],"Low Stock","In Stock")</f>
        <v>In Stock</v>
      </c>
      <c r="P2160" t="str">
        <f>TEXT(Inventory_Data[[#This Row],[Date]],"MMM")</f>
        <v>Apr</v>
      </c>
      <c r="Q2160" t="str">
        <f>TEXT(Inventory_Data[[#This Row],[Date]],"YYYY")</f>
        <v>2026</v>
      </c>
    </row>
    <row r="2161" spans="1:17" x14ac:dyDescent="0.3">
      <c r="A2161" s="1">
        <v>46120</v>
      </c>
      <c r="B2161" t="s">
        <v>45</v>
      </c>
      <c r="C2161" t="s">
        <v>13</v>
      </c>
      <c r="D2161" t="s">
        <v>14</v>
      </c>
      <c r="E2161" t="s">
        <v>34</v>
      </c>
      <c r="F2161">
        <v>52</v>
      </c>
      <c r="G2161">
        <v>7</v>
      </c>
      <c r="H2161">
        <v>40</v>
      </c>
      <c r="I2161">
        <v>19</v>
      </c>
      <c r="J2161">
        <v>30</v>
      </c>
      <c r="K2161">
        <v>5050</v>
      </c>
      <c r="L2161">
        <v>95950</v>
      </c>
      <c r="M2161">
        <f>Inventory_Data[[#This Row],[Opening Stock]]+Inventory_Data[[#This Row],[Purchase Qty]]-Inventory_Data[[#This Row],[Sales Qty]]-Inventory_Data[[#This Row],[Closing Stock]]</f>
        <v>0</v>
      </c>
      <c r="N2161">
        <f>Inventory_Data[[#This Row],[Purchase Qty]]*Inventory_Data[[#This Row],[Unit Cost]]</f>
        <v>35350</v>
      </c>
      <c r="O2161" t="str">
        <f>IF(Inventory_Data[[#This Row],[Closing Stock]]&lt;=Inventory_Data[[#This Row],[Reorder Level]],"Low Stock","In Stock")</f>
        <v>Low Stock</v>
      </c>
      <c r="P2161" t="str">
        <f>TEXT(Inventory_Data[[#This Row],[Date]],"MMM")</f>
        <v>Apr</v>
      </c>
      <c r="Q2161" t="str">
        <f>TEXT(Inventory_Data[[#This Row],[Date]],"YYYY")</f>
        <v>2026</v>
      </c>
    </row>
    <row r="2162" spans="1:17" x14ac:dyDescent="0.3">
      <c r="A2162" s="1">
        <v>46120</v>
      </c>
      <c r="B2162" t="s">
        <v>21</v>
      </c>
      <c r="C2162" t="s">
        <v>22</v>
      </c>
      <c r="D2162" t="s">
        <v>26</v>
      </c>
      <c r="E2162" t="s">
        <v>15</v>
      </c>
      <c r="F2162">
        <v>131</v>
      </c>
      <c r="G2162">
        <v>42</v>
      </c>
      <c r="H2162">
        <v>33</v>
      </c>
      <c r="I2162">
        <v>140</v>
      </c>
      <c r="J2162">
        <v>141</v>
      </c>
      <c r="K2162">
        <v>289</v>
      </c>
      <c r="L2162">
        <v>40460</v>
      </c>
      <c r="M2162">
        <f>Inventory_Data[[#This Row],[Opening Stock]]+Inventory_Data[[#This Row],[Purchase Qty]]-Inventory_Data[[#This Row],[Sales Qty]]-Inventory_Data[[#This Row],[Closing Stock]]</f>
        <v>0</v>
      </c>
      <c r="N2162">
        <f>Inventory_Data[[#This Row],[Purchase Qty]]*Inventory_Data[[#This Row],[Unit Cost]]</f>
        <v>12138</v>
      </c>
      <c r="O2162" t="str">
        <f>IF(Inventory_Data[[#This Row],[Closing Stock]]&lt;=Inventory_Data[[#This Row],[Reorder Level]],"Low Stock","In Stock")</f>
        <v>Low Stock</v>
      </c>
      <c r="P2162" t="str">
        <f>TEXT(Inventory_Data[[#This Row],[Date]],"MMM")</f>
        <v>Apr</v>
      </c>
      <c r="Q2162" t="str">
        <f>TEXT(Inventory_Data[[#This Row],[Date]],"YYYY")</f>
        <v>2026</v>
      </c>
    </row>
    <row r="2163" spans="1:17" x14ac:dyDescent="0.3">
      <c r="A2163" s="1">
        <v>46120</v>
      </c>
      <c r="B2163" t="s">
        <v>27</v>
      </c>
      <c r="C2163" t="s">
        <v>28</v>
      </c>
      <c r="D2163" t="s">
        <v>14</v>
      </c>
      <c r="E2163" t="s">
        <v>34</v>
      </c>
      <c r="F2163">
        <v>34</v>
      </c>
      <c r="G2163">
        <v>26</v>
      </c>
      <c r="H2163">
        <v>38</v>
      </c>
      <c r="I2163">
        <v>22</v>
      </c>
      <c r="J2163">
        <v>54</v>
      </c>
      <c r="K2163">
        <v>61451</v>
      </c>
      <c r="L2163">
        <v>1351922</v>
      </c>
      <c r="M2163">
        <f>Inventory_Data[[#This Row],[Opening Stock]]+Inventory_Data[[#This Row],[Purchase Qty]]-Inventory_Data[[#This Row],[Sales Qty]]-Inventory_Data[[#This Row],[Closing Stock]]</f>
        <v>0</v>
      </c>
      <c r="N2163">
        <f>Inventory_Data[[#This Row],[Purchase Qty]]*Inventory_Data[[#This Row],[Unit Cost]]</f>
        <v>1597726</v>
      </c>
      <c r="O2163" t="str">
        <f>IF(Inventory_Data[[#This Row],[Closing Stock]]&lt;=Inventory_Data[[#This Row],[Reorder Level]],"Low Stock","In Stock")</f>
        <v>Low Stock</v>
      </c>
      <c r="P2163" t="str">
        <f>TEXT(Inventory_Data[[#This Row],[Date]],"MMM")</f>
        <v>Apr</v>
      </c>
      <c r="Q2163" t="str">
        <f>TEXT(Inventory_Data[[#This Row],[Date]],"YYYY")</f>
        <v>2026</v>
      </c>
    </row>
    <row r="2164" spans="1:17" x14ac:dyDescent="0.3">
      <c r="A2164" s="1">
        <v>46120</v>
      </c>
      <c r="B2164" t="s">
        <v>35</v>
      </c>
      <c r="C2164" t="s">
        <v>22</v>
      </c>
      <c r="D2164" t="s">
        <v>37</v>
      </c>
      <c r="E2164" t="s">
        <v>24</v>
      </c>
      <c r="F2164">
        <v>169</v>
      </c>
      <c r="G2164">
        <v>157</v>
      </c>
      <c r="H2164">
        <v>220</v>
      </c>
      <c r="I2164">
        <v>106</v>
      </c>
      <c r="J2164">
        <v>97</v>
      </c>
      <c r="K2164">
        <v>542</v>
      </c>
      <c r="L2164">
        <v>57452</v>
      </c>
      <c r="M2164">
        <f>Inventory_Data[[#This Row],[Opening Stock]]+Inventory_Data[[#This Row],[Purchase Qty]]-Inventory_Data[[#This Row],[Sales Qty]]-Inventory_Data[[#This Row],[Closing Stock]]</f>
        <v>0</v>
      </c>
      <c r="N2164">
        <f>Inventory_Data[[#This Row],[Purchase Qty]]*Inventory_Data[[#This Row],[Unit Cost]]</f>
        <v>85094</v>
      </c>
      <c r="O2164" t="str">
        <f>IF(Inventory_Data[[#This Row],[Closing Stock]]&lt;=Inventory_Data[[#This Row],[Reorder Level]],"Low Stock","In Stock")</f>
        <v>In Stock</v>
      </c>
      <c r="P2164" t="str">
        <f>TEXT(Inventory_Data[[#This Row],[Date]],"MMM")</f>
        <v>Apr</v>
      </c>
      <c r="Q2164" t="str">
        <f>TEXT(Inventory_Data[[#This Row],[Date]],"YYYY")</f>
        <v>2026</v>
      </c>
    </row>
    <row r="2165" spans="1:17" x14ac:dyDescent="0.3">
      <c r="A2165" s="1">
        <v>46120</v>
      </c>
      <c r="B2165" t="s">
        <v>41</v>
      </c>
      <c r="C2165" t="s">
        <v>22</v>
      </c>
      <c r="D2165" t="s">
        <v>37</v>
      </c>
      <c r="E2165" t="s">
        <v>18</v>
      </c>
      <c r="F2165">
        <v>55</v>
      </c>
      <c r="G2165">
        <v>212</v>
      </c>
      <c r="H2165">
        <v>47</v>
      </c>
      <c r="I2165">
        <v>220</v>
      </c>
      <c r="J2165">
        <v>57</v>
      </c>
      <c r="K2165">
        <v>948</v>
      </c>
      <c r="L2165">
        <v>208560</v>
      </c>
      <c r="M2165">
        <f>Inventory_Data[[#This Row],[Opening Stock]]+Inventory_Data[[#This Row],[Purchase Qty]]-Inventory_Data[[#This Row],[Sales Qty]]-Inventory_Data[[#This Row],[Closing Stock]]</f>
        <v>0</v>
      </c>
      <c r="N2165">
        <f>Inventory_Data[[#This Row],[Purchase Qty]]*Inventory_Data[[#This Row],[Unit Cost]]</f>
        <v>200976</v>
      </c>
      <c r="O2165" t="str">
        <f>IF(Inventory_Data[[#This Row],[Closing Stock]]&lt;=Inventory_Data[[#This Row],[Reorder Level]],"Low Stock","In Stock")</f>
        <v>In Stock</v>
      </c>
      <c r="P2165" t="str">
        <f>TEXT(Inventory_Data[[#This Row],[Date]],"MMM")</f>
        <v>Apr</v>
      </c>
      <c r="Q2165" t="str">
        <f>TEXT(Inventory_Data[[#This Row],[Date]],"YYYY")</f>
        <v>2026</v>
      </c>
    </row>
    <row r="2166" spans="1:17" x14ac:dyDescent="0.3">
      <c r="A2166" s="1">
        <v>46120</v>
      </c>
      <c r="B2166" t="s">
        <v>30</v>
      </c>
      <c r="C2166" t="s">
        <v>28</v>
      </c>
      <c r="D2166" t="s">
        <v>14</v>
      </c>
      <c r="E2166" t="s">
        <v>15</v>
      </c>
      <c r="F2166">
        <v>61</v>
      </c>
      <c r="G2166">
        <v>111</v>
      </c>
      <c r="H2166">
        <v>49</v>
      </c>
      <c r="I2166">
        <v>123</v>
      </c>
      <c r="J2166">
        <v>20</v>
      </c>
      <c r="K2166">
        <v>40390</v>
      </c>
      <c r="L2166">
        <v>4967970</v>
      </c>
      <c r="M2166">
        <f>Inventory_Data[[#This Row],[Opening Stock]]+Inventory_Data[[#This Row],[Purchase Qty]]-Inventory_Data[[#This Row],[Sales Qty]]-Inventory_Data[[#This Row],[Closing Stock]]</f>
        <v>0</v>
      </c>
      <c r="N2166">
        <f>Inventory_Data[[#This Row],[Purchase Qty]]*Inventory_Data[[#This Row],[Unit Cost]]</f>
        <v>4483290</v>
      </c>
      <c r="O2166" t="str">
        <f>IF(Inventory_Data[[#This Row],[Closing Stock]]&lt;=Inventory_Data[[#This Row],[Reorder Level]],"Low Stock","In Stock")</f>
        <v>In Stock</v>
      </c>
      <c r="P2166" t="str">
        <f>TEXT(Inventory_Data[[#This Row],[Date]],"MMM")</f>
        <v>Apr</v>
      </c>
      <c r="Q2166" t="str">
        <f>TEXT(Inventory_Data[[#This Row],[Date]],"YYYY")</f>
        <v>2026</v>
      </c>
    </row>
    <row r="2167" spans="1:17" x14ac:dyDescent="0.3">
      <c r="A2167" s="1">
        <v>46121</v>
      </c>
      <c r="B2167" t="s">
        <v>19</v>
      </c>
      <c r="C2167" t="s">
        <v>13</v>
      </c>
      <c r="D2167" t="s">
        <v>23</v>
      </c>
      <c r="E2167" t="s">
        <v>18</v>
      </c>
      <c r="F2167">
        <v>52</v>
      </c>
      <c r="G2167">
        <v>76</v>
      </c>
      <c r="H2167">
        <v>21</v>
      </c>
      <c r="I2167">
        <v>107</v>
      </c>
      <c r="J2167">
        <v>16</v>
      </c>
      <c r="K2167">
        <v>16308</v>
      </c>
      <c r="L2167">
        <v>1744956</v>
      </c>
      <c r="M2167">
        <f>Inventory_Data[[#This Row],[Opening Stock]]+Inventory_Data[[#This Row],[Purchase Qty]]-Inventory_Data[[#This Row],[Sales Qty]]-Inventory_Data[[#This Row],[Closing Stock]]</f>
        <v>0</v>
      </c>
      <c r="N2167">
        <f>Inventory_Data[[#This Row],[Purchase Qty]]*Inventory_Data[[#This Row],[Unit Cost]]</f>
        <v>1239408</v>
      </c>
      <c r="O2167" t="str">
        <f>IF(Inventory_Data[[#This Row],[Closing Stock]]&lt;=Inventory_Data[[#This Row],[Reorder Level]],"Low Stock","In Stock")</f>
        <v>In Stock</v>
      </c>
      <c r="P2167" t="str">
        <f>TEXT(Inventory_Data[[#This Row],[Date]],"MMM")</f>
        <v>Apr</v>
      </c>
      <c r="Q2167" t="str">
        <f>TEXT(Inventory_Data[[#This Row],[Date]],"YYYY")</f>
        <v>2026</v>
      </c>
    </row>
    <row r="2168" spans="1:17" x14ac:dyDescent="0.3">
      <c r="A2168" s="1">
        <v>46121</v>
      </c>
      <c r="B2168" t="s">
        <v>25</v>
      </c>
      <c r="C2168" t="s">
        <v>17</v>
      </c>
      <c r="D2168" t="s">
        <v>26</v>
      </c>
      <c r="E2168" t="s">
        <v>24</v>
      </c>
      <c r="F2168">
        <v>58</v>
      </c>
      <c r="G2168">
        <v>11</v>
      </c>
      <c r="H2168">
        <v>31</v>
      </c>
      <c r="I2168">
        <v>38</v>
      </c>
      <c r="J2168">
        <v>17</v>
      </c>
      <c r="K2168">
        <v>21998</v>
      </c>
      <c r="L2168">
        <v>835924</v>
      </c>
      <c r="M2168">
        <f>Inventory_Data[[#This Row],[Opening Stock]]+Inventory_Data[[#This Row],[Purchase Qty]]-Inventory_Data[[#This Row],[Sales Qty]]-Inventory_Data[[#This Row],[Closing Stock]]</f>
        <v>0</v>
      </c>
      <c r="N2168">
        <f>Inventory_Data[[#This Row],[Purchase Qty]]*Inventory_Data[[#This Row],[Unit Cost]]</f>
        <v>241978</v>
      </c>
      <c r="O2168" t="str">
        <f>IF(Inventory_Data[[#This Row],[Closing Stock]]&lt;=Inventory_Data[[#This Row],[Reorder Level]],"Low Stock","In Stock")</f>
        <v>In Stock</v>
      </c>
      <c r="P2168" t="str">
        <f>TEXT(Inventory_Data[[#This Row],[Date]],"MMM")</f>
        <v>Apr</v>
      </c>
      <c r="Q2168" t="str">
        <f>TEXT(Inventory_Data[[#This Row],[Date]],"YYYY")</f>
        <v>2026</v>
      </c>
    </row>
    <row r="2169" spans="1:17" x14ac:dyDescent="0.3">
      <c r="A2169" s="1">
        <v>46121</v>
      </c>
      <c r="B2169" t="s">
        <v>42</v>
      </c>
      <c r="C2169" t="s">
        <v>17</v>
      </c>
      <c r="D2169" t="s">
        <v>23</v>
      </c>
      <c r="E2169" t="s">
        <v>18</v>
      </c>
      <c r="F2169">
        <v>69</v>
      </c>
      <c r="G2169">
        <v>52</v>
      </c>
      <c r="H2169">
        <v>5</v>
      </c>
      <c r="I2169">
        <v>116</v>
      </c>
      <c r="J2169">
        <v>17</v>
      </c>
      <c r="K2169">
        <v>17610</v>
      </c>
      <c r="L2169">
        <v>2042760</v>
      </c>
      <c r="M2169">
        <f>Inventory_Data[[#This Row],[Opening Stock]]+Inventory_Data[[#This Row],[Purchase Qty]]-Inventory_Data[[#This Row],[Sales Qty]]-Inventory_Data[[#This Row],[Closing Stock]]</f>
        <v>0</v>
      </c>
      <c r="N2169">
        <f>Inventory_Data[[#This Row],[Purchase Qty]]*Inventory_Data[[#This Row],[Unit Cost]]</f>
        <v>915720</v>
      </c>
      <c r="O2169" t="str">
        <f>IF(Inventory_Data[[#This Row],[Closing Stock]]&lt;=Inventory_Data[[#This Row],[Reorder Level]],"Low Stock","In Stock")</f>
        <v>In Stock</v>
      </c>
      <c r="P2169" t="str">
        <f>TEXT(Inventory_Data[[#This Row],[Date]],"MMM")</f>
        <v>Apr</v>
      </c>
      <c r="Q2169" t="str">
        <f>TEXT(Inventory_Data[[#This Row],[Date]],"YYYY")</f>
        <v>2026</v>
      </c>
    </row>
    <row r="2170" spans="1:17" x14ac:dyDescent="0.3">
      <c r="A2170" s="1">
        <v>46121</v>
      </c>
      <c r="B2170" t="s">
        <v>35</v>
      </c>
      <c r="C2170" t="s">
        <v>22</v>
      </c>
      <c r="D2170" t="s">
        <v>26</v>
      </c>
      <c r="E2170" t="s">
        <v>34</v>
      </c>
      <c r="F2170">
        <v>64</v>
      </c>
      <c r="G2170">
        <v>263</v>
      </c>
      <c r="H2170">
        <v>72</v>
      </c>
      <c r="I2170">
        <v>255</v>
      </c>
      <c r="J2170">
        <v>136</v>
      </c>
      <c r="K2170">
        <v>46</v>
      </c>
      <c r="L2170">
        <v>11730</v>
      </c>
      <c r="M2170">
        <f>Inventory_Data[[#This Row],[Opening Stock]]+Inventory_Data[[#This Row],[Purchase Qty]]-Inventory_Data[[#This Row],[Sales Qty]]-Inventory_Data[[#This Row],[Closing Stock]]</f>
        <v>0</v>
      </c>
      <c r="N2170">
        <f>Inventory_Data[[#This Row],[Purchase Qty]]*Inventory_Data[[#This Row],[Unit Cost]]</f>
        <v>12098</v>
      </c>
      <c r="O2170" t="str">
        <f>IF(Inventory_Data[[#This Row],[Closing Stock]]&lt;=Inventory_Data[[#This Row],[Reorder Level]],"Low Stock","In Stock")</f>
        <v>In Stock</v>
      </c>
      <c r="P2170" t="str">
        <f>TEXT(Inventory_Data[[#This Row],[Date]],"MMM")</f>
        <v>Apr</v>
      </c>
      <c r="Q2170" t="str">
        <f>TEXT(Inventory_Data[[#This Row],[Date]],"YYYY")</f>
        <v>2026</v>
      </c>
    </row>
    <row r="2171" spans="1:17" x14ac:dyDescent="0.3">
      <c r="A2171" s="1">
        <v>46121</v>
      </c>
      <c r="B2171" t="s">
        <v>44</v>
      </c>
      <c r="C2171" t="s">
        <v>28</v>
      </c>
      <c r="D2171" t="s">
        <v>37</v>
      </c>
      <c r="E2171" t="s">
        <v>34</v>
      </c>
      <c r="F2171">
        <v>77</v>
      </c>
      <c r="G2171">
        <v>56</v>
      </c>
      <c r="H2171">
        <v>70</v>
      </c>
      <c r="I2171">
        <v>63</v>
      </c>
      <c r="J2171">
        <v>55</v>
      </c>
      <c r="K2171">
        <v>12243</v>
      </c>
      <c r="L2171">
        <v>771309</v>
      </c>
      <c r="M2171">
        <f>Inventory_Data[[#This Row],[Opening Stock]]+Inventory_Data[[#This Row],[Purchase Qty]]-Inventory_Data[[#This Row],[Sales Qty]]-Inventory_Data[[#This Row],[Closing Stock]]</f>
        <v>0</v>
      </c>
      <c r="N2171">
        <f>Inventory_Data[[#This Row],[Purchase Qty]]*Inventory_Data[[#This Row],[Unit Cost]]</f>
        <v>685608</v>
      </c>
      <c r="O2171" t="str">
        <f>IF(Inventory_Data[[#This Row],[Closing Stock]]&lt;=Inventory_Data[[#This Row],[Reorder Level]],"Low Stock","In Stock")</f>
        <v>In Stock</v>
      </c>
      <c r="P2171" t="str">
        <f>TEXT(Inventory_Data[[#This Row],[Date]],"MMM")</f>
        <v>Apr</v>
      </c>
      <c r="Q2171" t="str">
        <f>TEXT(Inventory_Data[[#This Row],[Date]],"YYYY")</f>
        <v>2026</v>
      </c>
    </row>
    <row r="2172" spans="1:17" x14ac:dyDescent="0.3">
      <c r="A2172" s="1">
        <v>46121</v>
      </c>
      <c r="B2172" t="s">
        <v>25</v>
      </c>
      <c r="C2172" t="s">
        <v>17</v>
      </c>
      <c r="D2172" t="s">
        <v>26</v>
      </c>
      <c r="E2172" t="s">
        <v>15</v>
      </c>
      <c r="F2172">
        <v>74</v>
      </c>
      <c r="G2172">
        <v>21</v>
      </c>
      <c r="H2172">
        <v>31</v>
      </c>
      <c r="I2172">
        <v>64</v>
      </c>
      <c r="J2172">
        <v>23</v>
      </c>
      <c r="K2172">
        <v>18677</v>
      </c>
      <c r="L2172">
        <v>1195328</v>
      </c>
      <c r="M2172">
        <f>Inventory_Data[[#This Row],[Opening Stock]]+Inventory_Data[[#This Row],[Purchase Qty]]-Inventory_Data[[#This Row],[Sales Qty]]-Inventory_Data[[#This Row],[Closing Stock]]</f>
        <v>0</v>
      </c>
      <c r="N2172">
        <f>Inventory_Data[[#This Row],[Purchase Qty]]*Inventory_Data[[#This Row],[Unit Cost]]</f>
        <v>392217</v>
      </c>
      <c r="O2172" t="str">
        <f>IF(Inventory_Data[[#This Row],[Closing Stock]]&lt;=Inventory_Data[[#This Row],[Reorder Level]],"Low Stock","In Stock")</f>
        <v>In Stock</v>
      </c>
      <c r="P2172" t="str">
        <f>TEXT(Inventory_Data[[#This Row],[Date]],"MMM")</f>
        <v>Apr</v>
      </c>
      <c r="Q2172" t="str">
        <f>TEXT(Inventory_Data[[#This Row],[Date]],"YYYY")</f>
        <v>2026</v>
      </c>
    </row>
    <row r="2173" spans="1:17" x14ac:dyDescent="0.3">
      <c r="A2173" s="1">
        <v>46121</v>
      </c>
      <c r="B2173" t="s">
        <v>33</v>
      </c>
      <c r="C2173" t="s">
        <v>13</v>
      </c>
      <c r="D2173" t="s">
        <v>23</v>
      </c>
      <c r="E2173" t="s">
        <v>18</v>
      </c>
      <c r="F2173">
        <v>50</v>
      </c>
      <c r="G2173">
        <v>52</v>
      </c>
      <c r="H2173">
        <v>53</v>
      </c>
      <c r="I2173">
        <v>49</v>
      </c>
      <c r="J2173">
        <v>20</v>
      </c>
      <c r="K2173">
        <v>12850</v>
      </c>
      <c r="L2173">
        <v>629650</v>
      </c>
      <c r="M2173">
        <f>Inventory_Data[[#This Row],[Opening Stock]]+Inventory_Data[[#This Row],[Purchase Qty]]-Inventory_Data[[#This Row],[Sales Qty]]-Inventory_Data[[#This Row],[Closing Stock]]</f>
        <v>0</v>
      </c>
      <c r="N2173">
        <f>Inventory_Data[[#This Row],[Purchase Qty]]*Inventory_Data[[#This Row],[Unit Cost]]</f>
        <v>668200</v>
      </c>
      <c r="O2173" t="str">
        <f>IF(Inventory_Data[[#This Row],[Closing Stock]]&lt;=Inventory_Data[[#This Row],[Reorder Level]],"Low Stock","In Stock")</f>
        <v>In Stock</v>
      </c>
      <c r="P2173" t="str">
        <f>TEXT(Inventory_Data[[#This Row],[Date]],"MMM")</f>
        <v>Apr</v>
      </c>
      <c r="Q2173" t="str">
        <f>TEXT(Inventory_Data[[#This Row],[Date]],"YYYY")</f>
        <v>2026</v>
      </c>
    </row>
    <row r="2174" spans="1:17" x14ac:dyDescent="0.3">
      <c r="A2174" s="1">
        <v>46122</v>
      </c>
      <c r="B2174" t="s">
        <v>12</v>
      </c>
      <c r="C2174" t="s">
        <v>13</v>
      </c>
      <c r="D2174" t="s">
        <v>26</v>
      </c>
      <c r="E2174" t="s">
        <v>15</v>
      </c>
      <c r="F2174">
        <v>94</v>
      </c>
      <c r="G2174">
        <v>44</v>
      </c>
      <c r="H2174">
        <v>41</v>
      </c>
      <c r="I2174">
        <v>97</v>
      </c>
      <c r="J2174">
        <v>26</v>
      </c>
      <c r="K2174">
        <v>8815</v>
      </c>
      <c r="L2174">
        <v>855055</v>
      </c>
      <c r="M2174">
        <f>Inventory_Data[[#This Row],[Opening Stock]]+Inventory_Data[[#This Row],[Purchase Qty]]-Inventory_Data[[#This Row],[Sales Qty]]-Inventory_Data[[#This Row],[Closing Stock]]</f>
        <v>0</v>
      </c>
      <c r="N2174">
        <f>Inventory_Data[[#This Row],[Purchase Qty]]*Inventory_Data[[#This Row],[Unit Cost]]</f>
        <v>387860</v>
      </c>
      <c r="O2174" t="str">
        <f>IF(Inventory_Data[[#This Row],[Closing Stock]]&lt;=Inventory_Data[[#This Row],[Reorder Level]],"Low Stock","In Stock")</f>
        <v>In Stock</v>
      </c>
      <c r="P2174" t="str">
        <f>TEXT(Inventory_Data[[#This Row],[Date]],"MMM")</f>
        <v>Apr</v>
      </c>
      <c r="Q2174" t="str">
        <f>TEXT(Inventory_Data[[#This Row],[Date]],"YYYY")</f>
        <v>2026</v>
      </c>
    </row>
    <row r="2175" spans="1:17" x14ac:dyDescent="0.3">
      <c r="A2175" s="1">
        <v>46122</v>
      </c>
      <c r="B2175" t="s">
        <v>39</v>
      </c>
      <c r="C2175" t="s">
        <v>28</v>
      </c>
      <c r="D2175" t="s">
        <v>37</v>
      </c>
      <c r="E2175" t="s">
        <v>20</v>
      </c>
      <c r="F2175">
        <v>39</v>
      </c>
      <c r="G2175">
        <v>117</v>
      </c>
      <c r="H2175">
        <v>6</v>
      </c>
      <c r="I2175">
        <v>150</v>
      </c>
      <c r="J2175">
        <v>51</v>
      </c>
      <c r="K2175">
        <v>7718</v>
      </c>
      <c r="L2175">
        <v>1157700</v>
      </c>
      <c r="M2175">
        <f>Inventory_Data[[#This Row],[Opening Stock]]+Inventory_Data[[#This Row],[Purchase Qty]]-Inventory_Data[[#This Row],[Sales Qty]]-Inventory_Data[[#This Row],[Closing Stock]]</f>
        <v>0</v>
      </c>
      <c r="N2175">
        <f>Inventory_Data[[#This Row],[Purchase Qty]]*Inventory_Data[[#This Row],[Unit Cost]]</f>
        <v>903006</v>
      </c>
      <c r="O2175" t="str">
        <f>IF(Inventory_Data[[#This Row],[Closing Stock]]&lt;=Inventory_Data[[#This Row],[Reorder Level]],"Low Stock","In Stock")</f>
        <v>In Stock</v>
      </c>
      <c r="P2175" t="str">
        <f>TEXT(Inventory_Data[[#This Row],[Date]],"MMM")</f>
        <v>Apr</v>
      </c>
      <c r="Q2175" t="str">
        <f>TEXT(Inventory_Data[[#This Row],[Date]],"YYYY")</f>
        <v>2026</v>
      </c>
    </row>
    <row r="2176" spans="1:17" x14ac:dyDescent="0.3">
      <c r="A2176" s="1">
        <v>46122</v>
      </c>
      <c r="B2176" t="s">
        <v>44</v>
      </c>
      <c r="C2176" t="s">
        <v>28</v>
      </c>
      <c r="D2176" t="s">
        <v>23</v>
      </c>
      <c r="E2176" t="s">
        <v>15</v>
      </c>
      <c r="F2176">
        <v>123</v>
      </c>
      <c r="G2176">
        <v>101</v>
      </c>
      <c r="H2176">
        <v>62</v>
      </c>
      <c r="I2176">
        <v>162</v>
      </c>
      <c r="J2176">
        <v>46</v>
      </c>
      <c r="K2176">
        <v>56043</v>
      </c>
      <c r="L2176">
        <v>9078966</v>
      </c>
      <c r="M2176">
        <f>Inventory_Data[[#This Row],[Opening Stock]]+Inventory_Data[[#This Row],[Purchase Qty]]-Inventory_Data[[#This Row],[Sales Qty]]-Inventory_Data[[#This Row],[Closing Stock]]</f>
        <v>0</v>
      </c>
      <c r="N2176">
        <f>Inventory_Data[[#This Row],[Purchase Qty]]*Inventory_Data[[#This Row],[Unit Cost]]</f>
        <v>5660343</v>
      </c>
      <c r="O2176" t="str">
        <f>IF(Inventory_Data[[#This Row],[Closing Stock]]&lt;=Inventory_Data[[#This Row],[Reorder Level]],"Low Stock","In Stock")</f>
        <v>In Stock</v>
      </c>
      <c r="P2176" t="str">
        <f>TEXT(Inventory_Data[[#This Row],[Date]],"MMM")</f>
        <v>Apr</v>
      </c>
      <c r="Q2176" t="str">
        <f>TEXT(Inventory_Data[[#This Row],[Date]],"YYYY")</f>
        <v>2026</v>
      </c>
    </row>
    <row r="2177" spans="1:17" x14ac:dyDescent="0.3">
      <c r="A2177" s="1">
        <v>46122</v>
      </c>
      <c r="B2177" t="s">
        <v>16</v>
      </c>
      <c r="C2177" t="s">
        <v>17</v>
      </c>
      <c r="D2177" t="s">
        <v>37</v>
      </c>
      <c r="E2177" t="s">
        <v>18</v>
      </c>
      <c r="F2177">
        <v>21</v>
      </c>
      <c r="G2177">
        <v>8</v>
      </c>
      <c r="H2177">
        <v>14</v>
      </c>
      <c r="I2177">
        <v>15</v>
      </c>
      <c r="J2177">
        <v>18</v>
      </c>
      <c r="K2177">
        <v>20026</v>
      </c>
      <c r="L2177">
        <v>300390</v>
      </c>
      <c r="M2177">
        <f>Inventory_Data[[#This Row],[Opening Stock]]+Inventory_Data[[#This Row],[Purchase Qty]]-Inventory_Data[[#This Row],[Sales Qty]]-Inventory_Data[[#This Row],[Closing Stock]]</f>
        <v>0</v>
      </c>
      <c r="N2177">
        <f>Inventory_Data[[#This Row],[Purchase Qty]]*Inventory_Data[[#This Row],[Unit Cost]]</f>
        <v>160208</v>
      </c>
      <c r="O2177" t="str">
        <f>IF(Inventory_Data[[#This Row],[Closing Stock]]&lt;=Inventory_Data[[#This Row],[Reorder Level]],"Low Stock","In Stock")</f>
        <v>Low Stock</v>
      </c>
      <c r="P2177" t="str">
        <f>TEXT(Inventory_Data[[#This Row],[Date]],"MMM")</f>
        <v>Apr</v>
      </c>
      <c r="Q2177" t="str">
        <f>TEXT(Inventory_Data[[#This Row],[Date]],"YYYY")</f>
        <v>2026</v>
      </c>
    </row>
    <row r="2178" spans="1:17" x14ac:dyDescent="0.3">
      <c r="A2178" s="1">
        <v>46123</v>
      </c>
      <c r="B2178" t="s">
        <v>45</v>
      </c>
      <c r="C2178" t="s">
        <v>13</v>
      </c>
      <c r="D2178" t="s">
        <v>14</v>
      </c>
      <c r="E2178" t="s">
        <v>34</v>
      </c>
      <c r="F2178">
        <v>101</v>
      </c>
      <c r="G2178">
        <v>44</v>
      </c>
      <c r="H2178">
        <v>52</v>
      </c>
      <c r="I2178">
        <v>93</v>
      </c>
      <c r="J2178">
        <v>33</v>
      </c>
      <c r="K2178">
        <v>10244</v>
      </c>
      <c r="L2178">
        <v>952692</v>
      </c>
      <c r="M2178">
        <f>Inventory_Data[[#This Row],[Opening Stock]]+Inventory_Data[[#This Row],[Purchase Qty]]-Inventory_Data[[#This Row],[Sales Qty]]-Inventory_Data[[#This Row],[Closing Stock]]</f>
        <v>0</v>
      </c>
      <c r="N2178">
        <f>Inventory_Data[[#This Row],[Purchase Qty]]*Inventory_Data[[#This Row],[Unit Cost]]</f>
        <v>450736</v>
      </c>
      <c r="O2178" t="str">
        <f>IF(Inventory_Data[[#This Row],[Closing Stock]]&lt;=Inventory_Data[[#This Row],[Reorder Level]],"Low Stock","In Stock")</f>
        <v>In Stock</v>
      </c>
      <c r="P2178" t="str">
        <f>TEXT(Inventory_Data[[#This Row],[Date]],"MMM")</f>
        <v>Apr</v>
      </c>
      <c r="Q2178" t="str">
        <f>TEXT(Inventory_Data[[#This Row],[Date]],"YYYY")</f>
        <v>2026</v>
      </c>
    </row>
    <row r="2179" spans="1:17" x14ac:dyDescent="0.3">
      <c r="A2179" s="1">
        <v>46123</v>
      </c>
      <c r="B2179" t="s">
        <v>45</v>
      </c>
      <c r="C2179" t="s">
        <v>13</v>
      </c>
      <c r="D2179" t="s">
        <v>23</v>
      </c>
      <c r="E2179" t="s">
        <v>20</v>
      </c>
      <c r="F2179">
        <v>43</v>
      </c>
      <c r="G2179">
        <v>29</v>
      </c>
      <c r="H2179">
        <v>58</v>
      </c>
      <c r="I2179">
        <v>14</v>
      </c>
      <c r="J2179">
        <v>33</v>
      </c>
      <c r="K2179">
        <v>11705</v>
      </c>
      <c r="L2179">
        <v>163870</v>
      </c>
      <c r="M2179">
        <f>Inventory_Data[[#This Row],[Opening Stock]]+Inventory_Data[[#This Row],[Purchase Qty]]-Inventory_Data[[#This Row],[Sales Qty]]-Inventory_Data[[#This Row],[Closing Stock]]</f>
        <v>0</v>
      </c>
      <c r="N2179">
        <f>Inventory_Data[[#This Row],[Purchase Qty]]*Inventory_Data[[#This Row],[Unit Cost]]</f>
        <v>339445</v>
      </c>
      <c r="O2179" t="str">
        <f>IF(Inventory_Data[[#This Row],[Closing Stock]]&lt;=Inventory_Data[[#This Row],[Reorder Level]],"Low Stock","In Stock")</f>
        <v>Low Stock</v>
      </c>
      <c r="P2179" t="str">
        <f>TEXT(Inventory_Data[[#This Row],[Date]],"MMM")</f>
        <v>Apr</v>
      </c>
      <c r="Q2179" t="str">
        <f>TEXT(Inventory_Data[[#This Row],[Date]],"YYYY")</f>
        <v>2026</v>
      </c>
    </row>
    <row r="2180" spans="1:17" x14ac:dyDescent="0.3">
      <c r="A2180" s="1">
        <v>46123</v>
      </c>
      <c r="B2180" t="s">
        <v>44</v>
      </c>
      <c r="C2180" t="s">
        <v>28</v>
      </c>
      <c r="D2180" t="s">
        <v>14</v>
      </c>
      <c r="E2180" t="s">
        <v>15</v>
      </c>
      <c r="F2180">
        <v>118</v>
      </c>
      <c r="G2180">
        <v>39</v>
      </c>
      <c r="H2180">
        <v>46</v>
      </c>
      <c r="I2180">
        <v>111</v>
      </c>
      <c r="J2180">
        <v>46</v>
      </c>
      <c r="K2180">
        <v>13738</v>
      </c>
      <c r="L2180">
        <v>1524918</v>
      </c>
      <c r="M2180">
        <f>Inventory_Data[[#This Row],[Opening Stock]]+Inventory_Data[[#This Row],[Purchase Qty]]-Inventory_Data[[#This Row],[Sales Qty]]-Inventory_Data[[#This Row],[Closing Stock]]</f>
        <v>0</v>
      </c>
      <c r="N2180">
        <f>Inventory_Data[[#This Row],[Purchase Qty]]*Inventory_Data[[#This Row],[Unit Cost]]</f>
        <v>535782</v>
      </c>
      <c r="O2180" t="str">
        <f>IF(Inventory_Data[[#This Row],[Closing Stock]]&lt;=Inventory_Data[[#This Row],[Reorder Level]],"Low Stock","In Stock")</f>
        <v>In Stock</v>
      </c>
      <c r="P2180" t="str">
        <f>TEXT(Inventory_Data[[#This Row],[Date]],"MMM")</f>
        <v>Apr</v>
      </c>
      <c r="Q2180" t="str">
        <f>TEXT(Inventory_Data[[#This Row],[Date]],"YYYY")</f>
        <v>2026</v>
      </c>
    </row>
    <row r="2181" spans="1:17" x14ac:dyDescent="0.3">
      <c r="A2181" s="1">
        <v>46124</v>
      </c>
      <c r="B2181" t="s">
        <v>42</v>
      </c>
      <c r="C2181" t="s">
        <v>17</v>
      </c>
      <c r="D2181" t="s">
        <v>14</v>
      </c>
      <c r="E2181" t="s">
        <v>15</v>
      </c>
      <c r="F2181">
        <v>12</v>
      </c>
      <c r="G2181">
        <v>12</v>
      </c>
      <c r="H2181">
        <v>24</v>
      </c>
      <c r="I2181">
        <v>0</v>
      </c>
      <c r="J2181">
        <v>18</v>
      </c>
      <c r="K2181">
        <v>13702</v>
      </c>
      <c r="L2181">
        <v>0</v>
      </c>
      <c r="M2181">
        <f>Inventory_Data[[#This Row],[Opening Stock]]+Inventory_Data[[#This Row],[Purchase Qty]]-Inventory_Data[[#This Row],[Sales Qty]]-Inventory_Data[[#This Row],[Closing Stock]]</f>
        <v>0</v>
      </c>
      <c r="N2181">
        <f>Inventory_Data[[#This Row],[Purchase Qty]]*Inventory_Data[[#This Row],[Unit Cost]]</f>
        <v>164424</v>
      </c>
      <c r="O2181" t="str">
        <f>IF(Inventory_Data[[#This Row],[Closing Stock]]&lt;=Inventory_Data[[#This Row],[Reorder Level]],"Low Stock","In Stock")</f>
        <v>Low Stock</v>
      </c>
      <c r="P2181" t="str">
        <f>TEXT(Inventory_Data[[#This Row],[Date]],"MMM")</f>
        <v>Apr</v>
      </c>
      <c r="Q2181" t="str">
        <f>TEXT(Inventory_Data[[#This Row],[Date]],"YYYY")</f>
        <v>2026</v>
      </c>
    </row>
    <row r="2182" spans="1:17" x14ac:dyDescent="0.3">
      <c r="A2182" s="1">
        <v>46124</v>
      </c>
      <c r="B2182" t="s">
        <v>40</v>
      </c>
      <c r="C2182" t="s">
        <v>28</v>
      </c>
      <c r="D2182" t="s">
        <v>26</v>
      </c>
      <c r="E2182" t="s">
        <v>24</v>
      </c>
      <c r="F2182">
        <v>143</v>
      </c>
      <c r="G2182">
        <v>115</v>
      </c>
      <c r="H2182">
        <v>69</v>
      </c>
      <c r="I2182">
        <v>189</v>
      </c>
      <c r="J2182">
        <v>48</v>
      </c>
      <c r="K2182">
        <v>46296</v>
      </c>
      <c r="L2182">
        <v>8749944</v>
      </c>
      <c r="M2182">
        <f>Inventory_Data[[#This Row],[Opening Stock]]+Inventory_Data[[#This Row],[Purchase Qty]]-Inventory_Data[[#This Row],[Sales Qty]]-Inventory_Data[[#This Row],[Closing Stock]]</f>
        <v>0</v>
      </c>
      <c r="N2182">
        <f>Inventory_Data[[#This Row],[Purchase Qty]]*Inventory_Data[[#This Row],[Unit Cost]]</f>
        <v>5324040</v>
      </c>
      <c r="O2182" t="str">
        <f>IF(Inventory_Data[[#This Row],[Closing Stock]]&lt;=Inventory_Data[[#This Row],[Reorder Level]],"Low Stock","In Stock")</f>
        <v>In Stock</v>
      </c>
      <c r="P2182" t="str">
        <f>TEXT(Inventory_Data[[#This Row],[Date]],"MMM")</f>
        <v>Apr</v>
      </c>
      <c r="Q2182" t="str">
        <f>TEXT(Inventory_Data[[#This Row],[Date]],"YYYY")</f>
        <v>2026</v>
      </c>
    </row>
    <row r="2183" spans="1:17" x14ac:dyDescent="0.3">
      <c r="A2183" s="1">
        <v>46124</v>
      </c>
      <c r="B2183" t="s">
        <v>45</v>
      </c>
      <c r="C2183" t="s">
        <v>13</v>
      </c>
      <c r="D2183" t="s">
        <v>26</v>
      </c>
      <c r="E2183" t="s">
        <v>24</v>
      </c>
      <c r="F2183">
        <v>76</v>
      </c>
      <c r="G2183">
        <v>20</v>
      </c>
      <c r="H2183">
        <v>26</v>
      </c>
      <c r="I2183">
        <v>70</v>
      </c>
      <c r="J2183">
        <v>18</v>
      </c>
      <c r="K2183">
        <v>4132</v>
      </c>
      <c r="L2183">
        <v>289240</v>
      </c>
      <c r="M2183">
        <f>Inventory_Data[[#This Row],[Opening Stock]]+Inventory_Data[[#This Row],[Purchase Qty]]-Inventory_Data[[#This Row],[Sales Qty]]-Inventory_Data[[#This Row],[Closing Stock]]</f>
        <v>0</v>
      </c>
      <c r="N2183">
        <f>Inventory_Data[[#This Row],[Purchase Qty]]*Inventory_Data[[#This Row],[Unit Cost]]</f>
        <v>82640</v>
      </c>
      <c r="O2183" t="str">
        <f>IF(Inventory_Data[[#This Row],[Closing Stock]]&lt;=Inventory_Data[[#This Row],[Reorder Level]],"Low Stock","In Stock")</f>
        <v>In Stock</v>
      </c>
      <c r="P2183" t="str">
        <f>TEXT(Inventory_Data[[#This Row],[Date]],"MMM")</f>
        <v>Apr</v>
      </c>
      <c r="Q2183" t="str">
        <f>TEXT(Inventory_Data[[#This Row],[Date]],"YYYY")</f>
        <v>2026</v>
      </c>
    </row>
    <row r="2184" spans="1:17" x14ac:dyDescent="0.3">
      <c r="A2184" s="1">
        <v>46125</v>
      </c>
      <c r="B2184" t="s">
        <v>21</v>
      </c>
      <c r="C2184" t="s">
        <v>22</v>
      </c>
      <c r="D2184" t="s">
        <v>26</v>
      </c>
      <c r="E2184" t="s">
        <v>18</v>
      </c>
      <c r="F2184">
        <v>291</v>
      </c>
      <c r="G2184">
        <v>70</v>
      </c>
      <c r="H2184">
        <v>171</v>
      </c>
      <c r="I2184">
        <v>190</v>
      </c>
      <c r="J2184">
        <v>89</v>
      </c>
      <c r="K2184">
        <v>31</v>
      </c>
      <c r="L2184">
        <v>5890</v>
      </c>
      <c r="M2184">
        <f>Inventory_Data[[#This Row],[Opening Stock]]+Inventory_Data[[#This Row],[Purchase Qty]]-Inventory_Data[[#This Row],[Sales Qty]]-Inventory_Data[[#This Row],[Closing Stock]]</f>
        <v>0</v>
      </c>
      <c r="N2184">
        <f>Inventory_Data[[#This Row],[Purchase Qty]]*Inventory_Data[[#This Row],[Unit Cost]]</f>
        <v>2170</v>
      </c>
      <c r="O2184" t="str">
        <f>IF(Inventory_Data[[#This Row],[Closing Stock]]&lt;=Inventory_Data[[#This Row],[Reorder Level]],"Low Stock","In Stock")</f>
        <v>In Stock</v>
      </c>
      <c r="P2184" t="str">
        <f>TEXT(Inventory_Data[[#This Row],[Date]],"MMM")</f>
        <v>Apr</v>
      </c>
      <c r="Q2184" t="str">
        <f>TEXT(Inventory_Data[[#This Row],[Date]],"YYYY")</f>
        <v>2026</v>
      </c>
    </row>
    <row r="2185" spans="1:17" x14ac:dyDescent="0.3">
      <c r="A2185" s="1">
        <v>46125</v>
      </c>
      <c r="B2185" t="s">
        <v>19</v>
      </c>
      <c r="C2185" t="s">
        <v>13</v>
      </c>
      <c r="D2185" t="s">
        <v>23</v>
      </c>
      <c r="E2185" t="s">
        <v>34</v>
      </c>
      <c r="F2185">
        <v>96</v>
      </c>
      <c r="G2185">
        <v>5</v>
      </c>
      <c r="H2185">
        <v>60</v>
      </c>
      <c r="I2185">
        <v>41</v>
      </c>
      <c r="J2185">
        <v>33</v>
      </c>
      <c r="K2185">
        <v>16280</v>
      </c>
      <c r="L2185">
        <v>667480</v>
      </c>
      <c r="M2185">
        <f>Inventory_Data[[#This Row],[Opening Stock]]+Inventory_Data[[#This Row],[Purchase Qty]]-Inventory_Data[[#This Row],[Sales Qty]]-Inventory_Data[[#This Row],[Closing Stock]]</f>
        <v>0</v>
      </c>
      <c r="N2185">
        <f>Inventory_Data[[#This Row],[Purchase Qty]]*Inventory_Data[[#This Row],[Unit Cost]]</f>
        <v>81400</v>
      </c>
      <c r="O2185" t="str">
        <f>IF(Inventory_Data[[#This Row],[Closing Stock]]&lt;=Inventory_Data[[#This Row],[Reorder Level]],"Low Stock","In Stock")</f>
        <v>In Stock</v>
      </c>
      <c r="P2185" t="str">
        <f>TEXT(Inventory_Data[[#This Row],[Date]],"MMM")</f>
        <v>Apr</v>
      </c>
      <c r="Q2185" t="str">
        <f>TEXT(Inventory_Data[[#This Row],[Date]],"YYYY")</f>
        <v>2026</v>
      </c>
    </row>
    <row r="2186" spans="1:17" x14ac:dyDescent="0.3">
      <c r="A2186" s="1">
        <v>46125</v>
      </c>
      <c r="B2186" t="s">
        <v>27</v>
      </c>
      <c r="C2186" t="s">
        <v>28</v>
      </c>
      <c r="D2186" t="s">
        <v>14</v>
      </c>
      <c r="E2186" t="s">
        <v>20</v>
      </c>
      <c r="F2186">
        <v>152</v>
      </c>
      <c r="G2186">
        <v>64</v>
      </c>
      <c r="H2186">
        <v>24</v>
      </c>
      <c r="I2186">
        <v>192</v>
      </c>
      <c r="J2186">
        <v>55</v>
      </c>
      <c r="K2186">
        <v>6071</v>
      </c>
      <c r="L2186">
        <v>1165632</v>
      </c>
      <c r="M2186">
        <f>Inventory_Data[[#This Row],[Opening Stock]]+Inventory_Data[[#This Row],[Purchase Qty]]-Inventory_Data[[#This Row],[Sales Qty]]-Inventory_Data[[#This Row],[Closing Stock]]</f>
        <v>0</v>
      </c>
      <c r="N2186">
        <f>Inventory_Data[[#This Row],[Purchase Qty]]*Inventory_Data[[#This Row],[Unit Cost]]</f>
        <v>388544</v>
      </c>
      <c r="O2186" t="str">
        <f>IF(Inventory_Data[[#This Row],[Closing Stock]]&lt;=Inventory_Data[[#This Row],[Reorder Level]],"Low Stock","In Stock")</f>
        <v>In Stock</v>
      </c>
      <c r="P2186" t="str">
        <f>TEXT(Inventory_Data[[#This Row],[Date]],"MMM")</f>
        <v>Apr</v>
      </c>
      <c r="Q2186" t="str">
        <f>TEXT(Inventory_Data[[#This Row],[Date]],"YYYY")</f>
        <v>2026</v>
      </c>
    </row>
    <row r="2187" spans="1:17" x14ac:dyDescent="0.3">
      <c r="A2187" s="1">
        <v>46125</v>
      </c>
      <c r="B2187" t="s">
        <v>35</v>
      </c>
      <c r="C2187" t="s">
        <v>22</v>
      </c>
      <c r="D2187" t="s">
        <v>26</v>
      </c>
      <c r="E2187" t="s">
        <v>24</v>
      </c>
      <c r="F2187">
        <v>464</v>
      </c>
      <c r="G2187">
        <v>98</v>
      </c>
      <c r="H2187">
        <v>113</v>
      </c>
      <c r="I2187">
        <v>449</v>
      </c>
      <c r="J2187">
        <v>137</v>
      </c>
      <c r="K2187">
        <v>219</v>
      </c>
      <c r="L2187">
        <v>98331</v>
      </c>
      <c r="M2187">
        <f>Inventory_Data[[#This Row],[Opening Stock]]+Inventory_Data[[#This Row],[Purchase Qty]]-Inventory_Data[[#This Row],[Sales Qty]]-Inventory_Data[[#This Row],[Closing Stock]]</f>
        <v>0</v>
      </c>
      <c r="N2187">
        <f>Inventory_Data[[#This Row],[Purchase Qty]]*Inventory_Data[[#This Row],[Unit Cost]]</f>
        <v>21462</v>
      </c>
      <c r="O2187" t="str">
        <f>IF(Inventory_Data[[#This Row],[Closing Stock]]&lt;=Inventory_Data[[#This Row],[Reorder Level]],"Low Stock","In Stock")</f>
        <v>In Stock</v>
      </c>
      <c r="P2187" t="str">
        <f>TEXT(Inventory_Data[[#This Row],[Date]],"MMM")</f>
        <v>Apr</v>
      </c>
      <c r="Q2187" t="str">
        <f>TEXT(Inventory_Data[[#This Row],[Date]],"YYYY")</f>
        <v>2026</v>
      </c>
    </row>
    <row r="2188" spans="1:17" x14ac:dyDescent="0.3">
      <c r="A2188" s="1">
        <v>46126</v>
      </c>
      <c r="B2188" t="s">
        <v>16</v>
      </c>
      <c r="C2188" t="s">
        <v>17</v>
      </c>
      <c r="D2188" t="s">
        <v>37</v>
      </c>
      <c r="E2188" t="s">
        <v>29</v>
      </c>
      <c r="F2188">
        <v>10</v>
      </c>
      <c r="G2188">
        <v>49</v>
      </c>
      <c r="H2188">
        <v>16</v>
      </c>
      <c r="I2188">
        <v>43</v>
      </c>
      <c r="J2188">
        <v>24</v>
      </c>
      <c r="K2188">
        <v>10338</v>
      </c>
      <c r="L2188">
        <v>444534</v>
      </c>
      <c r="M2188">
        <f>Inventory_Data[[#This Row],[Opening Stock]]+Inventory_Data[[#This Row],[Purchase Qty]]-Inventory_Data[[#This Row],[Sales Qty]]-Inventory_Data[[#This Row],[Closing Stock]]</f>
        <v>0</v>
      </c>
      <c r="N2188">
        <f>Inventory_Data[[#This Row],[Purchase Qty]]*Inventory_Data[[#This Row],[Unit Cost]]</f>
        <v>506562</v>
      </c>
      <c r="O2188" t="str">
        <f>IF(Inventory_Data[[#This Row],[Closing Stock]]&lt;=Inventory_Data[[#This Row],[Reorder Level]],"Low Stock","In Stock")</f>
        <v>In Stock</v>
      </c>
      <c r="P2188" t="str">
        <f>TEXT(Inventory_Data[[#This Row],[Date]],"MMM")</f>
        <v>Apr</v>
      </c>
      <c r="Q2188" t="str">
        <f>TEXT(Inventory_Data[[#This Row],[Date]],"YYYY")</f>
        <v>2026</v>
      </c>
    </row>
    <row r="2189" spans="1:17" x14ac:dyDescent="0.3">
      <c r="A2189" s="1">
        <v>46126</v>
      </c>
      <c r="B2189" t="s">
        <v>41</v>
      </c>
      <c r="C2189" t="s">
        <v>22</v>
      </c>
      <c r="D2189" t="s">
        <v>37</v>
      </c>
      <c r="E2189" t="s">
        <v>18</v>
      </c>
      <c r="F2189">
        <v>331</v>
      </c>
      <c r="G2189">
        <v>267</v>
      </c>
      <c r="H2189">
        <v>173</v>
      </c>
      <c r="I2189">
        <v>425</v>
      </c>
      <c r="J2189">
        <v>146</v>
      </c>
      <c r="K2189">
        <v>472</v>
      </c>
      <c r="L2189">
        <v>200600</v>
      </c>
      <c r="M2189">
        <f>Inventory_Data[[#This Row],[Opening Stock]]+Inventory_Data[[#This Row],[Purchase Qty]]-Inventory_Data[[#This Row],[Sales Qty]]-Inventory_Data[[#This Row],[Closing Stock]]</f>
        <v>0</v>
      </c>
      <c r="N2189">
        <f>Inventory_Data[[#This Row],[Purchase Qty]]*Inventory_Data[[#This Row],[Unit Cost]]</f>
        <v>126024</v>
      </c>
      <c r="O2189" t="str">
        <f>IF(Inventory_Data[[#This Row],[Closing Stock]]&lt;=Inventory_Data[[#This Row],[Reorder Level]],"Low Stock","In Stock")</f>
        <v>In Stock</v>
      </c>
      <c r="P2189" t="str">
        <f>TEXT(Inventory_Data[[#This Row],[Date]],"MMM")</f>
        <v>Apr</v>
      </c>
      <c r="Q2189" t="str">
        <f>TEXT(Inventory_Data[[#This Row],[Date]],"YYYY")</f>
        <v>2026</v>
      </c>
    </row>
    <row r="2190" spans="1:17" x14ac:dyDescent="0.3">
      <c r="A2190" s="1">
        <v>46126</v>
      </c>
      <c r="B2190" t="s">
        <v>43</v>
      </c>
      <c r="C2190" t="s">
        <v>22</v>
      </c>
      <c r="D2190" t="s">
        <v>37</v>
      </c>
      <c r="E2190" t="s">
        <v>29</v>
      </c>
      <c r="F2190">
        <v>139</v>
      </c>
      <c r="G2190">
        <v>88</v>
      </c>
      <c r="H2190">
        <v>37</v>
      </c>
      <c r="I2190">
        <v>190</v>
      </c>
      <c r="J2190">
        <v>63</v>
      </c>
      <c r="K2190">
        <v>1115</v>
      </c>
      <c r="L2190">
        <v>211850</v>
      </c>
      <c r="M2190">
        <f>Inventory_Data[[#This Row],[Opening Stock]]+Inventory_Data[[#This Row],[Purchase Qty]]-Inventory_Data[[#This Row],[Sales Qty]]-Inventory_Data[[#This Row],[Closing Stock]]</f>
        <v>0</v>
      </c>
      <c r="N2190">
        <f>Inventory_Data[[#This Row],[Purchase Qty]]*Inventory_Data[[#This Row],[Unit Cost]]</f>
        <v>98120</v>
      </c>
      <c r="O2190" t="str">
        <f>IF(Inventory_Data[[#This Row],[Closing Stock]]&lt;=Inventory_Data[[#This Row],[Reorder Level]],"Low Stock","In Stock")</f>
        <v>In Stock</v>
      </c>
      <c r="P2190" t="str">
        <f>TEXT(Inventory_Data[[#This Row],[Date]],"MMM")</f>
        <v>Apr</v>
      </c>
      <c r="Q2190" t="str">
        <f>TEXT(Inventory_Data[[#This Row],[Date]],"YYYY")</f>
        <v>2026</v>
      </c>
    </row>
    <row r="2191" spans="1:17" x14ac:dyDescent="0.3">
      <c r="A2191" s="1">
        <v>46127</v>
      </c>
      <c r="B2191" t="s">
        <v>43</v>
      </c>
      <c r="C2191" t="s">
        <v>22</v>
      </c>
      <c r="D2191" t="s">
        <v>23</v>
      </c>
      <c r="E2191" t="s">
        <v>24</v>
      </c>
      <c r="F2191">
        <v>424</v>
      </c>
      <c r="G2191">
        <v>51</v>
      </c>
      <c r="H2191">
        <v>247</v>
      </c>
      <c r="I2191">
        <v>228</v>
      </c>
      <c r="J2191">
        <v>100</v>
      </c>
      <c r="K2191">
        <v>57</v>
      </c>
      <c r="L2191">
        <v>12996</v>
      </c>
      <c r="M2191">
        <f>Inventory_Data[[#This Row],[Opening Stock]]+Inventory_Data[[#This Row],[Purchase Qty]]-Inventory_Data[[#This Row],[Sales Qty]]-Inventory_Data[[#This Row],[Closing Stock]]</f>
        <v>0</v>
      </c>
      <c r="N2191">
        <f>Inventory_Data[[#This Row],[Purchase Qty]]*Inventory_Data[[#This Row],[Unit Cost]]</f>
        <v>2907</v>
      </c>
      <c r="O2191" t="str">
        <f>IF(Inventory_Data[[#This Row],[Closing Stock]]&lt;=Inventory_Data[[#This Row],[Reorder Level]],"Low Stock","In Stock")</f>
        <v>In Stock</v>
      </c>
      <c r="P2191" t="str">
        <f>TEXT(Inventory_Data[[#This Row],[Date]],"MMM")</f>
        <v>Apr</v>
      </c>
      <c r="Q2191" t="str">
        <f>TEXT(Inventory_Data[[#This Row],[Date]],"YYYY")</f>
        <v>2026</v>
      </c>
    </row>
    <row r="2192" spans="1:17" x14ac:dyDescent="0.3">
      <c r="A2192" s="1">
        <v>46127</v>
      </c>
      <c r="B2192" t="s">
        <v>36</v>
      </c>
      <c r="C2192" t="s">
        <v>22</v>
      </c>
      <c r="D2192" t="s">
        <v>23</v>
      </c>
      <c r="E2192" t="s">
        <v>15</v>
      </c>
      <c r="F2192">
        <v>283</v>
      </c>
      <c r="G2192">
        <v>192</v>
      </c>
      <c r="H2192">
        <v>125</v>
      </c>
      <c r="I2192">
        <v>350</v>
      </c>
      <c r="J2192">
        <v>91</v>
      </c>
      <c r="K2192">
        <v>624</v>
      </c>
      <c r="L2192">
        <v>218400</v>
      </c>
      <c r="M2192">
        <f>Inventory_Data[[#This Row],[Opening Stock]]+Inventory_Data[[#This Row],[Purchase Qty]]-Inventory_Data[[#This Row],[Sales Qty]]-Inventory_Data[[#This Row],[Closing Stock]]</f>
        <v>0</v>
      </c>
      <c r="N2192">
        <f>Inventory_Data[[#This Row],[Purchase Qty]]*Inventory_Data[[#This Row],[Unit Cost]]</f>
        <v>119808</v>
      </c>
      <c r="O2192" t="str">
        <f>IF(Inventory_Data[[#This Row],[Closing Stock]]&lt;=Inventory_Data[[#This Row],[Reorder Level]],"Low Stock","In Stock")</f>
        <v>In Stock</v>
      </c>
      <c r="P2192" t="str">
        <f>TEXT(Inventory_Data[[#This Row],[Date]],"MMM")</f>
        <v>Apr</v>
      </c>
      <c r="Q2192" t="str">
        <f>TEXT(Inventory_Data[[#This Row],[Date]],"YYYY")</f>
        <v>2026</v>
      </c>
    </row>
    <row r="2193" spans="1:17" x14ac:dyDescent="0.3">
      <c r="A2193" s="1">
        <v>46127</v>
      </c>
      <c r="B2193" t="s">
        <v>27</v>
      </c>
      <c r="C2193" t="s">
        <v>28</v>
      </c>
      <c r="D2193" t="s">
        <v>26</v>
      </c>
      <c r="E2193" t="s">
        <v>20</v>
      </c>
      <c r="F2193">
        <v>81</v>
      </c>
      <c r="G2193">
        <v>51</v>
      </c>
      <c r="H2193">
        <v>80</v>
      </c>
      <c r="I2193">
        <v>52</v>
      </c>
      <c r="J2193">
        <v>32</v>
      </c>
      <c r="K2193">
        <v>59849</v>
      </c>
      <c r="L2193">
        <v>3112148</v>
      </c>
      <c r="M2193">
        <f>Inventory_Data[[#This Row],[Opening Stock]]+Inventory_Data[[#This Row],[Purchase Qty]]-Inventory_Data[[#This Row],[Sales Qty]]-Inventory_Data[[#This Row],[Closing Stock]]</f>
        <v>0</v>
      </c>
      <c r="N2193">
        <f>Inventory_Data[[#This Row],[Purchase Qty]]*Inventory_Data[[#This Row],[Unit Cost]]</f>
        <v>3052299</v>
      </c>
      <c r="O2193" t="str">
        <f>IF(Inventory_Data[[#This Row],[Closing Stock]]&lt;=Inventory_Data[[#This Row],[Reorder Level]],"Low Stock","In Stock")</f>
        <v>In Stock</v>
      </c>
      <c r="P2193" t="str">
        <f>TEXT(Inventory_Data[[#This Row],[Date]],"MMM")</f>
        <v>Apr</v>
      </c>
      <c r="Q2193" t="str">
        <f>TEXT(Inventory_Data[[#This Row],[Date]],"YYYY")</f>
        <v>2026</v>
      </c>
    </row>
    <row r="2194" spans="1:17" x14ac:dyDescent="0.3">
      <c r="A2194" s="1">
        <v>46128</v>
      </c>
      <c r="B2194" t="s">
        <v>40</v>
      </c>
      <c r="C2194" t="s">
        <v>28</v>
      </c>
      <c r="D2194" t="s">
        <v>37</v>
      </c>
      <c r="E2194" t="s">
        <v>20</v>
      </c>
      <c r="F2194">
        <v>77</v>
      </c>
      <c r="G2194">
        <v>48</v>
      </c>
      <c r="H2194">
        <v>9</v>
      </c>
      <c r="I2194">
        <v>116</v>
      </c>
      <c r="J2194">
        <v>32</v>
      </c>
      <c r="K2194">
        <v>31584</v>
      </c>
      <c r="L2194">
        <v>3663744</v>
      </c>
      <c r="M2194">
        <f>Inventory_Data[[#This Row],[Opening Stock]]+Inventory_Data[[#This Row],[Purchase Qty]]-Inventory_Data[[#This Row],[Sales Qty]]-Inventory_Data[[#This Row],[Closing Stock]]</f>
        <v>0</v>
      </c>
      <c r="N2194">
        <f>Inventory_Data[[#This Row],[Purchase Qty]]*Inventory_Data[[#This Row],[Unit Cost]]</f>
        <v>1516032</v>
      </c>
      <c r="O2194" t="str">
        <f>IF(Inventory_Data[[#This Row],[Closing Stock]]&lt;=Inventory_Data[[#This Row],[Reorder Level]],"Low Stock","In Stock")</f>
        <v>In Stock</v>
      </c>
      <c r="P2194" t="str">
        <f>TEXT(Inventory_Data[[#This Row],[Date]],"MMM")</f>
        <v>Apr</v>
      </c>
      <c r="Q2194" t="str">
        <f>TEXT(Inventory_Data[[#This Row],[Date]],"YYYY")</f>
        <v>2026</v>
      </c>
    </row>
    <row r="2195" spans="1:17" x14ac:dyDescent="0.3">
      <c r="A2195" s="1">
        <v>46128</v>
      </c>
      <c r="B2195" t="s">
        <v>45</v>
      </c>
      <c r="C2195" t="s">
        <v>13</v>
      </c>
      <c r="D2195" t="s">
        <v>14</v>
      </c>
      <c r="E2195" t="s">
        <v>18</v>
      </c>
      <c r="F2195">
        <v>104</v>
      </c>
      <c r="G2195">
        <v>33</v>
      </c>
      <c r="H2195">
        <v>35</v>
      </c>
      <c r="I2195">
        <v>102</v>
      </c>
      <c r="J2195">
        <v>39</v>
      </c>
      <c r="K2195">
        <v>12791</v>
      </c>
      <c r="L2195">
        <v>1304682</v>
      </c>
      <c r="M2195">
        <f>Inventory_Data[[#This Row],[Opening Stock]]+Inventory_Data[[#This Row],[Purchase Qty]]-Inventory_Data[[#This Row],[Sales Qty]]-Inventory_Data[[#This Row],[Closing Stock]]</f>
        <v>0</v>
      </c>
      <c r="N2195">
        <f>Inventory_Data[[#This Row],[Purchase Qty]]*Inventory_Data[[#This Row],[Unit Cost]]</f>
        <v>422103</v>
      </c>
      <c r="O2195" t="str">
        <f>IF(Inventory_Data[[#This Row],[Closing Stock]]&lt;=Inventory_Data[[#This Row],[Reorder Level]],"Low Stock","In Stock")</f>
        <v>In Stock</v>
      </c>
      <c r="P2195" t="str">
        <f>TEXT(Inventory_Data[[#This Row],[Date]],"MMM")</f>
        <v>Apr</v>
      </c>
      <c r="Q2195" t="str">
        <f>TEXT(Inventory_Data[[#This Row],[Date]],"YYYY")</f>
        <v>2026</v>
      </c>
    </row>
    <row r="2196" spans="1:17" x14ac:dyDescent="0.3">
      <c r="A2196" s="1">
        <v>46128</v>
      </c>
      <c r="B2196" t="s">
        <v>33</v>
      </c>
      <c r="C2196" t="s">
        <v>13</v>
      </c>
      <c r="D2196" t="s">
        <v>23</v>
      </c>
      <c r="E2196" t="s">
        <v>15</v>
      </c>
      <c r="F2196">
        <v>18</v>
      </c>
      <c r="G2196">
        <v>52</v>
      </c>
      <c r="H2196">
        <v>57</v>
      </c>
      <c r="I2196">
        <v>13</v>
      </c>
      <c r="J2196">
        <v>15</v>
      </c>
      <c r="K2196">
        <v>7211</v>
      </c>
      <c r="L2196">
        <v>93743</v>
      </c>
      <c r="M2196">
        <f>Inventory_Data[[#This Row],[Opening Stock]]+Inventory_Data[[#This Row],[Purchase Qty]]-Inventory_Data[[#This Row],[Sales Qty]]-Inventory_Data[[#This Row],[Closing Stock]]</f>
        <v>0</v>
      </c>
      <c r="N2196">
        <f>Inventory_Data[[#This Row],[Purchase Qty]]*Inventory_Data[[#This Row],[Unit Cost]]</f>
        <v>374972</v>
      </c>
      <c r="O2196" t="str">
        <f>IF(Inventory_Data[[#This Row],[Closing Stock]]&lt;=Inventory_Data[[#This Row],[Reorder Level]],"Low Stock","In Stock")</f>
        <v>Low Stock</v>
      </c>
      <c r="P2196" t="str">
        <f>TEXT(Inventory_Data[[#This Row],[Date]],"MMM")</f>
        <v>Apr</v>
      </c>
      <c r="Q2196" t="str">
        <f>TEXT(Inventory_Data[[#This Row],[Date]],"YYYY")</f>
        <v>2026</v>
      </c>
    </row>
    <row r="2197" spans="1:17" x14ac:dyDescent="0.3">
      <c r="A2197" s="1">
        <v>46128</v>
      </c>
      <c r="B2197" t="s">
        <v>16</v>
      </c>
      <c r="C2197" t="s">
        <v>17</v>
      </c>
      <c r="D2197" t="s">
        <v>26</v>
      </c>
      <c r="E2197" t="s">
        <v>29</v>
      </c>
      <c r="F2197">
        <v>77</v>
      </c>
      <c r="G2197">
        <v>46</v>
      </c>
      <c r="H2197">
        <v>15</v>
      </c>
      <c r="I2197">
        <v>108</v>
      </c>
      <c r="J2197">
        <v>24</v>
      </c>
      <c r="K2197">
        <v>6608</v>
      </c>
      <c r="L2197">
        <v>713664</v>
      </c>
      <c r="M2197">
        <f>Inventory_Data[[#This Row],[Opening Stock]]+Inventory_Data[[#This Row],[Purchase Qty]]-Inventory_Data[[#This Row],[Sales Qty]]-Inventory_Data[[#This Row],[Closing Stock]]</f>
        <v>0</v>
      </c>
      <c r="N2197">
        <f>Inventory_Data[[#This Row],[Purchase Qty]]*Inventory_Data[[#This Row],[Unit Cost]]</f>
        <v>303968</v>
      </c>
      <c r="O2197" t="str">
        <f>IF(Inventory_Data[[#This Row],[Closing Stock]]&lt;=Inventory_Data[[#This Row],[Reorder Level]],"Low Stock","In Stock")</f>
        <v>In Stock</v>
      </c>
      <c r="P2197" t="str">
        <f>TEXT(Inventory_Data[[#This Row],[Date]],"MMM")</f>
        <v>Apr</v>
      </c>
      <c r="Q2197" t="str">
        <f>TEXT(Inventory_Data[[#This Row],[Date]],"YYYY")</f>
        <v>2026</v>
      </c>
    </row>
    <row r="2198" spans="1:17" x14ac:dyDescent="0.3">
      <c r="A2198" s="1">
        <v>46129</v>
      </c>
      <c r="B2198" t="s">
        <v>43</v>
      </c>
      <c r="C2198" t="s">
        <v>22</v>
      </c>
      <c r="D2198" t="s">
        <v>23</v>
      </c>
      <c r="E2198" t="s">
        <v>34</v>
      </c>
      <c r="F2198">
        <v>446</v>
      </c>
      <c r="G2198">
        <v>98</v>
      </c>
      <c r="H2198">
        <v>32</v>
      </c>
      <c r="I2198">
        <v>512</v>
      </c>
      <c r="J2198">
        <v>80</v>
      </c>
      <c r="K2198">
        <v>721</v>
      </c>
      <c r="L2198">
        <v>369152</v>
      </c>
      <c r="M2198">
        <f>Inventory_Data[[#This Row],[Opening Stock]]+Inventory_Data[[#This Row],[Purchase Qty]]-Inventory_Data[[#This Row],[Sales Qty]]-Inventory_Data[[#This Row],[Closing Stock]]</f>
        <v>0</v>
      </c>
      <c r="N2198">
        <f>Inventory_Data[[#This Row],[Purchase Qty]]*Inventory_Data[[#This Row],[Unit Cost]]</f>
        <v>70658</v>
      </c>
      <c r="O2198" t="str">
        <f>IF(Inventory_Data[[#This Row],[Closing Stock]]&lt;=Inventory_Data[[#This Row],[Reorder Level]],"Low Stock","In Stock")</f>
        <v>In Stock</v>
      </c>
      <c r="P2198" t="str">
        <f>TEXT(Inventory_Data[[#This Row],[Date]],"MMM")</f>
        <v>Apr</v>
      </c>
      <c r="Q2198" t="str">
        <f>TEXT(Inventory_Data[[#This Row],[Date]],"YYYY")</f>
        <v>2026</v>
      </c>
    </row>
    <row r="2199" spans="1:17" x14ac:dyDescent="0.3">
      <c r="A2199" s="1">
        <v>46129</v>
      </c>
      <c r="B2199" t="s">
        <v>38</v>
      </c>
      <c r="C2199" t="s">
        <v>17</v>
      </c>
      <c r="D2199" t="s">
        <v>23</v>
      </c>
      <c r="E2199" t="s">
        <v>24</v>
      </c>
      <c r="F2199">
        <v>48</v>
      </c>
      <c r="G2199">
        <v>40</v>
      </c>
      <c r="H2199">
        <v>21</v>
      </c>
      <c r="I2199">
        <v>67</v>
      </c>
      <c r="J2199">
        <v>16</v>
      </c>
      <c r="K2199">
        <v>23564</v>
      </c>
      <c r="L2199">
        <v>1578788</v>
      </c>
      <c r="M2199">
        <f>Inventory_Data[[#This Row],[Opening Stock]]+Inventory_Data[[#This Row],[Purchase Qty]]-Inventory_Data[[#This Row],[Sales Qty]]-Inventory_Data[[#This Row],[Closing Stock]]</f>
        <v>0</v>
      </c>
      <c r="N2199">
        <f>Inventory_Data[[#This Row],[Purchase Qty]]*Inventory_Data[[#This Row],[Unit Cost]]</f>
        <v>942560</v>
      </c>
      <c r="O2199" t="str">
        <f>IF(Inventory_Data[[#This Row],[Closing Stock]]&lt;=Inventory_Data[[#This Row],[Reorder Level]],"Low Stock","In Stock")</f>
        <v>In Stock</v>
      </c>
      <c r="P2199" t="str">
        <f>TEXT(Inventory_Data[[#This Row],[Date]],"MMM")</f>
        <v>Apr</v>
      </c>
      <c r="Q2199" t="str">
        <f>TEXT(Inventory_Data[[#This Row],[Date]],"YYYY")</f>
        <v>2026</v>
      </c>
    </row>
    <row r="2200" spans="1:17" x14ac:dyDescent="0.3">
      <c r="A2200" s="1">
        <v>46129</v>
      </c>
      <c r="B2200" t="s">
        <v>31</v>
      </c>
      <c r="C2200" t="s">
        <v>22</v>
      </c>
      <c r="D2200" t="s">
        <v>26</v>
      </c>
      <c r="E2200" t="s">
        <v>18</v>
      </c>
      <c r="F2200">
        <v>107</v>
      </c>
      <c r="G2200">
        <v>187</v>
      </c>
      <c r="H2200">
        <v>85</v>
      </c>
      <c r="I2200">
        <v>209</v>
      </c>
      <c r="J2200">
        <v>111</v>
      </c>
      <c r="K2200">
        <v>1062</v>
      </c>
      <c r="L2200">
        <v>221958</v>
      </c>
      <c r="M2200">
        <f>Inventory_Data[[#This Row],[Opening Stock]]+Inventory_Data[[#This Row],[Purchase Qty]]-Inventory_Data[[#This Row],[Sales Qty]]-Inventory_Data[[#This Row],[Closing Stock]]</f>
        <v>0</v>
      </c>
      <c r="N2200">
        <f>Inventory_Data[[#This Row],[Purchase Qty]]*Inventory_Data[[#This Row],[Unit Cost]]</f>
        <v>198594</v>
      </c>
      <c r="O2200" t="str">
        <f>IF(Inventory_Data[[#This Row],[Closing Stock]]&lt;=Inventory_Data[[#This Row],[Reorder Level]],"Low Stock","In Stock")</f>
        <v>In Stock</v>
      </c>
      <c r="P2200" t="str">
        <f>TEXT(Inventory_Data[[#This Row],[Date]],"MMM")</f>
        <v>Apr</v>
      </c>
      <c r="Q2200" t="str">
        <f>TEXT(Inventory_Data[[#This Row],[Date]],"YYYY")</f>
        <v>2026</v>
      </c>
    </row>
    <row r="2201" spans="1:17" x14ac:dyDescent="0.3">
      <c r="A2201" s="1">
        <v>46129</v>
      </c>
      <c r="B2201" t="s">
        <v>19</v>
      </c>
      <c r="C2201" t="s">
        <v>13</v>
      </c>
      <c r="D2201" t="s">
        <v>26</v>
      </c>
      <c r="E2201" t="s">
        <v>15</v>
      </c>
      <c r="F2201">
        <v>113</v>
      </c>
      <c r="G2201">
        <v>48</v>
      </c>
      <c r="H2201">
        <v>53</v>
      </c>
      <c r="I2201">
        <v>108</v>
      </c>
      <c r="J2201">
        <v>38</v>
      </c>
      <c r="K2201">
        <v>13518</v>
      </c>
      <c r="L2201">
        <v>1459944</v>
      </c>
      <c r="M2201">
        <f>Inventory_Data[[#This Row],[Opening Stock]]+Inventory_Data[[#This Row],[Purchase Qty]]-Inventory_Data[[#This Row],[Sales Qty]]-Inventory_Data[[#This Row],[Closing Stock]]</f>
        <v>0</v>
      </c>
      <c r="N2201">
        <f>Inventory_Data[[#This Row],[Purchase Qty]]*Inventory_Data[[#This Row],[Unit Cost]]</f>
        <v>648864</v>
      </c>
      <c r="O2201" t="str">
        <f>IF(Inventory_Data[[#This Row],[Closing Stock]]&lt;=Inventory_Data[[#This Row],[Reorder Level]],"Low Stock","In Stock")</f>
        <v>In Stock</v>
      </c>
      <c r="P2201" t="str">
        <f>TEXT(Inventory_Data[[#This Row],[Date]],"MMM")</f>
        <v>Apr</v>
      </c>
      <c r="Q2201" t="str">
        <f>TEXT(Inventory_Data[[#This Row],[Date]],"YYYY")</f>
        <v>2026</v>
      </c>
    </row>
    <row r="2202" spans="1:17" x14ac:dyDescent="0.3">
      <c r="A2202" s="1">
        <v>46129</v>
      </c>
      <c r="B2202" t="s">
        <v>38</v>
      </c>
      <c r="C2202" t="s">
        <v>17</v>
      </c>
      <c r="D2202" t="s">
        <v>37</v>
      </c>
      <c r="E2202" t="s">
        <v>15</v>
      </c>
      <c r="F2202">
        <v>32</v>
      </c>
      <c r="G2202">
        <v>52</v>
      </c>
      <c r="H2202">
        <v>41</v>
      </c>
      <c r="I2202">
        <v>43</v>
      </c>
      <c r="J2202">
        <v>15</v>
      </c>
      <c r="K2202">
        <v>11745</v>
      </c>
      <c r="L2202">
        <v>505035</v>
      </c>
      <c r="M2202">
        <f>Inventory_Data[[#This Row],[Opening Stock]]+Inventory_Data[[#This Row],[Purchase Qty]]-Inventory_Data[[#This Row],[Sales Qty]]-Inventory_Data[[#This Row],[Closing Stock]]</f>
        <v>0</v>
      </c>
      <c r="N2202">
        <f>Inventory_Data[[#This Row],[Purchase Qty]]*Inventory_Data[[#This Row],[Unit Cost]]</f>
        <v>610740</v>
      </c>
      <c r="O2202" t="str">
        <f>IF(Inventory_Data[[#This Row],[Closing Stock]]&lt;=Inventory_Data[[#This Row],[Reorder Level]],"Low Stock","In Stock")</f>
        <v>In Stock</v>
      </c>
      <c r="P2202" t="str">
        <f>TEXT(Inventory_Data[[#This Row],[Date]],"MMM")</f>
        <v>Apr</v>
      </c>
      <c r="Q2202" t="str">
        <f>TEXT(Inventory_Data[[#This Row],[Date]],"YYYY")</f>
        <v>2026</v>
      </c>
    </row>
    <row r="2203" spans="1:17" x14ac:dyDescent="0.3">
      <c r="A2203" s="1">
        <v>46130</v>
      </c>
      <c r="B2203" t="s">
        <v>19</v>
      </c>
      <c r="C2203" t="s">
        <v>13</v>
      </c>
      <c r="D2203" t="s">
        <v>14</v>
      </c>
      <c r="E2203" t="s">
        <v>24</v>
      </c>
      <c r="F2203">
        <v>82</v>
      </c>
      <c r="G2203">
        <v>66</v>
      </c>
      <c r="H2203">
        <v>60</v>
      </c>
      <c r="I2203">
        <v>88</v>
      </c>
      <c r="J2203">
        <v>25</v>
      </c>
      <c r="K2203">
        <v>10346</v>
      </c>
      <c r="L2203">
        <v>910448</v>
      </c>
      <c r="M2203">
        <f>Inventory_Data[[#This Row],[Opening Stock]]+Inventory_Data[[#This Row],[Purchase Qty]]-Inventory_Data[[#This Row],[Sales Qty]]-Inventory_Data[[#This Row],[Closing Stock]]</f>
        <v>0</v>
      </c>
      <c r="N2203">
        <f>Inventory_Data[[#This Row],[Purchase Qty]]*Inventory_Data[[#This Row],[Unit Cost]]</f>
        <v>682836</v>
      </c>
      <c r="O2203" t="str">
        <f>IF(Inventory_Data[[#This Row],[Closing Stock]]&lt;=Inventory_Data[[#This Row],[Reorder Level]],"Low Stock","In Stock")</f>
        <v>In Stock</v>
      </c>
      <c r="P2203" t="str">
        <f>TEXT(Inventory_Data[[#This Row],[Date]],"MMM")</f>
        <v>Apr</v>
      </c>
      <c r="Q2203" t="str">
        <f>TEXT(Inventory_Data[[#This Row],[Date]],"YYYY")</f>
        <v>2026</v>
      </c>
    </row>
    <row r="2204" spans="1:17" x14ac:dyDescent="0.3">
      <c r="A2204" s="1">
        <v>46130</v>
      </c>
      <c r="B2204" t="s">
        <v>38</v>
      </c>
      <c r="C2204" t="s">
        <v>17</v>
      </c>
      <c r="D2204" t="s">
        <v>23</v>
      </c>
      <c r="E2204" t="s">
        <v>24</v>
      </c>
      <c r="F2204">
        <v>40</v>
      </c>
      <c r="G2204">
        <v>15</v>
      </c>
      <c r="H2204">
        <v>21</v>
      </c>
      <c r="I2204">
        <v>34</v>
      </c>
      <c r="J2204">
        <v>26</v>
      </c>
      <c r="K2204">
        <v>3345</v>
      </c>
      <c r="L2204">
        <v>113730</v>
      </c>
      <c r="M2204">
        <f>Inventory_Data[[#This Row],[Opening Stock]]+Inventory_Data[[#This Row],[Purchase Qty]]-Inventory_Data[[#This Row],[Sales Qty]]-Inventory_Data[[#This Row],[Closing Stock]]</f>
        <v>0</v>
      </c>
      <c r="N2204">
        <f>Inventory_Data[[#This Row],[Purchase Qty]]*Inventory_Data[[#This Row],[Unit Cost]]</f>
        <v>50175</v>
      </c>
      <c r="O2204" t="str">
        <f>IF(Inventory_Data[[#This Row],[Closing Stock]]&lt;=Inventory_Data[[#This Row],[Reorder Level]],"Low Stock","In Stock")</f>
        <v>In Stock</v>
      </c>
      <c r="P2204" t="str">
        <f>TEXT(Inventory_Data[[#This Row],[Date]],"MMM")</f>
        <v>Apr</v>
      </c>
      <c r="Q2204" t="str">
        <f>TEXT(Inventory_Data[[#This Row],[Date]],"YYYY")</f>
        <v>2026</v>
      </c>
    </row>
    <row r="2205" spans="1:17" x14ac:dyDescent="0.3">
      <c r="A2205" s="1">
        <v>46130</v>
      </c>
      <c r="B2205" t="s">
        <v>33</v>
      </c>
      <c r="C2205" t="s">
        <v>13</v>
      </c>
      <c r="D2205" t="s">
        <v>23</v>
      </c>
      <c r="E2205" t="s">
        <v>15</v>
      </c>
      <c r="F2205">
        <v>104</v>
      </c>
      <c r="G2205">
        <v>51</v>
      </c>
      <c r="H2205">
        <v>4</v>
      </c>
      <c r="I2205">
        <v>151</v>
      </c>
      <c r="J2205">
        <v>35</v>
      </c>
      <c r="K2205">
        <v>1629</v>
      </c>
      <c r="L2205">
        <v>245979</v>
      </c>
      <c r="M2205">
        <f>Inventory_Data[[#This Row],[Opening Stock]]+Inventory_Data[[#This Row],[Purchase Qty]]-Inventory_Data[[#This Row],[Sales Qty]]-Inventory_Data[[#This Row],[Closing Stock]]</f>
        <v>0</v>
      </c>
      <c r="N2205">
        <f>Inventory_Data[[#This Row],[Purchase Qty]]*Inventory_Data[[#This Row],[Unit Cost]]</f>
        <v>83079</v>
      </c>
      <c r="O2205" t="str">
        <f>IF(Inventory_Data[[#This Row],[Closing Stock]]&lt;=Inventory_Data[[#This Row],[Reorder Level]],"Low Stock","In Stock")</f>
        <v>In Stock</v>
      </c>
      <c r="P2205" t="str">
        <f>TEXT(Inventory_Data[[#This Row],[Date]],"MMM")</f>
        <v>Apr</v>
      </c>
      <c r="Q2205" t="str">
        <f>TEXT(Inventory_Data[[#This Row],[Date]],"YYYY")</f>
        <v>2026</v>
      </c>
    </row>
    <row r="2206" spans="1:17" x14ac:dyDescent="0.3">
      <c r="A2206" s="1">
        <v>46130</v>
      </c>
      <c r="B2206" t="s">
        <v>36</v>
      </c>
      <c r="C2206" t="s">
        <v>22</v>
      </c>
      <c r="D2206" t="s">
        <v>14</v>
      </c>
      <c r="E2206" t="s">
        <v>18</v>
      </c>
      <c r="F2206">
        <v>434</v>
      </c>
      <c r="G2206">
        <v>160</v>
      </c>
      <c r="H2206">
        <v>37</v>
      </c>
      <c r="I2206">
        <v>557</v>
      </c>
      <c r="J2206">
        <v>146</v>
      </c>
      <c r="K2206">
        <v>830</v>
      </c>
      <c r="L2206">
        <v>462310</v>
      </c>
      <c r="M2206">
        <f>Inventory_Data[[#This Row],[Opening Stock]]+Inventory_Data[[#This Row],[Purchase Qty]]-Inventory_Data[[#This Row],[Sales Qty]]-Inventory_Data[[#This Row],[Closing Stock]]</f>
        <v>0</v>
      </c>
      <c r="N2206">
        <f>Inventory_Data[[#This Row],[Purchase Qty]]*Inventory_Data[[#This Row],[Unit Cost]]</f>
        <v>132800</v>
      </c>
      <c r="O2206" t="str">
        <f>IF(Inventory_Data[[#This Row],[Closing Stock]]&lt;=Inventory_Data[[#This Row],[Reorder Level]],"Low Stock","In Stock")</f>
        <v>In Stock</v>
      </c>
      <c r="P2206" t="str">
        <f>TEXT(Inventory_Data[[#This Row],[Date]],"MMM")</f>
        <v>Apr</v>
      </c>
      <c r="Q2206" t="str">
        <f>TEXT(Inventory_Data[[#This Row],[Date]],"YYYY")</f>
        <v>2026</v>
      </c>
    </row>
    <row r="2207" spans="1:17" x14ac:dyDescent="0.3">
      <c r="A2207" s="1">
        <v>46130</v>
      </c>
      <c r="B2207" t="s">
        <v>40</v>
      </c>
      <c r="C2207" t="s">
        <v>28</v>
      </c>
      <c r="D2207" t="s">
        <v>26</v>
      </c>
      <c r="E2207" t="s">
        <v>29</v>
      </c>
      <c r="F2207">
        <v>139</v>
      </c>
      <c r="G2207">
        <v>55</v>
      </c>
      <c r="H2207">
        <v>45</v>
      </c>
      <c r="I2207">
        <v>149</v>
      </c>
      <c r="J2207">
        <v>44</v>
      </c>
      <c r="K2207">
        <v>36590</v>
      </c>
      <c r="L2207">
        <v>5451910</v>
      </c>
      <c r="M2207">
        <f>Inventory_Data[[#This Row],[Opening Stock]]+Inventory_Data[[#This Row],[Purchase Qty]]-Inventory_Data[[#This Row],[Sales Qty]]-Inventory_Data[[#This Row],[Closing Stock]]</f>
        <v>0</v>
      </c>
      <c r="N2207">
        <f>Inventory_Data[[#This Row],[Purchase Qty]]*Inventory_Data[[#This Row],[Unit Cost]]</f>
        <v>2012450</v>
      </c>
      <c r="O2207" t="str">
        <f>IF(Inventory_Data[[#This Row],[Closing Stock]]&lt;=Inventory_Data[[#This Row],[Reorder Level]],"Low Stock","In Stock")</f>
        <v>In Stock</v>
      </c>
      <c r="P2207" t="str">
        <f>TEXT(Inventory_Data[[#This Row],[Date]],"MMM")</f>
        <v>Apr</v>
      </c>
      <c r="Q2207" t="str">
        <f>TEXT(Inventory_Data[[#This Row],[Date]],"YYYY")</f>
        <v>2026</v>
      </c>
    </row>
    <row r="2208" spans="1:17" x14ac:dyDescent="0.3">
      <c r="A2208" s="1">
        <v>46131</v>
      </c>
      <c r="B2208" t="s">
        <v>40</v>
      </c>
      <c r="C2208" t="s">
        <v>28</v>
      </c>
      <c r="D2208" t="s">
        <v>26</v>
      </c>
      <c r="E2208" t="s">
        <v>24</v>
      </c>
      <c r="F2208">
        <v>36</v>
      </c>
      <c r="G2208">
        <v>97</v>
      </c>
      <c r="H2208">
        <v>96</v>
      </c>
      <c r="I2208">
        <v>37</v>
      </c>
      <c r="J2208">
        <v>50</v>
      </c>
      <c r="K2208">
        <v>5378</v>
      </c>
      <c r="L2208">
        <v>198986</v>
      </c>
      <c r="M2208">
        <f>Inventory_Data[[#This Row],[Opening Stock]]+Inventory_Data[[#This Row],[Purchase Qty]]-Inventory_Data[[#This Row],[Sales Qty]]-Inventory_Data[[#This Row],[Closing Stock]]</f>
        <v>0</v>
      </c>
      <c r="N2208">
        <f>Inventory_Data[[#This Row],[Purchase Qty]]*Inventory_Data[[#This Row],[Unit Cost]]</f>
        <v>521666</v>
      </c>
      <c r="O2208" t="str">
        <f>IF(Inventory_Data[[#This Row],[Closing Stock]]&lt;=Inventory_Data[[#This Row],[Reorder Level]],"Low Stock","In Stock")</f>
        <v>Low Stock</v>
      </c>
      <c r="P2208" t="str">
        <f>TEXT(Inventory_Data[[#This Row],[Date]],"MMM")</f>
        <v>Apr</v>
      </c>
      <c r="Q2208" t="str">
        <f>TEXT(Inventory_Data[[#This Row],[Date]],"YYYY")</f>
        <v>2026</v>
      </c>
    </row>
    <row r="2209" spans="1:17" x14ac:dyDescent="0.3">
      <c r="A2209" s="1">
        <v>46131</v>
      </c>
      <c r="B2209" t="s">
        <v>36</v>
      </c>
      <c r="C2209" t="s">
        <v>22</v>
      </c>
      <c r="D2209" t="s">
        <v>14</v>
      </c>
      <c r="E2209" t="s">
        <v>24</v>
      </c>
      <c r="F2209">
        <v>145</v>
      </c>
      <c r="G2209">
        <v>232</v>
      </c>
      <c r="H2209">
        <v>77</v>
      </c>
      <c r="I2209">
        <v>300</v>
      </c>
      <c r="J2209">
        <v>59</v>
      </c>
      <c r="K2209">
        <v>1135</v>
      </c>
      <c r="L2209">
        <v>340500</v>
      </c>
      <c r="M2209">
        <f>Inventory_Data[[#This Row],[Opening Stock]]+Inventory_Data[[#This Row],[Purchase Qty]]-Inventory_Data[[#This Row],[Sales Qty]]-Inventory_Data[[#This Row],[Closing Stock]]</f>
        <v>0</v>
      </c>
      <c r="N2209">
        <f>Inventory_Data[[#This Row],[Purchase Qty]]*Inventory_Data[[#This Row],[Unit Cost]]</f>
        <v>263320</v>
      </c>
      <c r="O2209" t="str">
        <f>IF(Inventory_Data[[#This Row],[Closing Stock]]&lt;=Inventory_Data[[#This Row],[Reorder Level]],"Low Stock","In Stock")</f>
        <v>In Stock</v>
      </c>
      <c r="P2209" t="str">
        <f>TEXT(Inventory_Data[[#This Row],[Date]],"MMM")</f>
        <v>Apr</v>
      </c>
      <c r="Q2209" t="str">
        <f>TEXT(Inventory_Data[[#This Row],[Date]],"YYYY")</f>
        <v>2026</v>
      </c>
    </row>
    <row r="2210" spans="1:17" x14ac:dyDescent="0.3">
      <c r="A2210" s="1">
        <v>46131</v>
      </c>
      <c r="B2210" t="s">
        <v>31</v>
      </c>
      <c r="C2210" t="s">
        <v>22</v>
      </c>
      <c r="D2210" t="s">
        <v>14</v>
      </c>
      <c r="E2210" t="s">
        <v>15</v>
      </c>
      <c r="F2210">
        <v>85</v>
      </c>
      <c r="G2210">
        <v>207</v>
      </c>
      <c r="H2210">
        <v>266</v>
      </c>
      <c r="I2210">
        <v>26</v>
      </c>
      <c r="J2210">
        <v>120</v>
      </c>
      <c r="K2210">
        <v>1060</v>
      </c>
      <c r="L2210">
        <v>27560</v>
      </c>
      <c r="M2210">
        <f>Inventory_Data[[#This Row],[Opening Stock]]+Inventory_Data[[#This Row],[Purchase Qty]]-Inventory_Data[[#This Row],[Sales Qty]]-Inventory_Data[[#This Row],[Closing Stock]]</f>
        <v>0</v>
      </c>
      <c r="N2210">
        <f>Inventory_Data[[#This Row],[Purchase Qty]]*Inventory_Data[[#This Row],[Unit Cost]]</f>
        <v>219420</v>
      </c>
      <c r="O2210" t="str">
        <f>IF(Inventory_Data[[#This Row],[Closing Stock]]&lt;=Inventory_Data[[#This Row],[Reorder Level]],"Low Stock","In Stock")</f>
        <v>Low Stock</v>
      </c>
      <c r="P2210" t="str">
        <f>TEXT(Inventory_Data[[#This Row],[Date]],"MMM")</f>
        <v>Apr</v>
      </c>
      <c r="Q2210" t="str">
        <f>TEXT(Inventory_Data[[#This Row],[Date]],"YYYY")</f>
        <v>2026</v>
      </c>
    </row>
    <row r="2211" spans="1:17" x14ac:dyDescent="0.3">
      <c r="A2211" s="1">
        <v>46131</v>
      </c>
      <c r="B2211" t="s">
        <v>25</v>
      </c>
      <c r="C2211" t="s">
        <v>17</v>
      </c>
      <c r="D2211" t="s">
        <v>14</v>
      </c>
      <c r="E2211" t="s">
        <v>15</v>
      </c>
      <c r="F2211">
        <v>30</v>
      </c>
      <c r="G2211">
        <v>22</v>
      </c>
      <c r="H2211">
        <v>19</v>
      </c>
      <c r="I2211">
        <v>33</v>
      </c>
      <c r="J2211">
        <v>23</v>
      </c>
      <c r="K2211">
        <v>20188</v>
      </c>
      <c r="L2211">
        <v>666204</v>
      </c>
      <c r="M2211">
        <f>Inventory_Data[[#This Row],[Opening Stock]]+Inventory_Data[[#This Row],[Purchase Qty]]-Inventory_Data[[#This Row],[Sales Qty]]-Inventory_Data[[#This Row],[Closing Stock]]</f>
        <v>0</v>
      </c>
      <c r="N2211">
        <f>Inventory_Data[[#This Row],[Purchase Qty]]*Inventory_Data[[#This Row],[Unit Cost]]</f>
        <v>444136</v>
      </c>
      <c r="O2211" t="str">
        <f>IF(Inventory_Data[[#This Row],[Closing Stock]]&lt;=Inventory_Data[[#This Row],[Reorder Level]],"Low Stock","In Stock")</f>
        <v>In Stock</v>
      </c>
      <c r="P2211" t="str">
        <f>TEXT(Inventory_Data[[#This Row],[Date]],"MMM")</f>
        <v>Apr</v>
      </c>
      <c r="Q2211" t="str">
        <f>TEXT(Inventory_Data[[#This Row],[Date]],"YYYY")</f>
        <v>2026</v>
      </c>
    </row>
    <row r="2212" spans="1:17" x14ac:dyDescent="0.3">
      <c r="A2212" s="1">
        <v>46131</v>
      </c>
      <c r="B2212" t="s">
        <v>44</v>
      </c>
      <c r="C2212" t="s">
        <v>28</v>
      </c>
      <c r="D2212" t="s">
        <v>14</v>
      </c>
      <c r="E2212" t="s">
        <v>24</v>
      </c>
      <c r="F2212">
        <v>34</v>
      </c>
      <c r="G2212">
        <v>109</v>
      </c>
      <c r="H2212">
        <v>36</v>
      </c>
      <c r="I2212">
        <v>107</v>
      </c>
      <c r="J2212">
        <v>23</v>
      </c>
      <c r="K2212">
        <v>34719</v>
      </c>
      <c r="L2212">
        <v>3714933</v>
      </c>
      <c r="M2212">
        <f>Inventory_Data[[#This Row],[Opening Stock]]+Inventory_Data[[#This Row],[Purchase Qty]]-Inventory_Data[[#This Row],[Sales Qty]]-Inventory_Data[[#This Row],[Closing Stock]]</f>
        <v>0</v>
      </c>
      <c r="N2212">
        <f>Inventory_Data[[#This Row],[Purchase Qty]]*Inventory_Data[[#This Row],[Unit Cost]]</f>
        <v>3784371</v>
      </c>
      <c r="O2212" t="str">
        <f>IF(Inventory_Data[[#This Row],[Closing Stock]]&lt;=Inventory_Data[[#This Row],[Reorder Level]],"Low Stock","In Stock")</f>
        <v>In Stock</v>
      </c>
      <c r="P2212" t="str">
        <f>TEXT(Inventory_Data[[#This Row],[Date]],"MMM")</f>
        <v>Apr</v>
      </c>
      <c r="Q2212" t="str">
        <f>TEXT(Inventory_Data[[#This Row],[Date]],"YYYY")</f>
        <v>2026</v>
      </c>
    </row>
    <row r="2213" spans="1:17" x14ac:dyDescent="0.3">
      <c r="A2213" s="1">
        <v>46131</v>
      </c>
      <c r="B2213" t="s">
        <v>12</v>
      </c>
      <c r="C2213" t="s">
        <v>13</v>
      </c>
      <c r="D2213" t="s">
        <v>23</v>
      </c>
      <c r="E2213" t="s">
        <v>18</v>
      </c>
      <c r="F2213">
        <v>76</v>
      </c>
      <c r="G2213">
        <v>39</v>
      </c>
      <c r="H2213">
        <v>8</v>
      </c>
      <c r="I2213">
        <v>107</v>
      </c>
      <c r="J2213">
        <v>35</v>
      </c>
      <c r="K2213">
        <v>5660</v>
      </c>
      <c r="L2213">
        <v>605620</v>
      </c>
      <c r="M2213">
        <f>Inventory_Data[[#This Row],[Opening Stock]]+Inventory_Data[[#This Row],[Purchase Qty]]-Inventory_Data[[#This Row],[Sales Qty]]-Inventory_Data[[#This Row],[Closing Stock]]</f>
        <v>0</v>
      </c>
      <c r="N2213">
        <f>Inventory_Data[[#This Row],[Purchase Qty]]*Inventory_Data[[#This Row],[Unit Cost]]</f>
        <v>220740</v>
      </c>
      <c r="O2213" t="str">
        <f>IF(Inventory_Data[[#This Row],[Closing Stock]]&lt;=Inventory_Data[[#This Row],[Reorder Level]],"Low Stock","In Stock")</f>
        <v>In Stock</v>
      </c>
      <c r="P2213" t="str">
        <f>TEXT(Inventory_Data[[#This Row],[Date]],"MMM")</f>
        <v>Apr</v>
      </c>
      <c r="Q2213" t="str">
        <f>TEXT(Inventory_Data[[#This Row],[Date]],"YYYY")</f>
        <v>2026</v>
      </c>
    </row>
    <row r="2214" spans="1:17" x14ac:dyDescent="0.3">
      <c r="A2214" s="1">
        <v>46131</v>
      </c>
      <c r="B2214" t="s">
        <v>35</v>
      </c>
      <c r="C2214" t="s">
        <v>22</v>
      </c>
      <c r="D2214" t="s">
        <v>14</v>
      </c>
      <c r="E2214" t="s">
        <v>34</v>
      </c>
      <c r="F2214">
        <v>483</v>
      </c>
      <c r="G2214">
        <v>296</v>
      </c>
      <c r="H2214">
        <v>278</v>
      </c>
      <c r="I2214">
        <v>501</v>
      </c>
      <c r="J2214">
        <v>99</v>
      </c>
      <c r="K2214">
        <v>628</v>
      </c>
      <c r="L2214">
        <v>314628</v>
      </c>
      <c r="M2214">
        <f>Inventory_Data[[#This Row],[Opening Stock]]+Inventory_Data[[#This Row],[Purchase Qty]]-Inventory_Data[[#This Row],[Sales Qty]]-Inventory_Data[[#This Row],[Closing Stock]]</f>
        <v>0</v>
      </c>
      <c r="N2214">
        <f>Inventory_Data[[#This Row],[Purchase Qty]]*Inventory_Data[[#This Row],[Unit Cost]]</f>
        <v>185888</v>
      </c>
      <c r="O2214" t="str">
        <f>IF(Inventory_Data[[#This Row],[Closing Stock]]&lt;=Inventory_Data[[#This Row],[Reorder Level]],"Low Stock","In Stock")</f>
        <v>In Stock</v>
      </c>
      <c r="P2214" t="str">
        <f>TEXT(Inventory_Data[[#This Row],[Date]],"MMM")</f>
        <v>Apr</v>
      </c>
      <c r="Q2214" t="str">
        <f>TEXT(Inventory_Data[[#This Row],[Date]],"YYYY")</f>
        <v>2026</v>
      </c>
    </row>
    <row r="2215" spans="1:17" x14ac:dyDescent="0.3">
      <c r="A2215" s="1">
        <v>46131</v>
      </c>
      <c r="B2215" t="s">
        <v>42</v>
      </c>
      <c r="C2215" t="s">
        <v>17</v>
      </c>
      <c r="D2215" t="s">
        <v>26</v>
      </c>
      <c r="E2215" t="s">
        <v>15</v>
      </c>
      <c r="F2215">
        <v>46</v>
      </c>
      <c r="G2215">
        <v>18</v>
      </c>
      <c r="H2215">
        <v>38</v>
      </c>
      <c r="I2215">
        <v>26</v>
      </c>
      <c r="J2215">
        <v>22</v>
      </c>
      <c r="K2215">
        <v>17602</v>
      </c>
      <c r="L2215">
        <v>457652</v>
      </c>
      <c r="M2215">
        <f>Inventory_Data[[#This Row],[Opening Stock]]+Inventory_Data[[#This Row],[Purchase Qty]]-Inventory_Data[[#This Row],[Sales Qty]]-Inventory_Data[[#This Row],[Closing Stock]]</f>
        <v>0</v>
      </c>
      <c r="N2215">
        <f>Inventory_Data[[#This Row],[Purchase Qty]]*Inventory_Data[[#This Row],[Unit Cost]]</f>
        <v>316836</v>
      </c>
      <c r="O2215" t="str">
        <f>IF(Inventory_Data[[#This Row],[Closing Stock]]&lt;=Inventory_Data[[#This Row],[Reorder Level]],"Low Stock","In Stock")</f>
        <v>In Stock</v>
      </c>
      <c r="P2215" t="str">
        <f>TEXT(Inventory_Data[[#This Row],[Date]],"MMM")</f>
        <v>Apr</v>
      </c>
      <c r="Q2215" t="str">
        <f>TEXT(Inventory_Data[[#This Row],[Date]],"YYYY")</f>
        <v>2026</v>
      </c>
    </row>
    <row r="2216" spans="1:17" x14ac:dyDescent="0.3">
      <c r="A2216" s="1">
        <v>46131</v>
      </c>
      <c r="B2216" t="s">
        <v>45</v>
      </c>
      <c r="C2216" t="s">
        <v>13</v>
      </c>
      <c r="D2216" t="s">
        <v>14</v>
      </c>
      <c r="E2216" t="s">
        <v>15</v>
      </c>
      <c r="F2216">
        <v>29</v>
      </c>
      <c r="G2216">
        <v>20</v>
      </c>
      <c r="H2216">
        <v>15</v>
      </c>
      <c r="I2216">
        <v>34</v>
      </c>
      <c r="J2216">
        <v>21</v>
      </c>
      <c r="K2216">
        <v>1139</v>
      </c>
      <c r="L2216">
        <v>38726</v>
      </c>
      <c r="M2216">
        <f>Inventory_Data[[#This Row],[Opening Stock]]+Inventory_Data[[#This Row],[Purchase Qty]]-Inventory_Data[[#This Row],[Sales Qty]]-Inventory_Data[[#This Row],[Closing Stock]]</f>
        <v>0</v>
      </c>
      <c r="N2216">
        <f>Inventory_Data[[#This Row],[Purchase Qty]]*Inventory_Data[[#This Row],[Unit Cost]]</f>
        <v>22780</v>
      </c>
      <c r="O2216" t="str">
        <f>IF(Inventory_Data[[#This Row],[Closing Stock]]&lt;=Inventory_Data[[#This Row],[Reorder Level]],"Low Stock","In Stock")</f>
        <v>In Stock</v>
      </c>
      <c r="P2216" t="str">
        <f>TEXT(Inventory_Data[[#This Row],[Date]],"MMM")</f>
        <v>Apr</v>
      </c>
      <c r="Q2216" t="str">
        <f>TEXT(Inventory_Data[[#This Row],[Date]],"YYYY")</f>
        <v>2026</v>
      </c>
    </row>
    <row r="2217" spans="1:17" x14ac:dyDescent="0.3">
      <c r="A2217" s="1">
        <v>46132</v>
      </c>
      <c r="B2217" t="s">
        <v>40</v>
      </c>
      <c r="C2217" t="s">
        <v>28</v>
      </c>
      <c r="D2217" t="s">
        <v>26</v>
      </c>
      <c r="E2217" t="s">
        <v>34</v>
      </c>
      <c r="F2217">
        <v>110</v>
      </c>
      <c r="G2217">
        <v>26</v>
      </c>
      <c r="H2217">
        <v>47</v>
      </c>
      <c r="I2217">
        <v>89</v>
      </c>
      <c r="J2217">
        <v>43</v>
      </c>
      <c r="K2217">
        <v>42714</v>
      </c>
      <c r="L2217">
        <v>3801546</v>
      </c>
      <c r="M2217">
        <f>Inventory_Data[[#This Row],[Opening Stock]]+Inventory_Data[[#This Row],[Purchase Qty]]-Inventory_Data[[#This Row],[Sales Qty]]-Inventory_Data[[#This Row],[Closing Stock]]</f>
        <v>0</v>
      </c>
      <c r="N2217">
        <f>Inventory_Data[[#This Row],[Purchase Qty]]*Inventory_Data[[#This Row],[Unit Cost]]</f>
        <v>1110564</v>
      </c>
      <c r="O2217" t="str">
        <f>IF(Inventory_Data[[#This Row],[Closing Stock]]&lt;=Inventory_Data[[#This Row],[Reorder Level]],"Low Stock","In Stock")</f>
        <v>In Stock</v>
      </c>
      <c r="P2217" t="str">
        <f>TEXT(Inventory_Data[[#This Row],[Date]],"MMM")</f>
        <v>Apr</v>
      </c>
      <c r="Q2217" t="str">
        <f>TEXT(Inventory_Data[[#This Row],[Date]],"YYYY")</f>
        <v>2026</v>
      </c>
    </row>
    <row r="2218" spans="1:17" x14ac:dyDescent="0.3">
      <c r="A2218" s="1">
        <v>46132</v>
      </c>
      <c r="B2218" t="s">
        <v>45</v>
      </c>
      <c r="C2218" t="s">
        <v>13</v>
      </c>
      <c r="D2218" t="s">
        <v>26</v>
      </c>
      <c r="E2218" t="s">
        <v>20</v>
      </c>
      <c r="F2218">
        <v>92</v>
      </c>
      <c r="G2218">
        <v>49</v>
      </c>
      <c r="H2218">
        <v>55</v>
      </c>
      <c r="I2218">
        <v>86</v>
      </c>
      <c r="J2218">
        <v>16</v>
      </c>
      <c r="K2218">
        <v>3933</v>
      </c>
      <c r="L2218">
        <v>338238</v>
      </c>
      <c r="M2218">
        <f>Inventory_Data[[#This Row],[Opening Stock]]+Inventory_Data[[#This Row],[Purchase Qty]]-Inventory_Data[[#This Row],[Sales Qty]]-Inventory_Data[[#This Row],[Closing Stock]]</f>
        <v>0</v>
      </c>
      <c r="N2218">
        <f>Inventory_Data[[#This Row],[Purchase Qty]]*Inventory_Data[[#This Row],[Unit Cost]]</f>
        <v>192717</v>
      </c>
      <c r="O2218" t="str">
        <f>IF(Inventory_Data[[#This Row],[Closing Stock]]&lt;=Inventory_Data[[#This Row],[Reorder Level]],"Low Stock","In Stock")</f>
        <v>In Stock</v>
      </c>
      <c r="P2218" t="str">
        <f>TEXT(Inventory_Data[[#This Row],[Date]],"MMM")</f>
        <v>Apr</v>
      </c>
      <c r="Q2218" t="str">
        <f>TEXT(Inventory_Data[[#This Row],[Date]],"YYYY")</f>
        <v>2026</v>
      </c>
    </row>
    <row r="2219" spans="1:17" x14ac:dyDescent="0.3">
      <c r="A2219" s="1">
        <v>46132</v>
      </c>
      <c r="B2219" t="s">
        <v>38</v>
      </c>
      <c r="C2219" t="s">
        <v>17</v>
      </c>
      <c r="D2219" t="s">
        <v>14</v>
      </c>
      <c r="E2219" t="s">
        <v>29</v>
      </c>
      <c r="F2219">
        <v>78</v>
      </c>
      <c r="G2219">
        <v>40</v>
      </c>
      <c r="H2219">
        <v>27</v>
      </c>
      <c r="I2219">
        <v>91</v>
      </c>
      <c r="J2219">
        <v>22</v>
      </c>
      <c r="K2219">
        <v>6661</v>
      </c>
      <c r="L2219">
        <v>606151</v>
      </c>
      <c r="M2219">
        <f>Inventory_Data[[#This Row],[Opening Stock]]+Inventory_Data[[#This Row],[Purchase Qty]]-Inventory_Data[[#This Row],[Sales Qty]]-Inventory_Data[[#This Row],[Closing Stock]]</f>
        <v>0</v>
      </c>
      <c r="N2219">
        <f>Inventory_Data[[#This Row],[Purchase Qty]]*Inventory_Data[[#This Row],[Unit Cost]]</f>
        <v>266440</v>
      </c>
      <c r="O2219" t="str">
        <f>IF(Inventory_Data[[#This Row],[Closing Stock]]&lt;=Inventory_Data[[#This Row],[Reorder Level]],"Low Stock","In Stock")</f>
        <v>In Stock</v>
      </c>
      <c r="P2219" t="str">
        <f>TEXT(Inventory_Data[[#This Row],[Date]],"MMM")</f>
        <v>Apr</v>
      </c>
      <c r="Q2219" t="str">
        <f>TEXT(Inventory_Data[[#This Row],[Date]],"YYYY")</f>
        <v>2026</v>
      </c>
    </row>
    <row r="2220" spans="1:17" x14ac:dyDescent="0.3">
      <c r="A2220" s="1">
        <v>46133</v>
      </c>
      <c r="B2220" t="s">
        <v>19</v>
      </c>
      <c r="C2220" t="s">
        <v>13</v>
      </c>
      <c r="D2220" t="s">
        <v>14</v>
      </c>
      <c r="E2220" t="s">
        <v>24</v>
      </c>
      <c r="F2220">
        <v>61</v>
      </c>
      <c r="G2220">
        <v>79</v>
      </c>
      <c r="H2220">
        <v>59</v>
      </c>
      <c r="I2220">
        <v>81</v>
      </c>
      <c r="J2220">
        <v>36</v>
      </c>
      <c r="K2220">
        <v>1719</v>
      </c>
      <c r="L2220">
        <v>139239</v>
      </c>
      <c r="M2220">
        <f>Inventory_Data[[#This Row],[Opening Stock]]+Inventory_Data[[#This Row],[Purchase Qty]]-Inventory_Data[[#This Row],[Sales Qty]]-Inventory_Data[[#This Row],[Closing Stock]]</f>
        <v>0</v>
      </c>
      <c r="N2220">
        <f>Inventory_Data[[#This Row],[Purchase Qty]]*Inventory_Data[[#This Row],[Unit Cost]]</f>
        <v>135801</v>
      </c>
      <c r="O2220" t="str">
        <f>IF(Inventory_Data[[#This Row],[Closing Stock]]&lt;=Inventory_Data[[#This Row],[Reorder Level]],"Low Stock","In Stock")</f>
        <v>In Stock</v>
      </c>
      <c r="P2220" t="str">
        <f>TEXT(Inventory_Data[[#This Row],[Date]],"MMM")</f>
        <v>Apr</v>
      </c>
      <c r="Q2220" t="str">
        <f>TEXT(Inventory_Data[[#This Row],[Date]],"YYYY")</f>
        <v>2026</v>
      </c>
    </row>
    <row r="2221" spans="1:17" x14ac:dyDescent="0.3">
      <c r="A2221" s="1">
        <v>46134</v>
      </c>
      <c r="B2221" t="s">
        <v>16</v>
      </c>
      <c r="C2221" t="s">
        <v>17</v>
      </c>
      <c r="D2221" t="s">
        <v>14</v>
      </c>
      <c r="E2221" t="s">
        <v>20</v>
      </c>
      <c r="F2221">
        <v>36</v>
      </c>
      <c r="G2221">
        <v>5</v>
      </c>
      <c r="H2221">
        <v>35</v>
      </c>
      <c r="I2221">
        <v>6</v>
      </c>
      <c r="J2221">
        <v>10</v>
      </c>
      <c r="K2221">
        <v>11807</v>
      </c>
      <c r="L2221">
        <v>70842</v>
      </c>
      <c r="M2221">
        <f>Inventory_Data[[#This Row],[Opening Stock]]+Inventory_Data[[#This Row],[Purchase Qty]]-Inventory_Data[[#This Row],[Sales Qty]]-Inventory_Data[[#This Row],[Closing Stock]]</f>
        <v>0</v>
      </c>
      <c r="N2221">
        <f>Inventory_Data[[#This Row],[Purchase Qty]]*Inventory_Data[[#This Row],[Unit Cost]]</f>
        <v>59035</v>
      </c>
      <c r="O2221" t="str">
        <f>IF(Inventory_Data[[#This Row],[Closing Stock]]&lt;=Inventory_Data[[#This Row],[Reorder Level]],"Low Stock","In Stock")</f>
        <v>Low Stock</v>
      </c>
      <c r="P2221" t="str">
        <f>TEXT(Inventory_Data[[#This Row],[Date]],"MMM")</f>
        <v>Apr</v>
      </c>
      <c r="Q2221" t="str">
        <f>TEXT(Inventory_Data[[#This Row],[Date]],"YYYY")</f>
        <v>2026</v>
      </c>
    </row>
    <row r="2222" spans="1:17" x14ac:dyDescent="0.3">
      <c r="A2222" s="1">
        <v>46134</v>
      </c>
      <c r="B2222" t="s">
        <v>41</v>
      </c>
      <c r="C2222" t="s">
        <v>22</v>
      </c>
      <c r="D2222" t="s">
        <v>23</v>
      </c>
      <c r="E2222" t="s">
        <v>29</v>
      </c>
      <c r="F2222">
        <v>95</v>
      </c>
      <c r="G2222">
        <v>35</v>
      </c>
      <c r="H2222">
        <v>108</v>
      </c>
      <c r="I2222">
        <v>22</v>
      </c>
      <c r="J2222">
        <v>73</v>
      </c>
      <c r="K2222">
        <v>1080</v>
      </c>
      <c r="L2222">
        <v>23760</v>
      </c>
      <c r="M2222">
        <f>Inventory_Data[[#This Row],[Opening Stock]]+Inventory_Data[[#This Row],[Purchase Qty]]-Inventory_Data[[#This Row],[Sales Qty]]-Inventory_Data[[#This Row],[Closing Stock]]</f>
        <v>0</v>
      </c>
      <c r="N2222">
        <f>Inventory_Data[[#This Row],[Purchase Qty]]*Inventory_Data[[#This Row],[Unit Cost]]</f>
        <v>37800</v>
      </c>
      <c r="O2222" t="str">
        <f>IF(Inventory_Data[[#This Row],[Closing Stock]]&lt;=Inventory_Data[[#This Row],[Reorder Level]],"Low Stock","In Stock")</f>
        <v>Low Stock</v>
      </c>
      <c r="P2222" t="str">
        <f>TEXT(Inventory_Data[[#This Row],[Date]],"MMM")</f>
        <v>Apr</v>
      </c>
      <c r="Q2222" t="str">
        <f>TEXT(Inventory_Data[[#This Row],[Date]],"YYYY")</f>
        <v>2026</v>
      </c>
    </row>
    <row r="2223" spans="1:17" x14ac:dyDescent="0.3">
      <c r="A2223" s="1">
        <v>46134</v>
      </c>
      <c r="B2223" t="s">
        <v>41</v>
      </c>
      <c r="C2223" t="s">
        <v>22</v>
      </c>
      <c r="D2223" t="s">
        <v>23</v>
      </c>
      <c r="E2223" t="s">
        <v>15</v>
      </c>
      <c r="F2223">
        <v>476</v>
      </c>
      <c r="G2223">
        <v>206</v>
      </c>
      <c r="H2223">
        <v>66</v>
      </c>
      <c r="I2223">
        <v>616</v>
      </c>
      <c r="J2223">
        <v>124</v>
      </c>
      <c r="K2223">
        <v>467</v>
      </c>
      <c r="L2223">
        <v>287672</v>
      </c>
      <c r="M2223">
        <f>Inventory_Data[[#This Row],[Opening Stock]]+Inventory_Data[[#This Row],[Purchase Qty]]-Inventory_Data[[#This Row],[Sales Qty]]-Inventory_Data[[#This Row],[Closing Stock]]</f>
        <v>0</v>
      </c>
      <c r="N2223">
        <f>Inventory_Data[[#This Row],[Purchase Qty]]*Inventory_Data[[#This Row],[Unit Cost]]</f>
        <v>96202</v>
      </c>
      <c r="O2223" t="str">
        <f>IF(Inventory_Data[[#This Row],[Closing Stock]]&lt;=Inventory_Data[[#This Row],[Reorder Level]],"Low Stock","In Stock")</f>
        <v>In Stock</v>
      </c>
      <c r="P2223" t="str">
        <f>TEXT(Inventory_Data[[#This Row],[Date]],"MMM")</f>
        <v>Apr</v>
      </c>
      <c r="Q2223" t="str">
        <f>TEXT(Inventory_Data[[#This Row],[Date]],"YYYY")</f>
        <v>2026</v>
      </c>
    </row>
    <row r="2224" spans="1:17" x14ac:dyDescent="0.3">
      <c r="A2224" s="1">
        <v>46134</v>
      </c>
      <c r="B2224" t="s">
        <v>39</v>
      </c>
      <c r="C2224" t="s">
        <v>28</v>
      </c>
      <c r="D2224" t="s">
        <v>37</v>
      </c>
      <c r="E2224" t="s">
        <v>18</v>
      </c>
      <c r="F2224">
        <v>92</v>
      </c>
      <c r="G2224">
        <v>22</v>
      </c>
      <c r="H2224">
        <v>74</v>
      </c>
      <c r="I2224">
        <v>40</v>
      </c>
      <c r="J2224">
        <v>39</v>
      </c>
      <c r="K2224">
        <v>37925</v>
      </c>
      <c r="L2224">
        <v>1517000</v>
      </c>
      <c r="M2224">
        <f>Inventory_Data[[#This Row],[Opening Stock]]+Inventory_Data[[#This Row],[Purchase Qty]]-Inventory_Data[[#This Row],[Sales Qty]]-Inventory_Data[[#This Row],[Closing Stock]]</f>
        <v>0</v>
      </c>
      <c r="N2224">
        <f>Inventory_Data[[#This Row],[Purchase Qty]]*Inventory_Data[[#This Row],[Unit Cost]]</f>
        <v>834350</v>
      </c>
      <c r="O2224" t="str">
        <f>IF(Inventory_Data[[#This Row],[Closing Stock]]&lt;=Inventory_Data[[#This Row],[Reorder Level]],"Low Stock","In Stock")</f>
        <v>In Stock</v>
      </c>
      <c r="P2224" t="str">
        <f>TEXT(Inventory_Data[[#This Row],[Date]],"MMM")</f>
        <v>Apr</v>
      </c>
      <c r="Q2224" t="str">
        <f>TEXT(Inventory_Data[[#This Row],[Date]],"YYYY")</f>
        <v>2026</v>
      </c>
    </row>
    <row r="2225" spans="1:17" x14ac:dyDescent="0.3">
      <c r="A2225" s="1">
        <v>46134</v>
      </c>
      <c r="B2225" t="s">
        <v>42</v>
      </c>
      <c r="C2225" t="s">
        <v>17</v>
      </c>
      <c r="D2225" t="s">
        <v>37</v>
      </c>
      <c r="E2225" t="s">
        <v>34</v>
      </c>
      <c r="F2225">
        <v>91</v>
      </c>
      <c r="G2225">
        <v>35</v>
      </c>
      <c r="H2225">
        <v>31</v>
      </c>
      <c r="I2225">
        <v>95</v>
      </c>
      <c r="J2225">
        <v>16</v>
      </c>
      <c r="K2225">
        <v>20303</v>
      </c>
      <c r="L2225">
        <v>1928785</v>
      </c>
      <c r="M2225">
        <f>Inventory_Data[[#This Row],[Opening Stock]]+Inventory_Data[[#This Row],[Purchase Qty]]-Inventory_Data[[#This Row],[Sales Qty]]-Inventory_Data[[#This Row],[Closing Stock]]</f>
        <v>0</v>
      </c>
      <c r="N2225">
        <f>Inventory_Data[[#This Row],[Purchase Qty]]*Inventory_Data[[#This Row],[Unit Cost]]</f>
        <v>710605</v>
      </c>
      <c r="O2225" t="str">
        <f>IF(Inventory_Data[[#This Row],[Closing Stock]]&lt;=Inventory_Data[[#This Row],[Reorder Level]],"Low Stock","In Stock")</f>
        <v>In Stock</v>
      </c>
      <c r="P2225" t="str">
        <f>TEXT(Inventory_Data[[#This Row],[Date]],"MMM")</f>
        <v>Apr</v>
      </c>
      <c r="Q2225" t="str">
        <f>TEXT(Inventory_Data[[#This Row],[Date]],"YYYY")</f>
        <v>2026</v>
      </c>
    </row>
    <row r="2226" spans="1:17" x14ac:dyDescent="0.3">
      <c r="A2226" s="1">
        <v>46134</v>
      </c>
      <c r="B2226" t="s">
        <v>45</v>
      </c>
      <c r="C2226" t="s">
        <v>13</v>
      </c>
      <c r="D2226" t="s">
        <v>23</v>
      </c>
      <c r="E2226" t="s">
        <v>29</v>
      </c>
      <c r="F2226">
        <v>34</v>
      </c>
      <c r="G2226">
        <v>33</v>
      </c>
      <c r="H2226">
        <v>26</v>
      </c>
      <c r="I2226">
        <v>41</v>
      </c>
      <c r="J2226">
        <v>24</v>
      </c>
      <c r="K2226">
        <v>15866</v>
      </c>
      <c r="L2226">
        <v>650506</v>
      </c>
      <c r="M2226">
        <f>Inventory_Data[[#This Row],[Opening Stock]]+Inventory_Data[[#This Row],[Purchase Qty]]-Inventory_Data[[#This Row],[Sales Qty]]-Inventory_Data[[#This Row],[Closing Stock]]</f>
        <v>0</v>
      </c>
      <c r="N2226">
        <f>Inventory_Data[[#This Row],[Purchase Qty]]*Inventory_Data[[#This Row],[Unit Cost]]</f>
        <v>523578</v>
      </c>
      <c r="O2226" t="str">
        <f>IF(Inventory_Data[[#This Row],[Closing Stock]]&lt;=Inventory_Data[[#This Row],[Reorder Level]],"Low Stock","In Stock")</f>
        <v>In Stock</v>
      </c>
      <c r="P2226" t="str">
        <f>TEXT(Inventory_Data[[#This Row],[Date]],"MMM")</f>
        <v>Apr</v>
      </c>
      <c r="Q2226" t="str">
        <f>TEXT(Inventory_Data[[#This Row],[Date]],"YYYY")</f>
        <v>2026</v>
      </c>
    </row>
    <row r="2227" spans="1:17" x14ac:dyDescent="0.3">
      <c r="A2227" s="1">
        <v>46135</v>
      </c>
      <c r="B2227" t="s">
        <v>31</v>
      </c>
      <c r="C2227" t="s">
        <v>22</v>
      </c>
      <c r="D2227" t="s">
        <v>37</v>
      </c>
      <c r="E2227" t="s">
        <v>18</v>
      </c>
      <c r="F2227">
        <v>304</v>
      </c>
      <c r="G2227">
        <v>92</v>
      </c>
      <c r="H2227">
        <v>255</v>
      </c>
      <c r="I2227">
        <v>141</v>
      </c>
      <c r="J2227">
        <v>132</v>
      </c>
      <c r="K2227">
        <v>211</v>
      </c>
      <c r="L2227">
        <v>29751</v>
      </c>
      <c r="M2227">
        <f>Inventory_Data[[#This Row],[Opening Stock]]+Inventory_Data[[#This Row],[Purchase Qty]]-Inventory_Data[[#This Row],[Sales Qty]]-Inventory_Data[[#This Row],[Closing Stock]]</f>
        <v>0</v>
      </c>
      <c r="N2227">
        <f>Inventory_Data[[#This Row],[Purchase Qty]]*Inventory_Data[[#This Row],[Unit Cost]]</f>
        <v>19412</v>
      </c>
      <c r="O2227" t="str">
        <f>IF(Inventory_Data[[#This Row],[Closing Stock]]&lt;=Inventory_Data[[#This Row],[Reorder Level]],"Low Stock","In Stock")</f>
        <v>In Stock</v>
      </c>
      <c r="P2227" t="str">
        <f>TEXT(Inventory_Data[[#This Row],[Date]],"MMM")</f>
        <v>Apr</v>
      </c>
      <c r="Q2227" t="str">
        <f>TEXT(Inventory_Data[[#This Row],[Date]],"YYYY")</f>
        <v>2026</v>
      </c>
    </row>
    <row r="2228" spans="1:17" x14ac:dyDescent="0.3">
      <c r="A2228" s="1">
        <v>46135</v>
      </c>
      <c r="B2228" t="s">
        <v>39</v>
      </c>
      <c r="C2228" t="s">
        <v>28</v>
      </c>
      <c r="D2228" t="s">
        <v>37</v>
      </c>
      <c r="E2228" t="s">
        <v>15</v>
      </c>
      <c r="F2228">
        <v>43</v>
      </c>
      <c r="G2228">
        <v>48</v>
      </c>
      <c r="H2228">
        <v>72</v>
      </c>
      <c r="I2228">
        <v>19</v>
      </c>
      <c r="J2228">
        <v>48</v>
      </c>
      <c r="K2228">
        <v>43423</v>
      </c>
      <c r="L2228">
        <v>825037</v>
      </c>
      <c r="M2228">
        <f>Inventory_Data[[#This Row],[Opening Stock]]+Inventory_Data[[#This Row],[Purchase Qty]]-Inventory_Data[[#This Row],[Sales Qty]]-Inventory_Data[[#This Row],[Closing Stock]]</f>
        <v>0</v>
      </c>
      <c r="N2228">
        <f>Inventory_Data[[#This Row],[Purchase Qty]]*Inventory_Data[[#This Row],[Unit Cost]]</f>
        <v>2084304</v>
      </c>
      <c r="O2228" t="str">
        <f>IF(Inventory_Data[[#This Row],[Closing Stock]]&lt;=Inventory_Data[[#This Row],[Reorder Level]],"Low Stock","In Stock")</f>
        <v>Low Stock</v>
      </c>
      <c r="P2228" t="str">
        <f>TEXT(Inventory_Data[[#This Row],[Date]],"MMM")</f>
        <v>Apr</v>
      </c>
      <c r="Q2228" t="str">
        <f>TEXT(Inventory_Data[[#This Row],[Date]],"YYYY")</f>
        <v>2026</v>
      </c>
    </row>
    <row r="2229" spans="1:17" x14ac:dyDescent="0.3">
      <c r="A2229" s="1">
        <v>46135</v>
      </c>
      <c r="B2229" t="s">
        <v>40</v>
      </c>
      <c r="C2229" t="s">
        <v>28</v>
      </c>
      <c r="D2229" t="s">
        <v>37</v>
      </c>
      <c r="E2229" t="s">
        <v>15</v>
      </c>
      <c r="F2229">
        <v>25</v>
      </c>
      <c r="G2229">
        <v>77</v>
      </c>
      <c r="H2229">
        <v>55</v>
      </c>
      <c r="I2229">
        <v>47</v>
      </c>
      <c r="J2229">
        <v>54</v>
      </c>
      <c r="K2229">
        <v>60548</v>
      </c>
      <c r="L2229">
        <v>2845756</v>
      </c>
      <c r="M2229">
        <f>Inventory_Data[[#This Row],[Opening Stock]]+Inventory_Data[[#This Row],[Purchase Qty]]-Inventory_Data[[#This Row],[Sales Qty]]-Inventory_Data[[#This Row],[Closing Stock]]</f>
        <v>0</v>
      </c>
      <c r="N2229">
        <f>Inventory_Data[[#This Row],[Purchase Qty]]*Inventory_Data[[#This Row],[Unit Cost]]</f>
        <v>4662196</v>
      </c>
      <c r="O2229" t="str">
        <f>IF(Inventory_Data[[#This Row],[Closing Stock]]&lt;=Inventory_Data[[#This Row],[Reorder Level]],"Low Stock","In Stock")</f>
        <v>Low Stock</v>
      </c>
      <c r="P2229" t="str">
        <f>TEXT(Inventory_Data[[#This Row],[Date]],"MMM")</f>
        <v>Apr</v>
      </c>
      <c r="Q2229" t="str">
        <f>TEXT(Inventory_Data[[#This Row],[Date]],"YYYY")</f>
        <v>2026</v>
      </c>
    </row>
    <row r="2230" spans="1:17" x14ac:dyDescent="0.3">
      <c r="A2230" s="1">
        <v>46135</v>
      </c>
      <c r="B2230" t="s">
        <v>16</v>
      </c>
      <c r="C2230" t="s">
        <v>17</v>
      </c>
      <c r="D2230" t="s">
        <v>26</v>
      </c>
      <c r="E2230" t="s">
        <v>29</v>
      </c>
      <c r="F2230">
        <v>39</v>
      </c>
      <c r="G2230">
        <v>23</v>
      </c>
      <c r="H2230">
        <v>40</v>
      </c>
      <c r="I2230">
        <v>22</v>
      </c>
      <c r="J2230">
        <v>17</v>
      </c>
      <c r="K2230">
        <v>13054</v>
      </c>
      <c r="L2230">
        <v>287188</v>
      </c>
      <c r="M2230">
        <f>Inventory_Data[[#This Row],[Opening Stock]]+Inventory_Data[[#This Row],[Purchase Qty]]-Inventory_Data[[#This Row],[Sales Qty]]-Inventory_Data[[#This Row],[Closing Stock]]</f>
        <v>0</v>
      </c>
      <c r="N2230">
        <f>Inventory_Data[[#This Row],[Purchase Qty]]*Inventory_Data[[#This Row],[Unit Cost]]</f>
        <v>300242</v>
      </c>
      <c r="O2230" t="str">
        <f>IF(Inventory_Data[[#This Row],[Closing Stock]]&lt;=Inventory_Data[[#This Row],[Reorder Level]],"Low Stock","In Stock")</f>
        <v>In Stock</v>
      </c>
      <c r="P2230" t="str">
        <f>TEXT(Inventory_Data[[#This Row],[Date]],"MMM")</f>
        <v>Apr</v>
      </c>
      <c r="Q2230" t="str">
        <f>TEXT(Inventory_Data[[#This Row],[Date]],"YYYY")</f>
        <v>2026</v>
      </c>
    </row>
    <row r="2231" spans="1:17" x14ac:dyDescent="0.3">
      <c r="A2231" s="1">
        <v>46136</v>
      </c>
      <c r="B2231" t="s">
        <v>33</v>
      </c>
      <c r="C2231" t="s">
        <v>13</v>
      </c>
      <c r="D2231" t="s">
        <v>23</v>
      </c>
      <c r="E2231" t="s">
        <v>29</v>
      </c>
      <c r="F2231">
        <v>48</v>
      </c>
      <c r="G2231">
        <v>75</v>
      </c>
      <c r="H2231">
        <v>38</v>
      </c>
      <c r="I2231">
        <v>85</v>
      </c>
      <c r="J2231">
        <v>20</v>
      </c>
      <c r="K2231">
        <v>16567</v>
      </c>
      <c r="L2231">
        <v>1408195</v>
      </c>
      <c r="M2231">
        <f>Inventory_Data[[#This Row],[Opening Stock]]+Inventory_Data[[#This Row],[Purchase Qty]]-Inventory_Data[[#This Row],[Sales Qty]]-Inventory_Data[[#This Row],[Closing Stock]]</f>
        <v>0</v>
      </c>
      <c r="N2231">
        <f>Inventory_Data[[#This Row],[Purchase Qty]]*Inventory_Data[[#This Row],[Unit Cost]]</f>
        <v>1242525</v>
      </c>
      <c r="O2231" t="str">
        <f>IF(Inventory_Data[[#This Row],[Closing Stock]]&lt;=Inventory_Data[[#This Row],[Reorder Level]],"Low Stock","In Stock")</f>
        <v>In Stock</v>
      </c>
      <c r="P2231" t="str">
        <f>TEXT(Inventory_Data[[#This Row],[Date]],"MMM")</f>
        <v>Apr</v>
      </c>
      <c r="Q2231" t="str">
        <f>TEXT(Inventory_Data[[#This Row],[Date]],"YYYY")</f>
        <v>2026</v>
      </c>
    </row>
    <row r="2232" spans="1:17" x14ac:dyDescent="0.3">
      <c r="A2232" s="1">
        <v>46136</v>
      </c>
      <c r="B2232" t="s">
        <v>43</v>
      </c>
      <c r="C2232" t="s">
        <v>22</v>
      </c>
      <c r="D2232" t="s">
        <v>14</v>
      </c>
      <c r="E2232" t="s">
        <v>15</v>
      </c>
      <c r="F2232">
        <v>250</v>
      </c>
      <c r="G2232">
        <v>208</v>
      </c>
      <c r="H2232">
        <v>38</v>
      </c>
      <c r="I2232">
        <v>420</v>
      </c>
      <c r="J2232">
        <v>85</v>
      </c>
      <c r="K2232">
        <v>386</v>
      </c>
      <c r="L2232">
        <v>162120</v>
      </c>
      <c r="M2232">
        <f>Inventory_Data[[#This Row],[Opening Stock]]+Inventory_Data[[#This Row],[Purchase Qty]]-Inventory_Data[[#This Row],[Sales Qty]]-Inventory_Data[[#This Row],[Closing Stock]]</f>
        <v>0</v>
      </c>
      <c r="N2232">
        <f>Inventory_Data[[#This Row],[Purchase Qty]]*Inventory_Data[[#This Row],[Unit Cost]]</f>
        <v>80288</v>
      </c>
      <c r="O2232" t="str">
        <f>IF(Inventory_Data[[#This Row],[Closing Stock]]&lt;=Inventory_Data[[#This Row],[Reorder Level]],"Low Stock","In Stock")</f>
        <v>In Stock</v>
      </c>
      <c r="P2232" t="str">
        <f>TEXT(Inventory_Data[[#This Row],[Date]],"MMM")</f>
        <v>Apr</v>
      </c>
      <c r="Q2232" t="str">
        <f>TEXT(Inventory_Data[[#This Row],[Date]],"YYYY")</f>
        <v>2026</v>
      </c>
    </row>
    <row r="2233" spans="1:17" x14ac:dyDescent="0.3">
      <c r="A2233" s="1">
        <v>46136</v>
      </c>
      <c r="B2233" t="s">
        <v>19</v>
      </c>
      <c r="C2233" t="s">
        <v>13</v>
      </c>
      <c r="D2233" t="s">
        <v>37</v>
      </c>
      <c r="E2233" t="s">
        <v>34</v>
      </c>
      <c r="F2233">
        <v>110</v>
      </c>
      <c r="G2233">
        <v>34</v>
      </c>
      <c r="H2233">
        <v>45</v>
      </c>
      <c r="I2233">
        <v>99</v>
      </c>
      <c r="J2233">
        <v>31</v>
      </c>
      <c r="K2233">
        <v>1597</v>
      </c>
      <c r="L2233">
        <v>158103</v>
      </c>
      <c r="M2233">
        <f>Inventory_Data[[#This Row],[Opening Stock]]+Inventory_Data[[#This Row],[Purchase Qty]]-Inventory_Data[[#This Row],[Sales Qty]]-Inventory_Data[[#This Row],[Closing Stock]]</f>
        <v>0</v>
      </c>
      <c r="N2233">
        <f>Inventory_Data[[#This Row],[Purchase Qty]]*Inventory_Data[[#This Row],[Unit Cost]]</f>
        <v>54298</v>
      </c>
      <c r="O2233" t="str">
        <f>IF(Inventory_Data[[#This Row],[Closing Stock]]&lt;=Inventory_Data[[#This Row],[Reorder Level]],"Low Stock","In Stock")</f>
        <v>In Stock</v>
      </c>
      <c r="P2233" t="str">
        <f>TEXT(Inventory_Data[[#This Row],[Date]],"MMM")</f>
        <v>Apr</v>
      </c>
      <c r="Q2233" t="str">
        <f>TEXT(Inventory_Data[[#This Row],[Date]],"YYYY")</f>
        <v>2026</v>
      </c>
    </row>
    <row r="2234" spans="1:17" x14ac:dyDescent="0.3">
      <c r="A2234" s="1">
        <v>46136</v>
      </c>
      <c r="B2234" t="s">
        <v>32</v>
      </c>
      <c r="C2234" t="s">
        <v>28</v>
      </c>
      <c r="D2234" t="s">
        <v>26</v>
      </c>
      <c r="E2234" t="s">
        <v>29</v>
      </c>
      <c r="F2234">
        <v>164</v>
      </c>
      <c r="G2234">
        <v>84</v>
      </c>
      <c r="H2234">
        <v>24</v>
      </c>
      <c r="I2234">
        <v>224</v>
      </c>
      <c r="J2234">
        <v>28</v>
      </c>
      <c r="K2234">
        <v>46415</v>
      </c>
      <c r="L2234">
        <v>10396960</v>
      </c>
      <c r="M2234">
        <f>Inventory_Data[[#This Row],[Opening Stock]]+Inventory_Data[[#This Row],[Purchase Qty]]-Inventory_Data[[#This Row],[Sales Qty]]-Inventory_Data[[#This Row],[Closing Stock]]</f>
        <v>0</v>
      </c>
      <c r="N2234">
        <f>Inventory_Data[[#This Row],[Purchase Qty]]*Inventory_Data[[#This Row],[Unit Cost]]</f>
        <v>3898860</v>
      </c>
      <c r="O2234" t="str">
        <f>IF(Inventory_Data[[#This Row],[Closing Stock]]&lt;=Inventory_Data[[#This Row],[Reorder Level]],"Low Stock","In Stock")</f>
        <v>In Stock</v>
      </c>
      <c r="P2234" t="str">
        <f>TEXT(Inventory_Data[[#This Row],[Date]],"MMM")</f>
        <v>Apr</v>
      </c>
      <c r="Q2234" t="str">
        <f>TEXT(Inventory_Data[[#This Row],[Date]],"YYYY")</f>
        <v>2026</v>
      </c>
    </row>
    <row r="2235" spans="1:17" x14ac:dyDescent="0.3">
      <c r="A2235" s="1">
        <v>46136</v>
      </c>
      <c r="B2235" t="s">
        <v>32</v>
      </c>
      <c r="C2235" t="s">
        <v>28</v>
      </c>
      <c r="D2235" t="s">
        <v>14</v>
      </c>
      <c r="E2235" t="s">
        <v>34</v>
      </c>
      <c r="F2235">
        <v>167</v>
      </c>
      <c r="G2235">
        <v>90</v>
      </c>
      <c r="H2235">
        <v>88</v>
      </c>
      <c r="I2235">
        <v>169</v>
      </c>
      <c r="J2235">
        <v>40</v>
      </c>
      <c r="K2235">
        <v>44539</v>
      </c>
      <c r="L2235">
        <v>7527091</v>
      </c>
      <c r="M2235">
        <f>Inventory_Data[[#This Row],[Opening Stock]]+Inventory_Data[[#This Row],[Purchase Qty]]-Inventory_Data[[#This Row],[Sales Qty]]-Inventory_Data[[#This Row],[Closing Stock]]</f>
        <v>0</v>
      </c>
      <c r="N2235">
        <f>Inventory_Data[[#This Row],[Purchase Qty]]*Inventory_Data[[#This Row],[Unit Cost]]</f>
        <v>4008510</v>
      </c>
      <c r="O2235" t="str">
        <f>IF(Inventory_Data[[#This Row],[Closing Stock]]&lt;=Inventory_Data[[#This Row],[Reorder Level]],"Low Stock","In Stock")</f>
        <v>In Stock</v>
      </c>
      <c r="P2235" t="str">
        <f>TEXT(Inventory_Data[[#This Row],[Date]],"MMM")</f>
        <v>Apr</v>
      </c>
      <c r="Q2235" t="str">
        <f>TEXT(Inventory_Data[[#This Row],[Date]],"YYYY")</f>
        <v>2026</v>
      </c>
    </row>
    <row r="2236" spans="1:17" x14ac:dyDescent="0.3">
      <c r="A2236" s="1">
        <v>46136</v>
      </c>
      <c r="B2236" t="s">
        <v>32</v>
      </c>
      <c r="C2236" t="s">
        <v>28</v>
      </c>
      <c r="D2236" t="s">
        <v>26</v>
      </c>
      <c r="E2236" t="s">
        <v>24</v>
      </c>
      <c r="F2236">
        <v>83</v>
      </c>
      <c r="G2236">
        <v>19</v>
      </c>
      <c r="H2236">
        <v>83</v>
      </c>
      <c r="I2236">
        <v>19</v>
      </c>
      <c r="J2236">
        <v>37</v>
      </c>
      <c r="K2236">
        <v>38345</v>
      </c>
      <c r="L2236">
        <v>728555</v>
      </c>
      <c r="M2236">
        <f>Inventory_Data[[#This Row],[Opening Stock]]+Inventory_Data[[#This Row],[Purchase Qty]]-Inventory_Data[[#This Row],[Sales Qty]]-Inventory_Data[[#This Row],[Closing Stock]]</f>
        <v>0</v>
      </c>
      <c r="N2236">
        <f>Inventory_Data[[#This Row],[Purchase Qty]]*Inventory_Data[[#This Row],[Unit Cost]]</f>
        <v>728555</v>
      </c>
      <c r="O2236" t="str">
        <f>IF(Inventory_Data[[#This Row],[Closing Stock]]&lt;=Inventory_Data[[#This Row],[Reorder Level]],"Low Stock","In Stock")</f>
        <v>Low Stock</v>
      </c>
      <c r="P2236" t="str">
        <f>TEXT(Inventory_Data[[#This Row],[Date]],"MMM")</f>
        <v>Apr</v>
      </c>
      <c r="Q2236" t="str">
        <f>TEXT(Inventory_Data[[#This Row],[Date]],"YYYY")</f>
        <v>2026</v>
      </c>
    </row>
    <row r="2237" spans="1:17" x14ac:dyDescent="0.3">
      <c r="A2237" s="1">
        <v>46136</v>
      </c>
      <c r="B2237" t="s">
        <v>42</v>
      </c>
      <c r="C2237" t="s">
        <v>17</v>
      </c>
      <c r="D2237" t="s">
        <v>14</v>
      </c>
      <c r="E2237" t="s">
        <v>18</v>
      </c>
      <c r="F2237">
        <v>98</v>
      </c>
      <c r="G2237">
        <v>56</v>
      </c>
      <c r="H2237">
        <v>9</v>
      </c>
      <c r="I2237">
        <v>145</v>
      </c>
      <c r="J2237">
        <v>22</v>
      </c>
      <c r="K2237">
        <v>23242</v>
      </c>
      <c r="L2237">
        <v>3370090</v>
      </c>
      <c r="M2237">
        <f>Inventory_Data[[#This Row],[Opening Stock]]+Inventory_Data[[#This Row],[Purchase Qty]]-Inventory_Data[[#This Row],[Sales Qty]]-Inventory_Data[[#This Row],[Closing Stock]]</f>
        <v>0</v>
      </c>
      <c r="N2237">
        <f>Inventory_Data[[#This Row],[Purchase Qty]]*Inventory_Data[[#This Row],[Unit Cost]]</f>
        <v>1301552</v>
      </c>
      <c r="O2237" t="str">
        <f>IF(Inventory_Data[[#This Row],[Closing Stock]]&lt;=Inventory_Data[[#This Row],[Reorder Level]],"Low Stock","In Stock")</f>
        <v>In Stock</v>
      </c>
      <c r="P2237" t="str">
        <f>TEXT(Inventory_Data[[#This Row],[Date]],"MMM")</f>
        <v>Apr</v>
      </c>
      <c r="Q2237" t="str">
        <f>TEXT(Inventory_Data[[#This Row],[Date]],"YYYY")</f>
        <v>2026</v>
      </c>
    </row>
    <row r="2238" spans="1:17" x14ac:dyDescent="0.3">
      <c r="A2238" s="1">
        <v>46136</v>
      </c>
      <c r="B2238" t="s">
        <v>40</v>
      </c>
      <c r="C2238" t="s">
        <v>28</v>
      </c>
      <c r="D2238" t="s">
        <v>37</v>
      </c>
      <c r="E2238" t="s">
        <v>18</v>
      </c>
      <c r="F2238">
        <v>87</v>
      </c>
      <c r="G2238">
        <v>65</v>
      </c>
      <c r="H2238">
        <v>43</v>
      </c>
      <c r="I2238">
        <v>109</v>
      </c>
      <c r="J2238">
        <v>26</v>
      </c>
      <c r="K2238">
        <v>56926</v>
      </c>
      <c r="L2238">
        <v>6204934</v>
      </c>
      <c r="M2238">
        <f>Inventory_Data[[#This Row],[Opening Stock]]+Inventory_Data[[#This Row],[Purchase Qty]]-Inventory_Data[[#This Row],[Sales Qty]]-Inventory_Data[[#This Row],[Closing Stock]]</f>
        <v>0</v>
      </c>
      <c r="N2238">
        <f>Inventory_Data[[#This Row],[Purchase Qty]]*Inventory_Data[[#This Row],[Unit Cost]]</f>
        <v>3700190</v>
      </c>
      <c r="O2238" t="str">
        <f>IF(Inventory_Data[[#This Row],[Closing Stock]]&lt;=Inventory_Data[[#This Row],[Reorder Level]],"Low Stock","In Stock")</f>
        <v>In Stock</v>
      </c>
      <c r="P2238" t="str">
        <f>TEXT(Inventory_Data[[#This Row],[Date]],"MMM")</f>
        <v>Apr</v>
      </c>
      <c r="Q2238" t="str">
        <f>TEXT(Inventory_Data[[#This Row],[Date]],"YYYY")</f>
        <v>2026</v>
      </c>
    </row>
    <row r="2239" spans="1:17" x14ac:dyDescent="0.3">
      <c r="A2239" s="1">
        <v>46137</v>
      </c>
      <c r="B2239" t="s">
        <v>32</v>
      </c>
      <c r="C2239" t="s">
        <v>28</v>
      </c>
      <c r="D2239" t="s">
        <v>23</v>
      </c>
      <c r="E2239" t="s">
        <v>20</v>
      </c>
      <c r="F2239">
        <v>77</v>
      </c>
      <c r="G2239">
        <v>90</v>
      </c>
      <c r="H2239">
        <v>87</v>
      </c>
      <c r="I2239">
        <v>80</v>
      </c>
      <c r="J2239">
        <v>48</v>
      </c>
      <c r="K2239">
        <v>25055</v>
      </c>
      <c r="L2239">
        <v>2004400</v>
      </c>
      <c r="M2239">
        <f>Inventory_Data[[#This Row],[Opening Stock]]+Inventory_Data[[#This Row],[Purchase Qty]]-Inventory_Data[[#This Row],[Sales Qty]]-Inventory_Data[[#This Row],[Closing Stock]]</f>
        <v>0</v>
      </c>
      <c r="N2239">
        <f>Inventory_Data[[#This Row],[Purchase Qty]]*Inventory_Data[[#This Row],[Unit Cost]]</f>
        <v>2254950</v>
      </c>
      <c r="O2239" t="str">
        <f>IF(Inventory_Data[[#This Row],[Closing Stock]]&lt;=Inventory_Data[[#This Row],[Reorder Level]],"Low Stock","In Stock")</f>
        <v>In Stock</v>
      </c>
      <c r="P2239" t="str">
        <f>TEXT(Inventory_Data[[#This Row],[Date]],"MMM")</f>
        <v>Apr</v>
      </c>
      <c r="Q2239" t="str">
        <f>TEXT(Inventory_Data[[#This Row],[Date]],"YYYY")</f>
        <v>2026</v>
      </c>
    </row>
    <row r="2240" spans="1:17" x14ac:dyDescent="0.3">
      <c r="A2240" s="1">
        <v>46137</v>
      </c>
      <c r="B2240" t="s">
        <v>31</v>
      </c>
      <c r="C2240" t="s">
        <v>22</v>
      </c>
      <c r="D2240" t="s">
        <v>14</v>
      </c>
      <c r="E2240" t="s">
        <v>24</v>
      </c>
      <c r="F2240">
        <v>181</v>
      </c>
      <c r="G2240">
        <v>31</v>
      </c>
      <c r="H2240">
        <v>124</v>
      </c>
      <c r="I2240">
        <v>88</v>
      </c>
      <c r="J2240">
        <v>134</v>
      </c>
      <c r="K2240">
        <v>500</v>
      </c>
      <c r="L2240">
        <v>44000</v>
      </c>
      <c r="M2240">
        <f>Inventory_Data[[#This Row],[Opening Stock]]+Inventory_Data[[#This Row],[Purchase Qty]]-Inventory_Data[[#This Row],[Sales Qty]]-Inventory_Data[[#This Row],[Closing Stock]]</f>
        <v>0</v>
      </c>
      <c r="N2240">
        <f>Inventory_Data[[#This Row],[Purchase Qty]]*Inventory_Data[[#This Row],[Unit Cost]]</f>
        <v>15500</v>
      </c>
      <c r="O2240" t="str">
        <f>IF(Inventory_Data[[#This Row],[Closing Stock]]&lt;=Inventory_Data[[#This Row],[Reorder Level]],"Low Stock","In Stock")</f>
        <v>Low Stock</v>
      </c>
      <c r="P2240" t="str">
        <f>TEXT(Inventory_Data[[#This Row],[Date]],"MMM")</f>
        <v>Apr</v>
      </c>
      <c r="Q2240" t="str">
        <f>TEXT(Inventory_Data[[#This Row],[Date]],"YYYY")</f>
        <v>2026</v>
      </c>
    </row>
    <row r="2241" spans="1:17" x14ac:dyDescent="0.3">
      <c r="A2241" s="1">
        <v>46137</v>
      </c>
      <c r="B2241" t="s">
        <v>27</v>
      </c>
      <c r="C2241" t="s">
        <v>28</v>
      </c>
      <c r="D2241" t="s">
        <v>23</v>
      </c>
      <c r="E2241" t="s">
        <v>24</v>
      </c>
      <c r="F2241">
        <v>115</v>
      </c>
      <c r="G2241">
        <v>105</v>
      </c>
      <c r="H2241">
        <v>94</v>
      </c>
      <c r="I2241">
        <v>126</v>
      </c>
      <c r="J2241">
        <v>37</v>
      </c>
      <c r="K2241">
        <v>22378</v>
      </c>
      <c r="L2241">
        <v>2819628</v>
      </c>
      <c r="M2241">
        <f>Inventory_Data[[#This Row],[Opening Stock]]+Inventory_Data[[#This Row],[Purchase Qty]]-Inventory_Data[[#This Row],[Sales Qty]]-Inventory_Data[[#This Row],[Closing Stock]]</f>
        <v>0</v>
      </c>
      <c r="N2241">
        <f>Inventory_Data[[#This Row],[Purchase Qty]]*Inventory_Data[[#This Row],[Unit Cost]]</f>
        <v>2349690</v>
      </c>
      <c r="O2241" t="str">
        <f>IF(Inventory_Data[[#This Row],[Closing Stock]]&lt;=Inventory_Data[[#This Row],[Reorder Level]],"Low Stock","In Stock")</f>
        <v>In Stock</v>
      </c>
      <c r="P2241" t="str">
        <f>TEXT(Inventory_Data[[#This Row],[Date]],"MMM")</f>
        <v>Apr</v>
      </c>
      <c r="Q2241" t="str">
        <f>TEXT(Inventory_Data[[#This Row],[Date]],"YYYY")</f>
        <v>2026</v>
      </c>
    </row>
    <row r="2242" spans="1:17" x14ac:dyDescent="0.3">
      <c r="A2242" s="1">
        <v>46138</v>
      </c>
      <c r="B2242" t="s">
        <v>40</v>
      </c>
      <c r="C2242" t="s">
        <v>28</v>
      </c>
      <c r="D2242" t="s">
        <v>26</v>
      </c>
      <c r="E2242" t="s">
        <v>20</v>
      </c>
      <c r="F2242">
        <v>168</v>
      </c>
      <c r="G2242">
        <v>51</v>
      </c>
      <c r="H2242">
        <v>85</v>
      </c>
      <c r="I2242">
        <v>134</v>
      </c>
      <c r="J2242">
        <v>22</v>
      </c>
      <c r="K2242">
        <v>60090</v>
      </c>
      <c r="L2242">
        <v>8052060</v>
      </c>
      <c r="M2242">
        <f>Inventory_Data[[#This Row],[Opening Stock]]+Inventory_Data[[#This Row],[Purchase Qty]]-Inventory_Data[[#This Row],[Sales Qty]]-Inventory_Data[[#This Row],[Closing Stock]]</f>
        <v>0</v>
      </c>
      <c r="N2242">
        <f>Inventory_Data[[#This Row],[Purchase Qty]]*Inventory_Data[[#This Row],[Unit Cost]]</f>
        <v>3064590</v>
      </c>
      <c r="O2242" t="str">
        <f>IF(Inventory_Data[[#This Row],[Closing Stock]]&lt;=Inventory_Data[[#This Row],[Reorder Level]],"Low Stock","In Stock")</f>
        <v>In Stock</v>
      </c>
      <c r="P2242" t="str">
        <f>TEXT(Inventory_Data[[#This Row],[Date]],"MMM")</f>
        <v>Apr</v>
      </c>
      <c r="Q2242" t="str">
        <f>TEXT(Inventory_Data[[#This Row],[Date]],"YYYY")</f>
        <v>2026</v>
      </c>
    </row>
    <row r="2243" spans="1:17" x14ac:dyDescent="0.3">
      <c r="A2243" s="1">
        <v>46138</v>
      </c>
      <c r="B2243" t="s">
        <v>35</v>
      </c>
      <c r="C2243" t="s">
        <v>22</v>
      </c>
      <c r="D2243" t="s">
        <v>14</v>
      </c>
      <c r="E2243" t="s">
        <v>29</v>
      </c>
      <c r="F2243">
        <v>68</v>
      </c>
      <c r="G2243">
        <v>224</v>
      </c>
      <c r="H2243">
        <v>184</v>
      </c>
      <c r="I2243">
        <v>108</v>
      </c>
      <c r="J2243">
        <v>114</v>
      </c>
      <c r="K2243">
        <v>1021</v>
      </c>
      <c r="L2243">
        <v>110268</v>
      </c>
      <c r="M2243">
        <f>Inventory_Data[[#This Row],[Opening Stock]]+Inventory_Data[[#This Row],[Purchase Qty]]-Inventory_Data[[#This Row],[Sales Qty]]-Inventory_Data[[#This Row],[Closing Stock]]</f>
        <v>0</v>
      </c>
      <c r="N2243">
        <f>Inventory_Data[[#This Row],[Purchase Qty]]*Inventory_Data[[#This Row],[Unit Cost]]</f>
        <v>228704</v>
      </c>
      <c r="O2243" t="str">
        <f>IF(Inventory_Data[[#This Row],[Closing Stock]]&lt;=Inventory_Data[[#This Row],[Reorder Level]],"Low Stock","In Stock")</f>
        <v>Low Stock</v>
      </c>
      <c r="P2243" t="str">
        <f>TEXT(Inventory_Data[[#This Row],[Date]],"MMM")</f>
        <v>Apr</v>
      </c>
      <c r="Q2243" t="str">
        <f>TEXT(Inventory_Data[[#This Row],[Date]],"YYYY")</f>
        <v>2026</v>
      </c>
    </row>
    <row r="2244" spans="1:17" x14ac:dyDescent="0.3">
      <c r="A2244" s="1">
        <v>46139</v>
      </c>
      <c r="B2244" t="s">
        <v>41</v>
      </c>
      <c r="C2244" t="s">
        <v>22</v>
      </c>
      <c r="D2244" t="s">
        <v>14</v>
      </c>
      <c r="E2244" t="s">
        <v>20</v>
      </c>
      <c r="F2244">
        <v>312</v>
      </c>
      <c r="G2244">
        <v>203</v>
      </c>
      <c r="H2244">
        <v>63</v>
      </c>
      <c r="I2244">
        <v>452</v>
      </c>
      <c r="J2244">
        <v>95</v>
      </c>
      <c r="K2244">
        <v>239</v>
      </c>
      <c r="L2244">
        <v>108028</v>
      </c>
      <c r="M2244">
        <f>Inventory_Data[[#This Row],[Opening Stock]]+Inventory_Data[[#This Row],[Purchase Qty]]-Inventory_Data[[#This Row],[Sales Qty]]-Inventory_Data[[#This Row],[Closing Stock]]</f>
        <v>0</v>
      </c>
      <c r="N2244">
        <f>Inventory_Data[[#This Row],[Purchase Qty]]*Inventory_Data[[#This Row],[Unit Cost]]</f>
        <v>48517</v>
      </c>
      <c r="O2244" t="str">
        <f>IF(Inventory_Data[[#This Row],[Closing Stock]]&lt;=Inventory_Data[[#This Row],[Reorder Level]],"Low Stock","In Stock")</f>
        <v>In Stock</v>
      </c>
      <c r="P2244" t="str">
        <f>TEXT(Inventory_Data[[#This Row],[Date]],"MMM")</f>
        <v>Apr</v>
      </c>
      <c r="Q2244" t="str">
        <f>TEXT(Inventory_Data[[#This Row],[Date]],"YYYY")</f>
        <v>2026</v>
      </c>
    </row>
    <row r="2245" spans="1:17" x14ac:dyDescent="0.3">
      <c r="A2245" s="1">
        <v>46139</v>
      </c>
      <c r="B2245" t="s">
        <v>42</v>
      </c>
      <c r="C2245" t="s">
        <v>17</v>
      </c>
      <c r="D2245" t="s">
        <v>23</v>
      </c>
      <c r="E2245" t="s">
        <v>15</v>
      </c>
      <c r="F2245">
        <v>70</v>
      </c>
      <c r="G2245">
        <v>19</v>
      </c>
      <c r="H2245">
        <v>26</v>
      </c>
      <c r="I2245">
        <v>63</v>
      </c>
      <c r="J2245">
        <v>18</v>
      </c>
      <c r="K2245">
        <v>23139</v>
      </c>
      <c r="L2245">
        <v>1457757</v>
      </c>
      <c r="M2245">
        <f>Inventory_Data[[#This Row],[Opening Stock]]+Inventory_Data[[#This Row],[Purchase Qty]]-Inventory_Data[[#This Row],[Sales Qty]]-Inventory_Data[[#This Row],[Closing Stock]]</f>
        <v>0</v>
      </c>
      <c r="N2245">
        <f>Inventory_Data[[#This Row],[Purchase Qty]]*Inventory_Data[[#This Row],[Unit Cost]]</f>
        <v>439641</v>
      </c>
      <c r="O2245" t="str">
        <f>IF(Inventory_Data[[#This Row],[Closing Stock]]&lt;=Inventory_Data[[#This Row],[Reorder Level]],"Low Stock","In Stock")</f>
        <v>In Stock</v>
      </c>
      <c r="P2245" t="str">
        <f>TEXT(Inventory_Data[[#This Row],[Date]],"MMM")</f>
        <v>Apr</v>
      </c>
      <c r="Q2245" t="str">
        <f>TEXT(Inventory_Data[[#This Row],[Date]],"YYYY")</f>
        <v>2026</v>
      </c>
    </row>
    <row r="2246" spans="1:17" x14ac:dyDescent="0.3">
      <c r="A2246" s="1">
        <v>46139</v>
      </c>
      <c r="B2246" t="s">
        <v>42</v>
      </c>
      <c r="C2246" t="s">
        <v>17</v>
      </c>
      <c r="D2246" t="s">
        <v>23</v>
      </c>
      <c r="E2246" t="s">
        <v>15</v>
      </c>
      <c r="F2246">
        <v>92</v>
      </c>
      <c r="G2246">
        <v>41</v>
      </c>
      <c r="H2246">
        <v>10</v>
      </c>
      <c r="I2246">
        <v>123</v>
      </c>
      <c r="J2246">
        <v>22</v>
      </c>
      <c r="K2246">
        <v>10227</v>
      </c>
      <c r="L2246">
        <v>1257921</v>
      </c>
      <c r="M2246">
        <f>Inventory_Data[[#This Row],[Opening Stock]]+Inventory_Data[[#This Row],[Purchase Qty]]-Inventory_Data[[#This Row],[Sales Qty]]-Inventory_Data[[#This Row],[Closing Stock]]</f>
        <v>0</v>
      </c>
      <c r="N2246">
        <f>Inventory_Data[[#This Row],[Purchase Qty]]*Inventory_Data[[#This Row],[Unit Cost]]</f>
        <v>419307</v>
      </c>
      <c r="O2246" t="str">
        <f>IF(Inventory_Data[[#This Row],[Closing Stock]]&lt;=Inventory_Data[[#This Row],[Reorder Level]],"Low Stock","In Stock")</f>
        <v>In Stock</v>
      </c>
      <c r="P2246" t="str">
        <f>TEXT(Inventory_Data[[#This Row],[Date]],"MMM")</f>
        <v>Apr</v>
      </c>
      <c r="Q2246" t="str">
        <f>TEXT(Inventory_Data[[#This Row],[Date]],"YYYY")</f>
        <v>2026</v>
      </c>
    </row>
    <row r="2247" spans="1:17" x14ac:dyDescent="0.3">
      <c r="A2247" s="1">
        <v>46139</v>
      </c>
      <c r="B2247" t="s">
        <v>42</v>
      </c>
      <c r="C2247" t="s">
        <v>17</v>
      </c>
      <c r="D2247" t="s">
        <v>37</v>
      </c>
      <c r="E2247" t="s">
        <v>15</v>
      </c>
      <c r="F2247">
        <v>22</v>
      </c>
      <c r="G2247">
        <v>23</v>
      </c>
      <c r="H2247">
        <v>13</v>
      </c>
      <c r="I2247">
        <v>32</v>
      </c>
      <c r="J2247">
        <v>19</v>
      </c>
      <c r="K2247">
        <v>21887</v>
      </c>
      <c r="L2247">
        <v>700384</v>
      </c>
      <c r="M2247">
        <f>Inventory_Data[[#This Row],[Opening Stock]]+Inventory_Data[[#This Row],[Purchase Qty]]-Inventory_Data[[#This Row],[Sales Qty]]-Inventory_Data[[#This Row],[Closing Stock]]</f>
        <v>0</v>
      </c>
      <c r="N2247">
        <f>Inventory_Data[[#This Row],[Purchase Qty]]*Inventory_Data[[#This Row],[Unit Cost]]</f>
        <v>503401</v>
      </c>
      <c r="O2247" t="str">
        <f>IF(Inventory_Data[[#This Row],[Closing Stock]]&lt;=Inventory_Data[[#This Row],[Reorder Level]],"Low Stock","In Stock")</f>
        <v>In Stock</v>
      </c>
      <c r="P2247" t="str">
        <f>TEXT(Inventory_Data[[#This Row],[Date]],"MMM")</f>
        <v>Apr</v>
      </c>
      <c r="Q2247" t="str">
        <f>TEXT(Inventory_Data[[#This Row],[Date]],"YYYY")</f>
        <v>2026</v>
      </c>
    </row>
    <row r="2248" spans="1:17" x14ac:dyDescent="0.3">
      <c r="A2248" s="1">
        <v>46139</v>
      </c>
      <c r="B2248" t="s">
        <v>12</v>
      </c>
      <c r="C2248" t="s">
        <v>13</v>
      </c>
      <c r="D2248" t="s">
        <v>14</v>
      </c>
      <c r="E2248" t="s">
        <v>20</v>
      </c>
      <c r="F2248">
        <v>105</v>
      </c>
      <c r="G2248">
        <v>67</v>
      </c>
      <c r="H2248">
        <v>48</v>
      </c>
      <c r="I2248">
        <v>124</v>
      </c>
      <c r="J2248">
        <v>19</v>
      </c>
      <c r="K2248">
        <v>16604</v>
      </c>
      <c r="L2248">
        <v>2058896</v>
      </c>
      <c r="M2248">
        <f>Inventory_Data[[#This Row],[Opening Stock]]+Inventory_Data[[#This Row],[Purchase Qty]]-Inventory_Data[[#This Row],[Sales Qty]]-Inventory_Data[[#This Row],[Closing Stock]]</f>
        <v>0</v>
      </c>
      <c r="N2248">
        <f>Inventory_Data[[#This Row],[Purchase Qty]]*Inventory_Data[[#This Row],[Unit Cost]]</f>
        <v>1112468</v>
      </c>
      <c r="O2248" t="str">
        <f>IF(Inventory_Data[[#This Row],[Closing Stock]]&lt;=Inventory_Data[[#This Row],[Reorder Level]],"Low Stock","In Stock")</f>
        <v>In Stock</v>
      </c>
      <c r="P2248" t="str">
        <f>TEXT(Inventory_Data[[#This Row],[Date]],"MMM")</f>
        <v>Apr</v>
      </c>
      <c r="Q2248" t="str">
        <f>TEXT(Inventory_Data[[#This Row],[Date]],"YYYY")</f>
        <v>2026</v>
      </c>
    </row>
    <row r="2249" spans="1:17" x14ac:dyDescent="0.3">
      <c r="A2249" s="1">
        <v>46139</v>
      </c>
      <c r="B2249" t="s">
        <v>40</v>
      </c>
      <c r="C2249" t="s">
        <v>28</v>
      </c>
      <c r="D2249" t="s">
        <v>23</v>
      </c>
      <c r="E2249" t="s">
        <v>29</v>
      </c>
      <c r="F2249">
        <v>38</v>
      </c>
      <c r="G2249">
        <v>93</v>
      </c>
      <c r="H2249">
        <v>60</v>
      </c>
      <c r="I2249">
        <v>71</v>
      </c>
      <c r="J2249">
        <v>52</v>
      </c>
      <c r="K2249">
        <v>61997</v>
      </c>
      <c r="L2249">
        <v>4401787</v>
      </c>
      <c r="M2249">
        <f>Inventory_Data[[#This Row],[Opening Stock]]+Inventory_Data[[#This Row],[Purchase Qty]]-Inventory_Data[[#This Row],[Sales Qty]]-Inventory_Data[[#This Row],[Closing Stock]]</f>
        <v>0</v>
      </c>
      <c r="N2249">
        <f>Inventory_Data[[#This Row],[Purchase Qty]]*Inventory_Data[[#This Row],[Unit Cost]]</f>
        <v>5765721</v>
      </c>
      <c r="O2249" t="str">
        <f>IF(Inventory_Data[[#This Row],[Closing Stock]]&lt;=Inventory_Data[[#This Row],[Reorder Level]],"Low Stock","In Stock")</f>
        <v>In Stock</v>
      </c>
      <c r="P2249" t="str">
        <f>TEXT(Inventory_Data[[#This Row],[Date]],"MMM")</f>
        <v>Apr</v>
      </c>
      <c r="Q2249" t="str">
        <f>TEXT(Inventory_Data[[#This Row],[Date]],"YYYY")</f>
        <v>2026</v>
      </c>
    </row>
    <row r="2250" spans="1:17" x14ac:dyDescent="0.3">
      <c r="A2250" s="1">
        <v>46139</v>
      </c>
      <c r="B2250" t="s">
        <v>40</v>
      </c>
      <c r="C2250" t="s">
        <v>28</v>
      </c>
      <c r="D2250" t="s">
        <v>37</v>
      </c>
      <c r="E2250" t="s">
        <v>29</v>
      </c>
      <c r="F2250">
        <v>101</v>
      </c>
      <c r="G2250">
        <v>22</v>
      </c>
      <c r="H2250">
        <v>27</v>
      </c>
      <c r="I2250">
        <v>96</v>
      </c>
      <c r="J2250">
        <v>30</v>
      </c>
      <c r="K2250">
        <v>26226</v>
      </c>
      <c r="L2250">
        <v>2517696</v>
      </c>
      <c r="M2250">
        <f>Inventory_Data[[#This Row],[Opening Stock]]+Inventory_Data[[#This Row],[Purchase Qty]]-Inventory_Data[[#This Row],[Sales Qty]]-Inventory_Data[[#This Row],[Closing Stock]]</f>
        <v>0</v>
      </c>
      <c r="N2250">
        <f>Inventory_Data[[#This Row],[Purchase Qty]]*Inventory_Data[[#This Row],[Unit Cost]]</f>
        <v>576972</v>
      </c>
      <c r="O2250" t="str">
        <f>IF(Inventory_Data[[#This Row],[Closing Stock]]&lt;=Inventory_Data[[#This Row],[Reorder Level]],"Low Stock","In Stock")</f>
        <v>In Stock</v>
      </c>
      <c r="P2250" t="str">
        <f>TEXT(Inventory_Data[[#This Row],[Date]],"MMM")</f>
        <v>Apr</v>
      </c>
      <c r="Q2250" t="str">
        <f>TEXT(Inventory_Data[[#This Row],[Date]],"YYYY")</f>
        <v>2026</v>
      </c>
    </row>
    <row r="2251" spans="1:17" x14ac:dyDescent="0.3">
      <c r="A2251" s="1">
        <v>46139</v>
      </c>
      <c r="B2251" t="s">
        <v>35</v>
      </c>
      <c r="C2251" t="s">
        <v>22</v>
      </c>
      <c r="D2251" t="s">
        <v>23</v>
      </c>
      <c r="E2251" t="s">
        <v>18</v>
      </c>
      <c r="F2251">
        <v>258</v>
      </c>
      <c r="G2251">
        <v>215</v>
      </c>
      <c r="H2251">
        <v>178</v>
      </c>
      <c r="I2251">
        <v>295</v>
      </c>
      <c r="J2251">
        <v>58</v>
      </c>
      <c r="K2251">
        <v>526</v>
      </c>
      <c r="L2251">
        <v>155170</v>
      </c>
      <c r="M2251">
        <f>Inventory_Data[[#This Row],[Opening Stock]]+Inventory_Data[[#This Row],[Purchase Qty]]-Inventory_Data[[#This Row],[Sales Qty]]-Inventory_Data[[#This Row],[Closing Stock]]</f>
        <v>0</v>
      </c>
      <c r="N2251">
        <f>Inventory_Data[[#This Row],[Purchase Qty]]*Inventory_Data[[#This Row],[Unit Cost]]</f>
        <v>113090</v>
      </c>
      <c r="O2251" t="str">
        <f>IF(Inventory_Data[[#This Row],[Closing Stock]]&lt;=Inventory_Data[[#This Row],[Reorder Level]],"Low Stock","In Stock")</f>
        <v>In Stock</v>
      </c>
      <c r="P2251" t="str">
        <f>TEXT(Inventory_Data[[#This Row],[Date]],"MMM")</f>
        <v>Apr</v>
      </c>
      <c r="Q2251" t="str">
        <f>TEXT(Inventory_Data[[#This Row],[Date]],"YYYY")</f>
        <v>2026</v>
      </c>
    </row>
    <row r="2252" spans="1:17" x14ac:dyDescent="0.3">
      <c r="A2252" s="1">
        <v>46139</v>
      </c>
      <c r="B2252" t="s">
        <v>19</v>
      </c>
      <c r="C2252" t="s">
        <v>13</v>
      </c>
      <c r="D2252" t="s">
        <v>23</v>
      </c>
      <c r="E2252" t="s">
        <v>18</v>
      </c>
      <c r="F2252">
        <v>75</v>
      </c>
      <c r="G2252">
        <v>17</v>
      </c>
      <c r="H2252">
        <v>27</v>
      </c>
      <c r="I2252">
        <v>65</v>
      </c>
      <c r="J2252">
        <v>38</v>
      </c>
      <c r="K2252">
        <v>17209</v>
      </c>
      <c r="L2252">
        <v>1118585</v>
      </c>
      <c r="M2252">
        <f>Inventory_Data[[#This Row],[Opening Stock]]+Inventory_Data[[#This Row],[Purchase Qty]]-Inventory_Data[[#This Row],[Sales Qty]]-Inventory_Data[[#This Row],[Closing Stock]]</f>
        <v>0</v>
      </c>
      <c r="N2252">
        <f>Inventory_Data[[#This Row],[Purchase Qty]]*Inventory_Data[[#This Row],[Unit Cost]]</f>
        <v>292553</v>
      </c>
      <c r="O2252" t="str">
        <f>IF(Inventory_Data[[#This Row],[Closing Stock]]&lt;=Inventory_Data[[#This Row],[Reorder Level]],"Low Stock","In Stock")</f>
        <v>In Stock</v>
      </c>
      <c r="P2252" t="str">
        <f>TEXT(Inventory_Data[[#This Row],[Date]],"MMM")</f>
        <v>Apr</v>
      </c>
      <c r="Q2252" t="str">
        <f>TEXT(Inventory_Data[[#This Row],[Date]],"YYYY")</f>
        <v>2026</v>
      </c>
    </row>
    <row r="2253" spans="1:17" x14ac:dyDescent="0.3">
      <c r="A2253" s="1">
        <v>46140</v>
      </c>
      <c r="B2253" t="s">
        <v>30</v>
      </c>
      <c r="C2253" t="s">
        <v>28</v>
      </c>
      <c r="D2253" t="s">
        <v>26</v>
      </c>
      <c r="E2253" t="s">
        <v>34</v>
      </c>
      <c r="F2253">
        <v>164</v>
      </c>
      <c r="G2253">
        <v>82</v>
      </c>
      <c r="H2253">
        <v>40</v>
      </c>
      <c r="I2253">
        <v>206</v>
      </c>
      <c r="J2253">
        <v>50</v>
      </c>
      <c r="K2253">
        <v>19573</v>
      </c>
      <c r="L2253">
        <v>4032038</v>
      </c>
      <c r="M2253">
        <f>Inventory_Data[[#This Row],[Opening Stock]]+Inventory_Data[[#This Row],[Purchase Qty]]-Inventory_Data[[#This Row],[Sales Qty]]-Inventory_Data[[#This Row],[Closing Stock]]</f>
        <v>0</v>
      </c>
      <c r="N2253">
        <f>Inventory_Data[[#This Row],[Purchase Qty]]*Inventory_Data[[#This Row],[Unit Cost]]</f>
        <v>1604986</v>
      </c>
      <c r="O2253" t="str">
        <f>IF(Inventory_Data[[#This Row],[Closing Stock]]&lt;=Inventory_Data[[#This Row],[Reorder Level]],"Low Stock","In Stock")</f>
        <v>In Stock</v>
      </c>
      <c r="P2253" t="str">
        <f>TEXT(Inventory_Data[[#This Row],[Date]],"MMM")</f>
        <v>Apr</v>
      </c>
      <c r="Q2253" t="str">
        <f>TEXT(Inventory_Data[[#This Row],[Date]],"YYYY")</f>
        <v>2026</v>
      </c>
    </row>
    <row r="2254" spans="1:17" x14ac:dyDescent="0.3">
      <c r="A2254" s="1">
        <v>46140</v>
      </c>
      <c r="B2254" t="s">
        <v>45</v>
      </c>
      <c r="C2254" t="s">
        <v>13</v>
      </c>
      <c r="D2254" t="s">
        <v>23</v>
      </c>
      <c r="E2254" t="s">
        <v>24</v>
      </c>
      <c r="F2254">
        <v>27</v>
      </c>
      <c r="G2254">
        <v>14</v>
      </c>
      <c r="H2254">
        <v>13</v>
      </c>
      <c r="I2254">
        <v>28</v>
      </c>
      <c r="J2254">
        <v>23</v>
      </c>
      <c r="K2254">
        <v>10018</v>
      </c>
      <c r="L2254">
        <v>280504</v>
      </c>
      <c r="M2254">
        <f>Inventory_Data[[#This Row],[Opening Stock]]+Inventory_Data[[#This Row],[Purchase Qty]]-Inventory_Data[[#This Row],[Sales Qty]]-Inventory_Data[[#This Row],[Closing Stock]]</f>
        <v>0</v>
      </c>
      <c r="N2254">
        <f>Inventory_Data[[#This Row],[Purchase Qty]]*Inventory_Data[[#This Row],[Unit Cost]]</f>
        <v>140252</v>
      </c>
      <c r="O2254" t="str">
        <f>IF(Inventory_Data[[#This Row],[Closing Stock]]&lt;=Inventory_Data[[#This Row],[Reorder Level]],"Low Stock","In Stock")</f>
        <v>In Stock</v>
      </c>
      <c r="P2254" t="str">
        <f>TEXT(Inventory_Data[[#This Row],[Date]],"MMM")</f>
        <v>Apr</v>
      </c>
      <c r="Q2254" t="str">
        <f>TEXT(Inventory_Data[[#This Row],[Date]],"YYYY")</f>
        <v>2026</v>
      </c>
    </row>
    <row r="2255" spans="1:17" x14ac:dyDescent="0.3">
      <c r="A2255" s="1">
        <v>46140</v>
      </c>
      <c r="B2255" t="s">
        <v>42</v>
      </c>
      <c r="C2255" t="s">
        <v>17</v>
      </c>
      <c r="D2255" t="s">
        <v>26</v>
      </c>
      <c r="E2255" t="s">
        <v>34</v>
      </c>
      <c r="F2255">
        <v>69</v>
      </c>
      <c r="G2255">
        <v>35</v>
      </c>
      <c r="H2255">
        <v>20</v>
      </c>
      <c r="I2255">
        <v>84</v>
      </c>
      <c r="J2255">
        <v>15</v>
      </c>
      <c r="K2255">
        <v>20550</v>
      </c>
      <c r="L2255">
        <v>1726200</v>
      </c>
      <c r="M2255">
        <f>Inventory_Data[[#This Row],[Opening Stock]]+Inventory_Data[[#This Row],[Purchase Qty]]-Inventory_Data[[#This Row],[Sales Qty]]-Inventory_Data[[#This Row],[Closing Stock]]</f>
        <v>0</v>
      </c>
      <c r="N2255">
        <f>Inventory_Data[[#This Row],[Purchase Qty]]*Inventory_Data[[#This Row],[Unit Cost]]</f>
        <v>719250</v>
      </c>
      <c r="O2255" t="str">
        <f>IF(Inventory_Data[[#This Row],[Closing Stock]]&lt;=Inventory_Data[[#This Row],[Reorder Level]],"Low Stock","In Stock")</f>
        <v>In Stock</v>
      </c>
      <c r="P2255" t="str">
        <f>TEXT(Inventory_Data[[#This Row],[Date]],"MMM")</f>
        <v>Apr</v>
      </c>
      <c r="Q2255" t="str">
        <f>TEXT(Inventory_Data[[#This Row],[Date]],"YYYY")</f>
        <v>2026</v>
      </c>
    </row>
    <row r="2256" spans="1:17" x14ac:dyDescent="0.3">
      <c r="A2256" s="1">
        <v>46140</v>
      </c>
      <c r="B2256" t="s">
        <v>41</v>
      </c>
      <c r="C2256" t="s">
        <v>22</v>
      </c>
      <c r="D2256" t="s">
        <v>37</v>
      </c>
      <c r="E2256" t="s">
        <v>15</v>
      </c>
      <c r="F2256">
        <v>416</v>
      </c>
      <c r="G2256">
        <v>163</v>
      </c>
      <c r="H2256">
        <v>216</v>
      </c>
      <c r="I2256">
        <v>363</v>
      </c>
      <c r="J2256">
        <v>146</v>
      </c>
      <c r="K2256">
        <v>92</v>
      </c>
      <c r="L2256">
        <v>33396</v>
      </c>
      <c r="M2256">
        <f>Inventory_Data[[#This Row],[Opening Stock]]+Inventory_Data[[#This Row],[Purchase Qty]]-Inventory_Data[[#This Row],[Sales Qty]]-Inventory_Data[[#This Row],[Closing Stock]]</f>
        <v>0</v>
      </c>
      <c r="N2256">
        <f>Inventory_Data[[#This Row],[Purchase Qty]]*Inventory_Data[[#This Row],[Unit Cost]]</f>
        <v>14996</v>
      </c>
      <c r="O2256" t="str">
        <f>IF(Inventory_Data[[#This Row],[Closing Stock]]&lt;=Inventory_Data[[#This Row],[Reorder Level]],"Low Stock","In Stock")</f>
        <v>In Stock</v>
      </c>
      <c r="P2256" t="str">
        <f>TEXT(Inventory_Data[[#This Row],[Date]],"MMM")</f>
        <v>Apr</v>
      </c>
      <c r="Q2256" t="str">
        <f>TEXT(Inventory_Data[[#This Row],[Date]],"YYYY")</f>
        <v>2026</v>
      </c>
    </row>
    <row r="2257" spans="1:17" x14ac:dyDescent="0.3">
      <c r="A2257" s="1">
        <v>46140</v>
      </c>
      <c r="B2257" t="s">
        <v>31</v>
      </c>
      <c r="C2257" t="s">
        <v>22</v>
      </c>
      <c r="D2257" t="s">
        <v>14</v>
      </c>
      <c r="E2257" t="s">
        <v>15</v>
      </c>
      <c r="F2257">
        <v>474</v>
      </c>
      <c r="G2257">
        <v>54</v>
      </c>
      <c r="H2257">
        <v>150</v>
      </c>
      <c r="I2257">
        <v>378</v>
      </c>
      <c r="J2257">
        <v>147</v>
      </c>
      <c r="K2257">
        <v>1160</v>
      </c>
      <c r="L2257">
        <v>438480</v>
      </c>
      <c r="M2257">
        <f>Inventory_Data[[#This Row],[Opening Stock]]+Inventory_Data[[#This Row],[Purchase Qty]]-Inventory_Data[[#This Row],[Sales Qty]]-Inventory_Data[[#This Row],[Closing Stock]]</f>
        <v>0</v>
      </c>
      <c r="N2257">
        <f>Inventory_Data[[#This Row],[Purchase Qty]]*Inventory_Data[[#This Row],[Unit Cost]]</f>
        <v>62640</v>
      </c>
      <c r="O2257" t="str">
        <f>IF(Inventory_Data[[#This Row],[Closing Stock]]&lt;=Inventory_Data[[#This Row],[Reorder Level]],"Low Stock","In Stock")</f>
        <v>In Stock</v>
      </c>
      <c r="P2257" t="str">
        <f>TEXT(Inventory_Data[[#This Row],[Date]],"MMM")</f>
        <v>Apr</v>
      </c>
      <c r="Q2257" t="str">
        <f>TEXT(Inventory_Data[[#This Row],[Date]],"YYYY")</f>
        <v>2026</v>
      </c>
    </row>
    <row r="2258" spans="1:17" x14ac:dyDescent="0.3">
      <c r="A2258" s="1">
        <v>46140</v>
      </c>
      <c r="B2258" t="s">
        <v>19</v>
      </c>
      <c r="C2258" t="s">
        <v>13</v>
      </c>
      <c r="D2258" t="s">
        <v>23</v>
      </c>
      <c r="E2258" t="s">
        <v>34</v>
      </c>
      <c r="F2258">
        <v>56</v>
      </c>
      <c r="G2258">
        <v>74</v>
      </c>
      <c r="H2258">
        <v>49</v>
      </c>
      <c r="I2258">
        <v>81</v>
      </c>
      <c r="J2258">
        <v>27</v>
      </c>
      <c r="K2258">
        <v>15088</v>
      </c>
      <c r="L2258">
        <v>1222128</v>
      </c>
      <c r="M2258">
        <f>Inventory_Data[[#This Row],[Opening Stock]]+Inventory_Data[[#This Row],[Purchase Qty]]-Inventory_Data[[#This Row],[Sales Qty]]-Inventory_Data[[#This Row],[Closing Stock]]</f>
        <v>0</v>
      </c>
      <c r="N2258">
        <f>Inventory_Data[[#This Row],[Purchase Qty]]*Inventory_Data[[#This Row],[Unit Cost]]</f>
        <v>1116512</v>
      </c>
      <c r="O2258" t="str">
        <f>IF(Inventory_Data[[#This Row],[Closing Stock]]&lt;=Inventory_Data[[#This Row],[Reorder Level]],"Low Stock","In Stock")</f>
        <v>In Stock</v>
      </c>
      <c r="P2258" t="str">
        <f>TEXT(Inventory_Data[[#This Row],[Date]],"MMM")</f>
        <v>Apr</v>
      </c>
      <c r="Q2258" t="str">
        <f>TEXT(Inventory_Data[[#This Row],[Date]],"YYYY")</f>
        <v>2026</v>
      </c>
    </row>
    <row r="2259" spans="1:17" x14ac:dyDescent="0.3">
      <c r="A2259" s="1">
        <v>46140</v>
      </c>
      <c r="B2259" t="s">
        <v>45</v>
      </c>
      <c r="C2259" t="s">
        <v>13</v>
      </c>
      <c r="D2259" t="s">
        <v>14</v>
      </c>
      <c r="E2259" t="s">
        <v>34</v>
      </c>
      <c r="F2259">
        <v>116</v>
      </c>
      <c r="G2259">
        <v>28</v>
      </c>
      <c r="H2259">
        <v>56</v>
      </c>
      <c r="I2259">
        <v>88</v>
      </c>
      <c r="J2259">
        <v>32</v>
      </c>
      <c r="K2259">
        <v>1869</v>
      </c>
      <c r="L2259">
        <v>164472</v>
      </c>
      <c r="M2259">
        <f>Inventory_Data[[#This Row],[Opening Stock]]+Inventory_Data[[#This Row],[Purchase Qty]]-Inventory_Data[[#This Row],[Sales Qty]]-Inventory_Data[[#This Row],[Closing Stock]]</f>
        <v>0</v>
      </c>
      <c r="N2259">
        <f>Inventory_Data[[#This Row],[Purchase Qty]]*Inventory_Data[[#This Row],[Unit Cost]]</f>
        <v>52332</v>
      </c>
      <c r="O2259" t="str">
        <f>IF(Inventory_Data[[#This Row],[Closing Stock]]&lt;=Inventory_Data[[#This Row],[Reorder Level]],"Low Stock","In Stock")</f>
        <v>In Stock</v>
      </c>
      <c r="P2259" t="str">
        <f>TEXT(Inventory_Data[[#This Row],[Date]],"MMM")</f>
        <v>Apr</v>
      </c>
      <c r="Q2259" t="str">
        <f>TEXT(Inventory_Data[[#This Row],[Date]],"YYYY")</f>
        <v>2026</v>
      </c>
    </row>
    <row r="2260" spans="1:17" x14ac:dyDescent="0.3">
      <c r="A2260" s="1">
        <v>46141</v>
      </c>
      <c r="B2260" t="s">
        <v>30</v>
      </c>
      <c r="C2260" t="s">
        <v>28</v>
      </c>
      <c r="D2260" t="s">
        <v>26</v>
      </c>
      <c r="E2260" t="s">
        <v>24</v>
      </c>
      <c r="F2260">
        <v>100</v>
      </c>
      <c r="G2260">
        <v>12</v>
      </c>
      <c r="H2260">
        <v>78</v>
      </c>
      <c r="I2260">
        <v>34</v>
      </c>
      <c r="J2260">
        <v>59</v>
      </c>
      <c r="K2260">
        <v>58516</v>
      </c>
      <c r="L2260">
        <v>1989544</v>
      </c>
      <c r="M2260">
        <f>Inventory_Data[[#This Row],[Opening Stock]]+Inventory_Data[[#This Row],[Purchase Qty]]-Inventory_Data[[#This Row],[Sales Qty]]-Inventory_Data[[#This Row],[Closing Stock]]</f>
        <v>0</v>
      </c>
      <c r="N2260">
        <f>Inventory_Data[[#This Row],[Purchase Qty]]*Inventory_Data[[#This Row],[Unit Cost]]</f>
        <v>702192</v>
      </c>
      <c r="O2260" t="str">
        <f>IF(Inventory_Data[[#This Row],[Closing Stock]]&lt;=Inventory_Data[[#This Row],[Reorder Level]],"Low Stock","In Stock")</f>
        <v>Low Stock</v>
      </c>
      <c r="P2260" t="str">
        <f>TEXT(Inventory_Data[[#This Row],[Date]],"MMM")</f>
        <v>Apr</v>
      </c>
      <c r="Q2260" t="str">
        <f>TEXT(Inventory_Data[[#This Row],[Date]],"YYYY")</f>
        <v>2026</v>
      </c>
    </row>
    <row r="2261" spans="1:17" x14ac:dyDescent="0.3">
      <c r="A2261" s="1">
        <v>46141</v>
      </c>
      <c r="B2261" t="s">
        <v>19</v>
      </c>
      <c r="C2261" t="s">
        <v>13</v>
      </c>
      <c r="D2261" t="s">
        <v>37</v>
      </c>
      <c r="E2261" t="s">
        <v>20</v>
      </c>
      <c r="F2261">
        <v>67</v>
      </c>
      <c r="G2261">
        <v>27</v>
      </c>
      <c r="H2261">
        <v>18</v>
      </c>
      <c r="I2261">
        <v>76</v>
      </c>
      <c r="J2261">
        <v>27</v>
      </c>
      <c r="K2261">
        <v>1762</v>
      </c>
      <c r="L2261">
        <v>133912</v>
      </c>
      <c r="M2261">
        <f>Inventory_Data[[#This Row],[Opening Stock]]+Inventory_Data[[#This Row],[Purchase Qty]]-Inventory_Data[[#This Row],[Sales Qty]]-Inventory_Data[[#This Row],[Closing Stock]]</f>
        <v>0</v>
      </c>
      <c r="N2261">
        <f>Inventory_Data[[#This Row],[Purchase Qty]]*Inventory_Data[[#This Row],[Unit Cost]]</f>
        <v>47574</v>
      </c>
      <c r="O2261" t="str">
        <f>IF(Inventory_Data[[#This Row],[Closing Stock]]&lt;=Inventory_Data[[#This Row],[Reorder Level]],"Low Stock","In Stock")</f>
        <v>In Stock</v>
      </c>
      <c r="P2261" t="str">
        <f>TEXT(Inventory_Data[[#This Row],[Date]],"MMM")</f>
        <v>Apr</v>
      </c>
      <c r="Q2261" t="str">
        <f>TEXT(Inventory_Data[[#This Row],[Date]],"YYYY")</f>
        <v>2026</v>
      </c>
    </row>
    <row r="2262" spans="1:17" x14ac:dyDescent="0.3">
      <c r="A2262" s="1">
        <v>46141</v>
      </c>
      <c r="B2262" t="s">
        <v>40</v>
      </c>
      <c r="C2262" t="s">
        <v>28</v>
      </c>
      <c r="D2262" t="s">
        <v>23</v>
      </c>
      <c r="E2262" t="s">
        <v>20</v>
      </c>
      <c r="F2262">
        <v>57</v>
      </c>
      <c r="G2262">
        <v>110</v>
      </c>
      <c r="H2262">
        <v>66</v>
      </c>
      <c r="I2262">
        <v>101</v>
      </c>
      <c r="J2262">
        <v>29</v>
      </c>
      <c r="K2262">
        <v>31128</v>
      </c>
      <c r="L2262">
        <v>3143928</v>
      </c>
      <c r="M2262">
        <f>Inventory_Data[[#This Row],[Opening Stock]]+Inventory_Data[[#This Row],[Purchase Qty]]-Inventory_Data[[#This Row],[Sales Qty]]-Inventory_Data[[#This Row],[Closing Stock]]</f>
        <v>0</v>
      </c>
      <c r="N2262">
        <f>Inventory_Data[[#This Row],[Purchase Qty]]*Inventory_Data[[#This Row],[Unit Cost]]</f>
        <v>3424080</v>
      </c>
      <c r="O2262" t="str">
        <f>IF(Inventory_Data[[#This Row],[Closing Stock]]&lt;=Inventory_Data[[#This Row],[Reorder Level]],"Low Stock","In Stock")</f>
        <v>In Stock</v>
      </c>
      <c r="P2262" t="str">
        <f>TEXT(Inventory_Data[[#This Row],[Date]],"MMM")</f>
        <v>Apr</v>
      </c>
      <c r="Q2262" t="str">
        <f>TEXT(Inventory_Data[[#This Row],[Date]],"YYYY")</f>
        <v>2026</v>
      </c>
    </row>
    <row r="2263" spans="1:17" x14ac:dyDescent="0.3">
      <c r="A2263" s="1">
        <v>46141</v>
      </c>
      <c r="B2263" t="s">
        <v>40</v>
      </c>
      <c r="C2263" t="s">
        <v>28</v>
      </c>
      <c r="D2263" t="s">
        <v>37</v>
      </c>
      <c r="E2263" t="s">
        <v>15</v>
      </c>
      <c r="F2263">
        <v>30</v>
      </c>
      <c r="G2263">
        <v>112</v>
      </c>
      <c r="H2263">
        <v>94</v>
      </c>
      <c r="I2263">
        <v>48</v>
      </c>
      <c r="J2263">
        <v>40</v>
      </c>
      <c r="K2263">
        <v>52657</v>
      </c>
      <c r="L2263">
        <v>2527536</v>
      </c>
      <c r="M2263">
        <f>Inventory_Data[[#This Row],[Opening Stock]]+Inventory_Data[[#This Row],[Purchase Qty]]-Inventory_Data[[#This Row],[Sales Qty]]-Inventory_Data[[#This Row],[Closing Stock]]</f>
        <v>0</v>
      </c>
      <c r="N2263">
        <f>Inventory_Data[[#This Row],[Purchase Qty]]*Inventory_Data[[#This Row],[Unit Cost]]</f>
        <v>5897584</v>
      </c>
      <c r="O2263" t="str">
        <f>IF(Inventory_Data[[#This Row],[Closing Stock]]&lt;=Inventory_Data[[#This Row],[Reorder Level]],"Low Stock","In Stock")</f>
        <v>In Stock</v>
      </c>
      <c r="P2263" t="str">
        <f>TEXT(Inventory_Data[[#This Row],[Date]],"MMM")</f>
        <v>Apr</v>
      </c>
      <c r="Q2263" t="str">
        <f>TEXT(Inventory_Data[[#This Row],[Date]],"YYYY")</f>
        <v>2026</v>
      </c>
    </row>
    <row r="2264" spans="1:17" x14ac:dyDescent="0.3">
      <c r="A2264" s="1">
        <v>46142</v>
      </c>
      <c r="B2264" t="s">
        <v>35</v>
      </c>
      <c r="C2264" t="s">
        <v>22</v>
      </c>
      <c r="D2264" t="s">
        <v>14</v>
      </c>
      <c r="E2264" t="s">
        <v>29</v>
      </c>
      <c r="F2264">
        <v>171</v>
      </c>
      <c r="G2264">
        <v>154</v>
      </c>
      <c r="H2264">
        <v>46</v>
      </c>
      <c r="I2264">
        <v>279</v>
      </c>
      <c r="J2264">
        <v>84</v>
      </c>
      <c r="K2264">
        <v>189</v>
      </c>
      <c r="L2264">
        <v>52731</v>
      </c>
      <c r="M2264">
        <f>Inventory_Data[[#This Row],[Opening Stock]]+Inventory_Data[[#This Row],[Purchase Qty]]-Inventory_Data[[#This Row],[Sales Qty]]-Inventory_Data[[#This Row],[Closing Stock]]</f>
        <v>0</v>
      </c>
      <c r="N2264">
        <f>Inventory_Data[[#This Row],[Purchase Qty]]*Inventory_Data[[#This Row],[Unit Cost]]</f>
        <v>29106</v>
      </c>
      <c r="O2264" t="str">
        <f>IF(Inventory_Data[[#This Row],[Closing Stock]]&lt;=Inventory_Data[[#This Row],[Reorder Level]],"Low Stock","In Stock")</f>
        <v>In Stock</v>
      </c>
      <c r="P2264" t="str">
        <f>TEXT(Inventory_Data[[#This Row],[Date]],"MMM")</f>
        <v>Apr</v>
      </c>
      <c r="Q2264" t="str">
        <f>TEXT(Inventory_Data[[#This Row],[Date]],"YYYY")</f>
        <v>2026</v>
      </c>
    </row>
    <row r="2265" spans="1:17" x14ac:dyDescent="0.3">
      <c r="A2265" s="1">
        <v>46142</v>
      </c>
      <c r="B2265" t="s">
        <v>21</v>
      </c>
      <c r="C2265" t="s">
        <v>22</v>
      </c>
      <c r="D2265" t="s">
        <v>26</v>
      </c>
      <c r="E2265" t="s">
        <v>29</v>
      </c>
      <c r="F2265">
        <v>270</v>
      </c>
      <c r="G2265">
        <v>291</v>
      </c>
      <c r="H2265">
        <v>48</v>
      </c>
      <c r="I2265">
        <v>513</v>
      </c>
      <c r="J2265">
        <v>74</v>
      </c>
      <c r="K2265">
        <v>30</v>
      </c>
      <c r="L2265">
        <v>15390</v>
      </c>
      <c r="M2265">
        <f>Inventory_Data[[#This Row],[Opening Stock]]+Inventory_Data[[#This Row],[Purchase Qty]]-Inventory_Data[[#This Row],[Sales Qty]]-Inventory_Data[[#This Row],[Closing Stock]]</f>
        <v>0</v>
      </c>
      <c r="N2265">
        <f>Inventory_Data[[#This Row],[Purchase Qty]]*Inventory_Data[[#This Row],[Unit Cost]]</f>
        <v>8730</v>
      </c>
      <c r="O2265" t="str">
        <f>IF(Inventory_Data[[#This Row],[Closing Stock]]&lt;=Inventory_Data[[#This Row],[Reorder Level]],"Low Stock","In Stock")</f>
        <v>In Stock</v>
      </c>
      <c r="P2265" t="str">
        <f>TEXT(Inventory_Data[[#This Row],[Date]],"MMM")</f>
        <v>Apr</v>
      </c>
      <c r="Q2265" t="str">
        <f>TEXT(Inventory_Data[[#This Row],[Date]],"YYYY")</f>
        <v>2026</v>
      </c>
    </row>
    <row r="2266" spans="1:17" x14ac:dyDescent="0.3">
      <c r="A2266" s="1">
        <v>46142</v>
      </c>
      <c r="B2266" t="s">
        <v>43</v>
      </c>
      <c r="C2266" t="s">
        <v>22</v>
      </c>
      <c r="D2266" t="s">
        <v>23</v>
      </c>
      <c r="E2266" t="s">
        <v>20</v>
      </c>
      <c r="F2266">
        <v>425</v>
      </c>
      <c r="G2266">
        <v>178</v>
      </c>
      <c r="H2266">
        <v>213</v>
      </c>
      <c r="I2266">
        <v>390</v>
      </c>
      <c r="J2266">
        <v>70</v>
      </c>
      <c r="K2266">
        <v>326</v>
      </c>
      <c r="L2266">
        <v>127140</v>
      </c>
      <c r="M2266">
        <f>Inventory_Data[[#This Row],[Opening Stock]]+Inventory_Data[[#This Row],[Purchase Qty]]-Inventory_Data[[#This Row],[Sales Qty]]-Inventory_Data[[#This Row],[Closing Stock]]</f>
        <v>0</v>
      </c>
      <c r="N2266">
        <f>Inventory_Data[[#This Row],[Purchase Qty]]*Inventory_Data[[#This Row],[Unit Cost]]</f>
        <v>58028</v>
      </c>
      <c r="O2266" t="str">
        <f>IF(Inventory_Data[[#This Row],[Closing Stock]]&lt;=Inventory_Data[[#This Row],[Reorder Level]],"Low Stock","In Stock")</f>
        <v>In Stock</v>
      </c>
      <c r="P2266" t="str">
        <f>TEXT(Inventory_Data[[#This Row],[Date]],"MMM")</f>
        <v>Apr</v>
      </c>
      <c r="Q2266" t="str">
        <f>TEXT(Inventory_Data[[#This Row],[Date]],"YYYY")</f>
        <v>2026</v>
      </c>
    </row>
    <row r="2267" spans="1:17" x14ac:dyDescent="0.3">
      <c r="A2267" s="1">
        <v>46142</v>
      </c>
      <c r="B2267" t="s">
        <v>21</v>
      </c>
      <c r="C2267" t="s">
        <v>22</v>
      </c>
      <c r="D2267" t="s">
        <v>14</v>
      </c>
      <c r="E2267" t="s">
        <v>20</v>
      </c>
      <c r="F2267">
        <v>127</v>
      </c>
      <c r="G2267">
        <v>120</v>
      </c>
      <c r="H2267">
        <v>96</v>
      </c>
      <c r="I2267">
        <v>151</v>
      </c>
      <c r="J2267">
        <v>117</v>
      </c>
      <c r="K2267">
        <v>801</v>
      </c>
      <c r="L2267">
        <v>120951</v>
      </c>
      <c r="M2267">
        <f>Inventory_Data[[#This Row],[Opening Stock]]+Inventory_Data[[#This Row],[Purchase Qty]]-Inventory_Data[[#This Row],[Sales Qty]]-Inventory_Data[[#This Row],[Closing Stock]]</f>
        <v>0</v>
      </c>
      <c r="N2267">
        <f>Inventory_Data[[#This Row],[Purchase Qty]]*Inventory_Data[[#This Row],[Unit Cost]]</f>
        <v>96120</v>
      </c>
      <c r="O2267" t="str">
        <f>IF(Inventory_Data[[#This Row],[Closing Stock]]&lt;=Inventory_Data[[#This Row],[Reorder Level]],"Low Stock","In Stock")</f>
        <v>In Stock</v>
      </c>
      <c r="P2267" t="str">
        <f>TEXT(Inventory_Data[[#This Row],[Date]],"MMM")</f>
        <v>Apr</v>
      </c>
      <c r="Q2267" t="str">
        <f>TEXT(Inventory_Data[[#This Row],[Date]],"YYYY")</f>
        <v>2026</v>
      </c>
    </row>
    <row r="2268" spans="1:17" x14ac:dyDescent="0.3">
      <c r="A2268" s="1">
        <v>46143</v>
      </c>
      <c r="B2268" t="s">
        <v>21</v>
      </c>
      <c r="C2268" t="s">
        <v>22</v>
      </c>
      <c r="D2268" t="s">
        <v>37</v>
      </c>
      <c r="E2268" t="s">
        <v>29</v>
      </c>
      <c r="F2268">
        <v>455</v>
      </c>
      <c r="G2268">
        <v>146</v>
      </c>
      <c r="H2268">
        <v>52</v>
      </c>
      <c r="I2268">
        <v>549</v>
      </c>
      <c r="J2268">
        <v>76</v>
      </c>
      <c r="K2268">
        <v>899</v>
      </c>
      <c r="L2268">
        <v>493551</v>
      </c>
      <c r="M2268">
        <f>Inventory_Data[[#This Row],[Opening Stock]]+Inventory_Data[[#This Row],[Purchase Qty]]-Inventory_Data[[#This Row],[Sales Qty]]-Inventory_Data[[#This Row],[Closing Stock]]</f>
        <v>0</v>
      </c>
      <c r="N2268">
        <f>Inventory_Data[[#This Row],[Purchase Qty]]*Inventory_Data[[#This Row],[Unit Cost]]</f>
        <v>131254</v>
      </c>
      <c r="O2268" t="str">
        <f>IF(Inventory_Data[[#This Row],[Closing Stock]]&lt;=Inventory_Data[[#This Row],[Reorder Level]],"Low Stock","In Stock")</f>
        <v>In Stock</v>
      </c>
      <c r="P2268" t="str">
        <f>TEXT(Inventory_Data[[#This Row],[Date]],"MMM")</f>
        <v>May</v>
      </c>
      <c r="Q2268" t="str">
        <f>TEXT(Inventory_Data[[#This Row],[Date]],"YYYY")</f>
        <v>2026</v>
      </c>
    </row>
    <row r="2269" spans="1:17" x14ac:dyDescent="0.3">
      <c r="A2269" s="1">
        <v>46143</v>
      </c>
      <c r="B2269" t="s">
        <v>44</v>
      </c>
      <c r="C2269" t="s">
        <v>28</v>
      </c>
      <c r="D2269" t="s">
        <v>14</v>
      </c>
      <c r="E2269" t="s">
        <v>24</v>
      </c>
      <c r="F2269">
        <v>103</v>
      </c>
      <c r="G2269">
        <v>76</v>
      </c>
      <c r="H2269">
        <v>67</v>
      </c>
      <c r="I2269">
        <v>112</v>
      </c>
      <c r="J2269">
        <v>21</v>
      </c>
      <c r="K2269">
        <v>18258</v>
      </c>
      <c r="L2269">
        <v>2044896</v>
      </c>
      <c r="M2269">
        <f>Inventory_Data[[#This Row],[Opening Stock]]+Inventory_Data[[#This Row],[Purchase Qty]]-Inventory_Data[[#This Row],[Sales Qty]]-Inventory_Data[[#This Row],[Closing Stock]]</f>
        <v>0</v>
      </c>
      <c r="N2269">
        <f>Inventory_Data[[#This Row],[Purchase Qty]]*Inventory_Data[[#This Row],[Unit Cost]]</f>
        <v>1387608</v>
      </c>
      <c r="O2269" t="str">
        <f>IF(Inventory_Data[[#This Row],[Closing Stock]]&lt;=Inventory_Data[[#This Row],[Reorder Level]],"Low Stock","In Stock")</f>
        <v>In Stock</v>
      </c>
      <c r="P2269" t="str">
        <f>TEXT(Inventory_Data[[#This Row],[Date]],"MMM")</f>
        <v>May</v>
      </c>
      <c r="Q2269" t="str">
        <f>TEXT(Inventory_Data[[#This Row],[Date]],"YYYY")</f>
        <v>2026</v>
      </c>
    </row>
    <row r="2270" spans="1:17" x14ac:dyDescent="0.3">
      <c r="A2270" s="1">
        <v>46143</v>
      </c>
      <c r="B2270" t="s">
        <v>31</v>
      </c>
      <c r="C2270" t="s">
        <v>22</v>
      </c>
      <c r="D2270" t="s">
        <v>37</v>
      </c>
      <c r="E2270" t="s">
        <v>15</v>
      </c>
      <c r="F2270">
        <v>231</v>
      </c>
      <c r="G2270">
        <v>54</v>
      </c>
      <c r="H2270">
        <v>165</v>
      </c>
      <c r="I2270">
        <v>120</v>
      </c>
      <c r="J2270">
        <v>70</v>
      </c>
      <c r="K2270">
        <v>651</v>
      </c>
      <c r="L2270">
        <v>78120</v>
      </c>
      <c r="M2270">
        <f>Inventory_Data[[#This Row],[Opening Stock]]+Inventory_Data[[#This Row],[Purchase Qty]]-Inventory_Data[[#This Row],[Sales Qty]]-Inventory_Data[[#This Row],[Closing Stock]]</f>
        <v>0</v>
      </c>
      <c r="N2270">
        <f>Inventory_Data[[#This Row],[Purchase Qty]]*Inventory_Data[[#This Row],[Unit Cost]]</f>
        <v>35154</v>
      </c>
      <c r="O2270" t="str">
        <f>IF(Inventory_Data[[#This Row],[Closing Stock]]&lt;=Inventory_Data[[#This Row],[Reorder Level]],"Low Stock","In Stock")</f>
        <v>In Stock</v>
      </c>
      <c r="P2270" t="str">
        <f>TEXT(Inventory_Data[[#This Row],[Date]],"MMM")</f>
        <v>May</v>
      </c>
      <c r="Q2270" t="str">
        <f>TEXT(Inventory_Data[[#This Row],[Date]],"YYYY")</f>
        <v>2026</v>
      </c>
    </row>
    <row r="2271" spans="1:17" x14ac:dyDescent="0.3">
      <c r="A2271" s="1">
        <v>46143</v>
      </c>
      <c r="B2271" t="s">
        <v>45</v>
      </c>
      <c r="C2271" t="s">
        <v>13</v>
      </c>
      <c r="D2271" t="s">
        <v>26</v>
      </c>
      <c r="E2271" t="s">
        <v>18</v>
      </c>
      <c r="F2271">
        <v>16</v>
      </c>
      <c r="G2271">
        <v>55</v>
      </c>
      <c r="H2271">
        <v>28</v>
      </c>
      <c r="I2271">
        <v>43</v>
      </c>
      <c r="J2271">
        <v>34</v>
      </c>
      <c r="K2271">
        <v>9473</v>
      </c>
      <c r="L2271">
        <v>407339</v>
      </c>
      <c r="M2271">
        <f>Inventory_Data[[#This Row],[Opening Stock]]+Inventory_Data[[#This Row],[Purchase Qty]]-Inventory_Data[[#This Row],[Sales Qty]]-Inventory_Data[[#This Row],[Closing Stock]]</f>
        <v>0</v>
      </c>
      <c r="N2271">
        <f>Inventory_Data[[#This Row],[Purchase Qty]]*Inventory_Data[[#This Row],[Unit Cost]]</f>
        <v>521015</v>
      </c>
      <c r="O2271" t="str">
        <f>IF(Inventory_Data[[#This Row],[Closing Stock]]&lt;=Inventory_Data[[#This Row],[Reorder Level]],"Low Stock","In Stock")</f>
        <v>In Stock</v>
      </c>
      <c r="P2271" t="str">
        <f>TEXT(Inventory_Data[[#This Row],[Date]],"MMM")</f>
        <v>May</v>
      </c>
      <c r="Q2271" t="str">
        <f>TEXT(Inventory_Data[[#This Row],[Date]],"YYYY")</f>
        <v>2026</v>
      </c>
    </row>
    <row r="2272" spans="1:17" x14ac:dyDescent="0.3">
      <c r="A2272" s="1">
        <v>46144</v>
      </c>
      <c r="B2272" t="s">
        <v>38</v>
      </c>
      <c r="C2272" t="s">
        <v>17</v>
      </c>
      <c r="D2272" t="s">
        <v>14</v>
      </c>
      <c r="E2272" t="s">
        <v>24</v>
      </c>
      <c r="F2272">
        <v>32</v>
      </c>
      <c r="G2272">
        <v>43</v>
      </c>
      <c r="H2272">
        <v>16</v>
      </c>
      <c r="I2272">
        <v>59</v>
      </c>
      <c r="J2272">
        <v>12</v>
      </c>
      <c r="K2272">
        <v>16285</v>
      </c>
      <c r="L2272">
        <v>960815</v>
      </c>
      <c r="M2272">
        <f>Inventory_Data[[#This Row],[Opening Stock]]+Inventory_Data[[#This Row],[Purchase Qty]]-Inventory_Data[[#This Row],[Sales Qty]]-Inventory_Data[[#This Row],[Closing Stock]]</f>
        <v>0</v>
      </c>
      <c r="N2272">
        <f>Inventory_Data[[#This Row],[Purchase Qty]]*Inventory_Data[[#This Row],[Unit Cost]]</f>
        <v>700255</v>
      </c>
      <c r="O2272" t="str">
        <f>IF(Inventory_Data[[#This Row],[Closing Stock]]&lt;=Inventory_Data[[#This Row],[Reorder Level]],"Low Stock","In Stock")</f>
        <v>In Stock</v>
      </c>
      <c r="P2272" t="str">
        <f>TEXT(Inventory_Data[[#This Row],[Date]],"MMM")</f>
        <v>May</v>
      </c>
      <c r="Q2272" t="str">
        <f>TEXT(Inventory_Data[[#This Row],[Date]],"YYYY")</f>
        <v>2026</v>
      </c>
    </row>
    <row r="2273" spans="1:17" x14ac:dyDescent="0.3">
      <c r="A2273" s="1">
        <v>46144</v>
      </c>
      <c r="B2273" t="s">
        <v>38</v>
      </c>
      <c r="C2273" t="s">
        <v>17</v>
      </c>
      <c r="D2273" t="s">
        <v>14</v>
      </c>
      <c r="E2273" t="s">
        <v>20</v>
      </c>
      <c r="F2273">
        <v>94</v>
      </c>
      <c r="G2273">
        <v>32</v>
      </c>
      <c r="H2273">
        <v>39</v>
      </c>
      <c r="I2273">
        <v>87</v>
      </c>
      <c r="J2273">
        <v>10</v>
      </c>
      <c r="K2273">
        <v>11603</v>
      </c>
      <c r="L2273">
        <v>1009461</v>
      </c>
      <c r="M2273">
        <f>Inventory_Data[[#This Row],[Opening Stock]]+Inventory_Data[[#This Row],[Purchase Qty]]-Inventory_Data[[#This Row],[Sales Qty]]-Inventory_Data[[#This Row],[Closing Stock]]</f>
        <v>0</v>
      </c>
      <c r="N2273">
        <f>Inventory_Data[[#This Row],[Purchase Qty]]*Inventory_Data[[#This Row],[Unit Cost]]</f>
        <v>371296</v>
      </c>
      <c r="O2273" t="str">
        <f>IF(Inventory_Data[[#This Row],[Closing Stock]]&lt;=Inventory_Data[[#This Row],[Reorder Level]],"Low Stock","In Stock")</f>
        <v>In Stock</v>
      </c>
      <c r="P2273" t="str">
        <f>TEXT(Inventory_Data[[#This Row],[Date]],"MMM")</f>
        <v>May</v>
      </c>
      <c r="Q2273" t="str">
        <f>TEXT(Inventory_Data[[#This Row],[Date]],"YYYY")</f>
        <v>2026</v>
      </c>
    </row>
    <row r="2274" spans="1:17" x14ac:dyDescent="0.3">
      <c r="A2274" s="1">
        <v>46144</v>
      </c>
      <c r="B2274" t="s">
        <v>30</v>
      </c>
      <c r="C2274" t="s">
        <v>28</v>
      </c>
      <c r="D2274" t="s">
        <v>26</v>
      </c>
      <c r="E2274" t="s">
        <v>18</v>
      </c>
      <c r="F2274">
        <v>130</v>
      </c>
      <c r="G2274">
        <v>74</v>
      </c>
      <c r="H2274">
        <v>95</v>
      </c>
      <c r="I2274">
        <v>109</v>
      </c>
      <c r="J2274">
        <v>46</v>
      </c>
      <c r="K2274">
        <v>16728</v>
      </c>
      <c r="L2274">
        <v>1823352</v>
      </c>
      <c r="M2274">
        <f>Inventory_Data[[#This Row],[Opening Stock]]+Inventory_Data[[#This Row],[Purchase Qty]]-Inventory_Data[[#This Row],[Sales Qty]]-Inventory_Data[[#This Row],[Closing Stock]]</f>
        <v>0</v>
      </c>
      <c r="N2274">
        <f>Inventory_Data[[#This Row],[Purchase Qty]]*Inventory_Data[[#This Row],[Unit Cost]]</f>
        <v>1237872</v>
      </c>
      <c r="O2274" t="str">
        <f>IF(Inventory_Data[[#This Row],[Closing Stock]]&lt;=Inventory_Data[[#This Row],[Reorder Level]],"Low Stock","In Stock")</f>
        <v>In Stock</v>
      </c>
      <c r="P2274" t="str">
        <f>TEXT(Inventory_Data[[#This Row],[Date]],"MMM")</f>
        <v>May</v>
      </c>
      <c r="Q2274" t="str">
        <f>TEXT(Inventory_Data[[#This Row],[Date]],"YYYY")</f>
        <v>2026</v>
      </c>
    </row>
    <row r="2275" spans="1:17" x14ac:dyDescent="0.3">
      <c r="A2275" s="1">
        <v>46144</v>
      </c>
      <c r="B2275" t="s">
        <v>43</v>
      </c>
      <c r="C2275" t="s">
        <v>22</v>
      </c>
      <c r="D2275" t="s">
        <v>26</v>
      </c>
      <c r="E2275" t="s">
        <v>20</v>
      </c>
      <c r="F2275">
        <v>397</v>
      </c>
      <c r="G2275">
        <v>163</v>
      </c>
      <c r="H2275">
        <v>157</v>
      </c>
      <c r="I2275">
        <v>403</v>
      </c>
      <c r="J2275">
        <v>127</v>
      </c>
      <c r="K2275">
        <v>1114</v>
      </c>
      <c r="L2275">
        <v>448942</v>
      </c>
      <c r="M2275">
        <f>Inventory_Data[[#This Row],[Opening Stock]]+Inventory_Data[[#This Row],[Purchase Qty]]-Inventory_Data[[#This Row],[Sales Qty]]-Inventory_Data[[#This Row],[Closing Stock]]</f>
        <v>0</v>
      </c>
      <c r="N2275">
        <f>Inventory_Data[[#This Row],[Purchase Qty]]*Inventory_Data[[#This Row],[Unit Cost]]</f>
        <v>181582</v>
      </c>
      <c r="O2275" t="str">
        <f>IF(Inventory_Data[[#This Row],[Closing Stock]]&lt;=Inventory_Data[[#This Row],[Reorder Level]],"Low Stock","In Stock")</f>
        <v>In Stock</v>
      </c>
      <c r="P2275" t="str">
        <f>TEXT(Inventory_Data[[#This Row],[Date]],"MMM")</f>
        <v>May</v>
      </c>
      <c r="Q2275" t="str">
        <f>TEXT(Inventory_Data[[#This Row],[Date]],"YYYY")</f>
        <v>2026</v>
      </c>
    </row>
    <row r="2276" spans="1:17" x14ac:dyDescent="0.3">
      <c r="A2276" s="1">
        <v>46145</v>
      </c>
      <c r="B2276" t="s">
        <v>33</v>
      </c>
      <c r="C2276" t="s">
        <v>13</v>
      </c>
      <c r="D2276" t="s">
        <v>26</v>
      </c>
      <c r="E2276" t="s">
        <v>20</v>
      </c>
      <c r="F2276">
        <v>16</v>
      </c>
      <c r="G2276">
        <v>17</v>
      </c>
      <c r="H2276">
        <v>33</v>
      </c>
      <c r="I2276">
        <v>0</v>
      </c>
      <c r="J2276">
        <v>30</v>
      </c>
      <c r="K2276">
        <v>7003</v>
      </c>
      <c r="L2276">
        <v>0</v>
      </c>
      <c r="M2276">
        <f>Inventory_Data[[#This Row],[Opening Stock]]+Inventory_Data[[#This Row],[Purchase Qty]]-Inventory_Data[[#This Row],[Sales Qty]]-Inventory_Data[[#This Row],[Closing Stock]]</f>
        <v>0</v>
      </c>
      <c r="N2276">
        <f>Inventory_Data[[#This Row],[Purchase Qty]]*Inventory_Data[[#This Row],[Unit Cost]]</f>
        <v>119051</v>
      </c>
      <c r="O2276" t="str">
        <f>IF(Inventory_Data[[#This Row],[Closing Stock]]&lt;=Inventory_Data[[#This Row],[Reorder Level]],"Low Stock","In Stock")</f>
        <v>Low Stock</v>
      </c>
      <c r="P2276" t="str">
        <f>TEXT(Inventory_Data[[#This Row],[Date]],"MMM")</f>
        <v>May</v>
      </c>
      <c r="Q2276" t="str">
        <f>TEXT(Inventory_Data[[#This Row],[Date]],"YYYY")</f>
        <v>2026</v>
      </c>
    </row>
    <row r="2277" spans="1:17" x14ac:dyDescent="0.3">
      <c r="A2277" s="1">
        <v>46145</v>
      </c>
      <c r="B2277" t="s">
        <v>32</v>
      </c>
      <c r="C2277" t="s">
        <v>28</v>
      </c>
      <c r="D2277" t="s">
        <v>14</v>
      </c>
      <c r="E2277" t="s">
        <v>18</v>
      </c>
      <c r="F2277">
        <v>150</v>
      </c>
      <c r="G2277">
        <v>76</v>
      </c>
      <c r="H2277">
        <v>75</v>
      </c>
      <c r="I2277">
        <v>151</v>
      </c>
      <c r="J2277">
        <v>54</v>
      </c>
      <c r="K2277">
        <v>52739</v>
      </c>
      <c r="L2277">
        <v>7963589</v>
      </c>
      <c r="M2277">
        <f>Inventory_Data[[#This Row],[Opening Stock]]+Inventory_Data[[#This Row],[Purchase Qty]]-Inventory_Data[[#This Row],[Sales Qty]]-Inventory_Data[[#This Row],[Closing Stock]]</f>
        <v>0</v>
      </c>
      <c r="N2277">
        <f>Inventory_Data[[#This Row],[Purchase Qty]]*Inventory_Data[[#This Row],[Unit Cost]]</f>
        <v>4008164</v>
      </c>
      <c r="O2277" t="str">
        <f>IF(Inventory_Data[[#This Row],[Closing Stock]]&lt;=Inventory_Data[[#This Row],[Reorder Level]],"Low Stock","In Stock")</f>
        <v>In Stock</v>
      </c>
      <c r="P2277" t="str">
        <f>TEXT(Inventory_Data[[#This Row],[Date]],"MMM")</f>
        <v>May</v>
      </c>
      <c r="Q2277" t="str">
        <f>TEXT(Inventory_Data[[#This Row],[Date]],"YYYY")</f>
        <v>2026</v>
      </c>
    </row>
    <row r="2278" spans="1:17" x14ac:dyDescent="0.3">
      <c r="A2278" s="1">
        <v>46145</v>
      </c>
      <c r="B2278" t="s">
        <v>43</v>
      </c>
      <c r="C2278" t="s">
        <v>22</v>
      </c>
      <c r="D2278" t="s">
        <v>26</v>
      </c>
      <c r="E2278" t="s">
        <v>29</v>
      </c>
      <c r="F2278">
        <v>316</v>
      </c>
      <c r="G2278">
        <v>48</v>
      </c>
      <c r="H2278">
        <v>109</v>
      </c>
      <c r="I2278">
        <v>255</v>
      </c>
      <c r="J2278">
        <v>139</v>
      </c>
      <c r="K2278">
        <v>135</v>
      </c>
      <c r="L2278">
        <v>34425</v>
      </c>
      <c r="M2278">
        <f>Inventory_Data[[#This Row],[Opening Stock]]+Inventory_Data[[#This Row],[Purchase Qty]]-Inventory_Data[[#This Row],[Sales Qty]]-Inventory_Data[[#This Row],[Closing Stock]]</f>
        <v>0</v>
      </c>
      <c r="N2278">
        <f>Inventory_Data[[#This Row],[Purchase Qty]]*Inventory_Data[[#This Row],[Unit Cost]]</f>
        <v>6480</v>
      </c>
      <c r="O2278" t="str">
        <f>IF(Inventory_Data[[#This Row],[Closing Stock]]&lt;=Inventory_Data[[#This Row],[Reorder Level]],"Low Stock","In Stock")</f>
        <v>In Stock</v>
      </c>
      <c r="P2278" t="str">
        <f>TEXT(Inventory_Data[[#This Row],[Date]],"MMM")</f>
        <v>May</v>
      </c>
      <c r="Q2278" t="str">
        <f>TEXT(Inventory_Data[[#This Row],[Date]],"YYYY")</f>
        <v>2026</v>
      </c>
    </row>
    <row r="2279" spans="1:17" x14ac:dyDescent="0.3">
      <c r="A2279" s="1">
        <v>46145</v>
      </c>
      <c r="B2279" t="s">
        <v>45</v>
      </c>
      <c r="C2279" t="s">
        <v>13</v>
      </c>
      <c r="D2279" t="s">
        <v>14</v>
      </c>
      <c r="E2279" t="s">
        <v>20</v>
      </c>
      <c r="F2279">
        <v>87</v>
      </c>
      <c r="G2279">
        <v>73</v>
      </c>
      <c r="H2279">
        <v>44</v>
      </c>
      <c r="I2279">
        <v>116</v>
      </c>
      <c r="J2279">
        <v>36</v>
      </c>
      <c r="K2279">
        <v>3359</v>
      </c>
      <c r="L2279">
        <v>389644</v>
      </c>
      <c r="M2279">
        <f>Inventory_Data[[#This Row],[Opening Stock]]+Inventory_Data[[#This Row],[Purchase Qty]]-Inventory_Data[[#This Row],[Sales Qty]]-Inventory_Data[[#This Row],[Closing Stock]]</f>
        <v>0</v>
      </c>
      <c r="N2279">
        <f>Inventory_Data[[#This Row],[Purchase Qty]]*Inventory_Data[[#This Row],[Unit Cost]]</f>
        <v>245207</v>
      </c>
      <c r="O2279" t="str">
        <f>IF(Inventory_Data[[#This Row],[Closing Stock]]&lt;=Inventory_Data[[#This Row],[Reorder Level]],"Low Stock","In Stock")</f>
        <v>In Stock</v>
      </c>
      <c r="P2279" t="str">
        <f>TEXT(Inventory_Data[[#This Row],[Date]],"MMM")</f>
        <v>May</v>
      </c>
      <c r="Q2279" t="str">
        <f>TEXT(Inventory_Data[[#This Row],[Date]],"YYYY")</f>
        <v>2026</v>
      </c>
    </row>
    <row r="2280" spans="1:17" x14ac:dyDescent="0.3">
      <c r="A2280" s="1">
        <v>46145</v>
      </c>
      <c r="B2280" t="s">
        <v>31</v>
      </c>
      <c r="C2280" t="s">
        <v>22</v>
      </c>
      <c r="D2280" t="s">
        <v>23</v>
      </c>
      <c r="E2280" t="s">
        <v>18</v>
      </c>
      <c r="F2280">
        <v>481</v>
      </c>
      <c r="G2280">
        <v>265</v>
      </c>
      <c r="H2280">
        <v>69</v>
      </c>
      <c r="I2280">
        <v>677</v>
      </c>
      <c r="J2280">
        <v>118</v>
      </c>
      <c r="K2280">
        <v>536</v>
      </c>
      <c r="L2280">
        <v>362872</v>
      </c>
      <c r="M2280">
        <f>Inventory_Data[[#This Row],[Opening Stock]]+Inventory_Data[[#This Row],[Purchase Qty]]-Inventory_Data[[#This Row],[Sales Qty]]-Inventory_Data[[#This Row],[Closing Stock]]</f>
        <v>0</v>
      </c>
      <c r="N2280">
        <f>Inventory_Data[[#This Row],[Purchase Qty]]*Inventory_Data[[#This Row],[Unit Cost]]</f>
        <v>142040</v>
      </c>
      <c r="O2280" t="str">
        <f>IF(Inventory_Data[[#This Row],[Closing Stock]]&lt;=Inventory_Data[[#This Row],[Reorder Level]],"Low Stock","In Stock")</f>
        <v>In Stock</v>
      </c>
      <c r="P2280" t="str">
        <f>TEXT(Inventory_Data[[#This Row],[Date]],"MMM")</f>
        <v>May</v>
      </c>
      <c r="Q2280" t="str">
        <f>TEXT(Inventory_Data[[#This Row],[Date]],"YYYY")</f>
        <v>2026</v>
      </c>
    </row>
    <row r="2281" spans="1:17" x14ac:dyDescent="0.3">
      <c r="A2281" s="1">
        <v>46146</v>
      </c>
      <c r="B2281" t="s">
        <v>44</v>
      </c>
      <c r="C2281" t="s">
        <v>28</v>
      </c>
      <c r="D2281" t="s">
        <v>23</v>
      </c>
      <c r="E2281" t="s">
        <v>29</v>
      </c>
      <c r="F2281">
        <v>140</v>
      </c>
      <c r="G2281">
        <v>68</v>
      </c>
      <c r="H2281">
        <v>44</v>
      </c>
      <c r="I2281">
        <v>164</v>
      </c>
      <c r="J2281">
        <v>51</v>
      </c>
      <c r="K2281">
        <v>60692</v>
      </c>
      <c r="L2281">
        <v>9953488</v>
      </c>
      <c r="M2281">
        <f>Inventory_Data[[#This Row],[Opening Stock]]+Inventory_Data[[#This Row],[Purchase Qty]]-Inventory_Data[[#This Row],[Sales Qty]]-Inventory_Data[[#This Row],[Closing Stock]]</f>
        <v>0</v>
      </c>
      <c r="N2281">
        <f>Inventory_Data[[#This Row],[Purchase Qty]]*Inventory_Data[[#This Row],[Unit Cost]]</f>
        <v>4127056</v>
      </c>
      <c r="O2281" t="str">
        <f>IF(Inventory_Data[[#This Row],[Closing Stock]]&lt;=Inventory_Data[[#This Row],[Reorder Level]],"Low Stock","In Stock")</f>
        <v>In Stock</v>
      </c>
      <c r="P2281" t="str">
        <f>TEXT(Inventory_Data[[#This Row],[Date]],"MMM")</f>
        <v>May</v>
      </c>
      <c r="Q2281" t="str">
        <f>TEXT(Inventory_Data[[#This Row],[Date]],"YYYY")</f>
        <v>2026</v>
      </c>
    </row>
    <row r="2282" spans="1:17" x14ac:dyDescent="0.3">
      <c r="A2282" s="1">
        <v>46146</v>
      </c>
      <c r="B2282" t="s">
        <v>36</v>
      </c>
      <c r="C2282" t="s">
        <v>22</v>
      </c>
      <c r="D2282" t="s">
        <v>23</v>
      </c>
      <c r="E2282" t="s">
        <v>29</v>
      </c>
      <c r="F2282">
        <v>230</v>
      </c>
      <c r="G2282">
        <v>106</v>
      </c>
      <c r="H2282">
        <v>125</v>
      </c>
      <c r="I2282">
        <v>211</v>
      </c>
      <c r="J2282">
        <v>116</v>
      </c>
      <c r="K2282">
        <v>976</v>
      </c>
      <c r="L2282">
        <v>205936</v>
      </c>
      <c r="M2282">
        <f>Inventory_Data[[#This Row],[Opening Stock]]+Inventory_Data[[#This Row],[Purchase Qty]]-Inventory_Data[[#This Row],[Sales Qty]]-Inventory_Data[[#This Row],[Closing Stock]]</f>
        <v>0</v>
      </c>
      <c r="N2282">
        <f>Inventory_Data[[#This Row],[Purchase Qty]]*Inventory_Data[[#This Row],[Unit Cost]]</f>
        <v>103456</v>
      </c>
      <c r="O2282" t="str">
        <f>IF(Inventory_Data[[#This Row],[Closing Stock]]&lt;=Inventory_Data[[#This Row],[Reorder Level]],"Low Stock","In Stock")</f>
        <v>In Stock</v>
      </c>
      <c r="P2282" t="str">
        <f>TEXT(Inventory_Data[[#This Row],[Date]],"MMM")</f>
        <v>May</v>
      </c>
      <c r="Q2282" t="str">
        <f>TEXT(Inventory_Data[[#This Row],[Date]],"YYYY")</f>
        <v>2026</v>
      </c>
    </row>
    <row r="2283" spans="1:17" x14ac:dyDescent="0.3">
      <c r="A2283" s="1">
        <v>46146</v>
      </c>
      <c r="B2283" t="s">
        <v>16</v>
      </c>
      <c r="C2283" t="s">
        <v>17</v>
      </c>
      <c r="D2283" t="s">
        <v>14</v>
      </c>
      <c r="E2283" t="s">
        <v>18</v>
      </c>
      <c r="F2283">
        <v>74</v>
      </c>
      <c r="G2283">
        <v>10</v>
      </c>
      <c r="H2283">
        <v>24</v>
      </c>
      <c r="I2283">
        <v>60</v>
      </c>
      <c r="J2283">
        <v>20</v>
      </c>
      <c r="K2283">
        <v>18510</v>
      </c>
      <c r="L2283">
        <v>1110600</v>
      </c>
      <c r="M2283">
        <f>Inventory_Data[[#This Row],[Opening Stock]]+Inventory_Data[[#This Row],[Purchase Qty]]-Inventory_Data[[#This Row],[Sales Qty]]-Inventory_Data[[#This Row],[Closing Stock]]</f>
        <v>0</v>
      </c>
      <c r="N2283">
        <f>Inventory_Data[[#This Row],[Purchase Qty]]*Inventory_Data[[#This Row],[Unit Cost]]</f>
        <v>185100</v>
      </c>
      <c r="O2283" t="str">
        <f>IF(Inventory_Data[[#This Row],[Closing Stock]]&lt;=Inventory_Data[[#This Row],[Reorder Level]],"Low Stock","In Stock")</f>
        <v>In Stock</v>
      </c>
      <c r="P2283" t="str">
        <f>TEXT(Inventory_Data[[#This Row],[Date]],"MMM")</f>
        <v>May</v>
      </c>
      <c r="Q2283" t="str">
        <f>TEXT(Inventory_Data[[#This Row],[Date]],"YYYY")</f>
        <v>2026</v>
      </c>
    </row>
    <row r="2284" spans="1:17" x14ac:dyDescent="0.3">
      <c r="A2284" s="1">
        <v>46146</v>
      </c>
      <c r="B2284" t="s">
        <v>41</v>
      </c>
      <c r="C2284" t="s">
        <v>22</v>
      </c>
      <c r="D2284" t="s">
        <v>37</v>
      </c>
      <c r="E2284" t="s">
        <v>24</v>
      </c>
      <c r="F2284">
        <v>414</v>
      </c>
      <c r="G2284">
        <v>55</v>
      </c>
      <c r="H2284">
        <v>56</v>
      </c>
      <c r="I2284">
        <v>413</v>
      </c>
      <c r="J2284">
        <v>65</v>
      </c>
      <c r="K2284">
        <v>797</v>
      </c>
      <c r="L2284">
        <v>329161</v>
      </c>
      <c r="M2284">
        <f>Inventory_Data[[#This Row],[Opening Stock]]+Inventory_Data[[#This Row],[Purchase Qty]]-Inventory_Data[[#This Row],[Sales Qty]]-Inventory_Data[[#This Row],[Closing Stock]]</f>
        <v>0</v>
      </c>
      <c r="N2284">
        <f>Inventory_Data[[#This Row],[Purchase Qty]]*Inventory_Data[[#This Row],[Unit Cost]]</f>
        <v>43835</v>
      </c>
      <c r="O2284" t="str">
        <f>IF(Inventory_Data[[#This Row],[Closing Stock]]&lt;=Inventory_Data[[#This Row],[Reorder Level]],"Low Stock","In Stock")</f>
        <v>In Stock</v>
      </c>
      <c r="P2284" t="str">
        <f>TEXT(Inventory_Data[[#This Row],[Date]],"MMM")</f>
        <v>May</v>
      </c>
      <c r="Q2284" t="str">
        <f>TEXT(Inventory_Data[[#This Row],[Date]],"YYYY")</f>
        <v>2026</v>
      </c>
    </row>
    <row r="2285" spans="1:17" x14ac:dyDescent="0.3">
      <c r="A2285" s="1">
        <v>46146</v>
      </c>
      <c r="B2285" t="s">
        <v>30</v>
      </c>
      <c r="C2285" t="s">
        <v>28</v>
      </c>
      <c r="D2285" t="s">
        <v>23</v>
      </c>
      <c r="E2285" t="s">
        <v>18</v>
      </c>
      <c r="F2285">
        <v>125</v>
      </c>
      <c r="G2285">
        <v>107</v>
      </c>
      <c r="H2285">
        <v>73</v>
      </c>
      <c r="I2285">
        <v>159</v>
      </c>
      <c r="J2285">
        <v>32</v>
      </c>
      <c r="K2285">
        <v>44414</v>
      </c>
      <c r="L2285">
        <v>7061826</v>
      </c>
      <c r="M2285">
        <f>Inventory_Data[[#This Row],[Opening Stock]]+Inventory_Data[[#This Row],[Purchase Qty]]-Inventory_Data[[#This Row],[Sales Qty]]-Inventory_Data[[#This Row],[Closing Stock]]</f>
        <v>0</v>
      </c>
      <c r="N2285">
        <f>Inventory_Data[[#This Row],[Purchase Qty]]*Inventory_Data[[#This Row],[Unit Cost]]</f>
        <v>4752298</v>
      </c>
      <c r="O2285" t="str">
        <f>IF(Inventory_Data[[#This Row],[Closing Stock]]&lt;=Inventory_Data[[#This Row],[Reorder Level]],"Low Stock","In Stock")</f>
        <v>In Stock</v>
      </c>
      <c r="P2285" t="str">
        <f>TEXT(Inventory_Data[[#This Row],[Date]],"MMM")</f>
        <v>May</v>
      </c>
      <c r="Q2285" t="str">
        <f>TEXT(Inventory_Data[[#This Row],[Date]],"YYYY")</f>
        <v>2026</v>
      </c>
    </row>
    <row r="2286" spans="1:17" x14ac:dyDescent="0.3">
      <c r="A2286" s="1">
        <v>46147</v>
      </c>
      <c r="B2286" t="s">
        <v>30</v>
      </c>
      <c r="C2286" t="s">
        <v>28</v>
      </c>
      <c r="D2286" t="s">
        <v>26</v>
      </c>
      <c r="E2286" t="s">
        <v>24</v>
      </c>
      <c r="F2286">
        <v>122</v>
      </c>
      <c r="G2286">
        <v>26</v>
      </c>
      <c r="H2286">
        <v>18</v>
      </c>
      <c r="I2286">
        <v>130</v>
      </c>
      <c r="J2286">
        <v>43</v>
      </c>
      <c r="K2286">
        <v>10174</v>
      </c>
      <c r="L2286">
        <v>1322620</v>
      </c>
      <c r="M2286">
        <f>Inventory_Data[[#This Row],[Opening Stock]]+Inventory_Data[[#This Row],[Purchase Qty]]-Inventory_Data[[#This Row],[Sales Qty]]-Inventory_Data[[#This Row],[Closing Stock]]</f>
        <v>0</v>
      </c>
      <c r="N2286">
        <f>Inventory_Data[[#This Row],[Purchase Qty]]*Inventory_Data[[#This Row],[Unit Cost]]</f>
        <v>264524</v>
      </c>
      <c r="O2286" t="str">
        <f>IF(Inventory_Data[[#This Row],[Closing Stock]]&lt;=Inventory_Data[[#This Row],[Reorder Level]],"Low Stock","In Stock")</f>
        <v>In Stock</v>
      </c>
      <c r="P2286" t="str">
        <f>TEXT(Inventory_Data[[#This Row],[Date]],"MMM")</f>
        <v>May</v>
      </c>
      <c r="Q2286" t="str">
        <f>TEXT(Inventory_Data[[#This Row],[Date]],"YYYY")</f>
        <v>2026</v>
      </c>
    </row>
    <row r="2287" spans="1:17" x14ac:dyDescent="0.3">
      <c r="A2287" s="1">
        <v>46147</v>
      </c>
      <c r="B2287" t="s">
        <v>32</v>
      </c>
      <c r="C2287" t="s">
        <v>28</v>
      </c>
      <c r="D2287" t="s">
        <v>26</v>
      </c>
      <c r="E2287" t="s">
        <v>34</v>
      </c>
      <c r="F2287">
        <v>27</v>
      </c>
      <c r="G2287">
        <v>82</v>
      </c>
      <c r="H2287">
        <v>95</v>
      </c>
      <c r="I2287">
        <v>14</v>
      </c>
      <c r="J2287">
        <v>40</v>
      </c>
      <c r="K2287">
        <v>63779</v>
      </c>
      <c r="L2287">
        <v>892906</v>
      </c>
      <c r="M2287">
        <f>Inventory_Data[[#This Row],[Opening Stock]]+Inventory_Data[[#This Row],[Purchase Qty]]-Inventory_Data[[#This Row],[Sales Qty]]-Inventory_Data[[#This Row],[Closing Stock]]</f>
        <v>0</v>
      </c>
      <c r="N2287">
        <f>Inventory_Data[[#This Row],[Purchase Qty]]*Inventory_Data[[#This Row],[Unit Cost]]</f>
        <v>5229878</v>
      </c>
      <c r="O2287" t="str">
        <f>IF(Inventory_Data[[#This Row],[Closing Stock]]&lt;=Inventory_Data[[#This Row],[Reorder Level]],"Low Stock","In Stock")</f>
        <v>Low Stock</v>
      </c>
      <c r="P2287" t="str">
        <f>TEXT(Inventory_Data[[#This Row],[Date]],"MMM")</f>
        <v>May</v>
      </c>
      <c r="Q2287" t="str">
        <f>TEXT(Inventory_Data[[#This Row],[Date]],"YYYY")</f>
        <v>2026</v>
      </c>
    </row>
    <row r="2288" spans="1:17" x14ac:dyDescent="0.3">
      <c r="A2288" s="1">
        <v>46147</v>
      </c>
      <c r="B2288" t="s">
        <v>19</v>
      </c>
      <c r="C2288" t="s">
        <v>13</v>
      </c>
      <c r="D2288" t="s">
        <v>26</v>
      </c>
      <c r="E2288" t="s">
        <v>18</v>
      </c>
      <c r="F2288">
        <v>107</v>
      </c>
      <c r="G2288">
        <v>74</v>
      </c>
      <c r="H2288">
        <v>19</v>
      </c>
      <c r="I2288">
        <v>162</v>
      </c>
      <c r="J2288">
        <v>20</v>
      </c>
      <c r="K2288">
        <v>4884</v>
      </c>
      <c r="L2288">
        <v>791208</v>
      </c>
      <c r="M2288">
        <f>Inventory_Data[[#This Row],[Opening Stock]]+Inventory_Data[[#This Row],[Purchase Qty]]-Inventory_Data[[#This Row],[Sales Qty]]-Inventory_Data[[#This Row],[Closing Stock]]</f>
        <v>0</v>
      </c>
      <c r="N2288">
        <f>Inventory_Data[[#This Row],[Purchase Qty]]*Inventory_Data[[#This Row],[Unit Cost]]</f>
        <v>361416</v>
      </c>
      <c r="O2288" t="str">
        <f>IF(Inventory_Data[[#This Row],[Closing Stock]]&lt;=Inventory_Data[[#This Row],[Reorder Level]],"Low Stock","In Stock")</f>
        <v>In Stock</v>
      </c>
      <c r="P2288" t="str">
        <f>TEXT(Inventory_Data[[#This Row],[Date]],"MMM")</f>
        <v>May</v>
      </c>
      <c r="Q2288" t="str">
        <f>TEXT(Inventory_Data[[#This Row],[Date]],"YYYY")</f>
        <v>2026</v>
      </c>
    </row>
    <row r="2289" spans="1:17" x14ac:dyDescent="0.3">
      <c r="A2289" s="1">
        <v>46147</v>
      </c>
      <c r="B2289" t="s">
        <v>39</v>
      </c>
      <c r="C2289" t="s">
        <v>28</v>
      </c>
      <c r="D2289" t="s">
        <v>26</v>
      </c>
      <c r="E2289" t="s">
        <v>15</v>
      </c>
      <c r="F2289">
        <v>156</v>
      </c>
      <c r="G2289">
        <v>74</v>
      </c>
      <c r="H2289">
        <v>81</v>
      </c>
      <c r="I2289">
        <v>149</v>
      </c>
      <c r="J2289">
        <v>34</v>
      </c>
      <c r="K2289">
        <v>46417</v>
      </c>
      <c r="L2289">
        <v>6916133</v>
      </c>
      <c r="M2289">
        <f>Inventory_Data[[#This Row],[Opening Stock]]+Inventory_Data[[#This Row],[Purchase Qty]]-Inventory_Data[[#This Row],[Sales Qty]]-Inventory_Data[[#This Row],[Closing Stock]]</f>
        <v>0</v>
      </c>
      <c r="N2289">
        <f>Inventory_Data[[#This Row],[Purchase Qty]]*Inventory_Data[[#This Row],[Unit Cost]]</f>
        <v>3434858</v>
      </c>
      <c r="O2289" t="str">
        <f>IF(Inventory_Data[[#This Row],[Closing Stock]]&lt;=Inventory_Data[[#This Row],[Reorder Level]],"Low Stock","In Stock")</f>
        <v>In Stock</v>
      </c>
      <c r="P2289" t="str">
        <f>TEXT(Inventory_Data[[#This Row],[Date]],"MMM")</f>
        <v>May</v>
      </c>
      <c r="Q2289" t="str">
        <f>TEXT(Inventory_Data[[#This Row],[Date]],"YYYY")</f>
        <v>2026</v>
      </c>
    </row>
    <row r="2290" spans="1:17" x14ac:dyDescent="0.3">
      <c r="A2290" s="1">
        <v>46148</v>
      </c>
      <c r="B2290" t="s">
        <v>12</v>
      </c>
      <c r="C2290" t="s">
        <v>13</v>
      </c>
      <c r="D2290" t="s">
        <v>23</v>
      </c>
      <c r="E2290" t="s">
        <v>29</v>
      </c>
      <c r="F2290">
        <v>112</v>
      </c>
      <c r="G2290">
        <v>20</v>
      </c>
      <c r="H2290">
        <v>36</v>
      </c>
      <c r="I2290">
        <v>96</v>
      </c>
      <c r="J2290">
        <v>33</v>
      </c>
      <c r="K2290">
        <v>920</v>
      </c>
      <c r="L2290">
        <v>88320</v>
      </c>
      <c r="M2290">
        <f>Inventory_Data[[#This Row],[Opening Stock]]+Inventory_Data[[#This Row],[Purchase Qty]]-Inventory_Data[[#This Row],[Sales Qty]]-Inventory_Data[[#This Row],[Closing Stock]]</f>
        <v>0</v>
      </c>
      <c r="N2290">
        <f>Inventory_Data[[#This Row],[Purchase Qty]]*Inventory_Data[[#This Row],[Unit Cost]]</f>
        <v>18400</v>
      </c>
      <c r="O2290" t="str">
        <f>IF(Inventory_Data[[#This Row],[Closing Stock]]&lt;=Inventory_Data[[#This Row],[Reorder Level]],"Low Stock","In Stock")</f>
        <v>In Stock</v>
      </c>
      <c r="P2290" t="str">
        <f>TEXT(Inventory_Data[[#This Row],[Date]],"MMM")</f>
        <v>May</v>
      </c>
      <c r="Q2290" t="str">
        <f>TEXT(Inventory_Data[[#This Row],[Date]],"YYYY")</f>
        <v>2026</v>
      </c>
    </row>
    <row r="2291" spans="1:17" x14ac:dyDescent="0.3">
      <c r="A2291" s="1">
        <v>46148</v>
      </c>
      <c r="B2291" t="s">
        <v>31</v>
      </c>
      <c r="C2291" t="s">
        <v>22</v>
      </c>
      <c r="D2291" t="s">
        <v>37</v>
      </c>
      <c r="E2291" t="s">
        <v>20</v>
      </c>
      <c r="F2291">
        <v>462</v>
      </c>
      <c r="G2291">
        <v>179</v>
      </c>
      <c r="H2291">
        <v>198</v>
      </c>
      <c r="I2291">
        <v>443</v>
      </c>
      <c r="J2291">
        <v>98</v>
      </c>
      <c r="K2291">
        <v>1086</v>
      </c>
      <c r="L2291">
        <v>481098</v>
      </c>
      <c r="M2291">
        <f>Inventory_Data[[#This Row],[Opening Stock]]+Inventory_Data[[#This Row],[Purchase Qty]]-Inventory_Data[[#This Row],[Sales Qty]]-Inventory_Data[[#This Row],[Closing Stock]]</f>
        <v>0</v>
      </c>
      <c r="N2291">
        <f>Inventory_Data[[#This Row],[Purchase Qty]]*Inventory_Data[[#This Row],[Unit Cost]]</f>
        <v>194394</v>
      </c>
      <c r="O2291" t="str">
        <f>IF(Inventory_Data[[#This Row],[Closing Stock]]&lt;=Inventory_Data[[#This Row],[Reorder Level]],"Low Stock","In Stock")</f>
        <v>In Stock</v>
      </c>
      <c r="P2291" t="str">
        <f>TEXT(Inventory_Data[[#This Row],[Date]],"MMM")</f>
        <v>May</v>
      </c>
      <c r="Q2291" t="str">
        <f>TEXT(Inventory_Data[[#This Row],[Date]],"YYYY")</f>
        <v>2026</v>
      </c>
    </row>
    <row r="2292" spans="1:17" x14ac:dyDescent="0.3">
      <c r="A2292" s="1">
        <v>46148</v>
      </c>
      <c r="B2292" t="s">
        <v>45</v>
      </c>
      <c r="C2292" t="s">
        <v>13</v>
      </c>
      <c r="D2292" t="s">
        <v>37</v>
      </c>
      <c r="E2292" t="s">
        <v>15</v>
      </c>
      <c r="F2292">
        <v>95</v>
      </c>
      <c r="G2292">
        <v>66</v>
      </c>
      <c r="H2292">
        <v>61</v>
      </c>
      <c r="I2292">
        <v>100</v>
      </c>
      <c r="J2292">
        <v>25</v>
      </c>
      <c r="K2292">
        <v>13352</v>
      </c>
      <c r="L2292">
        <v>1335200</v>
      </c>
      <c r="M2292">
        <f>Inventory_Data[[#This Row],[Opening Stock]]+Inventory_Data[[#This Row],[Purchase Qty]]-Inventory_Data[[#This Row],[Sales Qty]]-Inventory_Data[[#This Row],[Closing Stock]]</f>
        <v>0</v>
      </c>
      <c r="N2292">
        <f>Inventory_Data[[#This Row],[Purchase Qty]]*Inventory_Data[[#This Row],[Unit Cost]]</f>
        <v>881232</v>
      </c>
      <c r="O2292" t="str">
        <f>IF(Inventory_Data[[#This Row],[Closing Stock]]&lt;=Inventory_Data[[#This Row],[Reorder Level]],"Low Stock","In Stock")</f>
        <v>In Stock</v>
      </c>
      <c r="P2292" t="str">
        <f>TEXT(Inventory_Data[[#This Row],[Date]],"MMM")</f>
        <v>May</v>
      </c>
      <c r="Q2292" t="str">
        <f>TEXT(Inventory_Data[[#This Row],[Date]],"YYYY")</f>
        <v>2026</v>
      </c>
    </row>
    <row r="2293" spans="1:17" x14ac:dyDescent="0.3">
      <c r="A2293" s="1">
        <v>46148</v>
      </c>
      <c r="B2293" t="s">
        <v>45</v>
      </c>
      <c r="C2293" t="s">
        <v>13</v>
      </c>
      <c r="D2293" t="s">
        <v>37</v>
      </c>
      <c r="E2293" t="s">
        <v>18</v>
      </c>
      <c r="F2293">
        <v>63</v>
      </c>
      <c r="G2293">
        <v>40</v>
      </c>
      <c r="H2293">
        <v>44</v>
      </c>
      <c r="I2293">
        <v>59</v>
      </c>
      <c r="J2293">
        <v>33</v>
      </c>
      <c r="K2293">
        <v>5300</v>
      </c>
      <c r="L2293">
        <v>312700</v>
      </c>
      <c r="M2293">
        <f>Inventory_Data[[#This Row],[Opening Stock]]+Inventory_Data[[#This Row],[Purchase Qty]]-Inventory_Data[[#This Row],[Sales Qty]]-Inventory_Data[[#This Row],[Closing Stock]]</f>
        <v>0</v>
      </c>
      <c r="N2293">
        <f>Inventory_Data[[#This Row],[Purchase Qty]]*Inventory_Data[[#This Row],[Unit Cost]]</f>
        <v>212000</v>
      </c>
      <c r="O2293" t="str">
        <f>IF(Inventory_Data[[#This Row],[Closing Stock]]&lt;=Inventory_Data[[#This Row],[Reorder Level]],"Low Stock","In Stock")</f>
        <v>In Stock</v>
      </c>
      <c r="P2293" t="str">
        <f>TEXT(Inventory_Data[[#This Row],[Date]],"MMM")</f>
        <v>May</v>
      </c>
      <c r="Q2293" t="str">
        <f>TEXT(Inventory_Data[[#This Row],[Date]],"YYYY")</f>
        <v>2026</v>
      </c>
    </row>
    <row r="2294" spans="1:17" x14ac:dyDescent="0.3">
      <c r="A2294" s="1">
        <v>46148</v>
      </c>
      <c r="B2294" t="s">
        <v>40</v>
      </c>
      <c r="C2294" t="s">
        <v>28</v>
      </c>
      <c r="D2294" t="s">
        <v>14</v>
      </c>
      <c r="E2294" t="s">
        <v>15</v>
      </c>
      <c r="F2294">
        <v>100</v>
      </c>
      <c r="G2294">
        <v>82</v>
      </c>
      <c r="H2294">
        <v>96</v>
      </c>
      <c r="I2294">
        <v>86</v>
      </c>
      <c r="J2294">
        <v>26</v>
      </c>
      <c r="K2294">
        <v>35029</v>
      </c>
      <c r="L2294">
        <v>3012494</v>
      </c>
      <c r="M2294">
        <f>Inventory_Data[[#This Row],[Opening Stock]]+Inventory_Data[[#This Row],[Purchase Qty]]-Inventory_Data[[#This Row],[Sales Qty]]-Inventory_Data[[#This Row],[Closing Stock]]</f>
        <v>0</v>
      </c>
      <c r="N2294">
        <f>Inventory_Data[[#This Row],[Purchase Qty]]*Inventory_Data[[#This Row],[Unit Cost]]</f>
        <v>2872378</v>
      </c>
      <c r="O2294" t="str">
        <f>IF(Inventory_Data[[#This Row],[Closing Stock]]&lt;=Inventory_Data[[#This Row],[Reorder Level]],"Low Stock","In Stock")</f>
        <v>In Stock</v>
      </c>
      <c r="P2294" t="str">
        <f>TEXT(Inventory_Data[[#This Row],[Date]],"MMM")</f>
        <v>May</v>
      </c>
      <c r="Q2294" t="str">
        <f>TEXT(Inventory_Data[[#This Row],[Date]],"YYYY")</f>
        <v>2026</v>
      </c>
    </row>
    <row r="2295" spans="1:17" x14ac:dyDescent="0.3">
      <c r="A2295" s="1">
        <v>46148</v>
      </c>
      <c r="B2295" t="s">
        <v>21</v>
      </c>
      <c r="C2295" t="s">
        <v>22</v>
      </c>
      <c r="D2295" t="s">
        <v>37</v>
      </c>
      <c r="E2295" t="s">
        <v>20</v>
      </c>
      <c r="F2295">
        <v>117</v>
      </c>
      <c r="G2295">
        <v>283</v>
      </c>
      <c r="H2295">
        <v>26</v>
      </c>
      <c r="I2295">
        <v>374</v>
      </c>
      <c r="J2295">
        <v>134</v>
      </c>
      <c r="K2295">
        <v>280</v>
      </c>
      <c r="L2295">
        <v>104720</v>
      </c>
      <c r="M2295">
        <f>Inventory_Data[[#This Row],[Opening Stock]]+Inventory_Data[[#This Row],[Purchase Qty]]-Inventory_Data[[#This Row],[Sales Qty]]-Inventory_Data[[#This Row],[Closing Stock]]</f>
        <v>0</v>
      </c>
      <c r="N2295">
        <f>Inventory_Data[[#This Row],[Purchase Qty]]*Inventory_Data[[#This Row],[Unit Cost]]</f>
        <v>79240</v>
      </c>
      <c r="O2295" t="str">
        <f>IF(Inventory_Data[[#This Row],[Closing Stock]]&lt;=Inventory_Data[[#This Row],[Reorder Level]],"Low Stock","In Stock")</f>
        <v>In Stock</v>
      </c>
      <c r="P2295" t="str">
        <f>TEXT(Inventory_Data[[#This Row],[Date]],"MMM")</f>
        <v>May</v>
      </c>
      <c r="Q2295" t="str">
        <f>TEXT(Inventory_Data[[#This Row],[Date]],"YYYY")</f>
        <v>2026</v>
      </c>
    </row>
    <row r="2296" spans="1:17" x14ac:dyDescent="0.3">
      <c r="A2296" s="1">
        <v>46149</v>
      </c>
      <c r="B2296" t="s">
        <v>21</v>
      </c>
      <c r="C2296" t="s">
        <v>22</v>
      </c>
      <c r="D2296" t="s">
        <v>26</v>
      </c>
      <c r="E2296" t="s">
        <v>24</v>
      </c>
      <c r="F2296">
        <v>119</v>
      </c>
      <c r="G2296">
        <v>198</v>
      </c>
      <c r="H2296">
        <v>77</v>
      </c>
      <c r="I2296">
        <v>240</v>
      </c>
      <c r="J2296">
        <v>105</v>
      </c>
      <c r="K2296">
        <v>579</v>
      </c>
      <c r="L2296">
        <v>138960</v>
      </c>
      <c r="M2296">
        <f>Inventory_Data[[#This Row],[Opening Stock]]+Inventory_Data[[#This Row],[Purchase Qty]]-Inventory_Data[[#This Row],[Sales Qty]]-Inventory_Data[[#This Row],[Closing Stock]]</f>
        <v>0</v>
      </c>
      <c r="N2296">
        <f>Inventory_Data[[#This Row],[Purchase Qty]]*Inventory_Data[[#This Row],[Unit Cost]]</f>
        <v>114642</v>
      </c>
      <c r="O2296" t="str">
        <f>IF(Inventory_Data[[#This Row],[Closing Stock]]&lt;=Inventory_Data[[#This Row],[Reorder Level]],"Low Stock","In Stock")</f>
        <v>In Stock</v>
      </c>
      <c r="P2296" t="str">
        <f>TEXT(Inventory_Data[[#This Row],[Date]],"MMM")</f>
        <v>May</v>
      </c>
      <c r="Q2296" t="str">
        <f>TEXT(Inventory_Data[[#This Row],[Date]],"YYYY")</f>
        <v>2026</v>
      </c>
    </row>
    <row r="2297" spans="1:17" x14ac:dyDescent="0.3">
      <c r="A2297" s="1">
        <v>46149</v>
      </c>
      <c r="B2297" t="s">
        <v>42</v>
      </c>
      <c r="C2297" t="s">
        <v>17</v>
      </c>
      <c r="D2297" t="s">
        <v>14</v>
      </c>
      <c r="E2297" t="s">
        <v>15</v>
      </c>
      <c r="F2297">
        <v>66</v>
      </c>
      <c r="G2297">
        <v>35</v>
      </c>
      <c r="H2297">
        <v>4</v>
      </c>
      <c r="I2297">
        <v>97</v>
      </c>
      <c r="J2297">
        <v>26</v>
      </c>
      <c r="K2297">
        <v>8333</v>
      </c>
      <c r="L2297">
        <v>808301</v>
      </c>
      <c r="M2297">
        <f>Inventory_Data[[#This Row],[Opening Stock]]+Inventory_Data[[#This Row],[Purchase Qty]]-Inventory_Data[[#This Row],[Sales Qty]]-Inventory_Data[[#This Row],[Closing Stock]]</f>
        <v>0</v>
      </c>
      <c r="N2297">
        <f>Inventory_Data[[#This Row],[Purchase Qty]]*Inventory_Data[[#This Row],[Unit Cost]]</f>
        <v>291655</v>
      </c>
      <c r="O2297" t="str">
        <f>IF(Inventory_Data[[#This Row],[Closing Stock]]&lt;=Inventory_Data[[#This Row],[Reorder Level]],"Low Stock","In Stock")</f>
        <v>In Stock</v>
      </c>
      <c r="P2297" t="str">
        <f>TEXT(Inventory_Data[[#This Row],[Date]],"MMM")</f>
        <v>May</v>
      </c>
      <c r="Q2297" t="str">
        <f>TEXT(Inventory_Data[[#This Row],[Date]],"YYYY")</f>
        <v>2026</v>
      </c>
    </row>
    <row r="2298" spans="1:17" x14ac:dyDescent="0.3">
      <c r="A2298" s="1">
        <v>46149</v>
      </c>
      <c r="B2298" t="s">
        <v>42</v>
      </c>
      <c r="C2298" t="s">
        <v>17</v>
      </c>
      <c r="D2298" t="s">
        <v>26</v>
      </c>
      <c r="E2298" t="s">
        <v>18</v>
      </c>
      <c r="F2298">
        <v>70</v>
      </c>
      <c r="G2298">
        <v>6</v>
      </c>
      <c r="H2298">
        <v>43</v>
      </c>
      <c r="I2298">
        <v>33</v>
      </c>
      <c r="J2298">
        <v>13</v>
      </c>
      <c r="K2298">
        <v>14748</v>
      </c>
      <c r="L2298">
        <v>486684</v>
      </c>
      <c r="M2298">
        <f>Inventory_Data[[#This Row],[Opening Stock]]+Inventory_Data[[#This Row],[Purchase Qty]]-Inventory_Data[[#This Row],[Sales Qty]]-Inventory_Data[[#This Row],[Closing Stock]]</f>
        <v>0</v>
      </c>
      <c r="N2298">
        <f>Inventory_Data[[#This Row],[Purchase Qty]]*Inventory_Data[[#This Row],[Unit Cost]]</f>
        <v>88488</v>
      </c>
      <c r="O2298" t="str">
        <f>IF(Inventory_Data[[#This Row],[Closing Stock]]&lt;=Inventory_Data[[#This Row],[Reorder Level]],"Low Stock","In Stock")</f>
        <v>In Stock</v>
      </c>
      <c r="P2298" t="str">
        <f>TEXT(Inventory_Data[[#This Row],[Date]],"MMM")</f>
        <v>May</v>
      </c>
      <c r="Q2298" t="str">
        <f>TEXT(Inventory_Data[[#This Row],[Date]],"YYYY")</f>
        <v>2026</v>
      </c>
    </row>
    <row r="2299" spans="1:17" x14ac:dyDescent="0.3">
      <c r="A2299" s="1">
        <v>46149</v>
      </c>
      <c r="B2299" t="s">
        <v>43</v>
      </c>
      <c r="C2299" t="s">
        <v>22</v>
      </c>
      <c r="D2299" t="s">
        <v>26</v>
      </c>
      <c r="E2299" t="s">
        <v>15</v>
      </c>
      <c r="F2299">
        <v>460</v>
      </c>
      <c r="G2299">
        <v>166</v>
      </c>
      <c r="H2299">
        <v>193</v>
      </c>
      <c r="I2299">
        <v>433</v>
      </c>
      <c r="J2299">
        <v>63</v>
      </c>
      <c r="K2299">
        <v>491</v>
      </c>
      <c r="L2299">
        <v>212603</v>
      </c>
      <c r="M2299">
        <f>Inventory_Data[[#This Row],[Opening Stock]]+Inventory_Data[[#This Row],[Purchase Qty]]-Inventory_Data[[#This Row],[Sales Qty]]-Inventory_Data[[#This Row],[Closing Stock]]</f>
        <v>0</v>
      </c>
      <c r="N2299">
        <f>Inventory_Data[[#This Row],[Purchase Qty]]*Inventory_Data[[#This Row],[Unit Cost]]</f>
        <v>81506</v>
      </c>
      <c r="O2299" t="str">
        <f>IF(Inventory_Data[[#This Row],[Closing Stock]]&lt;=Inventory_Data[[#This Row],[Reorder Level]],"Low Stock","In Stock")</f>
        <v>In Stock</v>
      </c>
      <c r="P2299" t="str">
        <f>TEXT(Inventory_Data[[#This Row],[Date]],"MMM")</f>
        <v>May</v>
      </c>
      <c r="Q2299" t="str">
        <f>TEXT(Inventory_Data[[#This Row],[Date]],"YYYY")</f>
        <v>2026</v>
      </c>
    </row>
    <row r="2300" spans="1:17" x14ac:dyDescent="0.3">
      <c r="A2300" s="1">
        <v>46149</v>
      </c>
      <c r="B2300" t="s">
        <v>41</v>
      </c>
      <c r="C2300" t="s">
        <v>22</v>
      </c>
      <c r="D2300" t="s">
        <v>37</v>
      </c>
      <c r="E2300" t="s">
        <v>20</v>
      </c>
      <c r="F2300">
        <v>445</v>
      </c>
      <c r="G2300">
        <v>111</v>
      </c>
      <c r="H2300">
        <v>18</v>
      </c>
      <c r="I2300">
        <v>538</v>
      </c>
      <c r="J2300">
        <v>102</v>
      </c>
      <c r="K2300">
        <v>580</v>
      </c>
      <c r="L2300">
        <v>312040</v>
      </c>
      <c r="M2300">
        <f>Inventory_Data[[#This Row],[Opening Stock]]+Inventory_Data[[#This Row],[Purchase Qty]]-Inventory_Data[[#This Row],[Sales Qty]]-Inventory_Data[[#This Row],[Closing Stock]]</f>
        <v>0</v>
      </c>
      <c r="N2300">
        <f>Inventory_Data[[#This Row],[Purchase Qty]]*Inventory_Data[[#This Row],[Unit Cost]]</f>
        <v>64380</v>
      </c>
      <c r="O2300" t="str">
        <f>IF(Inventory_Data[[#This Row],[Closing Stock]]&lt;=Inventory_Data[[#This Row],[Reorder Level]],"Low Stock","In Stock")</f>
        <v>In Stock</v>
      </c>
      <c r="P2300" t="str">
        <f>TEXT(Inventory_Data[[#This Row],[Date]],"MMM")</f>
        <v>May</v>
      </c>
      <c r="Q2300" t="str">
        <f>TEXT(Inventory_Data[[#This Row],[Date]],"YYYY")</f>
        <v>2026</v>
      </c>
    </row>
    <row r="2301" spans="1:17" x14ac:dyDescent="0.3">
      <c r="A2301" s="1">
        <v>46149</v>
      </c>
      <c r="B2301" t="s">
        <v>12</v>
      </c>
      <c r="C2301" t="s">
        <v>13</v>
      </c>
      <c r="D2301" t="s">
        <v>37</v>
      </c>
      <c r="E2301" t="s">
        <v>34</v>
      </c>
      <c r="F2301">
        <v>85</v>
      </c>
      <c r="G2301">
        <v>61</v>
      </c>
      <c r="H2301">
        <v>28</v>
      </c>
      <c r="I2301">
        <v>118</v>
      </c>
      <c r="J2301">
        <v>24</v>
      </c>
      <c r="K2301">
        <v>16084</v>
      </c>
      <c r="L2301">
        <v>1897912</v>
      </c>
      <c r="M2301">
        <f>Inventory_Data[[#This Row],[Opening Stock]]+Inventory_Data[[#This Row],[Purchase Qty]]-Inventory_Data[[#This Row],[Sales Qty]]-Inventory_Data[[#This Row],[Closing Stock]]</f>
        <v>0</v>
      </c>
      <c r="N2301">
        <f>Inventory_Data[[#This Row],[Purchase Qty]]*Inventory_Data[[#This Row],[Unit Cost]]</f>
        <v>981124</v>
      </c>
      <c r="O2301" t="str">
        <f>IF(Inventory_Data[[#This Row],[Closing Stock]]&lt;=Inventory_Data[[#This Row],[Reorder Level]],"Low Stock","In Stock")</f>
        <v>In Stock</v>
      </c>
      <c r="P2301" t="str">
        <f>TEXT(Inventory_Data[[#This Row],[Date]],"MMM")</f>
        <v>May</v>
      </c>
      <c r="Q2301" t="str">
        <f>TEXT(Inventory_Data[[#This Row],[Date]],"YYYY")</f>
        <v>2026</v>
      </c>
    </row>
    <row r="2302" spans="1:17" x14ac:dyDescent="0.3">
      <c r="A2302" s="1">
        <v>46150</v>
      </c>
      <c r="B2302" t="s">
        <v>25</v>
      </c>
      <c r="C2302" t="s">
        <v>17</v>
      </c>
      <c r="D2302" t="s">
        <v>37</v>
      </c>
      <c r="E2302" t="s">
        <v>29</v>
      </c>
      <c r="F2302">
        <v>48</v>
      </c>
      <c r="G2302">
        <v>11</v>
      </c>
      <c r="H2302">
        <v>5</v>
      </c>
      <c r="I2302">
        <v>54</v>
      </c>
      <c r="J2302">
        <v>21</v>
      </c>
      <c r="K2302">
        <v>18538</v>
      </c>
      <c r="L2302">
        <v>1001052</v>
      </c>
      <c r="M2302">
        <f>Inventory_Data[[#This Row],[Opening Stock]]+Inventory_Data[[#This Row],[Purchase Qty]]-Inventory_Data[[#This Row],[Sales Qty]]-Inventory_Data[[#This Row],[Closing Stock]]</f>
        <v>0</v>
      </c>
      <c r="N2302">
        <f>Inventory_Data[[#This Row],[Purchase Qty]]*Inventory_Data[[#This Row],[Unit Cost]]</f>
        <v>203918</v>
      </c>
      <c r="O2302" t="str">
        <f>IF(Inventory_Data[[#This Row],[Closing Stock]]&lt;=Inventory_Data[[#This Row],[Reorder Level]],"Low Stock","In Stock")</f>
        <v>In Stock</v>
      </c>
      <c r="P2302" t="str">
        <f>TEXT(Inventory_Data[[#This Row],[Date]],"MMM")</f>
        <v>May</v>
      </c>
      <c r="Q2302" t="str">
        <f>TEXT(Inventory_Data[[#This Row],[Date]],"YYYY")</f>
        <v>2026</v>
      </c>
    </row>
    <row r="2303" spans="1:17" x14ac:dyDescent="0.3">
      <c r="A2303" s="1">
        <v>46150</v>
      </c>
      <c r="B2303" t="s">
        <v>19</v>
      </c>
      <c r="C2303" t="s">
        <v>13</v>
      </c>
      <c r="D2303" t="s">
        <v>23</v>
      </c>
      <c r="E2303" t="s">
        <v>18</v>
      </c>
      <c r="F2303">
        <v>16</v>
      </c>
      <c r="G2303">
        <v>29</v>
      </c>
      <c r="H2303">
        <v>15</v>
      </c>
      <c r="I2303">
        <v>30</v>
      </c>
      <c r="J2303">
        <v>24</v>
      </c>
      <c r="K2303">
        <v>11810</v>
      </c>
      <c r="L2303">
        <v>354300</v>
      </c>
      <c r="M2303">
        <f>Inventory_Data[[#This Row],[Opening Stock]]+Inventory_Data[[#This Row],[Purchase Qty]]-Inventory_Data[[#This Row],[Sales Qty]]-Inventory_Data[[#This Row],[Closing Stock]]</f>
        <v>0</v>
      </c>
      <c r="N2303">
        <f>Inventory_Data[[#This Row],[Purchase Qty]]*Inventory_Data[[#This Row],[Unit Cost]]</f>
        <v>342490</v>
      </c>
      <c r="O2303" t="str">
        <f>IF(Inventory_Data[[#This Row],[Closing Stock]]&lt;=Inventory_Data[[#This Row],[Reorder Level]],"Low Stock","In Stock")</f>
        <v>In Stock</v>
      </c>
      <c r="P2303" t="str">
        <f>TEXT(Inventory_Data[[#This Row],[Date]],"MMM")</f>
        <v>May</v>
      </c>
      <c r="Q2303" t="str">
        <f>TEXT(Inventory_Data[[#This Row],[Date]],"YYYY")</f>
        <v>2026</v>
      </c>
    </row>
    <row r="2304" spans="1:17" x14ac:dyDescent="0.3">
      <c r="A2304" s="1">
        <v>46150</v>
      </c>
      <c r="B2304" t="s">
        <v>32</v>
      </c>
      <c r="C2304" t="s">
        <v>28</v>
      </c>
      <c r="D2304" t="s">
        <v>14</v>
      </c>
      <c r="E2304" t="s">
        <v>15</v>
      </c>
      <c r="F2304">
        <v>101</v>
      </c>
      <c r="G2304">
        <v>58</v>
      </c>
      <c r="H2304">
        <v>31</v>
      </c>
      <c r="I2304">
        <v>128</v>
      </c>
      <c r="J2304">
        <v>29</v>
      </c>
      <c r="K2304">
        <v>57765</v>
      </c>
      <c r="L2304">
        <v>7393920</v>
      </c>
      <c r="M2304">
        <f>Inventory_Data[[#This Row],[Opening Stock]]+Inventory_Data[[#This Row],[Purchase Qty]]-Inventory_Data[[#This Row],[Sales Qty]]-Inventory_Data[[#This Row],[Closing Stock]]</f>
        <v>0</v>
      </c>
      <c r="N2304">
        <f>Inventory_Data[[#This Row],[Purchase Qty]]*Inventory_Data[[#This Row],[Unit Cost]]</f>
        <v>3350370</v>
      </c>
      <c r="O2304" t="str">
        <f>IF(Inventory_Data[[#This Row],[Closing Stock]]&lt;=Inventory_Data[[#This Row],[Reorder Level]],"Low Stock","In Stock")</f>
        <v>In Stock</v>
      </c>
      <c r="P2304" t="str">
        <f>TEXT(Inventory_Data[[#This Row],[Date]],"MMM")</f>
        <v>May</v>
      </c>
      <c r="Q2304" t="str">
        <f>TEXT(Inventory_Data[[#This Row],[Date]],"YYYY")</f>
        <v>2026</v>
      </c>
    </row>
    <row r="2305" spans="1:17" x14ac:dyDescent="0.3">
      <c r="A2305" s="1">
        <v>46150</v>
      </c>
      <c r="B2305" t="s">
        <v>38</v>
      </c>
      <c r="C2305" t="s">
        <v>17</v>
      </c>
      <c r="D2305" t="s">
        <v>23</v>
      </c>
      <c r="E2305" t="s">
        <v>24</v>
      </c>
      <c r="F2305">
        <v>19</v>
      </c>
      <c r="G2305">
        <v>54</v>
      </c>
      <c r="H2305">
        <v>8</v>
      </c>
      <c r="I2305">
        <v>65</v>
      </c>
      <c r="J2305">
        <v>14</v>
      </c>
      <c r="K2305">
        <v>8880</v>
      </c>
      <c r="L2305">
        <v>577200</v>
      </c>
      <c r="M2305">
        <f>Inventory_Data[[#This Row],[Opening Stock]]+Inventory_Data[[#This Row],[Purchase Qty]]-Inventory_Data[[#This Row],[Sales Qty]]-Inventory_Data[[#This Row],[Closing Stock]]</f>
        <v>0</v>
      </c>
      <c r="N2305">
        <f>Inventory_Data[[#This Row],[Purchase Qty]]*Inventory_Data[[#This Row],[Unit Cost]]</f>
        <v>479520</v>
      </c>
      <c r="O2305" t="str">
        <f>IF(Inventory_Data[[#This Row],[Closing Stock]]&lt;=Inventory_Data[[#This Row],[Reorder Level]],"Low Stock","In Stock")</f>
        <v>In Stock</v>
      </c>
      <c r="P2305" t="str">
        <f>TEXT(Inventory_Data[[#This Row],[Date]],"MMM")</f>
        <v>May</v>
      </c>
      <c r="Q2305" t="str">
        <f>TEXT(Inventory_Data[[#This Row],[Date]],"YYYY")</f>
        <v>2026</v>
      </c>
    </row>
    <row r="2306" spans="1:17" x14ac:dyDescent="0.3">
      <c r="A2306" s="1">
        <v>46150</v>
      </c>
      <c r="B2306" t="s">
        <v>32</v>
      </c>
      <c r="C2306" t="s">
        <v>28</v>
      </c>
      <c r="D2306" t="s">
        <v>37</v>
      </c>
      <c r="E2306" t="s">
        <v>20</v>
      </c>
      <c r="F2306">
        <v>98</v>
      </c>
      <c r="G2306">
        <v>79</v>
      </c>
      <c r="H2306">
        <v>52</v>
      </c>
      <c r="I2306">
        <v>125</v>
      </c>
      <c r="J2306">
        <v>39</v>
      </c>
      <c r="K2306">
        <v>36654</v>
      </c>
      <c r="L2306">
        <v>4581750</v>
      </c>
      <c r="M2306">
        <f>Inventory_Data[[#This Row],[Opening Stock]]+Inventory_Data[[#This Row],[Purchase Qty]]-Inventory_Data[[#This Row],[Sales Qty]]-Inventory_Data[[#This Row],[Closing Stock]]</f>
        <v>0</v>
      </c>
      <c r="N2306">
        <f>Inventory_Data[[#This Row],[Purchase Qty]]*Inventory_Data[[#This Row],[Unit Cost]]</f>
        <v>2895666</v>
      </c>
      <c r="O2306" t="str">
        <f>IF(Inventory_Data[[#This Row],[Closing Stock]]&lt;=Inventory_Data[[#This Row],[Reorder Level]],"Low Stock","In Stock")</f>
        <v>In Stock</v>
      </c>
      <c r="P2306" t="str">
        <f>TEXT(Inventory_Data[[#This Row],[Date]],"MMM")</f>
        <v>May</v>
      </c>
      <c r="Q2306" t="str">
        <f>TEXT(Inventory_Data[[#This Row],[Date]],"YYYY")</f>
        <v>2026</v>
      </c>
    </row>
    <row r="2307" spans="1:17" x14ac:dyDescent="0.3">
      <c r="A2307" s="1">
        <v>46150</v>
      </c>
      <c r="B2307" t="s">
        <v>21</v>
      </c>
      <c r="C2307" t="s">
        <v>22</v>
      </c>
      <c r="D2307" t="s">
        <v>14</v>
      </c>
      <c r="E2307" t="s">
        <v>18</v>
      </c>
      <c r="F2307">
        <v>317</v>
      </c>
      <c r="G2307">
        <v>42</v>
      </c>
      <c r="H2307">
        <v>129</v>
      </c>
      <c r="I2307">
        <v>230</v>
      </c>
      <c r="J2307">
        <v>146</v>
      </c>
      <c r="K2307">
        <v>989</v>
      </c>
      <c r="L2307">
        <v>227470</v>
      </c>
      <c r="M2307">
        <f>Inventory_Data[[#This Row],[Opening Stock]]+Inventory_Data[[#This Row],[Purchase Qty]]-Inventory_Data[[#This Row],[Sales Qty]]-Inventory_Data[[#This Row],[Closing Stock]]</f>
        <v>0</v>
      </c>
      <c r="N2307">
        <f>Inventory_Data[[#This Row],[Purchase Qty]]*Inventory_Data[[#This Row],[Unit Cost]]</f>
        <v>41538</v>
      </c>
      <c r="O2307" t="str">
        <f>IF(Inventory_Data[[#This Row],[Closing Stock]]&lt;=Inventory_Data[[#This Row],[Reorder Level]],"Low Stock","In Stock")</f>
        <v>In Stock</v>
      </c>
      <c r="P2307" t="str">
        <f>TEXT(Inventory_Data[[#This Row],[Date]],"MMM")</f>
        <v>May</v>
      </c>
      <c r="Q2307" t="str">
        <f>TEXT(Inventory_Data[[#This Row],[Date]],"YYYY")</f>
        <v>2026</v>
      </c>
    </row>
    <row r="2308" spans="1:17" x14ac:dyDescent="0.3">
      <c r="A2308" s="1">
        <v>46150</v>
      </c>
      <c r="B2308" t="s">
        <v>16</v>
      </c>
      <c r="C2308" t="s">
        <v>17</v>
      </c>
      <c r="D2308" t="s">
        <v>14</v>
      </c>
      <c r="E2308" t="s">
        <v>20</v>
      </c>
      <c r="F2308">
        <v>36</v>
      </c>
      <c r="G2308">
        <v>49</v>
      </c>
      <c r="H2308">
        <v>5</v>
      </c>
      <c r="I2308">
        <v>80</v>
      </c>
      <c r="J2308">
        <v>23</v>
      </c>
      <c r="K2308">
        <v>20785</v>
      </c>
      <c r="L2308">
        <v>1662800</v>
      </c>
      <c r="M2308">
        <f>Inventory_Data[[#This Row],[Opening Stock]]+Inventory_Data[[#This Row],[Purchase Qty]]-Inventory_Data[[#This Row],[Sales Qty]]-Inventory_Data[[#This Row],[Closing Stock]]</f>
        <v>0</v>
      </c>
      <c r="N2308">
        <f>Inventory_Data[[#This Row],[Purchase Qty]]*Inventory_Data[[#This Row],[Unit Cost]]</f>
        <v>1018465</v>
      </c>
      <c r="O2308" t="str">
        <f>IF(Inventory_Data[[#This Row],[Closing Stock]]&lt;=Inventory_Data[[#This Row],[Reorder Level]],"Low Stock","In Stock")</f>
        <v>In Stock</v>
      </c>
      <c r="P2308" t="str">
        <f>TEXT(Inventory_Data[[#This Row],[Date]],"MMM")</f>
        <v>May</v>
      </c>
      <c r="Q2308" t="str">
        <f>TEXT(Inventory_Data[[#This Row],[Date]],"YYYY")</f>
        <v>2026</v>
      </c>
    </row>
    <row r="2309" spans="1:17" x14ac:dyDescent="0.3">
      <c r="A2309" s="1">
        <v>46151</v>
      </c>
      <c r="B2309" t="s">
        <v>31</v>
      </c>
      <c r="C2309" t="s">
        <v>22</v>
      </c>
      <c r="D2309" t="s">
        <v>23</v>
      </c>
      <c r="E2309" t="s">
        <v>24</v>
      </c>
      <c r="F2309">
        <v>258</v>
      </c>
      <c r="G2309">
        <v>102</v>
      </c>
      <c r="H2309">
        <v>116</v>
      </c>
      <c r="I2309">
        <v>244</v>
      </c>
      <c r="J2309">
        <v>109</v>
      </c>
      <c r="K2309">
        <v>314</v>
      </c>
      <c r="L2309">
        <v>76616</v>
      </c>
      <c r="M2309">
        <f>Inventory_Data[[#This Row],[Opening Stock]]+Inventory_Data[[#This Row],[Purchase Qty]]-Inventory_Data[[#This Row],[Sales Qty]]-Inventory_Data[[#This Row],[Closing Stock]]</f>
        <v>0</v>
      </c>
      <c r="N2309">
        <f>Inventory_Data[[#This Row],[Purchase Qty]]*Inventory_Data[[#This Row],[Unit Cost]]</f>
        <v>32028</v>
      </c>
      <c r="O2309" t="str">
        <f>IF(Inventory_Data[[#This Row],[Closing Stock]]&lt;=Inventory_Data[[#This Row],[Reorder Level]],"Low Stock","In Stock")</f>
        <v>In Stock</v>
      </c>
      <c r="P2309" t="str">
        <f>TEXT(Inventory_Data[[#This Row],[Date]],"MMM")</f>
        <v>May</v>
      </c>
      <c r="Q2309" t="str">
        <f>TEXT(Inventory_Data[[#This Row],[Date]],"YYYY")</f>
        <v>2026</v>
      </c>
    </row>
    <row r="2310" spans="1:17" x14ac:dyDescent="0.3">
      <c r="A2310" s="1">
        <v>46151</v>
      </c>
      <c r="B2310" t="s">
        <v>41</v>
      </c>
      <c r="C2310" t="s">
        <v>22</v>
      </c>
      <c r="D2310" t="s">
        <v>14</v>
      </c>
      <c r="E2310" t="s">
        <v>18</v>
      </c>
      <c r="F2310">
        <v>417</v>
      </c>
      <c r="G2310">
        <v>200</v>
      </c>
      <c r="H2310">
        <v>143</v>
      </c>
      <c r="I2310">
        <v>474</v>
      </c>
      <c r="J2310">
        <v>92</v>
      </c>
      <c r="K2310">
        <v>984</v>
      </c>
      <c r="L2310">
        <v>466416</v>
      </c>
      <c r="M2310">
        <f>Inventory_Data[[#This Row],[Opening Stock]]+Inventory_Data[[#This Row],[Purchase Qty]]-Inventory_Data[[#This Row],[Sales Qty]]-Inventory_Data[[#This Row],[Closing Stock]]</f>
        <v>0</v>
      </c>
      <c r="N2310">
        <f>Inventory_Data[[#This Row],[Purchase Qty]]*Inventory_Data[[#This Row],[Unit Cost]]</f>
        <v>196800</v>
      </c>
      <c r="O2310" t="str">
        <f>IF(Inventory_Data[[#This Row],[Closing Stock]]&lt;=Inventory_Data[[#This Row],[Reorder Level]],"Low Stock","In Stock")</f>
        <v>In Stock</v>
      </c>
      <c r="P2310" t="str">
        <f>TEXT(Inventory_Data[[#This Row],[Date]],"MMM")</f>
        <v>May</v>
      </c>
      <c r="Q2310" t="str">
        <f>TEXT(Inventory_Data[[#This Row],[Date]],"YYYY")</f>
        <v>2026</v>
      </c>
    </row>
    <row r="2311" spans="1:17" x14ac:dyDescent="0.3">
      <c r="A2311" s="1">
        <v>46151</v>
      </c>
      <c r="B2311" t="s">
        <v>42</v>
      </c>
      <c r="C2311" t="s">
        <v>17</v>
      </c>
      <c r="D2311" t="s">
        <v>37</v>
      </c>
      <c r="E2311" t="s">
        <v>18</v>
      </c>
      <c r="F2311">
        <v>81</v>
      </c>
      <c r="G2311">
        <v>55</v>
      </c>
      <c r="H2311">
        <v>36</v>
      </c>
      <c r="I2311">
        <v>100</v>
      </c>
      <c r="J2311">
        <v>14</v>
      </c>
      <c r="K2311">
        <v>22573</v>
      </c>
      <c r="L2311">
        <v>2257300</v>
      </c>
      <c r="M2311">
        <f>Inventory_Data[[#This Row],[Opening Stock]]+Inventory_Data[[#This Row],[Purchase Qty]]-Inventory_Data[[#This Row],[Sales Qty]]-Inventory_Data[[#This Row],[Closing Stock]]</f>
        <v>0</v>
      </c>
      <c r="N2311">
        <f>Inventory_Data[[#This Row],[Purchase Qty]]*Inventory_Data[[#This Row],[Unit Cost]]</f>
        <v>1241515</v>
      </c>
      <c r="O2311" t="str">
        <f>IF(Inventory_Data[[#This Row],[Closing Stock]]&lt;=Inventory_Data[[#This Row],[Reorder Level]],"Low Stock","In Stock")</f>
        <v>In Stock</v>
      </c>
      <c r="P2311" t="str">
        <f>TEXT(Inventory_Data[[#This Row],[Date]],"MMM")</f>
        <v>May</v>
      </c>
      <c r="Q2311" t="str">
        <f>TEXT(Inventory_Data[[#This Row],[Date]],"YYYY")</f>
        <v>2026</v>
      </c>
    </row>
    <row r="2312" spans="1:17" x14ac:dyDescent="0.3">
      <c r="A2312" s="1">
        <v>46151</v>
      </c>
      <c r="B2312" t="s">
        <v>16</v>
      </c>
      <c r="C2312" t="s">
        <v>17</v>
      </c>
      <c r="D2312" t="s">
        <v>37</v>
      </c>
      <c r="E2312" t="s">
        <v>24</v>
      </c>
      <c r="F2312">
        <v>76</v>
      </c>
      <c r="G2312">
        <v>40</v>
      </c>
      <c r="H2312">
        <v>26</v>
      </c>
      <c r="I2312">
        <v>90</v>
      </c>
      <c r="J2312">
        <v>13</v>
      </c>
      <c r="K2312">
        <v>23703</v>
      </c>
      <c r="L2312">
        <v>2133270</v>
      </c>
      <c r="M2312">
        <f>Inventory_Data[[#This Row],[Opening Stock]]+Inventory_Data[[#This Row],[Purchase Qty]]-Inventory_Data[[#This Row],[Sales Qty]]-Inventory_Data[[#This Row],[Closing Stock]]</f>
        <v>0</v>
      </c>
      <c r="N2312">
        <f>Inventory_Data[[#This Row],[Purchase Qty]]*Inventory_Data[[#This Row],[Unit Cost]]</f>
        <v>948120</v>
      </c>
      <c r="O2312" t="str">
        <f>IF(Inventory_Data[[#This Row],[Closing Stock]]&lt;=Inventory_Data[[#This Row],[Reorder Level]],"Low Stock","In Stock")</f>
        <v>In Stock</v>
      </c>
      <c r="P2312" t="str">
        <f>TEXT(Inventory_Data[[#This Row],[Date]],"MMM")</f>
        <v>May</v>
      </c>
      <c r="Q2312" t="str">
        <f>TEXT(Inventory_Data[[#This Row],[Date]],"YYYY")</f>
        <v>2026</v>
      </c>
    </row>
    <row r="2313" spans="1:17" x14ac:dyDescent="0.3">
      <c r="A2313" s="1">
        <v>46151</v>
      </c>
      <c r="B2313" t="s">
        <v>25</v>
      </c>
      <c r="C2313" t="s">
        <v>17</v>
      </c>
      <c r="D2313" t="s">
        <v>26</v>
      </c>
      <c r="E2313" t="s">
        <v>34</v>
      </c>
      <c r="F2313">
        <v>67</v>
      </c>
      <c r="G2313">
        <v>34</v>
      </c>
      <c r="H2313">
        <v>42</v>
      </c>
      <c r="I2313">
        <v>59</v>
      </c>
      <c r="J2313">
        <v>23</v>
      </c>
      <c r="K2313">
        <v>2548</v>
      </c>
      <c r="L2313">
        <v>150332</v>
      </c>
      <c r="M2313">
        <f>Inventory_Data[[#This Row],[Opening Stock]]+Inventory_Data[[#This Row],[Purchase Qty]]-Inventory_Data[[#This Row],[Sales Qty]]-Inventory_Data[[#This Row],[Closing Stock]]</f>
        <v>0</v>
      </c>
      <c r="N2313">
        <f>Inventory_Data[[#This Row],[Purchase Qty]]*Inventory_Data[[#This Row],[Unit Cost]]</f>
        <v>86632</v>
      </c>
      <c r="O2313" t="str">
        <f>IF(Inventory_Data[[#This Row],[Closing Stock]]&lt;=Inventory_Data[[#This Row],[Reorder Level]],"Low Stock","In Stock")</f>
        <v>In Stock</v>
      </c>
      <c r="P2313" t="str">
        <f>TEXT(Inventory_Data[[#This Row],[Date]],"MMM")</f>
        <v>May</v>
      </c>
      <c r="Q2313" t="str">
        <f>TEXT(Inventory_Data[[#This Row],[Date]],"YYYY")</f>
        <v>2026</v>
      </c>
    </row>
    <row r="2314" spans="1:17" x14ac:dyDescent="0.3">
      <c r="A2314" s="1">
        <v>46151</v>
      </c>
      <c r="B2314" t="s">
        <v>19</v>
      </c>
      <c r="C2314" t="s">
        <v>13</v>
      </c>
      <c r="D2314" t="s">
        <v>37</v>
      </c>
      <c r="E2314" t="s">
        <v>24</v>
      </c>
      <c r="F2314">
        <v>29</v>
      </c>
      <c r="G2314">
        <v>74</v>
      </c>
      <c r="H2314">
        <v>63</v>
      </c>
      <c r="I2314">
        <v>40</v>
      </c>
      <c r="J2314">
        <v>24</v>
      </c>
      <c r="K2314">
        <v>3571</v>
      </c>
      <c r="L2314">
        <v>142840</v>
      </c>
      <c r="M2314">
        <f>Inventory_Data[[#This Row],[Opening Stock]]+Inventory_Data[[#This Row],[Purchase Qty]]-Inventory_Data[[#This Row],[Sales Qty]]-Inventory_Data[[#This Row],[Closing Stock]]</f>
        <v>0</v>
      </c>
      <c r="N2314">
        <f>Inventory_Data[[#This Row],[Purchase Qty]]*Inventory_Data[[#This Row],[Unit Cost]]</f>
        <v>264254</v>
      </c>
      <c r="O2314" t="str">
        <f>IF(Inventory_Data[[#This Row],[Closing Stock]]&lt;=Inventory_Data[[#This Row],[Reorder Level]],"Low Stock","In Stock")</f>
        <v>In Stock</v>
      </c>
      <c r="P2314" t="str">
        <f>TEXT(Inventory_Data[[#This Row],[Date]],"MMM")</f>
        <v>May</v>
      </c>
      <c r="Q2314" t="str">
        <f>TEXT(Inventory_Data[[#This Row],[Date]],"YYYY")</f>
        <v>2026</v>
      </c>
    </row>
    <row r="2315" spans="1:17" x14ac:dyDescent="0.3">
      <c r="A2315" s="1">
        <v>46152</v>
      </c>
      <c r="B2315" t="s">
        <v>36</v>
      </c>
      <c r="C2315" t="s">
        <v>22</v>
      </c>
      <c r="D2315" t="s">
        <v>37</v>
      </c>
      <c r="E2315" t="s">
        <v>24</v>
      </c>
      <c r="F2315">
        <v>279</v>
      </c>
      <c r="G2315">
        <v>49</v>
      </c>
      <c r="H2315">
        <v>50</v>
      </c>
      <c r="I2315">
        <v>278</v>
      </c>
      <c r="J2315">
        <v>69</v>
      </c>
      <c r="K2315">
        <v>969</v>
      </c>
      <c r="L2315">
        <v>269382</v>
      </c>
      <c r="M2315">
        <f>Inventory_Data[[#This Row],[Opening Stock]]+Inventory_Data[[#This Row],[Purchase Qty]]-Inventory_Data[[#This Row],[Sales Qty]]-Inventory_Data[[#This Row],[Closing Stock]]</f>
        <v>0</v>
      </c>
      <c r="N2315">
        <f>Inventory_Data[[#This Row],[Purchase Qty]]*Inventory_Data[[#This Row],[Unit Cost]]</f>
        <v>47481</v>
      </c>
      <c r="O2315" t="str">
        <f>IF(Inventory_Data[[#This Row],[Closing Stock]]&lt;=Inventory_Data[[#This Row],[Reorder Level]],"Low Stock","In Stock")</f>
        <v>In Stock</v>
      </c>
      <c r="P2315" t="str">
        <f>TEXT(Inventory_Data[[#This Row],[Date]],"MMM")</f>
        <v>May</v>
      </c>
      <c r="Q2315" t="str">
        <f>TEXT(Inventory_Data[[#This Row],[Date]],"YYYY")</f>
        <v>2026</v>
      </c>
    </row>
    <row r="2316" spans="1:17" x14ac:dyDescent="0.3">
      <c r="A2316" s="1">
        <v>46152</v>
      </c>
      <c r="B2316" t="s">
        <v>31</v>
      </c>
      <c r="C2316" t="s">
        <v>22</v>
      </c>
      <c r="D2316" t="s">
        <v>14</v>
      </c>
      <c r="E2316" t="s">
        <v>34</v>
      </c>
      <c r="F2316">
        <v>375</v>
      </c>
      <c r="G2316">
        <v>267</v>
      </c>
      <c r="H2316">
        <v>188</v>
      </c>
      <c r="I2316">
        <v>454</v>
      </c>
      <c r="J2316">
        <v>131</v>
      </c>
      <c r="K2316">
        <v>758</v>
      </c>
      <c r="L2316">
        <v>344132</v>
      </c>
      <c r="M2316">
        <f>Inventory_Data[[#This Row],[Opening Stock]]+Inventory_Data[[#This Row],[Purchase Qty]]-Inventory_Data[[#This Row],[Sales Qty]]-Inventory_Data[[#This Row],[Closing Stock]]</f>
        <v>0</v>
      </c>
      <c r="N2316">
        <f>Inventory_Data[[#This Row],[Purchase Qty]]*Inventory_Data[[#This Row],[Unit Cost]]</f>
        <v>202386</v>
      </c>
      <c r="O2316" t="str">
        <f>IF(Inventory_Data[[#This Row],[Closing Stock]]&lt;=Inventory_Data[[#This Row],[Reorder Level]],"Low Stock","In Stock")</f>
        <v>In Stock</v>
      </c>
      <c r="P2316" t="str">
        <f>TEXT(Inventory_Data[[#This Row],[Date]],"MMM")</f>
        <v>May</v>
      </c>
      <c r="Q2316" t="str">
        <f>TEXT(Inventory_Data[[#This Row],[Date]],"YYYY")</f>
        <v>2026</v>
      </c>
    </row>
    <row r="2317" spans="1:17" x14ac:dyDescent="0.3">
      <c r="A2317" s="1">
        <v>46152</v>
      </c>
      <c r="B2317" t="s">
        <v>41</v>
      </c>
      <c r="C2317" t="s">
        <v>22</v>
      </c>
      <c r="D2317" t="s">
        <v>37</v>
      </c>
      <c r="E2317" t="s">
        <v>34</v>
      </c>
      <c r="F2317">
        <v>218</v>
      </c>
      <c r="G2317">
        <v>159</v>
      </c>
      <c r="H2317">
        <v>28</v>
      </c>
      <c r="I2317">
        <v>349</v>
      </c>
      <c r="J2317">
        <v>51</v>
      </c>
      <c r="K2317">
        <v>532</v>
      </c>
      <c r="L2317">
        <v>185668</v>
      </c>
      <c r="M2317">
        <f>Inventory_Data[[#This Row],[Opening Stock]]+Inventory_Data[[#This Row],[Purchase Qty]]-Inventory_Data[[#This Row],[Sales Qty]]-Inventory_Data[[#This Row],[Closing Stock]]</f>
        <v>0</v>
      </c>
      <c r="N2317">
        <f>Inventory_Data[[#This Row],[Purchase Qty]]*Inventory_Data[[#This Row],[Unit Cost]]</f>
        <v>84588</v>
      </c>
      <c r="O2317" t="str">
        <f>IF(Inventory_Data[[#This Row],[Closing Stock]]&lt;=Inventory_Data[[#This Row],[Reorder Level]],"Low Stock","In Stock")</f>
        <v>In Stock</v>
      </c>
      <c r="P2317" t="str">
        <f>TEXT(Inventory_Data[[#This Row],[Date]],"MMM")</f>
        <v>May</v>
      </c>
      <c r="Q2317" t="str">
        <f>TEXT(Inventory_Data[[#This Row],[Date]],"YYYY")</f>
        <v>2026</v>
      </c>
    </row>
    <row r="2318" spans="1:17" x14ac:dyDescent="0.3">
      <c r="A2318" s="1">
        <v>46152</v>
      </c>
      <c r="B2318" t="s">
        <v>21</v>
      </c>
      <c r="C2318" t="s">
        <v>22</v>
      </c>
      <c r="D2318" t="s">
        <v>37</v>
      </c>
      <c r="E2318" t="s">
        <v>18</v>
      </c>
      <c r="F2318">
        <v>106</v>
      </c>
      <c r="G2318">
        <v>96</v>
      </c>
      <c r="H2318">
        <v>55</v>
      </c>
      <c r="I2318">
        <v>147</v>
      </c>
      <c r="J2318">
        <v>59</v>
      </c>
      <c r="K2318">
        <v>625</v>
      </c>
      <c r="L2318">
        <v>91875</v>
      </c>
      <c r="M2318">
        <f>Inventory_Data[[#This Row],[Opening Stock]]+Inventory_Data[[#This Row],[Purchase Qty]]-Inventory_Data[[#This Row],[Sales Qty]]-Inventory_Data[[#This Row],[Closing Stock]]</f>
        <v>0</v>
      </c>
      <c r="N2318">
        <f>Inventory_Data[[#This Row],[Purchase Qty]]*Inventory_Data[[#This Row],[Unit Cost]]</f>
        <v>60000</v>
      </c>
      <c r="O2318" t="str">
        <f>IF(Inventory_Data[[#This Row],[Closing Stock]]&lt;=Inventory_Data[[#This Row],[Reorder Level]],"Low Stock","In Stock")</f>
        <v>In Stock</v>
      </c>
      <c r="P2318" t="str">
        <f>TEXT(Inventory_Data[[#This Row],[Date]],"MMM")</f>
        <v>May</v>
      </c>
      <c r="Q2318" t="str">
        <f>TEXT(Inventory_Data[[#This Row],[Date]],"YYYY")</f>
        <v>2026</v>
      </c>
    </row>
    <row r="2319" spans="1:17" x14ac:dyDescent="0.3">
      <c r="A2319" s="1">
        <v>46152</v>
      </c>
      <c r="B2319" t="s">
        <v>44</v>
      </c>
      <c r="C2319" t="s">
        <v>28</v>
      </c>
      <c r="D2319" t="s">
        <v>37</v>
      </c>
      <c r="E2319" t="s">
        <v>34</v>
      </c>
      <c r="F2319">
        <v>21</v>
      </c>
      <c r="G2319">
        <v>50</v>
      </c>
      <c r="H2319">
        <v>71</v>
      </c>
      <c r="I2319">
        <v>0</v>
      </c>
      <c r="J2319">
        <v>56</v>
      </c>
      <c r="K2319">
        <v>47002</v>
      </c>
      <c r="L2319">
        <v>0</v>
      </c>
      <c r="M2319">
        <f>Inventory_Data[[#This Row],[Opening Stock]]+Inventory_Data[[#This Row],[Purchase Qty]]-Inventory_Data[[#This Row],[Sales Qty]]-Inventory_Data[[#This Row],[Closing Stock]]</f>
        <v>0</v>
      </c>
      <c r="N2319">
        <f>Inventory_Data[[#This Row],[Purchase Qty]]*Inventory_Data[[#This Row],[Unit Cost]]</f>
        <v>2350100</v>
      </c>
      <c r="O2319" t="str">
        <f>IF(Inventory_Data[[#This Row],[Closing Stock]]&lt;=Inventory_Data[[#This Row],[Reorder Level]],"Low Stock","In Stock")</f>
        <v>Low Stock</v>
      </c>
      <c r="P2319" t="str">
        <f>TEXT(Inventory_Data[[#This Row],[Date]],"MMM")</f>
        <v>May</v>
      </c>
      <c r="Q2319" t="str">
        <f>TEXT(Inventory_Data[[#This Row],[Date]],"YYYY")</f>
        <v>2026</v>
      </c>
    </row>
    <row r="2320" spans="1:17" x14ac:dyDescent="0.3">
      <c r="A2320" s="1">
        <v>46153</v>
      </c>
      <c r="B2320" t="s">
        <v>42</v>
      </c>
      <c r="C2320" t="s">
        <v>17</v>
      </c>
      <c r="D2320" t="s">
        <v>26</v>
      </c>
      <c r="E2320" t="s">
        <v>34</v>
      </c>
      <c r="F2320">
        <v>48</v>
      </c>
      <c r="G2320">
        <v>32</v>
      </c>
      <c r="H2320">
        <v>31</v>
      </c>
      <c r="I2320">
        <v>49</v>
      </c>
      <c r="J2320">
        <v>12</v>
      </c>
      <c r="K2320">
        <v>6144</v>
      </c>
      <c r="L2320">
        <v>301056</v>
      </c>
      <c r="M2320">
        <f>Inventory_Data[[#This Row],[Opening Stock]]+Inventory_Data[[#This Row],[Purchase Qty]]-Inventory_Data[[#This Row],[Sales Qty]]-Inventory_Data[[#This Row],[Closing Stock]]</f>
        <v>0</v>
      </c>
      <c r="N2320">
        <f>Inventory_Data[[#This Row],[Purchase Qty]]*Inventory_Data[[#This Row],[Unit Cost]]</f>
        <v>196608</v>
      </c>
      <c r="O2320" t="str">
        <f>IF(Inventory_Data[[#This Row],[Closing Stock]]&lt;=Inventory_Data[[#This Row],[Reorder Level]],"Low Stock","In Stock")</f>
        <v>In Stock</v>
      </c>
      <c r="P2320" t="str">
        <f>TEXT(Inventory_Data[[#This Row],[Date]],"MMM")</f>
        <v>May</v>
      </c>
      <c r="Q2320" t="str">
        <f>TEXT(Inventory_Data[[#This Row],[Date]],"YYYY")</f>
        <v>2026</v>
      </c>
    </row>
    <row r="2321" spans="1:17" x14ac:dyDescent="0.3">
      <c r="A2321" s="1">
        <v>46153</v>
      </c>
      <c r="B2321" t="s">
        <v>43</v>
      </c>
      <c r="C2321" t="s">
        <v>22</v>
      </c>
      <c r="D2321" t="s">
        <v>14</v>
      </c>
      <c r="E2321" t="s">
        <v>24</v>
      </c>
      <c r="F2321">
        <v>58</v>
      </c>
      <c r="G2321">
        <v>44</v>
      </c>
      <c r="H2321">
        <v>102</v>
      </c>
      <c r="I2321">
        <v>0</v>
      </c>
      <c r="J2321">
        <v>90</v>
      </c>
      <c r="K2321">
        <v>245</v>
      </c>
      <c r="L2321">
        <v>0</v>
      </c>
      <c r="M2321">
        <f>Inventory_Data[[#This Row],[Opening Stock]]+Inventory_Data[[#This Row],[Purchase Qty]]-Inventory_Data[[#This Row],[Sales Qty]]-Inventory_Data[[#This Row],[Closing Stock]]</f>
        <v>0</v>
      </c>
      <c r="N2321">
        <f>Inventory_Data[[#This Row],[Purchase Qty]]*Inventory_Data[[#This Row],[Unit Cost]]</f>
        <v>10780</v>
      </c>
      <c r="O2321" t="str">
        <f>IF(Inventory_Data[[#This Row],[Closing Stock]]&lt;=Inventory_Data[[#This Row],[Reorder Level]],"Low Stock","In Stock")</f>
        <v>Low Stock</v>
      </c>
      <c r="P2321" t="str">
        <f>TEXT(Inventory_Data[[#This Row],[Date]],"MMM")</f>
        <v>May</v>
      </c>
      <c r="Q2321" t="str">
        <f>TEXT(Inventory_Data[[#This Row],[Date]],"YYYY")</f>
        <v>2026</v>
      </c>
    </row>
    <row r="2322" spans="1:17" x14ac:dyDescent="0.3">
      <c r="A2322" s="1">
        <v>46153</v>
      </c>
      <c r="B2322" t="s">
        <v>35</v>
      </c>
      <c r="C2322" t="s">
        <v>22</v>
      </c>
      <c r="D2322" t="s">
        <v>26</v>
      </c>
      <c r="E2322" t="s">
        <v>18</v>
      </c>
      <c r="F2322">
        <v>411</v>
      </c>
      <c r="G2322">
        <v>192</v>
      </c>
      <c r="H2322">
        <v>17</v>
      </c>
      <c r="I2322">
        <v>586</v>
      </c>
      <c r="J2322">
        <v>71</v>
      </c>
      <c r="K2322">
        <v>878</v>
      </c>
      <c r="L2322">
        <v>514508</v>
      </c>
      <c r="M2322">
        <f>Inventory_Data[[#This Row],[Opening Stock]]+Inventory_Data[[#This Row],[Purchase Qty]]-Inventory_Data[[#This Row],[Sales Qty]]-Inventory_Data[[#This Row],[Closing Stock]]</f>
        <v>0</v>
      </c>
      <c r="N2322">
        <f>Inventory_Data[[#This Row],[Purchase Qty]]*Inventory_Data[[#This Row],[Unit Cost]]</f>
        <v>168576</v>
      </c>
      <c r="O2322" t="str">
        <f>IF(Inventory_Data[[#This Row],[Closing Stock]]&lt;=Inventory_Data[[#This Row],[Reorder Level]],"Low Stock","In Stock")</f>
        <v>In Stock</v>
      </c>
      <c r="P2322" t="str">
        <f>TEXT(Inventory_Data[[#This Row],[Date]],"MMM")</f>
        <v>May</v>
      </c>
      <c r="Q2322" t="str">
        <f>TEXT(Inventory_Data[[#This Row],[Date]],"YYYY")</f>
        <v>2026</v>
      </c>
    </row>
    <row r="2323" spans="1:17" x14ac:dyDescent="0.3">
      <c r="A2323" s="1">
        <v>46153</v>
      </c>
      <c r="B2323" t="s">
        <v>32</v>
      </c>
      <c r="C2323" t="s">
        <v>28</v>
      </c>
      <c r="D2323" t="s">
        <v>26</v>
      </c>
      <c r="E2323" t="s">
        <v>24</v>
      </c>
      <c r="F2323">
        <v>175</v>
      </c>
      <c r="G2323">
        <v>27</v>
      </c>
      <c r="H2323">
        <v>92</v>
      </c>
      <c r="I2323">
        <v>110</v>
      </c>
      <c r="J2323">
        <v>52</v>
      </c>
      <c r="K2323">
        <v>49260</v>
      </c>
      <c r="L2323">
        <v>5418600</v>
      </c>
      <c r="M2323">
        <f>Inventory_Data[[#This Row],[Opening Stock]]+Inventory_Data[[#This Row],[Purchase Qty]]-Inventory_Data[[#This Row],[Sales Qty]]-Inventory_Data[[#This Row],[Closing Stock]]</f>
        <v>0</v>
      </c>
      <c r="N2323">
        <f>Inventory_Data[[#This Row],[Purchase Qty]]*Inventory_Data[[#This Row],[Unit Cost]]</f>
        <v>1330020</v>
      </c>
      <c r="O2323" t="str">
        <f>IF(Inventory_Data[[#This Row],[Closing Stock]]&lt;=Inventory_Data[[#This Row],[Reorder Level]],"Low Stock","In Stock")</f>
        <v>In Stock</v>
      </c>
      <c r="P2323" t="str">
        <f>TEXT(Inventory_Data[[#This Row],[Date]],"MMM")</f>
        <v>May</v>
      </c>
      <c r="Q2323" t="str">
        <f>TEXT(Inventory_Data[[#This Row],[Date]],"YYYY")</f>
        <v>2026</v>
      </c>
    </row>
    <row r="2324" spans="1:17" x14ac:dyDescent="0.3">
      <c r="A2324" s="1">
        <v>46153</v>
      </c>
      <c r="B2324" t="s">
        <v>12</v>
      </c>
      <c r="C2324" t="s">
        <v>13</v>
      </c>
      <c r="D2324" t="s">
        <v>14</v>
      </c>
      <c r="E2324" t="s">
        <v>18</v>
      </c>
      <c r="F2324">
        <v>98</v>
      </c>
      <c r="G2324">
        <v>29</v>
      </c>
      <c r="H2324">
        <v>42</v>
      </c>
      <c r="I2324">
        <v>85</v>
      </c>
      <c r="J2324">
        <v>33</v>
      </c>
      <c r="K2324">
        <v>7644</v>
      </c>
      <c r="L2324">
        <v>649740</v>
      </c>
      <c r="M2324">
        <f>Inventory_Data[[#This Row],[Opening Stock]]+Inventory_Data[[#This Row],[Purchase Qty]]-Inventory_Data[[#This Row],[Sales Qty]]-Inventory_Data[[#This Row],[Closing Stock]]</f>
        <v>0</v>
      </c>
      <c r="N2324">
        <f>Inventory_Data[[#This Row],[Purchase Qty]]*Inventory_Data[[#This Row],[Unit Cost]]</f>
        <v>221676</v>
      </c>
      <c r="O2324" t="str">
        <f>IF(Inventory_Data[[#This Row],[Closing Stock]]&lt;=Inventory_Data[[#This Row],[Reorder Level]],"Low Stock","In Stock")</f>
        <v>In Stock</v>
      </c>
      <c r="P2324" t="str">
        <f>TEXT(Inventory_Data[[#This Row],[Date]],"MMM")</f>
        <v>May</v>
      </c>
      <c r="Q2324" t="str">
        <f>TEXT(Inventory_Data[[#This Row],[Date]],"YYYY")</f>
        <v>2026</v>
      </c>
    </row>
    <row r="2325" spans="1:17" x14ac:dyDescent="0.3">
      <c r="A2325" s="1">
        <v>46153</v>
      </c>
      <c r="B2325" t="s">
        <v>21</v>
      </c>
      <c r="C2325" t="s">
        <v>22</v>
      </c>
      <c r="D2325" t="s">
        <v>23</v>
      </c>
      <c r="E2325" t="s">
        <v>15</v>
      </c>
      <c r="F2325">
        <v>475</v>
      </c>
      <c r="G2325">
        <v>274</v>
      </c>
      <c r="H2325">
        <v>96</v>
      </c>
      <c r="I2325">
        <v>653</v>
      </c>
      <c r="J2325">
        <v>113</v>
      </c>
      <c r="K2325">
        <v>730</v>
      </c>
      <c r="L2325">
        <v>476690</v>
      </c>
      <c r="M2325">
        <f>Inventory_Data[[#This Row],[Opening Stock]]+Inventory_Data[[#This Row],[Purchase Qty]]-Inventory_Data[[#This Row],[Sales Qty]]-Inventory_Data[[#This Row],[Closing Stock]]</f>
        <v>0</v>
      </c>
      <c r="N2325">
        <f>Inventory_Data[[#This Row],[Purchase Qty]]*Inventory_Data[[#This Row],[Unit Cost]]</f>
        <v>200020</v>
      </c>
      <c r="O2325" t="str">
        <f>IF(Inventory_Data[[#This Row],[Closing Stock]]&lt;=Inventory_Data[[#This Row],[Reorder Level]],"Low Stock","In Stock")</f>
        <v>In Stock</v>
      </c>
      <c r="P2325" t="str">
        <f>TEXT(Inventory_Data[[#This Row],[Date]],"MMM")</f>
        <v>May</v>
      </c>
      <c r="Q2325" t="str">
        <f>TEXT(Inventory_Data[[#This Row],[Date]],"YYYY")</f>
        <v>2026</v>
      </c>
    </row>
    <row r="2326" spans="1:17" x14ac:dyDescent="0.3">
      <c r="A2326" s="1">
        <v>46154</v>
      </c>
      <c r="B2326" t="s">
        <v>30</v>
      </c>
      <c r="C2326" t="s">
        <v>28</v>
      </c>
      <c r="D2326" t="s">
        <v>14</v>
      </c>
      <c r="E2326" t="s">
        <v>15</v>
      </c>
      <c r="F2326">
        <v>59</v>
      </c>
      <c r="G2326">
        <v>90</v>
      </c>
      <c r="H2326">
        <v>93</v>
      </c>
      <c r="I2326">
        <v>56</v>
      </c>
      <c r="J2326">
        <v>31</v>
      </c>
      <c r="K2326">
        <v>57053</v>
      </c>
      <c r="L2326">
        <v>3194968</v>
      </c>
      <c r="M2326">
        <f>Inventory_Data[[#This Row],[Opening Stock]]+Inventory_Data[[#This Row],[Purchase Qty]]-Inventory_Data[[#This Row],[Sales Qty]]-Inventory_Data[[#This Row],[Closing Stock]]</f>
        <v>0</v>
      </c>
      <c r="N2326">
        <f>Inventory_Data[[#This Row],[Purchase Qty]]*Inventory_Data[[#This Row],[Unit Cost]]</f>
        <v>5134770</v>
      </c>
      <c r="O2326" t="str">
        <f>IF(Inventory_Data[[#This Row],[Closing Stock]]&lt;=Inventory_Data[[#This Row],[Reorder Level]],"Low Stock","In Stock")</f>
        <v>In Stock</v>
      </c>
      <c r="P2326" t="str">
        <f>TEXT(Inventory_Data[[#This Row],[Date]],"MMM")</f>
        <v>May</v>
      </c>
      <c r="Q2326" t="str">
        <f>TEXT(Inventory_Data[[#This Row],[Date]],"YYYY")</f>
        <v>2026</v>
      </c>
    </row>
    <row r="2327" spans="1:17" x14ac:dyDescent="0.3">
      <c r="A2327" s="1">
        <v>46154</v>
      </c>
      <c r="B2327" t="s">
        <v>31</v>
      </c>
      <c r="C2327" t="s">
        <v>22</v>
      </c>
      <c r="D2327" t="s">
        <v>23</v>
      </c>
      <c r="E2327" t="s">
        <v>18</v>
      </c>
      <c r="F2327">
        <v>138</v>
      </c>
      <c r="G2327">
        <v>270</v>
      </c>
      <c r="H2327">
        <v>275</v>
      </c>
      <c r="I2327">
        <v>133</v>
      </c>
      <c r="J2327">
        <v>74</v>
      </c>
      <c r="K2327">
        <v>242</v>
      </c>
      <c r="L2327">
        <v>32186</v>
      </c>
      <c r="M2327">
        <f>Inventory_Data[[#This Row],[Opening Stock]]+Inventory_Data[[#This Row],[Purchase Qty]]-Inventory_Data[[#This Row],[Sales Qty]]-Inventory_Data[[#This Row],[Closing Stock]]</f>
        <v>0</v>
      </c>
      <c r="N2327">
        <f>Inventory_Data[[#This Row],[Purchase Qty]]*Inventory_Data[[#This Row],[Unit Cost]]</f>
        <v>65340</v>
      </c>
      <c r="O2327" t="str">
        <f>IF(Inventory_Data[[#This Row],[Closing Stock]]&lt;=Inventory_Data[[#This Row],[Reorder Level]],"Low Stock","In Stock")</f>
        <v>In Stock</v>
      </c>
      <c r="P2327" t="str">
        <f>TEXT(Inventory_Data[[#This Row],[Date]],"MMM")</f>
        <v>May</v>
      </c>
      <c r="Q2327" t="str">
        <f>TEXT(Inventory_Data[[#This Row],[Date]],"YYYY")</f>
        <v>2026</v>
      </c>
    </row>
    <row r="2328" spans="1:17" x14ac:dyDescent="0.3">
      <c r="A2328" s="1">
        <v>46154</v>
      </c>
      <c r="B2328" t="s">
        <v>12</v>
      </c>
      <c r="C2328" t="s">
        <v>13</v>
      </c>
      <c r="D2328" t="s">
        <v>26</v>
      </c>
      <c r="E2328" t="s">
        <v>18</v>
      </c>
      <c r="F2328">
        <v>61</v>
      </c>
      <c r="G2328">
        <v>16</v>
      </c>
      <c r="H2328">
        <v>64</v>
      </c>
      <c r="I2328">
        <v>13</v>
      </c>
      <c r="J2328">
        <v>38</v>
      </c>
      <c r="K2328">
        <v>12555</v>
      </c>
      <c r="L2328">
        <v>163215</v>
      </c>
      <c r="M2328">
        <f>Inventory_Data[[#This Row],[Opening Stock]]+Inventory_Data[[#This Row],[Purchase Qty]]-Inventory_Data[[#This Row],[Sales Qty]]-Inventory_Data[[#This Row],[Closing Stock]]</f>
        <v>0</v>
      </c>
      <c r="N2328">
        <f>Inventory_Data[[#This Row],[Purchase Qty]]*Inventory_Data[[#This Row],[Unit Cost]]</f>
        <v>200880</v>
      </c>
      <c r="O2328" t="str">
        <f>IF(Inventory_Data[[#This Row],[Closing Stock]]&lt;=Inventory_Data[[#This Row],[Reorder Level]],"Low Stock","In Stock")</f>
        <v>Low Stock</v>
      </c>
      <c r="P2328" t="str">
        <f>TEXT(Inventory_Data[[#This Row],[Date]],"MMM")</f>
        <v>May</v>
      </c>
      <c r="Q2328" t="str">
        <f>TEXT(Inventory_Data[[#This Row],[Date]],"YYYY")</f>
        <v>2026</v>
      </c>
    </row>
    <row r="2329" spans="1:17" x14ac:dyDescent="0.3">
      <c r="A2329" s="1">
        <v>46155</v>
      </c>
      <c r="B2329" t="s">
        <v>44</v>
      </c>
      <c r="C2329" t="s">
        <v>28</v>
      </c>
      <c r="D2329" t="s">
        <v>14</v>
      </c>
      <c r="E2329" t="s">
        <v>24</v>
      </c>
      <c r="F2329">
        <v>44</v>
      </c>
      <c r="G2329">
        <v>115</v>
      </c>
      <c r="H2329">
        <v>20</v>
      </c>
      <c r="I2329">
        <v>139</v>
      </c>
      <c r="J2329">
        <v>32</v>
      </c>
      <c r="K2329">
        <v>7924</v>
      </c>
      <c r="L2329">
        <v>1101436</v>
      </c>
      <c r="M2329">
        <f>Inventory_Data[[#This Row],[Opening Stock]]+Inventory_Data[[#This Row],[Purchase Qty]]-Inventory_Data[[#This Row],[Sales Qty]]-Inventory_Data[[#This Row],[Closing Stock]]</f>
        <v>0</v>
      </c>
      <c r="N2329">
        <f>Inventory_Data[[#This Row],[Purchase Qty]]*Inventory_Data[[#This Row],[Unit Cost]]</f>
        <v>911260</v>
      </c>
      <c r="O2329" t="str">
        <f>IF(Inventory_Data[[#This Row],[Closing Stock]]&lt;=Inventory_Data[[#This Row],[Reorder Level]],"Low Stock","In Stock")</f>
        <v>In Stock</v>
      </c>
      <c r="P2329" t="str">
        <f>TEXT(Inventory_Data[[#This Row],[Date]],"MMM")</f>
        <v>May</v>
      </c>
      <c r="Q2329" t="str">
        <f>TEXT(Inventory_Data[[#This Row],[Date]],"YYYY")</f>
        <v>2026</v>
      </c>
    </row>
    <row r="2330" spans="1:17" x14ac:dyDescent="0.3">
      <c r="A2330" s="1">
        <v>46155</v>
      </c>
      <c r="B2330" t="s">
        <v>30</v>
      </c>
      <c r="C2330" t="s">
        <v>28</v>
      </c>
      <c r="D2330" t="s">
        <v>26</v>
      </c>
      <c r="E2330" t="s">
        <v>18</v>
      </c>
      <c r="F2330">
        <v>105</v>
      </c>
      <c r="G2330">
        <v>55</v>
      </c>
      <c r="H2330">
        <v>94</v>
      </c>
      <c r="I2330">
        <v>66</v>
      </c>
      <c r="J2330">
        <v>47</v>
      </c>
      <c r="K2330">
        <v>6105</v>
      </c>
      <c r="L2330">
        <v>402930</v>
      </c>
      <c r="M2330">
        <f>Inventory_Data[[#This Row],[Opening Stock]]+Inventory_Data[[#This Row],[Purchase Qty]]-Inventory_Data[[#This Row],[Sales Qty]]-Inventory_Data[[#This Row],[Closing Stock]]</f>
        <v>0</v>
      </c>
      <c r="N2330">
        <f>Inventory_Data[[#This Row],[Purchase Qty]]*Inventory_Data[[#This Row],[Unit Cost]]</f>
        <v>335775</v>
      </c>
      <c r="O2330" t="str">
        <f>IF(Inventory_Data[[#This Row],[Closing Stock]]&lt;=Inventory_Data[[#This Row],[Reorder Level]],"Low Stock","In Stock")</f>
        <v>In Stock</v>
      </c>
      <c r="P2330" t="str">
        <f>TEXT(Inventory_Data[[#This Row],[Date]],"MMM")</f>
        <v>May</v>
      </c>
      <c r="Q2330" t="str">
        <f>TEXT(Inventory_Data[[#This Row],[Date]],"YYYY")</f>
        <v>2026</v>
      </c>
    </row>
    <row r="2331" spans="1:17" x14ac:dyDescent="0.3">
      <c r="A2331" s="1">
        <v>46155</v>
      </c>
      <c r="B2331" t="s">
        <v>40</v>
      </c>
      <c r="C2331" t="s">
        <v>28</v>
      </c>
      <c r="D2331" t="s">
        <v>23</v>
      </c>
      <c r="E2331" t="s">
        <v>29</v>
      </c>
      <c r="F2331">
        <v>44</v>
      </c>
      <c r="G2331">
        <v>90</v>
      </c>
      <c r="H2331">
        <v>57</v>
      </c>
      <c r="I2331">
        <v>77</v>
      </c>
      <c r="J2331">
        <v>42</v>
      </c>
      <c r="K2331">
        <v>43328</v>
      </c>
      <c r="L2331">
        <v>3336256</v>
      </c>
      <c r="M2331">
        <f>Inventory_Data[[#This Row],[Opening Stock]]+Inventory_Data[[#This Row],[Purchase Qty]]-Inventory_Data[[#This Row],[Sales Qty]]-Inventory_Data[[#This Row],[Closing Stock]]</f>
        <v>0</v>
      </c>
      <c r="N2331">
        <f>Inventory_Data[[#This Row],[Purchase Qty]]*Inventory_Data[[#This Row],[Unit Cost]]</f>
        <v>3899520</v>
      </c>
      <c r="O2331" t="str">
        <f>IF(Inventory_Data[[#This Row],[Closing Stock]]&lt;=Inventory_Data[[#This Row],[Reorder Level]],"Low Stock","In Stock")</f>
        <v>In Stock</v>
      </c>
      <c r="P2331" t="str">
        <f>TEXT(Inventory_Data[[#This Row],[Date]],"MMM")</f>
        <v>May</v>
      </c>
      <c r="Q2331" t="str">
        <f>TEXT(Inventory_Data[[#This Row],[Date]],"YYYY")</f>
        <v>2026</v>
      </c>
    </row>
    <row r="2332" spans="1:17" x14ac:dyDescent="0.3">
      <c r="A2332" s="1">
        <v>46155</v>
      </c>
      <c r="B2332" t="s">
        <v>35</v>
      </c>
      <c r="C2332" t="s">
        <v>22</v>
      </c>
      <c r="D2332" t="s">
        <v>37</v>
      </c>
      <c r="E2332" t="s">
        <v>20</v>
      </c>
      <c r="F2332">
        <v>479</v>
      </c>
      <c r="G2332">
        <v>45</v>
      </c>
      <c r="H2332">
        <v>274</v>
      </c>
      <c r="I2332">
        <v>250</v>
      </c>
      <c r="J2332">
        <v>121</v>
      </c>
      <c r="K2332">
        <v>455</v>
      </c>
      <c r="L2332">
        <v>113750</v>
      </c>
      <c r="M2332">
        <f>Inventory_Data[[#This Row],[Opening Stock]]+Inventory_Data[[#This Row],[Purchase Qty]]-Inventory_Data[[#This Row],[Sales Qty]]-Inventory_Data[[#This Row],[Closing Stock]]</f>
        <v>0</v>
      </c>
      <c r="N2332">
        <f>Inventory_Data[[#This Row],[Purchase Qty]]*Inventory_Data[[#This Row],[Unit Cost]]</f>
        <v>20475</v>
      </c>
      <c r="O2332" t="str">
        <f>IF(Inventory_Data[[#This Row],[Closing Stock]]&lt;=Inventory_Data[[#This Row],[Reorder Level]],"Low Stock","In Stock")</f>
        <v>In Stock</v>
      </c>
      <c r="P2332" t="str">
        <f>TEXT(Inventory_Data[[#This Row],[Date]],"MMM")</f>
        <v>May</v>
      </c>
      <c r="Q2332" t="str">
        <f>TEXT(Inventory_Data[[#This Row],[Date]],"YYYY")</f>
        <v>2026</v>
      </c>
    </row>
    <row r="2333" spans="1:17" x14ac:dyDescent="0.3">
      <c r="A2333" s="1">
        <v>46155</v>
      </c>
      <c r="B2333" t="s">
        <v>42</v>
      </c>
      <c r="C2333" t="s">
        <v>17</v>
      </c>
      <c r="D2333" t="s">
        <v>37</v>
      </c>
      <c r="E2333" t="s">
        <v>20</v>
      </c>
      <c r="F2333">
        <v>37</v>
      </c>
      <c r="G2333">
        <v>47</v>
      </c>
      <c r="H2333">
        <v>27</v>
      </c>
      <c r="I2333">
        <v>57</v>
      </c>
      <c r="J2333">
        <v>28</v>
      </c>
      <c r="K2333">
        <v>18804</v>
      </c>
      <c r="L2333">
        <v>1071828</v>
      </c>
      <c r="M2333">
        <f>Inventory_Data[[#This Row],[Opening Stock]]+Inventory_Data[[#This Row],[Purchase Qty]]-Inventory_Data[[#This Row],[Sales Qty]]-Inventory_Data[[#This Row],[Closing Stock]]</f>
        <v>0</v>
      </c>
      <c r="N2333">
        <f>Inventory_Data[[#This Row],[Purchase Qty]]*Inventory_Data[[#This Row],[Unit Cost]]</f>
        <v>883788</v>
      </c>
      <c r="O2333" t="str">
        <f>IF(Inventory_Data[[#This Row],[Closing Stock]]&lt;=Inventory_Data[[#This Row],[Reorder Level]],"Low Stock","In Stock")</f>
        <v>In Stock</v>
      </c>
      <c r="P2333" t="str">
        <f>TEXT(Inventory_Data[[#This Row],[Date]],"MMM")</f>
        <v>May</v>
      </c>
      <c r="Q2333" t="str">
        <f>TEXT(Inventory_Data[[#This Row],[Date]],"YYYY")</f>
        <v>2026</v>
      </c>
    </row>
    <row r="2334" spans="1:17" x14ac:dyDescent="0.3">
      <c r="A2334" s="1">
        <v>46155</v>
      </c>
      <c r="B2334" t="s">
        <v>43</v>
      </c>
      <c r="C2334" t="s">
        <v>22</v>
      </c>
      <c r="D2334" t="s">
        <v>37</v>
      </c>
      <c r="E2334" t="s">
        <v>15</v>
      </c>
      <c r="F2334">
        <v>433</v>
      </c>
      <c r="G2334">
        <v>207</v>
      </c>
      <c r="H2334">
        <v>86</v>
      </c>
      <c r="I2334">
        <v>554</v>
      </c>
      <c r="J2334">
        <v>145</v>
      </c>
      <c r="K2334">
        <v>719</v>
      </c>
      <c r="L2334">
        <v>398326</v>
      </c>
      <c r="M2334">
        <f>Inventory_Data[[#This Row],[Opening Stock]]+Inventory_Data[[#This Row],[Purchase Qty]]-Inventory_Data[[#This Row],[Sales Qty]]-Inventory_Data[[#This Row],[Closing Stock]]</f>
        <v>0</v>
      </c>
      <c r="N2334">
        <f>Inventory_Data[[#This Row],[Purchase Qty]]*Inventory_Data[[#This Row],[Unit Cost]]</f>
        <v>148833</v>
      </c>
      <c r="O2334" t="str">
        <f>IF(Inventory_Data[[#This Row],[Closing Stock]]&lt;=Inventory_Data[[#This Row],[Reorder Level]],"Low Stock","In Stock")</f>
        <v>In Stock</v>
      </c>
      <c r="P2334" t="str">
        <f>TEXT(Inventory_Data[[#This Row],[Date]],"MMM")</f>
        <v>May</v>
      </c>
      <c r="Q2334" t="str">
        <f>TEXT(Inventory_Data[[#This Row],[Date]],"YYYY")</f>
        <v>2026</v>
      </c>
    </row>
    <row r="2335" spans="1:17" x14ac:dyDescent="0.3">
      <c r="A2335" s="1">
        <v>46155</v>
      </c>
      <c r="B2335" t="s">
        <v>38</v>
      </c>
      <c r="C2335" t="s">
        <v>17</v>
      </c>
      <c r="D2335" t="s">
        <v>26</v>
      </c>
      <c r="E2335" t="s">
        <v>20</v>
      </c>
      <c r="F2335">
        <v>52</v>
      </c>
      <c r="G2335">
        <v>40</v>
      </c>
      <c r="H2335">
        <v>15</v>
      </c>
      <c r="I2335">
        <v>77</v>
      </c>
      <c r="J2335">
        <v>17</v>
      </c>
      <c r="K2335">
        <v>18605</v>
      </c>
      <c r="L2335">
        <v>1432585</v>
      </c>
      <c r="M2335">
        <f>Inventory_Data[[#This Row],[Opening Stock]]+Inventory_Data[[#This Row],[Purchase Qty]]-Inventory_Data[[#This Row],[Sales Qty]]-Inventory_Data[[#This Row],[Closing Stock]]</f>
        <v>0</v>
      </c>
      <c r="N2335">
        <f>Inventory_Data[[#This Row],[Purchase Qty]]*Inventory_Data[[#This Row],[Unit Cost]]</f>
        <v>744200</v>
      </c>
      <c r="O2335" t="str">
        <f>IF(Inventory_Data[[#This Row],[Closing Stock]]&lt;=Inventory_Data[[#This Row],[Reorder Level]],"Low Stock","In Stock")</f>
        <v>In Stock</v>
      </c>
      <c r="P2335" t="str">
        <f>TEXT(Inventory_Data[[#This Row],[Date]],"MMM")</f>
        <v>May</v>
      </c>
      <c r="Q2335" t="str">
        <f>TEXT(Inventory_Data[[#This Row],[Date]],"YYYY")</f>
        <v>2026</v>
      </c>
    </row>
    <row r="2336" spans="1:17" x14ac:dyDescent="0.3">
      <c r="A2336" s="1">
        <v>46155</v>
      </c>
      <c r="B2336" t="s">
        <v>36</v>
      </c>
      <c r="C2336" t="s">
        <v>22</v>
      </c>
      <c r="D2336" t="s">
        <v>14</v>
      </c>
      <c r="E2336" t="s">
        <v>15</v>
      </c>
      <c r="F2336">
        <v>484</v>
      </c>
      <c r="G2336">
        <v>298</v>
      </c>
      <c r="H2336">
        <v>179</v>
      </c>
      <c r="I2336">
        <v>603</v>
      </c>
      <c r="J2336">
        <v>103</v>
      </c>
      <c r="K2336">
        <v>1040</v>
      </c>
      <c r="L2336">
        <v>627120</v>
      </c>
      <c r="M2336">
        <f>Inventory_Data[[#This Row],[Opening Stock]]+Inventory_Data[[#This Row],[Purchase Qty]]-Inventory_Data[[#This Row],[Sales Qty]]-Inventory_Data[[#This Row],[Closing Stock]]</f>
        <v>0</v>
      </c>
      <c r="N2336">
        <f>Inventory_Data[[#This Row],[Purchase Qty]]*Inventory_Data[[#This Row],[Unit Cost]]</f>
        <v>309920</v>
      </c>
      <c r="O2336" t="str">
        <f>IF(Inventory_Data[[#This Row],[Closing Stock]]&lt;=Inventory_Data[[#This Row],[Reorder Level]],"Low Stock","In Stock")</f>
        <v>In Stock</v>
      </c>
      <c r="P2336" t="str">
        <f>TEXT(Inventory_Data[[#This Row],[Date]],"MMM")</f>
        <v>May</v>
      </c>
      <c r="Q2336" t="str">
        <f>TEXT(Inventory_Data[[#This Row],[Date]],"YYYY")</f>
        <v>2026</v>
      </c>
    </row>
    <row r="2337" spans="1:17" x14ac:dyDescent="0.3">
      <c r="A2337" s="1">
        <v>46155</v>
      </c>
      <c r="B2337" t="s">
        <v>35</v>
      </c>
      <c r="C2337" t="s">
        <v>22</v>
      </c>
      <c r="D2337" t="s">
        <v>37</v>
      </c>
      <c r="E2337" t="s">
        <v>15</v>
      </c>
      <c r="F2337">
        <v>97</v>
      </c>
      <c r="G2337">
        <v>287</v>
      </c>
      <c r="H2337">
        <v>148</v>
      </c>
      <c r="I2337">
        <v>236</v>
      </c>
      <c r="J2337">
        <v>108</v>
      </c>
      <c r="K2337">
        <v>632</v>
      </c>
      <c r="L2337">
        <v>149152</v>
      </c>
      <c r="M2337">
        <f>Inventory_Data[[#This Row],[Opening Stock]]+Inventory_Data[[#This Row],[Purchase Qty]]-Inventory_Data[[#This Row],[Sales Qty]]-Inventory_Data[[#This Row],[Closing Stock]]</f>
        <v>0</v>
      </c>
      <c r="N2337">
        <f>Inventory_Data[[#This Row],[Purchase Qty]]*Inventory_Data[[#This Row],[Unit Cost]]</f>
        <v>181384</v>
      </c>
      <c r="O2337" t="str">
        <f>IF(Inventory_Data[[#This Row],[Closing Stock]]&lt;=Inventory_Data[[#This Row],[Reorder Level]],"Low Stock","In Stock")</f>
        <v>In Stock</v>
      </c>
      <c r="P2337" t="str">
        <f>TEXT(Inventory_Data[[#This Row],[Date]],"MMM")</f>
        <v>May</v>
      </c>
      <c r="Q2337" t="str">
        <f>TEXT(Inventory_Data[[#This Row],[Date]],"YYYY")</f>
        <v>2026</v>
      </c>
    </row>
    <row r="2338" spans="1:17" x14ac:dyDescent="0.3">
      <c r="A2338" s="1">
        <v>46156</v>
      </c>
      <c r="B2338" t="s">
        <v>12</v>
      </c>
      <c r="C2338" t="s">
        <v>13</v>
      </c>
      <c r="D2338" t="s">
        <v>23</v>
      </c>
      <c r="E2338" t="s">
        <v>18</v>
      </c>
      <c r="F2338">
        <v>23</v>
      </c>
      <c r="G2338">
        <v>66</v>
      </c>
      <c r="H2338">
        <v>32</v>
      </c>
      <c r="I2338">
        <v>57</v>
      </c>
      <c r="J2338">
        <v>26</v>
      </c>
      <c r="K2338">
        <v>7760</v>
      </c>
      <c r="L2338">
        <v>442320</v>
      </c>
      <c r="M2338">
        <f>Inventory_Data[[#This Row],[Opening Stock]]+Inventory_Data[[#This Row],[Purchase Qty]]-Inventory_Data[[#This Row],[Sales Qty]]-Inventory_Data[[#This Row],[Closing Stock]]</f>
        <v>0</v>
      </c>
      <c r="N2338">
        <f>Inventory_Data[[#This Row],[Purchase Qty]]*Inventory_Data[[#This Row],[Unit Cost]]</f>
        <v>512160</v>
      </c>
      <c r="O2338" t="str">
        <f>IF(Inventory_Data[[#This Row],[Closing Stock]]&lt;=Inventory_Data[[#This Row],[Reorder Level]],"Low Stock","In Stock")</f>
        <v>In Stock</v>
      </c>
      <c r="P2338" t="str">
        <f>TEXT(Inventory_Data[[#This Row],[Date]],"MMM")</f>
        <v>May</v>
      </c>
      <c r="Q2338" t="str">
        <f>TEXT(Inventory_Data[[#This Row],[Date]],"YYYY")</f>
        <v>2026</v>
      </c>
    </row>
    <row r="2339" spans="1:17" x14ac:dyDescent="0.3">
      <c r="A2339" s="1">
        <v>46156</v>
      </c>
      <c r="B2339" t="s">
        <v>41</v>
      </c>
      <c r="C2339" t="s">
        <v>22</v>
      </c>
      <c r="D2339" t="s">
        <v>23</v>
      </c>
      <c r="E2339" t="s">
        <v>24</v>
      </c>
      <c r="F2339">
        <v>130</v>
      </c>
      <c r="G2339">
        <v>192</v>
      </c>
      <c r="H2339">
        <v>270</v>
      </c>
      <c r="I2339">
        <v>52</v>
      </c>
      <c r="J2339">
        <v>90</v>
      </c>
      <c r="K2339">
        <v>250</v>
      </c>
      <c r="L2339">
        <v>13000</v>
      </c>
      <c r="M2339">
        <f>Inventory_Data[[#This Row],[Opening Stock]]+Inventory_Data[[#This Row],[Purchase Qty]]-Inventory_Data[[#This Row],[Sales Qty]]-Inventory_Data[[#This Row],[Closing Stock]]</f>
        <v>0</v>
      </c>
      <c r="N2339">
        <f>Inventory_Data[[#This Row],[Purchase Qty]]*Inventory_Data[[#This Row],[Unit Cost]]</f>
        <v>48000</v>
      </c>
      <c r="O2339" t="str">
        <f>IF(Inventory_Data[[#This Row],[Closing Stock]]&lt;=Inventory_Data[[#This Row],[Reorder Level]],"Low Stock","In Stock")</f>
        <v>Low Stock</v>
      </c>
      <c r="P2339" t="str">
        <f>TEXT(Inventory_Data[[#This Row],[Date]],"MMM")</f>
        <v>May</v>
      </c>
      <c r="Q2339" t="str">
        <f>TEXT(Inventory_Data[[#This Row],[Date]],"YYYY")</f>
        <v>2026</v>
      </c>
    </row>
    <row r="2340" spans="1:17" x14ac:dyDescent="0.3">
      <c r="A2340" s="1">
        <v>46156</v>
      </c>
      <c r="B2340" t="s">
        <v>36</v>
      </c>
      <c r="C2340" t="s">
        <v>22</v>
      </c>
      <c r="D2340" t="s">
        <v>37</v>
      </c>
      <c r="E2340" t="s">
        <v>20</v>
      </c>
      <c r="F2340">
        <v>487</v>
      </c>
      <c r="G2340">
        <v>115</v>
      </c>
      <c r="H2340">
        <v>175</v>
      </c>
      <c r="I2340">
        <v>427</v>
      </c>
      <c r="J2340">
        <v>73</v>
      </c>
      <c r="K2340">
        <v>481</v>
      </c>
      <c r="L2340">
        <v>205387</v>
      </c>
      <c r="M2340">
        <f>Inventory_Data[[#This Row],[Opening Stock]]+Inventory_Data[[#This Row],[Purchase Qty]]-Inventory_Data[[#This Row],[Sales Qty]]-Inventory_Data[[#This Row],[Closing Stock]]</f>
        <v>0</v>
      </c>
      <c r="N2340">
        <f>Inventory_Data[[#This Row],[Purchase Qty]]*Inventory_Data[[#This Row],[Unit Cost]]</f>
        <v>55315</v>
      </c>
      <c r="O2340" t="str">
        <f>IF(Inventory_Data[[#This Row],[Closing Stock]]&lt;=Inventory_Data[[#This Row],[Reorder Level]],"Low Stock","In Stock")</f>
        <v>In Stock</v>
      </c>
      <c r="P2340" t="str">
        <f>TEXT(Inventory_Data[[#This Row],[Date]],"MMM")</f>
        <v>May</v>
      </c>
      <c r="Q2340" t="str">
        <f>TEXT(Inventory_Data[[#This Row],[Date]],"YYYY")</f>
        <v>2026</v>
      </c>
    </row>
    <row r="2341" spans="1:17" x14ac:dyDescent="0.3">
      <c r="A2341" s="1">
        <v>46156</v>
      </c>
      <c r="B2341" t="s">
        <v>45</v>
      </c>
      <c r="C2341" t="s">
        <v>13</v>
      </c>
      <c r="D2341" t="s">
        <v>14</v>
      </c>
      <c r="E2341" t="s">
        <v>29</v>
      </c>
      <c r="F2341">
        <v>87</v>
      </c>
      <c r="G2341">
        <v>5</v>
      </c>
      <c r="H2341">
        <v>44</v>
      </c>
      <c r="I2341">
        <v>48</v>
      </c>
      <c r="J2341">
        <v>16</v>
      </c>
      <c r="K2341">
        <v>5276</v>
      </c>
      <c r="L2341">
        <v>253248</v>
      </c>
      <c r="M2341">
        <f>Inventory_Data[[#This Row],[Opening Stock]]+Inventory_Data[[#This Row],[Purchase Qty]]-Inventory_Data[[#This Row],[Sales Qty]]-Inventory_Data[[#This Row],[Closing Stock]]</f>
        <v>0</v>
      </c>
      <c r="N2341">
        <f>Inventory_Data[[#This Row],[Purchase Qty]]*Inventory_Data[[#This Row],[Unit Cost]]</f>
        <v>26380</v>
      </c>
      <c r="O2341" t="str">
        <f>IF(Inventory_Data[[#This Row],[Closing Stock]]&lt;=Inventory_Data[[#This Row],[Reorder Level]],"Low Stock","In Stock")</f>
        <v>In Stock</v>
      </c>
      <c r="P2341" t="str">
        <f>TEXT(Inventory_Data[[#This Row],[Date]],"MMM")</f>
        <v>May</v>
      </c>
      <c r="Q2341" t="str">
        <f>TEXT(Inventory_Data[[#This Row],[Date]],"YYYY")</f>
        <v>2026</v>
      </c>
    </row>
    <row r="2342" spans="1:17" x14ac:dyDescent="0.3">
      <c r="A2342" s="1">
        <v>46157</v>
      </c>
      <c r="B2342" t="s">
        <v>33</v>
      </c>
      <c r="C2342" t="s">
        <v>13</v>
      </c>
      <c r="D2342" t="s">
        <v>14</v>
      </c>
      <c r="E2342" t="s">
        <v>15</v>
      </c>
      <c r="F2342">
        <v>91</v>
      </c>
      <c r="G2342">
        <v>58</v>
      </c>
      <c r="H2342">
        <v>38</v>
      </c>
      <c r="I2342">
        <v>111</v>
      </c>
      <c r="J2342">
        <v>15</v>
      </c>
      <c r="K2342">
        <v>13468</v>
      </c>
      <c r="L2342">
        <v>1494948</v>
      </c>
      <c r="M2342">
        <f>Inventory_Data[[#This Row],[Opening Stock]]+Inventory_Data[[#This Row],[Purchase Qty]]-Inventory_Data[[#This Row],[Sales Qty]]-Inventory_Data[[#This Row],[Closing Stock]]</f>
        <v>0</v>
      </c>
      <c r="N2342">
        <f>Inventory_Data[[#This Row],[Purchase Qty]]*Inventory_Data[[#This Row],[Unit Cost]]</f>
        <v>781144</v>
      </c>
      <c r="O2342" t="str">
        <f>IF(Inventory_Data[[#This Row],[Closing Stock]]&lt;=Inventory_Data[[#This Row],[Reorder Level]],"Low Stock","In Stock")</f>
        <v>In Stock</v>
      </c>
      <c r="P2342" t="str">
        <f>TEXT(Inventory_Data[[#This Row],[Date]],"MMM")</f>
        <v>May</v>
      </c>
      <c r="Q2342" t="str">
        <f>TEXT(Inventory_Data[[#This Row],[Date]],"YYYY")</f>
        <v>2026</v>
      </c>
    </row>
    <row r="2343" spans="1:17" x14ac:dyDescent="0.3">
      <c r="A2343" s="1">
        <v>46157</v>
      </c>
      <c r="B2343" t="s">
        <v>41</v>
      </c>
      <c r="C2343" t="s">
        <v>22</v>
      </c>
      <c r="D2343" t="s">
        <v>37</v>
      </c>
      <c r="E2343" t="s">
        <v>15</v>
      </c>
      <c r="F2343">
        <v>375</v>
      </c>
      <c r="G2343">
        <v>281</v>
      </c>
      <c r="H2343">
        <v>208</v>
      </c>
      <c r="I2343">
        <v>448</v>
      </c>
      <c r="J2343">
        <v>60</v>
      </c>
      <c r="K2343">
        <v>362</v>
      </c>
      <c r="L2343">
        <v>162176</v>
      </c>
      <c r="M2343">
        <f>Inventory_Data[[#This Row],[Opening Stock]]+Inventory_Data[[#This Row],[Purchase Qty]]-Inventory_Data[[#This Row],[Sales Qty]]-Inventory_Data[[#This Row],[Closing Stock]]</f>
        <v>0</v>
      </c>
      <c r="N2343">
        <f>Inventory_Data[[#This Row],[Purchase Qty]]*Inventory_Data[[#This Row],[Unit Cost]]</f>
        <v>101722</v>
      </c>
      <c r="O2343" t="str">
        <f>IF(Inventory_Data[[#This Row],[Closing Stock]]&lt;=Inventory_Data[[#This Row],[Reorder Level]],"Low Stock","In Stock")</f>
        <v>In Stock</v>
      </c>
      <c r="P2343" t="str">
        <f>TEXT(Inventory_Data[[#This Row],[Date]],"MMM")</f>
        <v>May</v>
      </c>
      <c r="Q2343" t="str">
        <f>TEXT(Inventory_Data[[#This Row],[Date]],"YYYY")</f>
        <v>2026</v>
      </c>
    </row>
    <row r="2344" spans="1:17" x14ac:dyDescent="0.3">
      <c r="A2344" s="1">
        <v>46157</v>
      </c>
      <c r="B2344" t="s">
        <v>35</v>
      </c>
      <c r="C2344" t="s">
        <v>22</v>
      </c>
      <c r="D2344" t="s">
        <v>37</v>
      </c>
      <c r="E2344" t="s">
        <v>29</v>
      </c>
      <c r="F2344">
        <v>399</v>
      </c>
      <c r="G2344">
        <v>254</v>
      </c>
      <c r="H2344">
        <v>92</v>
      </c>
      <c r="I2344">
        <v>561</v>
      </c>
      <c r="J2344">
        <v>138</v>
      </c>
      <c r="K2344">
        <v>1089</v>
      </c>
      <c r="L2344">
        <v>610929</v>
      </c>
      <c r="M2344">
        <f>Inventory_Data[[#This Row],[Opening Stock]]+Inventory_Data[[#This Row],[Purchase Qty]]-Inventory_Data[[#This Row],[Sales Qty]]-Inventory_Data[[#This Row],[Closing Stock]]</f>
        <v>0</v>
      </c>
      <c r="N2344">
        <f>Inventory_Data[[#This Row],[Purchase Qty]]*Inventory_Data[[#This Row],[Unit Cost]]</f>
        <v>276606</v>
      </c>
      <c r="O2344" t="str">
        <f>IF(Inventory_Data[[#This Row],[Closing Stock]]&lt;=Inventory_Data[[#This Row],[Reorder Level]],"Low Stock","In Stock")</f>
        <v>In Stock</v>
      </c>
      <c r="P2344" t="str">
        <f>TEXT(Inventory_Data[[#This Row],[Date]],"MMM")</f>
        <v>May</v>
      </c>
      <c r="Q2344" t="str">
        <f>TEXT(Inventory_Data[[#This Row],[Date]],"YYYY")</f>
        <v>2026</v>
      </c>
    </row>
    <row r="2345" spans="1:17" x14ac:dyDescent="0.3">
      <c r="A2345" s="1">
        <v>46157</v>
      </c>
      <c r="B2345" t="s">
        <v>31</v>
      </c>
      <c r="C2345" t="s">
        <v>22</v>
      </c>
      <c r="D2345" t="s">
        <v>37</v>
      </c>
      <c r="E2345" t="s">
        <v>20</v>
      </c>
      <c r="F2345">
        <v>183</v>
      </c>
      <c r="G2345">
        <v>66</v>
      </c>
      <c r="H2345">
        <v>62</v>
      </c>
      <c r="I2345">
        <v>187</v>
      </c>
      <c r="J2345">
        <v>136</v>
      </c>
      <c r="K2345">
        <v>549</v>
      </c>
      <c r="L2345">
        <v>102663</v>
      </c>
      <c r="M2345">
        <f>Inventory_Data[[#This Row],[Opening Stock]]+Inventory_Data[[#This Row],[Purchase Qty]]-Inventory_Data[[#This Row],[Sales Qty]]-Inventory_Data[[#This Row],[Closing Stock]]</f>
        <v>0</v>
      </c>
      <c r="N2345">
        <f>Inventory_Data[[#This Row],[Purchase Qty]]*Inventory_Data[[#This Row],[Unit Cost]]</f>
        <v>36234</v>
      </c>
      <c r="O2345" t="str">
        <f>IF(Inventory_Data[[#This Row],[Closing Stock]]&lt;=Inventory_Data[[#This Row],[Reorder Level]],"Low Stock","In Stock")</f>
        <v>In Stock</v>
      </c>
      <c r="P2345" t="str">
        <f>TEXT(Inventory_Data[[#This Row],[Date]],"MMM")</f>
        <v>May</v>
      </c>
      <c r="Q2345" t="str">
        <f>TEXT(Inventory_Data[[#This Row],[Date]],"YYYY")</f>
        <v>2026</v>
      </c>
    </row>
    <row r="2346" spans="1:17" x14ac:dyDescent="0.3">
      <c r="A2346" s="1">
        <v>46157</v>
      </c>
      <c r="B2346" t="s">
        <v>33</v>
      </c>
      <c r="C2346" t="s">
        <v>13</v>
      </c>
      <c r="D2346" t="s">
        <v>26</v>
      </c>
      <c r="E2346" t="s">
        <v>24</v>
      </c>
      <c r="F2346">
        <v>98</v>
      </c>
      <c r="G2346">
        <v>20</v>
      </c>
      <c r="H2346">
        <v>39</v>
      </c>
      <c r="I2346">
        <v>79</v>
      </c>
      <c r="J2346">
        <v>16</v>
      </c>
      <c r="K2346">
        <v>15882</v>
      </c>
      <c r="L2346">
        <v>1254678</v>
      </c>
      <c r="M2346">
        <f>Inventory_Data[[#This Row],[Opening Stock]]+Inventory_Data[[#This Row],[Purchase Qty]]-Inventory_Data[[#This Row],[Sales Qty]]-Inventory_Data[[#This Row],[Closing Stock]]</f>
        <v>0</v>
      </c>
      <c r="N2346">
        <f>Inventory_Data[[#This Row],[Purchase Qty]]*Inventory_Data[[#This Row],[Unit Cost]]</f>
        <v>317640</v>
      </c>
      <c r="O2346" t="str">
        <f>IF(Inventory_Data[[#This Row],[Closing Stock]]&lt;=Inventory_Data[[#This Row],[Reorder Level]],"Low Stock","In Stock")</f>
        <v>In Stock</v>
      </c>
      <c r="P2346" t="str">
        <f>TEXT(Inventory_Data[[#This Row],[Date]],"MMM")</f>
        <v>May</v>
      </c>
      <c r="Q2346" t="str">
        <f>TEXT(Inventory_Data[[#This Row],[Date]],"YYYY")</f>
        <v>2026</v>
      </c>
    </row>
    <row r="2347" spans="1:17" x14ac:dyDescent="0.3">
      <c r="A2347" s="1">
        <v>46157</v>
      </c>
      <c r="B2347" t="s">
        <v>12</v>
      </c>
      <c r="C2347" t="s">
        <v>13</v>
      </c>
      <c r="D2347" t="s">
        <v>14</v>
      </c>
      <c r="E2347" t="s">
        <v>34</v>
      </c>
      <c r="F2347">
        <v>84</v>
      </c>
      <c r="G2347">
        <v>58</v>
      </c>
      <c r="H2347">
        <v>35</v>
      </c>
      <c r="I2347">
        <v>107</v>
      </c>
      <c r="J2347">
        <v>32</v>
      </c>
      <c r="K2347">
        <v>15811</v>
      </c>
      <c r="L2347">
        <v>1691777</v>
      </c>
      <c r="M2347">
        <f>Inventory_Data[[#This Row],[Opening Stock]]+Inventory_Data[[#This Row],[Purchase Qty]]-Inventory_Data[[#This Row],[Sales Qty]]-Inventory_Data[[#This Row],[Closing Stock]]</f>
        <v>0</v>
      </c>
      <c r="N2347">
        <f>Inventory_Data[[#This Row],[Purchase Qty]]*Inventory_Data[[#This Row],[Unit Cost]]</f>
        <v>917038</v>
      </c>
      <c r="O2347" t="str">
        <f>IF(Inventory_Data[[#This Row],[Closing Stock]]&lt;=Inventory_Data[[#This Row],[Reorder Level]],"Low Stock","In Stock")</f>
        <v>In Stock</v>
      </c>
      <c r="P2347" t="str">
        <f>TEXT(Inventory_Data[[#This Row],[Date]],"MMM")</f>
        <v>May</v>
      </c>
      <c r="Q2347" t="str">
        <f>TEXT(Inventory_Data[[#This Row],[Date]],"YYYY")</f>
        <v>2026</v>
      </c>
    </row>
    <row r="2348" spans="1:17" x14ac:dyDescent="0.3">
      <c r="A2348" s="1">
        <v>46157</v>
      </c>
      <c r="B2348" t="s">
        <v>43</v>
      </c>
      <c r="C2348" t="s">
        <v>22</v>
      </c>
      <c r="D2348" t="s">
        <v>26</v>
      </c>
      <c r="E2348" t="s">
        <v>29</v>
      </c>
      <c r="F2348">
        <v>142</v>
      </c>
      <c r="G2348">
        <v>202</v>
      </c>
      <c r="H2348">
        <v>88</v>
      </c>
      <c r="I2348">
        <v>256</v>
      </c>
      <c r="J2348">
        <v>138</v>
      </c>
      <c r="K2348">
        <v>641</v>
      </c>
      <c r="L2348">
        <v>164096</v>
      </c>
      <c r="M2348">
        <f>Inventory_Data[[#This Row],[Opening Stock]]+Inventory_Data[[#This Row],[Purchase Qty]]-Inventory_Data[[#This Row],[Sales Qty]]-Inventory_Data[[#This Row],[Closing Stock]]</f>
        <v>0</v>
      </c>
      <c r="N2348">
        <f>Inventory_Data[[#This Row],[Purchase Qty]]*Inventory_Data[[#This Row],[Unit Cost]]</f>
        <v>129482</v>
      </c>
      <c r="O2348" t="str">
        <f>IF(Inventory_Data[[#This Row],[Closing Stock]]&lt;=Inventory_Data[[#This Row],[Reorder Level]],"Low Stock","In Stock")</f>
        <v>In Stock</v>
      </c>
      <c r="P2348" t="str">
        <f>TEXT(Inventory_Data[[#This Row],[Date]],"MMM")</f>
        <v>May</v>
      </c>
      <c r="Q2348" t="str">
        <f>TEXT(Inventory_Data[[#This Row],[Date]],"YYYY")</f>
        <v>2026</v>
      </c>
    </row>
    <row r="2349" spans="1:17" x14ac:dyDescent="0.3">
      <c r="A2349" s="1">
        <v>46158</v>
      </c>
      <c r="B2349" t="s">
        <v>38</v>
      </c>
      <c r="C2349" t="s">
        <v>17</v>
      </c>
      <c r="D2349" t="s">
        <v>23</v>
      </c>
      <c r="E2349" t="s">
        <v>29</v>
      </c>
      <c r="F2349">
        <v>97</v>
      </c>
      <c r="G2349">
        <v>37</v>
      </c>
      <c r="H2349">
        <v>30</v>
      </c>
      <c r="I2349">
        <v>104</v>
      </c>
      <c r="J2349">
        <v>27</v>
      </c>
      <c r="K2349">
        <v>6257</v>
      </c>
      <c r="L2349">
        <v>650728</v>
      </c>
      <c r="M2349">
        <f>Inventory_Data[[#This Row],[Opening Stock]]+Inventory_Data[[#This Row],[Purchase Qty]]-Inventory_Data[[#This Row],[Sales Qty]]-Inventory_Data[[#This Row],[Closing Stock]]</f>
        <v>0</v>
      </c>
      <c r="N2349">
        <f>Inventory_Data[[#This Row],[Purchase Qty]]*Inventory_Data[[#This Row],[Unit Cost]]</f>
        <v>231509</v>
      </c>
      <c r="O2349" t="str">
        <f>IF(Inventory_Data[[#This Row],[Closing Stock]]&lt;=Inventory_Data[[#This Row],[Reorder Level]],"Low Stock","In Stock")</f>
        <v>In Stock</v>
      </c>
      <c r="P2349" t="str">
        <f>TEXT(Inventory_Data[[#This Row],[Date]],"MMM")</f>
        <v>May</v>
      </c>
      <c r="Q2349" t="str">
        <f>TEXT(Inventory_Data[[#This Row],[Date]],"YYYY")</f>
        <v>2026</v>
      </c>
    </row>
    <row r="2350" spans="1:17" x14ac:dyDescent="0.3">
      <c r="A2350" s="1">
        <v>46158</v>
      </c>
      <c r="B2350" t="s">
        <v>31</v>
      </c>
      <c r="C2350" t="s">
        <v>22</v>
      </c>
      <c r="D2350" t="s">
        <v>23</v>
      </c>
      <c r="E2350" t="s">
        <v>34</v>
      </c>
      <c r="F2350">
        <v>112</v>
      </c>
      <c r="G2350">
        <v>105</v>
      </c>
      <c r="H2350">
        <v>90</v>
      </c>
      <c r="I2350">
        <v>127</v>
      </c>
      <c r="J2350">
        <v>141</v>
      </c>
      <c r="K2350">
        <v>716</v>
      </c>
      <c r="L2350">
        <v>90932</v>
      </c>
      <c r="M2350">
        <f>Inventory_Data[[#This Row],[Opening Stock]]+Inventory_Data[[#This Row],[Purchase Qty]]-Inventory_Data[[#This Row],[Sales Qty]]-Inventory_Data[[#This Row],[Closing Stock]]</f>
        <v>0</v>
      </c>
      <c r="N2350">
        <f>Inventory_Data[[#This Row],[Purchase Qty]]*Inventory_Data[[#This Row],[Unit Cost]]</f>
        <v>75180</v>
      </c>
      <c r="O2350" t="str">
        <f>IF(Inventory_Data[[#This Row],[Closing Stock]]&lt;=Inventory_Data[[#This Row],[Reorder Level]],"Low Stock","In Stock")</f>
        <v>Low Stock</v>
      </c>
      <c r="P2350" t="str">
        <f>TEXT(Inventory_Data[[#This Row],[Date]],"MMM")</f>
        <v>May</v>
      </c>
      <c r="Q2350" t="str">
        <f>TEXT(Inventory_Data[[#This Row],[Date]],"YYYY")</f>
        <v>2026</v>
      </c>
    </row>
    <row r="2351" spans="1:17" x14ac:dyDescent="0.3">
      <c r="A2351" s="1">
        <v>46158</v>
      </c>
      <c r="B2351" t="s">
        <v>40</v>
      </c>
      <c r="C2351" t="s">
        <v>28</v>
      </c>
      <c r="D2351" t="s">
        <v>26</v>
      </c>
      <c r="E2351" t="s">
        <v>15</v>
      </c>
      <c r="F2351">
        <v>91</v>
      </c>
      <c r="G2351">
        <v>71</v>
      </c>
      <c r="H2351">
        <v>39</v>
      </c>
      <c r="I2351">
        <v>123</v>
      </c>
      <c r="J2351">
        <v>49</v>
      </c>
      <c r="K2351">
        <v>47538</v>
      </c>
      <c r="L2351">
        <v>5847174</v>
      </c>
      <c r="M2351">
        <f>Inventory_Data[[#This Row],[Opening Stock]]+Inventory_Data[[#This Row],[Purchase Qty]]-Inventory_Data[[#This Row],[Sales Qty]]-Inventory_Data[[#This Row],[Closing Stock]]</f>
        <v>0</v>
      </c>
      <c r="N2351">
        <f>Inventory_Data[[#This Row],[Purchase Qty]]*Inventory_Data[[#This Row],[Unit Cost]]</f>
        <v>3375198</v>
      </c>
      <c r="O2351" t="str">
        <f>IF(Inventory_Data[[#This Row],[Closing Stock]]&lt;=Inventory_Data[[#This Row],[Reorder Level]],"Low Stock","In Stock")</f>
        <v>In Stock</v>
      </c>
      <c r="P2351" t="str">
        <f>TEXT(Inventory_Data[[#This Row],[Date]],"MMM")</f>
        <v>May</v>
      </c>
      <c r="Q2351" t="str">
        <f>TEXT(Inventory_Data[[#This Row],[Date]],"YYYY")</f>
        <v>2026</v>
      </c>
    </row>
    <row r="2352" spans="1:17" x14ac:dyDescent="0.3">
      <c r="A2352" s="1">
        <v>46159</v>
      </c>
      <c r="B2352" t="s">
        <v>40</v>
      </c>
      <c r="C2352" t="s">
        <v>28</v>
      </c>
      <c r="D2352" t="s">
        <v>37</v>
      </c>
      <c r="E2352" t="s">
        <v>20</v>
      </c>
      <c r="F2352">
        <v>152</v>
      </c>
      <c r="G2352">
        <v>87</v>
      </c>
      <c r="H2352">
        <v>57</v>
      </c>
      <c r="I2352">
        <v>182</v>
      </c>
      <c r="J2352">
        <v>42</v>
      </c>
      <c r="K2352">
        <v>54497</v>
      </c>
      <c r="L2352">
        <v>9918454</v>
      </c>
      <c r="M2352">
        <f>Inventory_Data[[#This Row],[Opening Stock]]+Inventory_Data[[#This Row],[Purchase Qty]]-Inventory_Data[[#This Row],[Sales Qty]]-Inventory_Data[[#This Row],[Closing Stock]]</f>
        <v>0</v>
      </c>
      <c r="N2352">
        <f>Inventory_Data[[#This Row],[Purchase Qty]]*Inventory_Data[[#This Row],[Unit Cost]]</f>
        <v>4741239</v>
      </c>
      <c r="O2352" t="str">
        <f>IF(Inventory_Data[[#This Row],[Closing Stock]]&lt;=Inventory_Data[[#This Row],[Reorder Level]],"Low Stock","In Stock")</f>
        <v>In Stock</v>
      </c>
      <c r="P2352" t="str">
        <f>TEXT(Inventory_Data[[#This Row],[Date]],"MMM")</f>
        <v>May</v>
      </c>
      <c r="Q2352" t="str">
        <f>TEXT(Inventory_Data[[#This Row],[Date]],"YYYY")</f>
        <v>2026</v>
      </c>
    </row>
    <row r="2353" spans="1:17" x14ac:dyDescent="0.3">
      <c r="A2353" s="1">
        <v>46159</v>
      </c>
      <c r="B2353" t="s">
        <v>16</v>
      </c>
      <c r="C2353" t="s">
        <v>17</v>
      </c>
      <c r="D2353" t="s">
        <v>23</v>
      </c>
      <c r="E2353" t="s">
        <v>24</v>
      </c>
      <c r="F2353">
        <v>92</v>
      </c>
      <c r="G2353">
        <v>29</v>
      </c>
      <c r="H2353">
        <v>33</v>
      </c>
      <c r="I2353">
        <v>88</v>
      </c>
      <c r="J2353">
        <v>21</v>
      </c>
      <c r="K2353">
        <v>11546</v>
      </c>
      <c r="L2353">
        <v>1016048</v>
      </c>
      <c r="M2353">
        <f>Inventory_Data[[#This Row],[Opening Stock]]+Inventory_Data[[#This Row],[Purchase Qty]]-Inventory_Data[[#This Row],[Sales Qty]]-Inventory_Data[[#This Row],[Closing Stock]]</f>
        <v>0</v>
      </c>
      <c r="N2353">
        <f>Inventory_Data[[#This Row],[Purchase Qty]]*Inventory_Data[[#This Row],[Unit Cost]]</f>
        <v>334834</v>
      </c>
      <c r="O2353" t="str">
        <f>IF(Inventory_Data[[#This Row],[Closing Stock]]&lt;=Inventory_Data[[#This Row],[Reorder Level]],"Low Stock","In Stock")</f>
        <v>In Stock</v>
      </c>
      <c r="P2353" t="str">
        <f>TEXT(Inventory_Data[[#This Row],[Date]],"MMM")</f>
        <v>May</v>
      </c>
      <c r="Q2353" t="str">
        <f>TEXT(Inventory_Data[[#This Row],[Date]],"YYYY")</f>
        <v>2026</v>
      </c>
    </row>
    <row r="2354" spans="1:17" x14ac:dyDescent="0.3">
      <c r="A2354" s="1">
        <v>46159</v>
      </c>
      <c r="B2354" t="s">
        <v>44</v>
      </c>
      <c r="C2354" t="s">
        <v>28</v>
      </c>
      <c r="D2354" t="s">
        <v>14</v>
      </c>
      <c r="E2354" t="s">
        <v>15</v>
      </c>
      <c r="F2354">
        <v>125</v>
      </c>
      <c r="G2354">
        <v>43</v>
      </c>
      <c r="H2354">
        <v>95</v>
      </c>
      <c r="I2354">
        <v>73</v>
      </c>
      <c r="J2354">
        <v>43</v>
      </c>
      <c r="K2354">
        <v>29300</v>
      </c>
      <c r="L2354">
        <v>2138900</v>
      </c>
      <c r="M2354">
        <f>Inventory_Data[[#This Row],[Opening Stock]]+Inventory_Data[[#This Row],[Purchase Qty]]-Inventory_Data[[#This Row],[Sales Qty]]-Inventory_Data[[#This Row],[Closing Stock]]</f>
        <v>0</v>
      </c>
      <c r="N2354">
        <f>Inventory_Data[[#This Row],[Purchase Qty]]*Inventory_Data[[#This Row],[Unit Cost]]</f>
        <v>1259900</v>
      </c>
      <c r="O2354" t="str">
        <f>IF(Inventory_Data[[#This Row],[Closing Stock]]&lt;=Inventory_Data[[#This Row],[Reorder Level]],"Low Stock","In Stock")</f>
        <v>In Stock</v>
      </c>
      <c r="P2354" t="str">
        <f>TEXT(Inventory_Data[[#This Row],[Date]],"MMM")</f>
        <v>May</v>
      </c>
      <c r="Q2354" t="str">
        <f>TEXT(Inventory_Data[[#This Row],[Date]],"YYYY")</f>
        <v>2026</v>
      </c>
    </row>
    <row r="2355" spans="1:17" x14ac:dyDescent="0.3">
      <c r="A2355" s="1">
        <v>46159</v>
      </c>
      <c r="B2355" t="s">
        <v>21</v>
      </c>
      <c r="C2355" t="s">
        <v>22</v>
      </c>
      <c r="D2355" t="s">
        <v>23</v>
      </c>
      <c r="E2355" t="s">
        <v>29</v>
      </c>
      <c r="F2355">
        <v>114</v>
      </c>
      <c r="G2355">
        <v>278</v>
      </c>
      <c r="H2355">
        <v>269</v>
      </c>
      <c r="I2355">
        <v>123</v>
      </c>
      <c r="J2355">
        <v>79</v>
      </c>
      <c r="K2355">
        <v>150</v>
      </c>
      <c r="L2355">
        <v>18450</v>
      </c>
      <c r="M2355">
        <f>Inventory_Data[[#This Row],[Opening Stock]]+Inventory_Data[[#This Row],[Purchase Qty]]-Inventory_Data[[#This Row],[Sales Qty]]-Inventory_Data[[#This Row],[Closing Stock]]</f>
        <v>0</v>
      </c>
      <c r="N2355">
        <f>Inventory_Data[[#This Row],[Purchase Qty]]*Inventory_Data[[#This Row],[Unit Cost]]</f>
        <v>41700</v>
      </c>
      <c r="O2355" t="str">
        <f>IF(Inventory_Data[[#This Row],[Closing Stock]]&lt;=Inventory_Data[[#This Row],[Reorder Level]],"Low Stock","In Stock")</f>
        <v>In Stock</v>
      </c>
      <c r="P2355" t="str">
        <f>TEXT(Inventory_Data[[#This Row],[Date]],"MMM")</f>
        <v>May</v>
      </c>
      <c r="Q2355" t="str">
        <f>TEXT(Inventory_Data[[#This Row],[Date]],"YYYY")</f>
        <v>2026</v>
      </c>
    </row>
    <row r="2356" spans="1:17" x14ac:dyDescent="0.3">
      <c r="A2356" s="1">
        <v>46159</v>
      </c>
      <c r="B2356" t="s">
        <v>43</v>
      </c>
      <c r="C2356" t="s">
        <v>22</v>
      </c>
      <c r="D2356" t="s">
        <v>23</v>
      </c>
      <c r="E2356" t="s">
        <v>29</v>
      </c>
      <c r="F2356">
        <v>190</v>
      </c>
      <c r="G2356">
        <v>137</v>
      </c>
      <c r="H2356">
        <v>274</v>
      </c>
      <c r="I2356">
        <v>53</v>
      </c>
      <c r="J2356">
        <v>83</v>
      </c>
      <c r="K2356">
        <v>466</v>
      </c>
      <c r="L2356">
        <v>24698</v>
      </c>
      <c r="M2356">
        <f>Inventory_Data[[#This Row],[Opening Stock]]+Inventory_Data[[#This Row],[Purchase Qty]]-Inventory_Data[[#This Row],[Sales Qty]]-Inventory_Data[[#This Row],[Closing Stock]]</f>
        <v>0</v>
      </c>
      <c r="N2356">
        <f>Inventory_Data[[#This Row],[Purchase Qty]]*Inventory_Data[[#This Row],[Unit Cost]]</f>
        <v>63842</v>
      </c>
      <c r="O2356" t="str">
        <f>IF(Inventory_Data[[#This Row],[Closing Stock]]&lt;=Inventory_Data[[#This Row],[Reorder Level]],"Low Stock","In Stock")</f>
        <v>Low Stock</v>
      </c>
      <c r="P2356" t="str">
        <f>TEXT(Inventory_Data[[#This Row],[Date]],"MMM")</f>
        <v>May</v>
      </c>
      <c r="Q2356" t="str">
        <f>TEXT(Inventory_Data[[#This Row],[Date]],"YYYY")</f>
        <v>2026</v>
      </c>
    </row>
    <row r="2357" spans="1:17" x14ac:dyDescent="0.3">
      <c r="A2357" s="1">
        <v>46160</v>
      </c>
      <c r="B2357" t="s">
        <v>12</v>
      </c>
      <c r="C2357" t="s">
        <v>13</v>
      </c>
      <c r="D2357" t="s">
        <v>37</v>
      </c>
      <c r="E2357" t="s">
        <v>24</v>
      </c>
      <c r="F2357">
        <v>53</v>
      </c>
      <c r="G2357">
        <v>69</v>
      </c>
      <c r="H2357">
        <v>9</v>
      </c>
      <c r="I2357">
        <v>113</v>
      </c>
      <c r="J2357">
        <v>34</v>
      </c>
      <c r="K2357">
        <v>17154</v>
      </c>
      <c r="L2357">
        <v>1938402</v>
      </c>
      <c r="M2357">
        <f>Inventory_Data[[#This Row],[Opening Stock]]+Inventory_Data[[#This Row],[Purchase Qty]]-Inventory_Data[[#This Row],[Sales Qty]]-Inventory_Data[[#This Row],[Closing Stock]]</f>
        <v>0</v>
      </c>
      <c r="N2357">
        <f>Inventory_Data[[#This Row],[Purchase Qty]]*Inventory_Data[[#This Row],[Unit Cost]]</f>
        <v>1183626</v>
      </c>
      <c r="O2357" t="str">
        <f>IF(Inventory_Data[[#This Row],[Closing Stock]]&lt;=Inventory_Data[[#This Row],[Reorder Level]],"Low Stock","In Stock")</f>
        <v>In Stock</v>
      </c>
      <c r="P2357" t="str">
        <f>TEXT(Inventory_Data[[#This Row],[Date]],"MMM")</f>
        <v>May</v>
      </c>
      <c r="Q2357" t="str">
        <f>TEXT(Inventory_Data[[#This Row],[Date]],"YYYY")</f>
        <v>2026</v>
      </c>
    </row>
    <row r="2358" spans="1:17" x14ac:dyDescent="0.3">
      <c r="A2358" s="1">
        <v>46160</v>
      </c>
      <c r="B2358" t="s">
        <v>30</v>
      </c>
      <c r="C2358" t="s">
        <v>28</v>
      </c>
      <c r="D2358" t="s">
        <v>23</v>
      </c>
      <c r="E2358" t="s">
        <v>20</v>
      </c>
      <c r="F2358">
        <v>33</v>
      </c>
      <c r="G2358">
        <v>119</v>
      </c>
      <c r="H2358">
        <v>8</v>
      </c>
      <c r="I2358">
        <v>144</v>
      </c>
      <c r="J2358">
        <v>24</v>
      </c>
      <c r="K2358">
        <v>23216</v>
      </c>
      <c r="L2358">
        <v>3343104</v>
      </c>
      <c r="M2358">
        <f>Inventory_Data[[#This Row],[Opening Stock]]+Inventory_Data[[#This Row],[Purchase Qty]]-Inventory_Data[[#This Row],[Sales Qty]]-Inventory_Data[[#This Row],[Closing Stock]]</f>
        <v>0</v>
      </c>
      <c r="N2358">
        <f>Inventory_Data[[#This Row],[Purchase Qty]]*Inventory_Data[[#This Row],[Unit Cost]]</f>
        <v>2762704</v>
      </c>
      <c r="O2358" t="str">
        <f>IF(Inventory_Data[[#This Row],[Closing Stock]]&lt;=Inventory_Data[[#This Row],[Reorder Level]],"Low Stock","In Stock")</f>
        <v>In Stock</v>
      </c>
      <c r="P2358" t="str">
        <f>TEXT(Inventory_Data[[#This Row],[Date]],"MMM")</f>
        <v>May</v>
      </c>
      <c r="Q2358" t="str">
        <f>TEXT(Inventory_Data[[#This Row],[Date]],"YYYY")</f>
        <v>2026</v>
      </c>
    </row>
    <row r="2359" spans="1:17" x14ac:dyDescent="0.3">
      <c r="A2359" s="1">
        <v>46160</v>
      </c>
      <c r="B2359" t="s">
        <v>30</v>
      </c>
      <c r="C2359" t="s">
        <v>28</v>
      </c>
      <c r="D2359" t="s">
        <v>37</v>
      </c>
      <c r="E2359" t="s">
        <v>15</v>
      </c>
      <c r="F2359">
        <v>179</v>
      </c>
      <c r="G2359">
        <v>71</v>
      </c>
      <c r="H2359">
        <v>41</v>
      </c>
      <c r="I2359">
        <v>209</v>
      </c>
      <c r="J2359">
        <v>56</v>
      </c>
      <c r="K2359">
        <v>9087</v>
      </c>
      <c r="L2359">
        <v>1899183</v>
      </c>
      <c r="M2359">
        <f>Inventory_Data[[#This Row],[Opening Stock]]+Inventory_Data[[#This Row],[Purchase Qty]]-Inventory_Data[[#This Row],[Sales Qty]]-Inventory_Data[[#This Row],[Closing Stock]]</f>
        <v>0</v>
      </c>
      <c r="N2359">
        <f>Inventory_Data[[#This Row],[Purchase Qty]]*Inventory_Data[[#This Row],[Unit Cost]]</f>
        <v>645177</v>
      </c>
      <c r="O2359" t="str">
        <f>IF(Inventory_Data[[#This Row],[Closing Stock]]&lt;=Inventory_Data[[#This Row],[Reorder Level]],"Low Stock","In Stock")</f>
        <v>In Stock</v>
      </c>
      <c r="P2359" t="str">
        <f>TEXT(Inventory_Data[[#This Row],[Date]],"MMM")</f>
        <v>May</v>
      </c>
      <c r="Q2359" t="str">
        <f>TEXT(Inventory_Data[[#This Row],[Date]],"YYYY")</f>
        <v>2026</v>
      </c>
    </row>
    <row r="2360" spans="1:17" x14ac:dyDescent="0.3">
      <c r="A2360" s="1">
        <v>46160</v>
      </c>
      <c r="B2360" t="s">
        <v>38</v>
      </c>
      <c r="C2360" t="s">
        <v>17</v>
      </c>
      <c r="D2360" t="s">
        <v>23</v>
      </c>
      <c r="E2360" t="s">
        <v>15</v>
      </c>
      <c r="F2360">
        <v>36</v>
      </c>
      <c r="G2360">
        <v>50</v>
      </c>
      <c r="H2360">
        <v>35</v>
      </c>
      <c r="I2360">
        <v>51</v>
      </c>
      <c r="J2360">
        <v>27</v>
      </c>
      <c r="K2360">
        <v>18684</v>
      </c>
      <c r="L2360">
        <v>952884</v>
      </c>
      <c r="M2360">
        <f>Inventory_Data[[#This Row],[Opening Stock]]+Inventory_Data[[#This Row],[Purchase Qty]]-Inventory_Data[[#This Row],[Sales Qty]]-Inventory_Data[[#This Row],[Closing Stock]]</f>
        <v>0</v>
      </c>
      <c r="N2360">
        <f>Inventory_Data[[#This Row],[Purchase Qty]]*Inventory_Data[[#This Row],[Unit Cost]]</f>
        <v>934200</v>
      </c>
      <c r="O2360" t="str">
        <f>IF(Inventory_Data[[#This Row],[Closing Stock]]&lt;=Inventory_Data[[#This Row],[Reorder Level]],"Low Stock","In Stock")</f>
        <v>In Stock</v>
      </c>
      <c r="P2360" t="str">
        <f>TEXT(Inventory_Data[[#This Row],[Date]],"MMM")</f>
        <v>May</v>
      </c>
      <c r="Q2360" t="str">
        <f>TEXT(Inventory_Data[[#This Row],[Date]],"YYYY")</f>
        <v>2026</v>
      </c>
    </row>
    <row r="2361" spans="1:17" x14ac:dyDescent="0.3">
      <c r="A2361" s="1">
        <v>46161</v>
      </c>
      <c r="B2361" t="s">
        <v>31</v>
      </c>
      <c r="C2361" t="s">
        <v>22</v>
      </c>
      <c r="D2361" t="s">
        <v>14</v>
      </c>
      <c r="E2361" t="s">
        <v>15</v>
      </c>
      <c r="F2361">
        <v>433</v>
      </c>
      <c r="G2361">
        <v>164</v>
      </c>
      <c r="H2361">
        <v>204</v>
      </c>
      <c r="I2361">
        <v>393</v>
      </c>
      <c r="J2361">
        <v>82</v>
      </c>
      <c r="K2361">
        <v>420</v>
      </c>
      <c r="L2361">
        <v>165060</v>
      </c>
      <c r="M2361">
        <f>Inventory_Data[[#This Row],[Opening Stock]]+Inventory_Data[[#This Row],[Purchase Qty]]-Inventory_Data[[#This Row],[Sales Qty]]-Inventory_Data[[#This Row],[Closing Stock]]</f>
        <v>0</v>
      </c>
      <c r="N2361">
        <f>Inventory_Data[[#This Row],[Purchase Qty]]*Inventory_Data[[#This Row],[Unit Cost]]</f>
        <v>68880</v>
      </c>
      <c r="O2361" t="str">
        <f>IF(Inventory_Data[[#This Row],[Closing Stock]]&lt;=Inventory_Data[[#This Row],[Reorder Level]],"Low Stock","In Stock")</f>
        <v>In Stock</v>
      </c>
      <c r="P2361" t="str">
        <f>TEXT(Inventory_Data[[#This Row],[Date]],"MMM")</f>
        <v>May</v>
      </c>
      <c r="Q2361" t="str">
        <f>TEXT(Inventory_Data[[#This Row],[Date]],"YYYY")</f>
        <v>2026</v>
      </c>
    </row>
    <row r="2362" spans="1:17" x14ac:dyDescent="0.3">
      <c r="A2362" s="1">
        <v>46161</v>
      </c>
      <c r="B2362" t="s">
        <v>27</v>
      </c>
      <c r="C2362" t="s">
        <v>28</v>
      </c>
      <c r="D2362" t="s">
        <v>37</v>
      </c>
      <c r="E2362" t="s">
        <v>20</v>
      </c>
      <c r="F2362">
        <v>150</v>
      </c>
      <c r="G2362">
        <v>83</v>
      </c>
      <c r="H2362">
        <v>69</v>
      </c>
      <c r="I2362">
        <v>164</v>
      </c>
      <c r="J2362">
        <v>46</v>
      </c>
      <c r="K2362">
        <v>1814</v>
      </c>
      <c r="L2362">
        <v>297496</v>
      </c>
      <c r="M2362">
        <f>Inventory_Data[[#This Row],[Opening Stock]]+Inventory_Data[[#This Row],[Purchase Qty]]-Inventory_Data[[#This Row],[Sales Qty]]-Inventory_Data[[#This Row],[Closing Stock]]</f>
        <v>0</v>
      </c>
      <c r="N2362">
        <f>Inventory_Data[[#This Row],[Purchase Qty]]*Inventory_Data[[#This Row],[Unit Cost]]</f>
        <v>150562</v>
      </c>
      <c r="O2362" t="str">
        <f>IF(Inventory_Data[[#This Row],[Closing Stock]]&lt;=Inventory_Data[[#This Row],[Reorder Level]],"Low Stock","In Stock")</f>
        <v>In Stock</v>
      </c>
      <c r="P2362" t="str">
        <f>TEXT(Inventory_Data[[#This Row],[Date]],"MMM")</f>
        <v>May</v>
      </c>
      <c r="Q2362" t="str">
        <f>TEXT(Inventory_Data[[#This Row],[Date]],"YYYY")</f>
        <v>2026</v>
      </c>
    </row>
    <row r="2363" spans="1:17" x14ac:dyDescent="0.3">
      <c r="A2363" s="1">
        <v>46161</v>
      </c>
      <c r="B2363" t="s">
        <v>36</v>
      </c>
      <c r="C2363" t="s">
        <v>22</v>
      </c>
      <c r="D2363" t="s">
        <v>14</v>
      </c>
      <c r="E2363" t="s">
        <v>34</v>
      </c>
      <c r="F2363">
        <v>181</v>
      </c>
      <c r="G2363">
        <v>66</v>
      </c>
      <c r="H2363">
        <v>141</v>
      </c>
      <c r="I2363">
        <v>106</v>
      </c>
      <c r="J2363">
        <v>137</v>
      </c>
      <c r="K2363">
        <v>784</v>
      </c>
      <c r="L2363">
        <v>83104</v>
      </c>
      <c r="M2363">
        <f>Inventory_Data[[#This Row],[Opening Stock]]+Inventory_Data[[#This Row],[Purchase Qty]]-Inventory_Data[[#This Row],[Sales Qty]]-Inventory_Data[[#This Row],[Closing Stock]]</f>
        <v>0</v>
      </c>
      <c r="N2363">
        <f>Inventory_Data[[#This Row],[Purchase Qty]]*Inventory_Data[[#This Row],[Unit Cost]]</f>
        <v>51744</v>
      </c>
      <c r="O2363" t="str">
        <f>IF(Inventory_Data[[#This Row],[Closing Stock]]&lt;=Inventory_Data[[#This Row],[Reorder Level]],"Low Stock","In Stock")</f>
        <v>Low Stock</v>
      </c>
      <c r="P2363" t="str">
        <f>TEXT(Inventory_Data[[#This Row],[Date]],"MMM")</f>
        <v>May</v>
      </c>
      <c r="Q2363" t="str">
        <f>TEXT(Inventory_Data[[#This Row],[Date]],"YYYY")</f>
        <v>2026</v>
      </c>
    </row>
    <row r="2364" spans="1:17" x14ac:dyDescent="0.3">
      <c r="A2364" s="1">
        <v>46161</v>
      </c>
      <c r="B2364" t="s">
        <v>44</v>
      </c>
      <c r="C2364" t="s">
        <v>28</v>
      </c>
      <c r="D2364" t="s">
        <v>26</v>
      </c>
      <c r="E2364" t="s">
        <v>15</v>
      </c>
      <c r="F2364">
        <v>94</v>
      </c>
      <c r="G2364">
        <v>104</v>
      </c>
      <c r="H2364">
        <v>86</v>
      </c>
      <c r="I2364">
        <v>112</v>
      </c>
      <c r="J2364">
        <v>41</v>
      </c>
      <c r="K2364">
        <v>60214</v>
      </c>
      <c r="L2364">
        <v>6743968</v>
      </c>
      <c r="M2364">
        <f>Inventory_Data[[#This Row],[Opening Stock]]+Inventory_Data[[#This Row],[Purchase Qty]]-Inventory_Data[[#This Row],[Sales Qty]]-Inventory_Data[[#This Row],[Closing Stock]]</f>
        <v>0</v>
      </c>
      <c r="N2364">
        <f>Inventory_Data[[#This Row],[Purchase Qty]]*Inventory_Data[[#This Row],[Unit Cost]]</f>
        <v>6262256</v>
      </c>
      <c r="O2364" t="str">
        <f>IF(Inventory_Data[[#This Row],[Closing Stock]]&lt;=Inventory_Data[[#This Row],[Reorder Level]],"Low Stock","In Stock")</f>
        <v>In Stock</v>
      </c>
      <c r="P2364" t="str">
        <f>TEXT(Inventory_Data[[#This Row],[Date]],"MMM")</f>
        <v>May</v>
      </c>
      <c r="Q2364" t="str">
        <f>TEXT(Inventory_Data[[#This Row],[Date]],"YYYY")</f>
        <v>2026</v>
      </c>
    </row>
    <row r="2365" spans="1:17" x14ac:dyDescent="0.3">
      <c r="A2365" s="1">
        <v>46162</v>
      </c>
      <c r="B2365" t="s">
        <v>21</v>
      </c>
      <c r="C2365" t="s">
        <v>22</v>
      </c>
      <c r="D2365" t="s">
        <v>14</v>
      </c>
      <c r="E2365" t="s">
        <v>15</v>
      </c>
      <c r="F2365">
        <v>447</v>
      </c>
      <c r="G2365">
        <v>42</v>
      </c>
      <c r="H2365">
        <v>12</v>
      </c>
      <c r="I2365">
        <v>477</v>
      </c>
      <c r="J2365">
        <v>145</v>
      </c>
      <c r="K2365">
        <v>997</v>
      </c>
      <c r="L2365">
        <v>475569</v>
      </c>
      <c r="M2365">
        <f>Inventory_Data[[#This Row],[Opening Stock]]+Inventory_Data[[#This Row],[Purchase Qty]]-Inventory_Data[[#This Row],[Sales Qty]]-Inventory_Data[[#This Row],[Closing Stock]]</f>
        <v>0</v>
      </c>
      <c r="N2365">
        <f>Inventory_Data[[#This Row],[Purchase Qty]]*Inventory_Data[[#This Row],[Unit Cost]]</f>
        <v>41874</v>
      </c>
      <c r="O2365" t="str">
        <f>IF(Inventory_Data[[#This Row],[Closing Stock]]&lt;=Inventory_Data[[#This Row],[Reorder Level]],"Low Stock","In Stock")</f>
        <v>In Stock</v>
      </c>
      <c r="P2365" t="str">
        <f>TEXT(Inventory_Data[[#This Row],[Date]],"MMM")</f>
        <v>May</v>
      </c>
      <c r="Q2365" t="str">
        <f>TEXT(Inventory_Data[[#This Row],[Date]],"YYYY")</f>
        <v>2026</v>
      </c>
    </row>
    <row r="2366" spans="1:17" x14ac:dyDescent="0.3">
      <c r="A2366" s="1">
        <v>46162</v>
      </c>
      <c r="B2366" t="s">
        <v>44</v>
      </c>
      <c r="C2366" t="s">
        <v>28</v>
      </c>
      <c r="D2366" t="s">
        <v>26</v>
      </c>
      <c r="E2366" t="s">
        <v>15</v>
      </c>
      <c r="F2366">
        <v>117</v>
      </c>
      <c r="G2366">
        <v>56</v>
      </c>
      <c r="H2366">
        <v>85</v>
      </c>
      <c r="I2366">
        <v>88</v>
      </c>
      <c r="J2366">
        <v>57</v>
      </c>
      <c r="K2366">
        <v>63302</v>
      </c>
      <c r="L2366">
        <v>5570576</v>
      </c>
      <c r="M2366">
        <f>Inventory_Data[[#This Row],[Opening Stock]]+Inventory_Data[[#This Row],[Purchase Qty]]-Inventory_Data[[#This Row],[Sales Qty]]-Inventory_Data[[#This Row],[Closing Stock]]</f>
        <v>0</v>
      </c>
      <c r="N2366">
        <f>Inventory_Data[[#This Row],[Purchase Qty]]*Inventory_Data[[#This Row],[Unit Cost]]</f>
        <v>3544912</v>
      </c>
      <c r="O2366" t="str">
        <f>IF(Inventory_Data[[#This Row],[Closing Stock]]&lt;=Inventory_Data[[#This Row],[Reorder Level]],"Low Stock","In Stock")</f>
        <v>In Stock</v>
      </c>
      <c r="P2366" t="str">
        <f>TEXT(Inventory_Data[[#This Row],[Date]],"MMM")</f>
        <v>May</v>
      </c>
      <c r="Q2366" t="str">
        <f>TEXT(Inventory_Data[[#This Row],[Date]],"YYYY")</f>
        <v>2026</v>
      </c>
    </row>
    <row r="2367" spans="1:17" x14ac:dyDescent="0.3">
      <c r="A2367" s="1">
        <v>46162</v>
      </c>
      <c r="B2367" t="s">
        <v>45</v>
      </c>
      <c r="C2367" t="s">
        <v>13</v>
      </c>
      <c r="D2367" t="s">
        <v>23</v>
      </c>
      <c r="E2367" t="s">
        <v>15</v>
      </c>
      <c r="F2367">
        <v>17</v>
      </c>
      <c r="G2367">
        <v>55</v>
      </c>
      <c r="H2367">
        <v>9</v>
      </c>
      <c r="I2367">
        <v>63</v>
      </c>
      <c r="J2367">
        <v>32</v>
      </c>
      <c r="K2367">
        <v>15202</v>
      </c>
      <c r="L2367">
        <v>957726</v>
      </c>
      <c r="M2367">
        <f>Inventory_Data[[#This Row],[Opening Stock]]+Inventory_Data[[#This Row],[Purchase Qty]]-Inventory_Data[[#This Row],[Sales Qty]]-Inventory_Data[[#This Row],[Closing Stock]]</f>
        <v>0</v>
      </c>
      <c r="N2367">
        <f>Inventory_Data[[#This Row],[Purchase Qty]]*Inventory_Data[[#This Row],[Unit Cost]]</f>
        <v>836110</v>
      </c>
      <c r="O2367" t="str">
        <f>IF(Inventory_Data[[#This Row],[Closing Stock]]&lt;=Inventory_Data[[#This Row],[Reorder Level]],"Low Stock","In Stock")</f>
        <v>In Stock</v>
      </c>
      <c r="P2367" t="str">
        <f>TEXT(Inventory_Data[[#This Row],[Date]],"MMM")</f>
        <v>May</v>
      </c>
      <c r="Q2367" t="str">
        <f>TEXT(Inventory_Data[[#This Row],[Date]],"YYYY")</f>
        <v>2026</v>
      </c>
    </row>
    <row r="2368" spans="1:17" x14ac:dyDescent="0.3">
      <c r="A2368" s="1">
        <v>46163</v>
      </c>
      <c r="B2368" t="s">
        <v>32</v>
      </c>
      <c r="C2368" t="s">
        <v>28</v>
      </c>
      <c r="D2368" t="s">
        <v>23</v>
      </c>
      <c r="E2368" t="s">
        <v>15</v>
      </c>
      <c r="F2368">
        <v>86</v>
      </c>
      <c r="G2368">
        <v>93</v>
      </c>
      <c r="H2368">
        <v>78</v>
      </c>
      <c r="I2368">
        <v>101</v>
      </c>
      <c r="J2368">
        <v>37</v>
      </c>
      <c r="K2368">
        <v>4051</v>
      </c>
      <c r="L2368">
        <v>409151</v>
      </c>
      <c r="M2368">
        <f>Inventory_Data[[#This Row],[Opening Stock]]+Inventory_Data[[#This Row],[Purchase Qty]]-Inventory_Data[[#This Row],[Sales Qty]]-Inventory_Data[[#This Row],[Closing Stock]]</f>
        <v>0</v>
      </c>
      <c r="N2368">
        <f>Inventory_Data[[#This Row],[Purchase Qty]]*Inventory_Data[[#This Row],[Unit Cost]]</f>
        <v>376743</v>
      </c>
      <c r="O2368" t="str">
        <f>IF(Inventory_Data[[#This Row],[Closing Stock]]&lt;=Inventory_Data[[#This Row],[Reorder Level]],"Low Stock","In Stock")</f>
        <v>In Stock</v>
      </c>
      <c r="P2368" t="str">
        <f>TEXT(Inventory_Data[[#This Row],[Date]],"MMM")</f>
        <v>May</v>
      </c>
      <c r="Q2368" t="str">
        <f>TEXT(Inventory_Data[[#This Row],[Date]],"YYYY")</f>
        <v>2026</v>
      </c>
    </row>
    <row r="2369" spans="1:17" x14ac:dyDescent="0.3">
      <c r="A2369" s="1">
        <v>46163</v>
      </c>
      <c r="B2369" t="s">
        <v>35</v>
      </c>
      <c r="C2369" t="s">
        <v>22</v>
      </c>
      <c r="D2369" t="s">
        <v>23</v>
      </c>
      <c r="E2369" t="s">
        <v>24</v>
      </c>
      <c r="F2369">
        <v>63</v>
      </c>
      <c r="G2369">
        <v>287</v>
      </c>
      <c r="H2369">
        <v>198</v>
      </c>
      <c r="I2369">
        <v>152</v>
      </c>
      <c r="J2369">
        <v>66</v>
      </c>
      <c r="K2369">
        <v>383</v>
      </c>
      <c r="L2369">
        <v>58216</v>
      </c>
      <c r="M2369">
        <f>Inventory_Data[[#This Row],[Opening Stock]]+Inventory_Data[[#This Row],[Purchase Qty]]-Inventory_Data[[#This Row],[Sales Qty]]-Inventory_Data[[#This Row],[Closing Stock]]</f>
        <v>0</v>
      </c>
      <c r="N2369">
        <f>Inventory_Data[[#This Row],[Purchase Qty]]*Inventory_Data[[#This Row],[Unit Cost]]</f>
        <v>109921</v>
      </c>
      <c r="O2369" t="str">
        <f>IF(Inventory_Data[[#This Row],[Closing Stock]]&lt;=Inventory_Data[[#This Row],[Reorder Level]],"Low Stock","In Stock")</f>
        <v>In Stock</v>
      </c>
      <c r="P2369" t="str">
        <f>TEXT(Inventory_Data[[#This Row],[Date]],"MMM")</f>
        <v>May</v>
      </c>
      <c r="Q2369" t="str">
        <f>TEXT(Inventory_Data[[#This Row],[Date]],"YYYY")</f>
        <v>2026</v>
      </c>
    </row>
    <row r="2370" spans="1:17" x14ac:dyDescent="0.3">
      <c r="A2370" s="1">
        <v>46163</v>
      </c>
      <c r="B2370" t="s">
        <v>27</v>
      </c>
      <c r="C2370" t="s">
        <v>28</v>
      </c>
      <c r="D2370" t="s">
        <v>23</v>
      </c>
      <c r="E2370" t="s">
        <v>15</v>
      </c>
      <c r="F2370">
        <v>120</v>
      </c>
      <c r="G2370">
        <v>116</v>
      </c>
      <c r="H2370">
        <v>93</v>
      </c>
      <c r="I2370">
        <v>143</v>
      </c>
      <c r="J2370">
        <v>54</v>
      </c>
      <c r="K2370">
        <v>52936</v>
      </c>
      <c r="L2370">
        <v>7569848</v>
      </c>
      <c r="M2370">
        <f>Inventory_Data[[#This Row],[Opening Stock]]+Inventory_Data[[#This Row],[Purchase Qty]]-Inventory_Data[[#This Row],[Sales Qty]]-Inventory_Data[[#This Row],[Closing Stock]]</f>
        <v>0</v>
      </c>
      <c r="N2370">
        <f>Inventory_Data[[#This Row],[Purchase Qty]]*Inventory_Data[[#This Row],[Unit Cost]]</f>
        <v>6140576</v>
      </c>
      <c r="O2370" t="str">
        <f>IF(Inventory_Data[[#This Row],[Closing Stock]]&lt;=Inventory_Data[[#This Row],[Reorder Level]],"Low Stock","In Stock")</f>
        <v>In Stock</v>
      </c>
      <c r="P2370" t="str">
        <f>TEXT(Inventory_Data[[#This Row],[Date]],"MMM")</f>
        <v>May</v>
      </c>
      <c r="Q2370" t="str">
        <f>TEXT(Inventory_Data[[#This Row],[Date]],"YYYY")</f>
        <v>2026</v>
      </c>
    </row>
    <row r="2371" spans="1:17" x14ac:dyDescent="0.3">
      <c r="A2371" s="1">
        <v>46163</v>
      </c>
      <c r="B2371" t="s">
        <v>31</v>
      </c>
      <c r="C2371" t="s">
        <v>22</v>
      </c>
      <c r="D2371" t="s">
        <v>37</v>
      </c>
      <c r="E2371" t="s">
        <v>15</v>
      </c>
      <c r="F2371">
        <v>416</v>
      </c>
      <c r="G2371">
        <v>173</v>
      </c>
      <c r="H2371">
        <v>78</v>
      </c>
      <c r="I2371">
        <v>511</v>
      </c>
      <c r="J2371">
        <v>61</v>
      </c>
      <c r="K2371">
        <v>1142</v>
      </c>
      <c r="L2371">
        <v>583562</v>
      </c>
      <c r="M2371">
        <f>Inventory_Data[[#This Row],[Opening Stock]]+Inventory_Data[[#This Row],[Purchase Qty]]-Inventory_Data[[#This Row],[Sales Qty]]-Inventory_Data[[#This Row],[Closing Stock]]</f>
        <v>0</v>
      </c>
      <c r="N2371">
        <f>Inventory_Data[[#This Row],[Purchase Qty]]*Inventory_Data[[#This Row],[Unit Cost]]</f>
        <v>197566</v>
      </c>
      <c r="O2371" t="str">
        <f>IF(Inventory_Data[[#This Row],[Closing Stock]]&lt;=Inventory_Data[[#This Row],[Reorder Level]],"Low Stock","In Stock")</f>
        <v>In Stock</v>
      </c>
      <c r="P2371" t="str">
        <f>TEXT(Inventory_Data[[#This Row],[Date]],"MMM")</f>
        <v>May</v>
      </c>
      <c r="Q2371" t="str">
        <f>TEXT(Inventory_Data[[#This Row],[Date]],"YYYY")</f>
        <v>2026</v>
      </c>
    </row>
    <row r="2372" spans="1:17" x14ac:dyDescent="0.3">
      <c r="A2372" s="1">
        <v>46164</v>
      </c>
      <c r="B2372" t="s">
        <v>45</v>
      </c>
      <c r="C2372" t="s">
        <v>13</v>
      </c>
      <c r="D2372" t="s">
        <v>26</v>
      </c>
      <c r="E2372" t="s">
        <v>34</v>
      </c>
      <c r="F2372">
        <v>61</v>
      </c>
      <c r="G2372">
        <v>57</v>
      </c>
      <c r="H2372">
        <v>56</v>
      </c>
      <c r="I2372">
        <v>62</v>
      </c>
      <c r="J2372">
        <v>20</v>
      </c>
      <c r="K2372">
        <v>9135</v>
      </c>
      <c r="L2372">
        <v>566370</v>
      </c>
      <c r="M2372">
        <f>Inventory_Data[[#This Row],[Opening Stock]]+Inventory_Data[[#This Row],[Purchase Qty]]-Inventory_Data[[#This Row],[Sales Qty]]-Inventory_Data[[#This Row],[Closing Stock]]</f>
        <v>0</v>
      </c>
      <c r="N2372">
        <f>Inventory_Data[[#This Row],[Purchase Qty]]*Inventory_Data[[#This Row],[Unit Cost]]</f>
        <v>520695</v>
      </c>
      <c r="O2372" t="str">
        <f>IF(Inventory_Data[[#This Row],[Closing Stock]]&lt;=Inventory_Data[[#This Row],[Reorder Level]],"Low Stock","In Stock")</f>
        <v>In Stock</v>
      </c>
      <c r="P2372" t="str">
        <f>TEXT(Inventory_Data[[#This Row],[Date]],"MMM")</f>
        <v>May</v>
      </c>
      <c r="Q2372" t="str">
        <f>TEXT(Inventory_Data[[#This Row],[Date]],"YYYY")</f>
        <v>2026</v>
      </c>
    </row>
    <row r="2373" spans="1:17" x14ac:dyDescent="0.3">
      <c r="A2373" s="1">
        <v>46164</v>
      </c>
      <c r="B2373" t="s">
        <v>40</v>
      </c>
      <c r="C2373" t="s">
        <v>28</v>
      </c>
      <c r="D2373" t="s">
        <v>14</v>
      </c>
      <c r="E2373" t="s">
        <v>29</v>
      </c>
      <c r="F2373">
        <v>85</v>
      </c>
      <c r="G2373">
        <v>47</v>
      </c>
      <c r="H2373">
        <v>37</v>
      </c>
      <c r="I2373">
        <v>95</v>
      </c>
      <c r="J2373">
        <v>55</v>
      </c>
      <c r="K2373">
        <v>12642</v>
      </c>
      <c r="L2373">
        <v>1200990</v>
      </c>
      <c r="M2373">
        <f>Inventory_Data[[#This Row],[Opening Stock]]+Inventory_Data[[#This Row],[Purchase Qty]]-Inventory_Data[[#This Row],[Sales Qty]]-Inventory_Data[[#This Row],[Closing Stock]]</f>
        <v>0</v>
      </c>
      <c r="N2373">
        <f>Inventory_Data[[#This Row],[Purchase Qty]]*Inventory_Data[[#This Row],[Unit Cost]]</f>
        <v>594174</v>
      </c>
      <c r="O2373" t="str">
        <f>IF(Inventory_Data[[#This Row],[Closing Stock]]&lt;=Inventory_Data[[#This Row],[Reorder Level]],"Low Stock","In Stock")</f>
        <v>In Stock</v>
      </c>
      <c r="P2373" t="str">
        <f>TEXT(Inventory_Data[[#This Row],[Date]],"MMM")</f>
        <v>May</v>
      </c>
      <c r="Q2373" t="str">
        <f>TEXT(Inventory_Data[[#This Row],[Date]],"YYYY")</f>
        <v>2026</v>
      </c>
    </row>
    <row r="2374" spans="1:17" x14ac:dyDescent="0.3">
      <c r="A2374" s="1">
        <v>46165</v>
      </c>
      <c r="B2374" t="s">
        <v>16</v>
      </c>
      <c r="C2374" t="s">
        <v>17</v>
      </c>
      <c r="D2374" t="s">
        <v>26</v>
      </c>
      <c r="E2374" t="s">
        <v>29</v>
      </c>
      <c r="F2374">
        <v>55</v>
      </c>
      <c r="G2374">
        <v>15</v>
      </c>
      <c r="H2374">
        <v>15</v>
      </c>
      <c r="I2374">
        <v>55</v>
      </c>
      <c r="J2374">
        <v>17</v>
      </c>
      <c r="K2374">
        <v>16432</v>
      </c>
      <c r="L2374">
        <v>903760</v>
      </c>
      <c r="M2374">
        <f>Inventory_Data[[#This Row],[Opening Stock]]+Inventory_Data[[#This Row],[Purchase Qty]]-Inventory_Data[[#This Row],[Sales Qty]]-Inventory_Data[[#This Row],[Closing Stock]]</f>
        <v>0</v>
      </c>
      <c r="N2374">
        <f>Inventory_Data[[#This Row],[Purchase Qty]]*Inventory_Data[[#This Row],[Unit Cost]]</f>
        <v>246480</v>
      </c>
      <c r="O2374" t="str">
        <f>IF(Inventory_Data[[#This Row],[Closing Stock]]&lt;=Inventory_Data[[#This Row],[Reorder Level]],"Low Stock","In Stock")</f>
        <v>In Stock</v>
      </c>
      <c r="P2374" t="str">
        <f>TEXT(Inventory_Data[[#This Row],[Date]],"MMM")</f>
        <v>May</v>
      </c>
      <c r="Q2374" t="str">
        <f>TEXT(Inventory_Data[[#This Row],[Date]],"YYYY")</f>
        <v>2026</v>
      </c>
    </row>
    <row r="2375" spans="1:17" x14ac:dyDescent="0.3">
      <c r="A2375" s="1">
        <v>46166</v>
      </c>
      <c r="B2375" t="s">
        <v>35</v>
      </c>
      <c r="C2375" t="s">
        <v>22</v>
      </c>
      <c r="D2375" t="s">
        <v>23</v>
      </c>
      <c r="E2375" t="s">
        <v>15</v>
      </c>
      <c r="F2375">
        <v>496</v>
      </c>
      <c r="G2375">
        <v>45</v>
      </c>
      <c r="H2375">
        <v>211</v>
      </c>
      <c r="I2375">
        <v>330</v>
      </c>
      <c r="J2375">
        <v>139</v>
      </c>
      <c r="K2375">
        <v>894</v>
      </c>
      <c r="L2375">
        <v>295020</v>
      </c>
      <c r="M2375">
        <f>Inventory_Data[[#This Row],[Opening Stock]]+Inventory_Data[[#This Row],[Purchase Qty]]-Inventory_Data[[#This Row],[Sales Qty]]-Inventory_Data[[#This Row],[Closing Stock]]</f>
        <v>0</v>
      </c>
      <c r="N2375">
        <f>Inventory_Data[[#This Row],[Purchase Qty]]*Inventory_Data[[#This Row],[Unit Cost]]</f>
        <v>40230</v>
      </c>
      <c r="O2375" t="str">
        <f>IF(Inventory_Data[[#This Row],[Closing Stock]]&lt;=Inventory_Data[[#This Row],[Reorder Level]],"Low Stock","In Stock")</f>
        <v>In Stock</v>
      </c>
      <c r="P2375" t="str">
        <f>TEXT(Inventory_Data[[#This Row],[Date]],"MMM")</f>
        <v>May</v>
      </c>
      <c r="Q2375" t="str">
        <f>TEXT(Inventory_Data[[#This Row],[Date]],"YYYY")</f>
        <v>2026</v>
      </c>
    </row>
    <row r="2376" spans="1:17" x14ac:dyDescent="0.3">
      <c r="A2376" s="1">
        <v>46166</v>
      </c>
      <c r="B2376" t="s">
        <v>45</v>
      </c>
      <c r="C2376" t="s">
        <v>13</v>
      </c>
      <c r="D2376" t="s">
        <v>26</v>
      </c>
      <c r="E2376" t="s">
        <v>34</v>
      </c>
      <c r="F2376">
        <v>111</v>
      </c>
      <c r="G2376">
        <v>9</v>
      </c>
      <c r="H2376">
        <v>39</v>
      </c>
      <c r="I2376">
        <v>81</v>
      </c>
      <c r="J2376">
        <v>36</v>
      </c>
      <c r="K2376">
        <v>12561</v>
      </c>
      <c r="L2376">
        <v>1017441</v>
      </c>
      <c r="M2376">
        <f>Inventory_Data[[#This Row],[Opening Stock]]+Inventory_Data[[#This Row],[Purchase Qty]]-Inventory_Data[[#This Row],[Sales Qty]]-Inventory_Data[[#This Row],[Closing Stock]]</f>
        <v>0</v>
      </c>
      <c r="N2376">
        <f>Inventory_Data[[#This Row],[Purchase Qty]]*Inventory_Data[[#This Row],[Unit Cost]]</f>
        <v>113049</v>
      </c>
      <c r="O2376" t="str">
        <f>IF(Inventory_Data[[#This Row],[Closing Stock]]&lt;=Inventory_Data[[#This Row],[Reorder Level]],"Low Stock","In Stock")</f>
        <v>In Stock</v>
      </c>
      <c r="P2376" t="str">
        <f>TEXT(Inventory_Data[[#This Row],[Date]],"MMM")</f>
        <v>May</v>
      </c>
      <c r="Q2376" t="str">
        <f>TEXT(Inventory_Data[[#This Row],[Date]],"YYYY")</f>
        <v>2026</v>
      </c>
    </row>
    <row r="2377" spans="1:17" x14ac:dyDescent="0.3">
      <c r="A2377" s="1">
        <v>46166</v>
      </c>
      <c r="B2377" t="s">
        <v>31</v>
      </c>
      <c r="C2377" t="s">
        <v>22</v>
      </c>
      <c r="D2377" t="s">
        <v>23</v>
      </c>
      <c r="E2377" t="s">
        <v>29</v>
      </c>
      <c r="F2377">
        <v>293</v>
      </c>
      <c r="G2377">
        <v>89</v>
      </c>
      <c r="H2377">
        <v>113</v>
      </c>
      <c r="I2377">
        <v>269</v>
      </c>
      <c r="J2377">
        <v>96</v>
      </c>
      <c r="K2377">
        <v>670</v>
      </c>
      <c r="L2377">
        <v>180230</v>
      </c>
      <c r="M2377">
        <f>Inventory_Data[[#This Row],[Opening Stock]]+Inventory_Data[[#This Row],[Purchase Qty]]-Inventory_Data[[#This Row],[Sales Qty]]-Inventory_Data[[#This Row],[Closing Stock]]</f>
        <v>0</v>
      </c>
      <c r="N2377">
        <f>Inventory_Data[[#This Row],[Purchase Qty]]*Inventory_Data[[#This Row],[Unit Cost]]</f>
        <v>59630</v>
      </c>
      <c r="O2377" t="str">
        <f>IF(Inventory_Data[[#This Row],[Closing Stock]]&lt;=Inventory_Data[[#This Row],[Reorder Level]],"Low Stock","In Stock")</f>
        <v>In Stock</v>
      </c>
      <c r="P2377" t="str">
        <f>TEXT(Inventory_Data[[#This Row],[Date]],"MMM")</f>
        <v>May</v>
      </c>
      <c r="Q2377" t="str">
        <f>TEXT(Inventory_Data[[#This Row],[Date]],"YYYY")</f>
        <v>2026</v>
      </c>
    </row>
    <row r="2378" spans="1:17" x14ac:dyDescent="0.3">
      <c r="A2378" s="1">
        <v>46166</v>
      </c>
      <c r="B2378" t="s">
        <v>35</v>
      </c>
      <c r="C2378" t="s">
        <v>22</v>
      </c>
      <c r="D2378" t="s">
        <v>23</v>
      </c>
      <c r="E2378" t="s">
        <v>15</v>
      </c>
      <c r="F2378">
        <v>313</v>
      </c>
      <c r="G2378">
        <v>64</v>
      </c>
      <c r="H2378">
        <v>215</v>
      </c>
      <c r="I2378">
        <v>162</v>
      </c>
      <c r="J2378">
        <v>85</v>
      </c>
      <c r="K2378">
        <v>1124</v>
      </c>
      <c r="L2378">
        <v>182088</v>
      </c>
      <c r="M2378">
        <f>Inventory_Data[[#This Row],[Opening Stock]]+Inventory_Data[[#This Row],[Purchase Qty]]-Inventory_Data[[#This Row],[Sales Qty]]-Inventory_Data[[#This Row],[Closing Stock]]</f>
        <v>0</v>
      </c>
      <c r="N2378">
        <f>Inventory_Data[[#This Row],[Purchase Qty]]*Inventory_Data[[#This Row],[Unit Cost]]</f>
        <v>71936</v>
      </c>
      <c r="O2378" t="str">
        <f>IF(Inventory_Data[[#This Row],[Closing Stock]]&lt;=Inventory_Data[[#This Row],[Reorder Level]],"Low Stock","In Stock")</f>
        <v>In Stock</v>
      </c>
      <c r="P2378" t="str">
        <f>TEXT(Inventory_Data[[#This Row],[Date]],"MMM")</f>
        <v>May</v>
      </c>
      <c r="Q2378" t="str">
        <f>TEXT(Inventory_Data[[#This Row],[Date]],"YYYY")</f>
        <v>2026</v>
      </c>
    </row>
    <row r="2379" spans="1:17" x14ac:dyDescent="0.3">
      <c r="A2379" s="1">
        <v>46166</v>
      </c>
      <c r="B2379" t="s">
        <v>36</v>
      </c>
      <c r="C2379" t="s">
        <v>22</v>
      </c>
      <c r="D2379" t="s">
        <v>14</v>
      </c>
      <c r="E2379" t="s">
        <v>24</v>
      </c>
      <c r="F2379">
        <v>201</v>
      </c>
      <c r="G2379">
        <v>86</v>
      </c>
      <c r="H2379">
        <v>166</v>
      </c>
      <c r="I2379">
        <v>121</v>
      </c>
      <c r="J2379">
        <v>103</v>
      </c>
      <c r="K2379">
        <v>971</v>
      </c>
      <c r="L2379">
        <v>117491</v>
      </c>
      <c r="M2379">
        <f>Inventory_Data[[#This Row],[Opening Stock]]+Inventory_Data[[#This Row],[Purchase Qty]]-Inventory_Data[[#This Row],[Sales Qty]]-Inventory_Data[[#This Row],[Closing Stock]]</f>
        <v>0</v>
      </c>
      <c r="N2379">
        <f>Inventory_Data[[#This Row],[Purchase Qty]]*Inventory_Data[[#This Row],[Unit Cost]]</f>
        <v>83506</v>
      </c>
      <c r="O2379" t="str">
        <f>IF(Inventory_Data[[#This Row],[Closing Stock]]&lt;=Inventory_Data[[#This Row],[Reorder Level]],"Low Stock","In Stock")</f>
        <v>In Stock</v>
      </c>
      <c r="P2379" t="str">
        <f>TEXT(Inventory_Data[[#This Row],[Date]],"MMM")</f>
        <v>May</v>
      </c>
      <c r="Q2379" t="str">
        <f>TEXT(Inventory_Data[[#This Row],[Date]],"YYYY")</f>
        <v>2026</v>
      </c>
    </row>
    <row r="2380" spans="1:17" x14ac:dyDescent="0.3">
      <c r="A2380" s="1">
        <v>46166</v>
      </c>
      <c r="B2380" t="s">
        <v>31</v>
      </c>
      <c r="C2380" t="s">
        <v>22</v>
      </c>
      <c r="D2380" t="s">
        <v>26</v>
      </c>
      <c r="E2380" t="s">
        <v>24</v>
      </c>
      <c r="F2380">
        <v>109</v>
      </c>
      <c r="G2380">
        <v>103</v>
      </c>
      <c r="H2380">
        <v>58</v>
      </c>
      <c r="I2380">
        <v>154</v>
      </c>
      <c r="J2380">
        <v>132</v>
      </c>
      <c r="K2380">
        <v>802</v>
      </c>
      <c r="L2380">
        <v>123508</v>
      </c>
      <c r="M2380">
        <f>Inventory_Data[[#This Row],[Opening Stock]]+Inventory_Data[[#This Row],[Purchase Qty]]-Inventory_Data[[#This Row],[Sales Qty]]-Inventory_Data[[#This Row],[Closing Stock]]</f>
        <v>0</v>
      </c>
      <c r="N2380">
        <f>Inventory_Data[[#This Row],[Purchase Qty]]*Inventory_Data[[#This Row],[Unit Cost]]</f>
        <v>82606</v>
      </c>
      <c r="O2380" t="str">
        <f>IF(Inventory_Data[[#This Row],[Closing Stock]]&lt;=Inventory_Data[[#This Row],[Reorder Level]],"Low Stock","In Stock")</f>
        <v>In Stock</v>
      </c>
      <c r="P2380" t="str">
        <f>TEXT(Inventory_Data[[#This Row],[Date]],"MMM")</f>
        <v>May</v>
      </c>
      <c r="Q2380" t="str">
        <f>TEXT(Inventory_Data[[#This Row],[Date]],"YYYY")</f>
        <v>2026</v>
      </c>
    </row>
    <row r="2381" spans="1:17" x14ac:dyDescent="0.3">
      <c r="A2381" s="1">
        <v>46166</v>
      </c>
      <c r="B2381" t="s">
        <v>25</v>
      </c>
      <c r="C2381" t="s">
        <v>17</v>
      </c>
      <c r="D2381" t="s">
        <v>14</v>
      </c>
      <c r="E2381" t="s">
        <v>34</v>
      </c>
      <c r="F2381">
        <v>63</v>
      </c>
      <c r="G2381">
        <v>38</v>
      </c>
      <c r="H2381">
        <v>8</v>
      </c>
      <c r="I2381">
        <v>93</v>
      </c>
      <c r="J2381">
        <v>12</v>
      </c>
      <c r="K2381">
        <v>22344</v>
      </c>
      <c r="L2381">
        <v>2077992</v>
      </c>
      <c r="M2381">
        <f>Inventory_Data[[#This Row],[Opening Stock]]+Inventory_Data[[#This Row],[Purchase Qty]]-Inventory_Data[[#This Row],[Sales Qty]]-Inventory_Data[[#This Row],[Closing Stock]]</f>
        <v>0</v>
      </c>
      <c r="N2381">
        <f>Inventory_Data[[#This Row],[Purchase Qty]]*Inventory_Data[[#This Row],[Unit Cost]]</f>
        <v>849072</v>
      </c>
      <c r="O2381" t="str">
        <f>IF(Inventory_Data[[#This Row],[Closing Stock]]&lt;=Inventory_Data[[#This Row],[Reorder Level]],"Low Stock","In Stock")</f>
        <v>In Stock</v>
      </c>
      <c r="P2381" t="str">
        <f>TEXT(Inventory_Data[[#This Row],[Date]],"MMM")</f>
        <v>May</v>
      </c>
      <c r="Q2381" t="str">
        <f>TEXT(Inventory_Data[[#This Row],[Date]],"YYYY")</f>
        <v>2026</v>
      </c>
    </row>
    <row r="2382" spans="1:17" x14ac:dyDescent="0.3">
      <c r="A2382" s="1">
        <v>46166</v>
      </c>
      <c r="B2382" t="s">
        <v>33</v>
      </c>
      <c r="C2382" t="s">
        <v>13</v>
      </c>
      <c r="D2382" t="s">
        <v>26</v>
      </c>
      <c r="E2382" t="s">
        <v>15</v>
      </c>
      <c r="F2382">
        <v>78</v>
      </c>
      <c r="G2382">
        <v>78</v>
      </c>
      <c r="H2382">
        <v>7</v>
      </c>
      <c r="I2382">
        <v>149</v>
      </c>
      <c r="J2382">
        <v>16</v>
      </c>
      <c r="K2382">
        <v>3524</v>
      </c>
      <c r="L2382">
        <v>525076</v>
      </c>
      <c r="M2382">
        <f>Inventory_Data[[#This Row],[Opening Stock]]+Inventory_Data[[#This Row],[Purchase Qty]]-Inventory_Data[[#This Row],[Sales Qty]]-Inventory_Data[[#This Row],[Closing Stock]]</f>
        <v>0</v>
      </c>
      <c r="N2382">
        <f>Inventory_Data[[#This Row],[Purchase Qty]]*Inventory_Data[[#This Row],[Unit Cost]]</f>
        <v>274872</v>
      </c>
      <c r="O2382" t="str">
        <f>IF(Inventory_Data[[#This Row],[Closing Stock]]&lt;=Inventory_Data[[#This Row],[Reorder Level]],"Low Stock","In Stock")</f>
        <v>In Stock</v>
      </c>
      <c r="P2382" t="str">
        <f>TEXT(Inventory_Data[[#This Row],[Date]],"MMM")</f>
        <v>May</v>
      </c>
      <c r="Q2382" t="str">
        <f>TEXT(Inventory_Data[[#This Row],[Date]],"YYYY")</f>
        <v>2026</v>
      </c>
    </row>
    <row r="2383" spans="1:17" x14ac:dyDescent="0.3">
      <c r="A2383" s="1">
        <v>46166</v>
      </c>
      <c r="B2383" t="s">
        <v>40</v>
      </c>
      <c r="C2383" t="s">
        <v>28</v>
      </c>
      <c r="D2383" t="s">
        <v>23</v>
      </c>
      <c r="E2383" t="s">
        <v>34</v>
      </c>
      <c r="F2383">
        <v>161</v>
      </c>
      <c r="G2383">
        <v>45</v>
      </c>
      <c r="H2383">
        <v>27</v>
      </c>
      <c r="I2383">
        <v>179</v>
      </c>
      <c r="J2383">
        <v>21</v>
      </c>
      <c r="K2383">
        <v>23441</v>
      </c>
      <c r="L2383">
        <v>4195939</v>
      </c>
      <c r="M2383">
        <f>Inventory_Data[[#This Row],[Opening Stock]]+Inventory_Data[[#This Row],[Purchase Qty]]-Inventory_Data[[#This Row],[Sales Qty]]-Inventory_Data[[#This Row],[Closing Stock]]</f>
        <v>0</v>
      </c>
      <c r="N2383">
        <f>Inventory_Data[[#This Row],[Purchase Qty]]*Inventory_Data[[#This Row],[Unit Cost]]</f>
        <v>1054845</v>
      </c>
      <c r="O2383" t="str">
        <f>IF(Inventory_Data[[#This Row],[Closing Stock]]&lt;=Inventory_Data[[#This Row],[Reorder Level]],"Low Stock","In Stock")</f>
        <v>In Stock</v>
      </c>
      <c r="P2383" t="str">
        <f>TEXT(Inventory_Data[[#This Row],[Date]],"MMM")</f>
        <v>May</v>
      </c>
      <c r="Q2383" t="str">
        <f>TEXT(Inventory_Data[[#This Row],[Date]],"YYYY")</f>
        <v>2026</v>
      </c>
    </row>
    <row r="2384" spans="1:17" x14ac:dyDescent="0.3">
      <c r="A2384" s="1">
        <v>46167</v>
      </c>
      <c r="B2384" t="s">
        <v>35</v>
      </c>
      <c r="C2384" t="s">
        <v>22</v>
      </c>
      <c r="D2384" t="s">
        <v>26</v>
      </c>
      <c r="E2384" t="s">
        <v>15</v>
      </c>
      <c r="F2384">
        <v>328</v>
      </c>
      <c r="G2384">
        <v>235</v>
      </c>
      <c r="H2384">
        <v>103</v>
      </c>
      <c r="I2384">
        <v>460</v>
      </c>
      <c r="J2384">
        <v>128</v>
      </c>
      <c r="K2384">
        <v>849</v>
      </c>
      <c r="L2384">
        <v>390540</v>
      </c>
      <c r="M2384">
        <f>Inventory_Data[[#This Row],[Opening Stock]]+Inventory_Data[[#This Row],[Purchase Qty]]-Inventory_Data[[#This Row],[Sales Qty]]-Inventory_Data[[#This Row],[Closing Stock]]</f>
        <v>0</v>
      </c>
      <c r="N2384">
        <f>Inventory_Data[[#This Row],[Purchase Qty]]*Inventory_Data[[#This Row],[Unit Cost]]</f>
        <v>199515</v>
      </c>
      <c r="O2384" t="str">
        <f>IF(Inventory_Data[[#This Row],[Closing Stock]]&lt;=Inventory_Data[[#This Row],[Reorder Level]],"Low Stock","In Stock")</f>
        <v>In Stock</v>
      </c>
      <c r="P2384" t="str">
        <f>TEXT(Inventory_Data[[#This Row],[Date]],"MMM")</f>
        <v>May</v>
      </c>
      <c r="Q2384" t="str">
        <f>TEXT(Inventory_Data[[#This Row],[Date]],"YYYY")</f>
        <v>2026</v>
      </c>
    </row>
    <row r="2385" spans="1:17" x14ac:dyDescent="0.3">
      <c r="A2385" s="1">
        <v>46167</v>
      </c>
      <c r="B2385" t="s">
        <v>25</v>
      </c>
      <c r="C2385" t="s">
        <v>17</v>
      </c>
      <c r="D2385" t="s">
        <v>26</v>
      </c>
      <c r="E2385" t="s">
        <v>15</v>
      </c>
      <c r="F2385">
        <v>57</v>
      </c>
      <c r="G2385">
        <v>27</v>
      </c>
      <c r="H2385">
        <v>7</v>
      </c>
      <c r="I2385">
        <v>77</v>
      </c>
      <c r="J2385">
        <v>19</v>
      </c>
      <c r="K2385">
        <v>24755</v>
      </c>
      <c r="L2385">
        <v>1906135</v>
      </c>
      <c r="M2385">
        <f>Inventory_Data[[#This Row],[Opening Stock]]+Inventory_Data[[#This Row],[Purchase Qty]]-Inventory_Data[[#This Row],[Sales Qty]]-Inventory_Data[[#This Row],[Closing Stock]]</f>
        <v>0</v>
      </c>
      <c r="N2385">
        <f>Inventory_Data[[#This Row],[Purchase Qty]]*Inventory_Data[[#This Row],[Unit Cost]]</f>
        <v>668385</v>
      </c>
      <c r="O2385" t="str">
        <f>IF(Inventory_Data[[#This Row],[Closing Stock]]&lt;=Inventory_Data[[#This Row],[Reorder Level]],"Low Stock","In Stock")</f>
        <v>In Stock</v>
      </c>
      <c r="P2385" t="str">
        <f>TEXT(Inventory_Data[[#This Row],[Date]],"MMM")</f>
        <v>May</v>
      </c>
      <c r="Q2385" t="str">
        <f>TEXT(Inventory_Data[[#This Row],[Date]],"YYYY")</f>
        <v>2026</v>
      </c>
    </row>
    <row r="2386" spans="1:17" x14ac:dyDescent="0.3">
      <c r="A2386" s="1">
        <v>46167</v>
      </c>
      <c r="B2386" t="s">
        <v>41</v>
      </c>
      <c r="C2386" t="s">
        <v>22</v>
      </c>
      <c r="D2386" t="s">
        <v>14</v>
      </c>
      <c r="E2386" t="s">
        <v>20</v>
      </c>
      <c r="F2386">
        <v>207</v>
      </c>
      <c r="G2386">
        <v>58</v>
      </c>
      <c r="H2386">
        <v>220</v>
      </c>
      <c r="I2386">
        <v>45</v>
      </c>
      <c r="J2386">
        <v>143</v>
      </c>
      <c r="K2386">
        <v>1006</v>
      </c>
      <c r="L2386">
        <v>45270</v>
      </c>
      <c r="M2386">
        <f>Inventory_Data[[#This Row],[Opening Stock]]+Inventory_Data[[#This Row],[Purchase Qty]]-Inventory_Data[[#This Row],[Sales Qty]]-Inventory_Data[[#This Row],[Closing Stock]]</f>
        <v>0</v>
      </c>
      <c r="N2386">
        <f>Inventory_Data[[#This Row],[Purchase Qty]]*Inventory_Data[[#This Row],[Unit Cost]]</f>
        <v>58348</v>
      </c>
      <c r="O2386" t="str">
        <f>IF(Inventory_Data[[#This Row],[Closing Stock]]&lt;=Inventory_Data[[#This Row],[Reorder Level]],"Low Stock","In Stock")</f>
        <v>Low Stock</v>
      </c>
      <c r="P2386" t="str">
        <f>TEXT(Inventory_Data[[#This Row],[Date]],"MMM")</f>
        <v>May</v>
      </c>
      <c r="Q2386" t="str">
        <f>TEXT(Inventory_Data[[#This Row],[Date]],"YYYY")</f>
        <v>2026</v>
      </c>
    </row>
    <row r="2387" spans="1:17" x14ac:dyDescent="0.3">
      <c r="A2387" s="1">
        <v>46168</v>
      </c>
      <c r="B2387" t="s">
        <v>35</v>
      </c>
      <c r="C2387" t="s">
        <v>22</v>
      </c>
      <c r="D2387" t="s">
        <v>23</v>
      </c>
      <c r="E2387" t="s">
        <v>24</v>
      </c>
      <c r="F2387">
        <v>335</v>
      </c>
      <c r="G2387">
        <v>279</v>
      </c>
      <c r="H2387">
        <v>87</v>
      </c>
      <c r="I2387">
        <v>527</v>
      </c>
      <c r="J2387">
        <v>100</v>
      </c>
      <c r="K2387">
        <v>357</v>
      </c>
      <c r="L2387">
        <v>188139</v>
      </c>
      <c r="M2387">
        <f>Inventory_Data[[#This Row],[Opening Stock]]+Inventory_Data[[#This Row],[Purchase Qty]]-Inventory_Data[[#This Row],[Sales Qty]]-Inventory_Data[[#This Row],[Closing Stock]]</f>
        <v>0</v>
      </c>
      <c r="N2387">
        <f>Inventory_Data[[#This Row],[Purchase Qty]]*Inventory_Data[[#This Row],[Unit Cost]]</f>
        <v>99603</v>
      </c>
      <c r="O2387" t="str">
        <f>IF(Inventory_Data[[#This Row],[Closing Stock]]&lt;=Inventory_Data[[#This Row],[Reorder Level]],"Low Stock","In Stock")</f>
        <v>In Stock</v>
      </c>
      <c r="P2387" t="str">
        <f>TEXT(Inventory_Data[[#This Row],[Date]],"MMM")</f>
        <v>May</v>
      </c>
      <c r="Q2387" t="str">
        <f>TEXT(Inventory_Data[[#This Row],[Date]],"YYYY")</f>
        <v>2026</v>
      </c>
    </row>
    <row r="2388" spans="1:17" x14ac:dyDescent="0.3">
      <c r="A2388" s="1">
        <v>46168</v>
      </c>
      <c r="B2388" t="s">
        <v>12</v>
      </c>
      <c r="C2388" t="s">
        <v>13</v>
      </c>
      <c r="D2388" t="s">
        <v>37</v>
      </c>
      <c r="E2388" t="s">
        <v>24</v>
      </c>
      <c r="F2388">
        <v>56</v>
      </c>
      <c r="G2388">
        <v>64</v>
      </c>
      <c r="H2388">
        <v>18</v>
      </c>
      <c r="I2388">
        <v>102</v>
      </c>
      <c r="J2388">
        <v>29</v>
      </c>
      <c r="K2388">
        <v>889</v>
      </c>
      <c r="L2388">
        <v>90678</v>
      </c>
      <c r="M2388">
        <f>Inventory_Data[[#This Row],[Opening Stock]]+Inventory_Data[[#This Row],[Purchase Qty]]-Inventory_Data[[#This Row],[Sales Qty]]-Inventory_Data[[#This Row],[Closing Stock]]</f>
        <v>0</v>
      </c>
      <c r="N2388">
        <f>Inventory_Data[[#This Row],[Purchase Qty]]*Inventory_Data[[#This Row],[Unit Cost]]</f>
        <v>56896</v>
      </c>
      <c r="O2388" t="str">
        <f>IF(Inventory_Data[[#This Row],[Closing Stock]]&lt;=Inventory_Data[[#This Row],[Reorder Level]],"Low Stock","In Stock")</f>
        <v>In Stock</v>
      </c>
      <c r="P2388" t="str">
        <f>TEXT(Inventory_Data[[#This Row],[Date]],"MMM")</f>
        <v>May</v>
      </c>
      <c r="Q2388" t="str">
        <f>TEXT(Inventory_Data[[#This Row],[Date]],"YYYY")</f>
        <v>2026</v>
      </c>
    </row>
    <row r="2389" spans="1:17" x14ac:dyDescent="0.3">
      <c r="A2389" s="1">
        <v>46168</v>
      </c>
      <c r="B2389" t="s">
        <v>44</v>
      </c>
      <c r="C2389" t="s">
        <v>28</v>
      </c>
      <c r="D2389" t="s">
        <v>26</v>
      </c>
      <c r="E2389" t="s">
        <v>15</v>
      </c>
      <c r="F2389">
        <v>90</v>
      </c>
      <c r="G2389">
        <v>98</v>
      </c>
      <c r="H2389">
        <v>49</v>
      </c>
      <c r="I2389">
        <v>139</v>
      </c>
      <c r="J2389">
        <v>55</v>
      </c>
      <c r="K2389">
        <v>26531</v>
      </c>
      <c r="L2389">
        <v>3687809</v>
      </c>
      <c r="M2389">
        <f>Inventory_Data[[#This Row],[Opening Stock]]+Inventory_Data[[#This Row],[Purchase Qty]]-Inventory_Data[[#This Row],[Sales Qty]]-Inventory_Data[[#This Row],[Closing Stock]]</f>
        <v>0</v>
      </c>
      <c r="N2389">
        <f>Inventory_Data[[#This Row],[Purchase Qty]]*Inventory_Data[[#This Row],[Unit Cost]]</f>
        <v>2600038</v>
      </c>
      <c r="O2389" t="str">
        <f>IF(Inventory_Data[[#This Row],[Closing Stock]]&lt;=Inventory_Data[[#This Row],[Reorder Level]],"Low Stock","In Stock")</f>
        <v>In Stock</v>
      </c>
      <c r="P2389" t="str">
        <f>TEXT(Inventory_Data[[#This Row],[Date]],"MMM")</f>
        <v>May</v>
      </c>
      <c r="Q2389" t="str">
        <f>TEXT(Inventory_Data[[#This Row],[Date]],"YYYY")</f>
        <v>2026</v>
      </c>
    </row>
    <row r="2390" spans="1:17" x14ac:dyDescent="0.3">
      <c r="A2390" s="1">
        <v>46168</v>
      </c>
      <c r="B2390" t="s">
        <v>41</v>
      </c>
      <c r="C2390" t="s">
        <v>22</v>
      </c>
      <c r="D2390" t="s">
        <v>26</v>
      </c>
      <c r="E2390" t="s">
        <v>29</v>
      </c>
      <c r="F2390">
        <v>395</v>
      </c>
      <c r="G2390">
        <v>169</v>
      </c>
      <c r="H2390">
        <v>123</v>
      </c>
      <c r="I2390">
        <v>441</v>
      </c>
      <c r="J2390">
        <v>100</v>
      </c>
      <c r="K2390">
        <v>599</v>
      </c>
      <c r="L2390">
        <v>264159</v>
      </c>
      <c r="M2390">
        <f>Inventory_Data[[#This Row],[Opening Stock]]+Inventory_Data[[#This Row],[Purchase Qty]]-Inventory_Data[[#This Row],[Sales Qty]]-Inventory_Data[[#This Row],[Closing Stock]]</f>
        <v>0</v>
      </c>
      <c r="N2390">
        <f>Inventory_Data[[#This Row],[Purchase Qty]]*Inventory_Data[[#This Row],[Unit Cost]]</f>
        <v>101231</v>
      </c>
      <c r="O2390" t="str">
        <f>IF(Inventory_Data[[#This Row],[Closing Stock]]&lt;=Inventory_Data[[#This Row],[Reorder Level]],"Low Stock","In Stock")</f>
        <v>In Stock</v>
      </c>
      <c r="P2390" t="str">
        <f>TEXT(Inventory_Data[[#This Row],[Date]],"MMM")</f>
        <v>May</v>
      </c>
      <c r="Q2390" t="str">
        <f>TEXT(Inventory_Data[[#This Row],[Date]],"YYYY")</f>
        <v>2026</v>
      </c>
    </row>
    <row r="2391" spans="1:17" x14ac:dyDescent="0.3">
      <c r="A2391" s="1">
        <v>46168</v>
      </c>
      <c r="B2391" t="s">
        <v>19</v>
      </c>
      <c r="C2391" t="s">
        <v>13</v>
      </c>
      <c r="D2391" t="s">
        <v>37</v>
      </c>
      <c r="E2391" t="s">
        <v>15</v>
      </c>
      <c r="F2391">
        <v>93</v>
      </c>
      <c r="G2391">
        <v>66</v>
      </c>
      <c r="H2391">
        <v>45</v>
      </c>
      <c r="I2391">
        <v>114</v>
      </c>
      <c r="J2391">
        <v>20</v>
      </c>
      <c r="K2391">
        <v>7354</v>
      </c>
      <c r="L2391">
        <v>838356</v>
      </c>
      <c r="M2391">
        <f>Inventory_Data[[#This Row],[Opening Stock]]+Inventory_Data[[#This Row],[Purchase Qty]]-Inventory_Data[[#This Row],[Sales Qty]]-Inventory_Data[[#This Row],[Closing Stock]]</f>
        <v>0</v>
      </c>
      <c r="N2391">
        <f>Inventory_Data[[#This Row],[Purchase Qty]]*Inventory_Data[[#This Row],[Unit Cost]]</f>
        <v>485364</v>
      </c>
      <c r="O2391" t="str">
        <f>IF(Inventory_Data[[#This Row],[Closing Stock]]&lt;=Inventory_Data[[#This Row],[Reorder Level]],"Low Stock","In Stock")</f>
        <v>In Stock</v>
      </c>
      <c r="P2391" t="str">
        <f>TEXT(Inventory_Data[[#This Row],[Date]],"MMM")</f>
        <v>May</v>
      </c>
      <c r="Q2391" t="str">
        <f>TEXT(Inventory_Data[[#This Row],[Date]],"YYYY")</f>
        <v>2026</v>
      </c>
    </row>
    <row r="2392" spans="1:17" x14ac:dyDescent="0.3">
      <c r="A2392" s="1">
        <v>46168</v>
      </c>
      <c r="B2392" t="s">
        <v>39</v>
      </c>
      <c r="C2392" t="s">
        <v>28</v>
      </c>
      <c r="D2392" t="s">
        <v>14</v>
      </c>
      <c r="E2392" t="s">
        <v>24</v>
      </c>
      <c r="F2392">
        <v>148</v>
      </c>
      <c r="G2392">
        <v>30</v>
      </c>
      <c r="H2392">
        <v>59</v>
      </c>
      <c r="I2392">
        <v>119</v>
      </c>
      <c r="J2392">
        <v>47</v>
      </c>
      <c r="K2392">
        <v>29989</v>
      </c>
      <c r="L2392">
        <v>3568691</v>
      </c>
      <c r="M2392">
        <f>Inventory_Data[[#This Row],[Opening Stock]]+Inventory_Data[[#This Row],[Purchase Qty]]-Inventory_Data[[#This Row],[Sales Qty]]-Inventory_Data[[#This Row],[Closing Stock]]</f>
        <v>0</v>
      </c>
      <c r="N2392">
        <f>Inventory_Data[[#This Row],[Purchase Qty]]*Inventory_Data[[#This Row],[Unit Cost]]</f>
        <v>899670</v>
      </c>
      <c r="O2392" t="str">
        <f>IF(Inventory_Data[[#This Row],[Closing Stock]]&lt;=Inventory_Data[[#This Row],[Reorder Level]],"Low Stock","In Stock")</f>
        <v>In Stock</v>
      </c>
      <c r="P2392" t="str">
        <f>TEXT(Inventory_Data[[#This Row],[Date]],"MMM")</f>
        <v>May</v>
      </c>
      <c r="Q2392" t="str">
        <f>TEXT(Inventory_Data[[#This Row],[Date]],"YYYY")</f>
        <v>2026</v>
      </c>
    </row>
    <row r="2393" spans="1:17" x14ac:dyDescent="0.3">
      <c r="A2393" s="1">
        <v>46169</v>
      </c>
      <c r="B2393" t="s">
        <v>41</v>
      </c>
      <c r="C2393" t="s">
        <v>22</v>
      </c>
      <c r="D2393" t="s">
        <v>23</v>
      </c>
      <c r="E2393" t="s">
        <v>34</v>
      </c>
      <c r="F2393">
        <v>149</v>
      </c>
      <c r="G2393">
        <v>107</v>
      </c>
      <c r="H2393">
        <v>171</v>
      </c>
      <c r="I2393">
        <v>85</v>
      </c>
      <c r="J2393">
        <v>55</v>
      </c>
      <c r="K2393">
        <v>257</v>
      </c>
      <c r="L2393">
        <v>21845</v>
      </c>
      <c r="M2393">
        <f>Inventory_Data[[#This Row],[Opening Stock]]+Inventory_Data[[#This Row],[Purchase Qty]]-Inventory_Data[[#This Row],[Sales Qty]]-Inventory_Data[[#This Row],[Closing Stock]]</f>
        <v>0</v>
      </c>
      <c r="N2393">
        <f>Inventory_Data[[#This Row],[Purchase Qty]]*Inventory_Data[[#This Row],[Unit Cost]]</f>
        <v>27499</v>
      </c>
      <c r="O2393" t="str">
        <f>IF(Inventory_Data[[#This Row],[Closing Stock]]&lt;=Inventory_Data[[#This Row],[Reorder Level]],"Low Stock","In Stock")</f>
        <v>In Stock</v>
      </c>
      <c r="P2393" t="str">
        <f>TEXT(Inventory_Data[[#This Row],[Date]],"MMM")</f>
        <v>May</v>
      </c>
      <c r="Q2393" t="str">
        <f>TEXT(Inventory_Data[[#This Row],[Date]],"YYYY")</f>
        <v>2026</v>
      </c>
    </row>
    <row r="2394" spans="1:17" x14ac:dyDescent="0.3">
      <c r="A2394" s="1">
        <v>46169</v>
      </c>
      <c r="B2394" t="s">
        <v>12</v>
      </c>
      <c r="C2394" t="s">
        <v>13</v>
      </c>
      <c r="D2394" t="s">
        <v>37</v>
      </c>
      <c r="E2394" t="s">
        <v>34</v>
      </c>
      <c r="F2394">
        <v>32</v>
      </c>
      <c r="G2394">
        <v>49</v>
      </c>
      <c r="H2394">
        <v>46</v>
      </c>
      <c r="I2394">
        <v>35</v>
      </c>
      <c r="J2394">
        <v>31</v>
      </c>
      <c r="K2394">
        <v>15254</v>
      </c>
      <c r="L2394">
        <v>533890</v>
      </c>
      <c r="M2394">
        <f>Inventory_Data[[#This Row],[Opening Stock]]+Inventory_Data[[#This Row],[Purchase Qty]]-Inventory_Data[[#This Row],[Sales Qty]]-Inventory_Data[[#This Row],[Closing Stock]]</f>
        <v>0</v>
      </c>
      <c r="N2394">
        <f>Inventory_Data[[#This Row],[Purchase Qty]]*Inventory_Data[[#This Row],[Unit Cost]]</f>
        <v>747446</v>
      </c>
      <c r="O2394" t="str">
        <f>IF(Inventory_Data[[#This Row],[Closing Stock]]&lt;=Inventory_Data[[#This Row],[Reorder Level]],"Low Stock","In Stock")</f>
        <v>In Stock</v>
      </c>
      <c r="P2394" t="str">
        <f>TEXT(Inventory_Data[[#This Row],[Date]],"MMM")</f>
        <v>May</v>
      </c>
      <c r="Q2394" t="str">
        <f>TEXT(Inventory_Data[[#This Row],[Date]],"YYYY")</f>
        <v>2026</v>
      </c>
    </row>
    <row r="2395" spans="1:17" x14ac:dyDescent="0.3">
      <c r="A2395" s="1">
        <v>46169</v>
      </c>
      <c r="B2395" t="s">
        <v>41</v>
      </c>
      <c r="C2395" t="s">
        <v>22</v>
      </c>
      <c r="D2395" t="s">
        <v>37</v>
      </c>
      <c r="E2395" t="s">
        <v>18</v>
      </c>
      <c r="F2395">
        <v>351</v>
      </c>
      <c r="G2395">
        <v>266</v>
      </c>
      <c r="H2395">
        <v>43</v>
      </c>
      <c r="I2395">
        <v>574</v>
      </c>
      <c r="J2395">
        <v>133</v>
      </c>
      <c r="K2395">
        <v>1038</v>
      </c>
      <c r="L2395">
        <v>595812</v>
      </c>
      <c r="M2395">
        <f>Inventory_Data[[#This Row],[Opening Stock]]+Inventory_Data[[#This Row],[Purchase Qty]]-Inventory_Data[[#This Row],[Sales Qty]]-Inventory_Data[[#This Row],[Closing Stock]]</f>
        <v>0</v>
      </c>
      <c r="N2395">
        <f>Inventory_Data[[#This Row],[Purchase Qty]]*Inventory_Data[[#This Row],[Unit Cost]]</f>
        <v>276108</v>
      </c>
      <c r="O2395" t="str">
        <f>IF(Inventory_Data[[#This Row],[Closing Stock]]&lt;=Inventory_Data[[#This Row],[Reorder Level]],"Low Stock","In Stock")</f>
        <v>In Stock</v>
      </c>
      <c r="P2395" t="str">
        <f>TEXT(Inventory_Data[[#This Row],[Date]],"MMM")</f>
        <v>May</v>
      </c>
      <c r="Q2395" t="str">
        <f>TEXT(Inventory_Data[[#This Row],[Date]],"YYYY")</f>
        <v>2026</v>
      </c>
    </row>
    <row r="2396" spans="1:17" x14ac:dyDescent="0.3">
      <c r="A2396" s="1">
        <v>46169</v>
      </c>
      <c r="B2396" t="s">
        <v>33</v>
      </c>
      <c r="C2396" t="s">
        <v>13</v>
      </c>
      <c r="D2396" t="s">
        <v>14</v>
      </c>
      <c r="E2396" t="s">
        <v>24</v>
      </c>
      <c r="F2396">
        <v>95</v>
      </c>
      <c r="G2396">
        <v>47</v>
      </c>
      <c r="H2396">
        <v>33</v>
      </c>
      <c r="I2396">
        <v>109</v>
      </c>
      <c r="J2396">
        <v>36</v>
      </c>
      <c r="K2396">
        <v>2241</v>
      </c>
      <c r="L2396">
        <v>244269</v>
      </c>
      <c r="M2396">
        <f>Inventory_Data[[#This Row],[Opening Stock]]+Inventory_Data[[#This Row],[Purchase Qty]]-Inventory_Data[[#This Row],[Sales Qty]]-Inventory_Data[[#This Row],[Closing Stock]]</f>
        <v>0</v>
      </c>
      <c r="N2396">
        <f>Inventory_Data[[#This Row],[Purchase Qty]]*Inventory_Data[[#This Row],[Unit Cost]]</f>
        <v>105327</v>
      </c>
      <c r="O2396" t="str">
        <f>IF(Inventory_Data[[#This Row],[Closing Stock]]&lt;=Inventory_Data[[#This Row],[Reorder Level]],"Low Stock","In Stock")</f>
        <v>In Stock</v>
      </c>
      <c r="P2396" t="str">
        <f>TEXT(Inventory_Data[[#This Row],[Date]],"MMM")</f>
        <v>May</v>
      </c>
      <c r="Q2396" t="str">
        <f>TEXT(Inventory_Data[[#This Row],[Date]],"YYYY")</f>
        <v>2026</v>
      </c>
    </row>
    <row r="2397" spans="1:17" x14ac:dyDescent="0.3">
      <c r="A2397" s="1">
        <v>46169</v>
      </c>
      <c r="B2397" t="s">
        <v>43</v>
      </c>
      <c r="C2397" t="s">
        <v>22</v>
      </c>
      <c r="D2397" t="s">
        <v>23</v>
      </c>
      <c r="E2397" t="s">
        <v>34</v>
      </c>
      <c r="F2397">
        <v>391</v>
      </c>
      <c r="G2397">
        <v>243</v>
      </c>
      <c r="H2397">
        <v>73</v>
      </c>
      <c r="I2397">
        <v>561</v>
      </c>
      <c r="J2397">
        <v>105</v>
      </c>
      <c r="K2397">
        <v>741</v>
      </c>
      <c r="L2397">
        <v>415701</v>
      </c>
      <c r="M2397">
        <f>Inventory_Data[[#This Row],[Opening Stock]]+Inventory_Data[[#This Row],[Purchase Qty]]-Inventory_Data[[#This Row],[Sales Qty]]-Inventory_Data[[#This Row],[Closing Stock]]</f>
        <v>0</v>
      </c>
      <c r="N2397">
        <f>Inventory_Data[[#This Row],[Purchase Qty]]*Inventory_Data[[#This Row],[Unit Cost]]</f>
        <v>180063</v>
      </c>
      <c r="O2397" t="str">
        <f>IF(Inventory_Data[[#This Row],[Closing Stock]]&lt;=Inventory_Data[[#This Row],[Reorder Level]],"Low Stock","In Stock")</f>
        <v>In Stock</v>
      </c>
      <c r="P2397" t="str">
        <f>TEXT(Inventory_Data[[#This Row],[Date]],"MMM")</f>
        <v>May</v>
      </c>
      <c r="Q2397" t="str">
        <f>TEXT(Inventory_Data[[#This Row],[Date]],"YYYY")</f>
        <v>2026</v>
      </c>
    </row>
    <row r="2398" spans="1:17" x14ac:dyDescent="0.3">
      <c r="A2398" s="1">
        <v>46170</v>
      </c>
      <c r="B2398" t="s">
        <v>42</v>
      </c>
      <c r="C2398" t="s">
        <v>17</v>
      </c>
      <c r="D2398" t="s">
        <v>14</v>
      </c>
      <c r="E2398" t="s">
        <v>24</v>
      </c>
      <c r="F2398">
        <v>60</v>
      </c>
      <c r="G2398">
        <v>9</v>
      </c>
      <c r="H2398">
        <v>14</v>
      </c>
      <c r="I2398">
        <v>55</v>
      </c>
      <c r="J2398">
        <v>25</v>
      </c>
      <c r="K2398">
        <v>13671</v>
      </c>
      <c r="L2398">
        <v>751905</v>
      </c>
      <c r="M2398">
        <f>Inventory_Data[[#This Row],[Opening Stock]]+Inventory_Data[[#This Row],[Purchase Qty]]-Inventory_Data[[#This Row],[Sales Qty]]-Inventory_Data[[#This Row],[Closing Stock]]</f>
        <v>0</v>
      </c>
      <c r="N2398">
        <f>Inventory_Data[[#This Row],[Purchase Qty]]*Inventory_Data[[#This Row],[Unit Cost]]</f>
        <v>123039</v>
      </c>
      <c r="O2398" t="str">
        <f>IF(Inventory_Data[[#This Row],[Closing Stock]]&lt;=Inventory_Data[[#This Row],[Reorder Level]],"Low Stock","In Stock")</f>
        <v>In Stock</v>
      </c>
      <c r="P2398" t="str">
        <f>TEXT(Inventory_Data[[#This Row],[Date]],"MMM")</f>
        <v>May</v>
      </c>
      <c r="Q2398" t="str">
        <f>TEXT(Inventory_Data[[#This Row],[Date]],"YYYY")</f>
        <v>2026</v>
      </c>
    </row>
    <row r="2399" spans="1:17" x14ac:dyDescent="0.3">
      <c r="A2399" s="1">
        <v>46170</v>
      </c>
      <c r="B2399" t="s">
        <v>40</v>
      </c>
      <c r="C2399" t="s">
        <v>28</v>
      </c>
      <c r="D2399" t="s">
        <v>37</v>
      </c>
      <c r="E2399" t="s">
        <v>15</v>
      </c>
      <c r="F2399">
        <v>23</v>
      </c>
      <c r="G2399">
        <v>26</v>
      </c>
      <c r="H2399">
        <v>8</v>
      </c>
      <c r="I2399">
        <v>41</v>
      </c>
      <c r="J2399">
        <v>45</v>
      </c>
      <c r="K2399">
        <v>62666</v>
      </c>
      <c r="L2399">
        <v>2569306</v>
      </c>
      <c r="M2399">
        <f>Inventory_Data[[#This Row],[Opening Stock]]+Inventory_Data[[#This Row],[Purchase Qty]]-Inventory_Data[[#This Row],[Sales Qty]]-Inventory_Data[[#This Row],[Closing Stock]]</f>
        <v>0</v>
      </c>
      <c r="N2399">
        <f>Inventory_Data[[#This Row],[Purchase Qty]]*Inventory_Data[[#This Row],[Unit Cost]]</f>
        <v>1629316</v>
      </c>
      <c r="O2399" t="str">
        <f>IF(Inventory_Data[[#This Row],[Closing Stock]]&lt;=Inventory_Data[[#This Row],[Reorder Level]],"Low Stock","In Stock")</f>
        <v>Low Stock</v>
      </c>
      <c r="P2399" t="str">
        <f>TEXT(Inventory_Data[[#This Row],[Date]],"MMM")</f>
        <v>May</v>
      </c>
      <c r="Q2399" t="str">
        <f>TEXT(Inventory_Data[[#This Row],[Date]],"YYYY")</f>
        <v>2026</v>
      </c>
    </row>
    <row r="2400" spans="1:17" x14ac:dyDescent="0.3">
      <c r="A2400" s="1">
        <v>46171</v>
      </c>
      <c r="B2400" t="s">
        <v>31</v>
      </c>
      <c r="C2400" t="s">
        <v>22</v>
      </c>
      <c r="D2400" t="s">
        <v>14</v>
      </c>
      <c r="E2400" t="s">
        <v>20</v>
      </c>
      <c r="F2400">
        <v>293</v>
      </c>
      <c r="G2400">
        <v>205</v>
      </c>
      <c r="H2400">
        <v>247</v>
      </c>
      <c r="I2400">
        <v>251</v>
      </c>
      <c r="J2400">
        <v>108</v>
      </c>
      <c r="K2400">
        <v>929</v>
      </c>
      <c r="L2400">
        <v>233179</v>
      </c>
      <c r="M2400">
        <f>Inventory_Data[[#This Row],[Opening Stock]]+Inventory_Data[[#This Row],[Purchase Qty]]-Inventory_Data[[#This Row],[Sales Qty]]-Inventory_Data[[#This Row],[Closing Stock]]</f>
        <v>0</v>
      </c>
      <c r="N2400">
        <f>Inventory_Data[[#This Row],[Purchase Qty]]*Inventory_Data[[#This Row],[Unit Cost]]</f>
        <v>190445</v>
      </c>
      <c r="O2400" t="str">
        <f>IF(Inventory_Data[[#This Row],[Closing Stock]]&lt;=Inventory_Data[[#This Row],[Reorder Level]],"Low Stock","In Stock")</f>
        <v>In Stock</v>
      </c>
      <c r="P2400" t="str">
        <f>TEXT(Inventory_Data[[#This Row],[Date]],"MMM")</f>
        <v>May</v>
      </c>
      <c r="Q2400" t="str">
        <f>TEXT(Inventory_Data[[#This Row],[Date]],"YYYY")</f>
        <v>2026</v>
      </c>
    </row>
    <row r="2401" spans="1:17" x14ac:dyDescent="0.3">
      <c r="A2401" s="1">
        <v>46171</v>
      </c>
      <c r="B2401" t="s">
        <v>44</v>
      </c>
      <c r="C2401" t="s">
        <v>28</v>
      </c>
      <c r="D2401" t="s">
        <v>14</v>
      </c>
      <c r="E2401" t="s">
        <v>24</v>
      </c>
      <c r="F2401">
        <v>52</v>
      </c>
      <c r="G2401">
        <v>85</v>
      </c>
      <c r="H2401">
        <v>90</v>
      </c>
      <c r="I2401">
        <v>47</v>
      </c>
      <c r="J2401">
        <v>29</v>
      </c>
      <c r="K2401">
        <v>49388</v>
      </c>
      <c r="L2401">
        <v>2321236</v>
      </c>
      <c r="M2401">
        <f>Inventory_Data[[#This Row],[Opening Stock]]+Inventory_Data[[#This Row],[Purchase Qty]]-Inventory_Data[[#This Row],[Sales Qty]]-Inventory_Data[[#This Row],[Closing Stock]]</f>
        <v>0</v>
      </c>
      <c r="N2401">
        <f>Inventory_Data[[#This Row],[Purchase Qty]]*Inventory_Data[[#This Row],[Unit Cost]]</f>
        <v>4197980</v>
      </c>
      <c r="O2401" t="str">
        <f>IF(Inventory_Data[[#This Row],[Closing Stock]]&lt;=Inventory_Data[[#This Row],[Reorder Level]],"Low Stock","In Stock")</f>
        <v>In Stock</v>
      </c>
      <c r="P2401" t="str">
        <f>TEXT(Inventory_Data[[#This Row],[Date]],"MMM")</f>
        <v>May</v>
      </c>
      <c r="Q2401" t="str">
        <f>TEXT(Inventory_Data[[#This Row],[Date]],"YYYY")</f>
        <v>2026</v>
      </c>
    </row>
    <row r="2402" spans="1:17" x14ac:dyDescent="0.3">
      <c r="A2402" s="1">
        <v>46171</v>
      </c>
      <c r="B2402" t="s">
        <v>30</v>
      </c>
      <c r="C2402" t="s">
        <v>28</v>
      </c>
      <c r="D2402" t="s">
        <v>37</v>
      </c>
      <c r="E2402" t="s">
        <v>34</v>
      </c>
      <c r="F2402">
        <v>171</v>
      </c>
      <c r="G2402">
        <v>26</v>
      </c>
      <c r="H2402">
        <v>69</v>
      </c>
      <c r="I2402">
        <v>128</v>
      </c>
      <c r="J2402">
        <v>24</v>
      </c>
      <c r="K2402">
        <v>6245</v>
      </c>
      <c r="L2402">
        <v>799360</v>
      </c>
      <c r="M2402">
        <f>Inventory_Data[[#This Row],[Opening Stock]]+Inventory_Data[[#This Row],[Purchase Qty]]-Inventory_Data[[#This Row],[Sales Qty]]-Inventory_Data[[#This Row],[Closing Stock]]</f>
        <v>0</v>
      </c>
      <c r="N2402">
        <f>Inventory_Data[[#This Row],[Purchase Qty]]*Inventory_Data[[#This Row],[Unit Cost]]</f>
        <v>162370</v>
      </c>
      <c r="O2402" t="str">
        <f>IF(Inventory_Data[[#This Row],[Closing Stock]]&lt;=Inventory_Data[[#This Row],[Reorder Level]],"Low Stock","In Stock")</f>
        <v>In Stock</v>
      </c>
      <c r="P2402" t="str">
        <f>TEXT(Inventory_Data[[#This Row],[Date]],"MMM")</f>
        <v>May</v>
      </c>
      <c r="Q2402" t="str">
        <f>TEXT(Inventory_Data[[#This Row],[Date]],"YYYY")</f>
        <v>2026</v>
      </c>
    </row>
    <row r="2403" spans="1:17" x14ac:dyDescent="0.3">
      <c r="A2403" s="1">
        <v>46171</v>
      </c>
      <c r="B2403" t="s">
        <v>41</v>
      </c>
      <c r="C2403" t="s">
        <v>22</v>
      </c>
      <c r="D2403" t="s">
        <v>37</v>
      </c>
      <c r="E2403" t="s">
        <v>18</v>
      </c>
      <c r="F2403">
        <v>227</v>
      </c>
      <c r="G2403">
        <v>175</v>
      </c>
      <c r="H2403">
        <v>233</v>
      </c>
      <c r="I2403">
        <v>169</v>
      </c>
      <c r="J2403">
        <v>111</v>
      </c>
      <c r="K2403">
        <v>403</v>
      </c>
      <c r="L2403">
        <v>68107</v>
      </c>
      <c r="M2403">
        <f>Inventory_Data[[#This Row],[Opening Stock]]+Inventory_Data[[#This Row],[Purchase Qty]]-Inventory_Data[[#This Row],[Sales Qty]]-Inventory_Data[[#This Row],[Closing Stock]]</f>
        <v>0</v>
      </c>
      <c r="N2403">
        <f>Inventory_Data[[#This Row],[Purchase Qty]]*Inventory_Data[[#This Row],[Unit Cost]]</f>
        <v>70525</v>
      </c>
      <c r="O2403" t="str">
        <f>IF(Inventory_Data[[#This Row],[Closing Stock]]&lt;=Inventory_Data[[#This Row],[Reorder Level]],"Low Stock","In Stock")</f>
        <v>In Stock</v>
      </c>
      <c r="P2403" t="str">
        <f>TEXT(Inventory_Data[[#This Row],[Date]],"MMM")</f>
        <v>May</v>
      </c>
      <c r="Q2403" t="str">
        <f>TEXT(Inventory_Data[[#This Row],[Date]],"YYYY")</f>
        <v>2026</v>
      </c>
    </row>
    <row r="2404" spans="1:17" x14ac:dyDescent="0.3">
      <c r="A2404" s="1">
        <v>46171</v>
      </c>
      <c r="B2404" t="s">
        <v>25</v>
      </c>
      <c r="C2404" t="s">
        <v>17</v>
      </c>
      <c r="D2404" t="s">
        <v>14</v>
      </c>
      <c r="E2404" t="s">
        <v>20</v>
      </c>
      <c r="F2404">
        <v>31</v>
      </c>
      <c r="G2404">
        <v>52</v>
      </c>
      <c r="H2404">
        <v>3</v>
      </c>
      <c r="I2404">
        <v>80</v>
      </c>
      <c r="J2404">
        <v>11</v>
      </c>
      <c r="K2404">
        <v>24869</v>
      </c>
      <c r="L2404">
        <v>1989520</v>
      </c>
      <c r="M2404">
        <f>Inventory_Data[[#This Row],[Opening Stock]]+Inventory_Data[[#This Row],[Purchase Qty]]-Inventory_Data[[#This Row],[Sales Qty]]-Inventory_Data[[#This Row],[Closing Stock]]</f>
        <v>0</v>
      </c>
      <c r="N2404">
        <f>Inventory_Data[[#This Row],[Purchase Qty]]*Inventory_Data[[#This Row],[Unit Cost]]</f>
        <v>1293188</v>
      </c>
      <c r="O2404" t="str">
        <f>IF(Inventory_Data[[#This Row],[Closing Stock]]&lt;=Inventory_Data[[#This Row],[Reorder Level]],"Low Stock","In Stock")</f>
        <v>In Stock</v>
      </c>
      <c r="P2404" t="str">
        <f>TEXT(Inventory_Data[[#This Row],[Date]],"MMM")</f>
        <v>May</v>
      </c>
      <c r="Q2404" t="str">
        <f>TEXT(Inventory_Data[[#This Row],[Date]],"YYYY")</f>
        <v>2026</v>
      </c>
    </row>
    <row r="2405" spans="1:17" x14ac:dyDescent="0.3">
      <c r="A2405" s="1">
        <v>46171</v>
      </c>
      <c r="B2405" t="s">
        <v>42</v>
      </c>
      <c r="C2405" t="s">
        <v>17</v>
      </c>
      <c r="D2405" t="s">
        <v>26</v>
      </c>
      <c r="E2405" t="s">
        <v>29</v>
      </c>
      <c r="F2405">
        <v>59</v>
      </c>
      <c r="G2405">
        <v>45</v>
      </c>
      <c r="H2405">
        <v>3</v>
      </c>
      <c r="I2405">
        <v>101</v>
      </c>
      <c r="J2405">
        <v>12</v>
      </c>
      <c r="K2405">
        <v>20413</v>
      </c>
      <c r="L2405">
        <v>2061713</v>
      </c>
      <c r="M2405">
        <f>Inventory_Data[[#This Row],[Opening Stock]]+Inventory_Data[[#This Row],[Purchase Qty]]-Inventory_Data[[#This Row],[Sales Qty]]-Inventory_Data[[#This Row],[Closing Stock]]</f>
        <v>0</v>
      </c>
      <c r="N2405">
        <f>Inventory_Data[[#This Row],[Purchase Qty]]*Inventory_Data[[#This Row],[Unit Cost]]</f>
        <v>918585</v>
      </c>
      <c r="O2405" t="str">
        <f>IF(Inventory_Data[[#This Row],[Closing Stock]]&lt;=Inventory_Data[[#This Row],[Reorder Level]],"Low Stock","In Stock")</f>
        <v>In Stock</v>
      </c>
      <c r="P2405" t="str">
        <f>TEXT(Inventory_Data[[#This Row],[Date]],"MMM")</f>
        <v>May</v>
      </c>
      <c r="Q2405" t="str">
        <f>TEXT(Inventory_Data[[#This Row],[Date]],"YYYY")</f>
        <v>2026</v>
      </c>
    </row>
    <row r="2406" spans="1:17" x14ac:dyDescent="0.3">
      <c r="A2406" s="1">
        <v>46171</v>
      </c>
      <c r="B2406" t="s">
        <v>19</v>
      </c>
      <c r="C2406" t="s">
        <v>13</v>
      </c>
      <c r="D2406" t="s">
        <v>23</v>
      </c>
      <c r="E2406" t="s">
        <v>15</v>
      </c>
      <c r="F2406">
        <v>102</v>
      </c>
      <c r="G2406">
        <v>35</v>
      </c>
      <c r="H2406">
        <v>29</v>
      </c>
      <c r="I2406">
        <v>108</v>
      </c>
      <c r="J2406">
        <v>39</v>
      </c>
      <c r="K2406">
        <v>13629</v>
      </c>
      <c r="L2406">
        <v>1471932</v>
      </c>
      <c r="M2406">
        <f>Inventory_Data[[#This Row],[Opening Stock]]+Inventory_Data[[#This Row],[Purchase Qty]]-Inventory_Data[[#This Row],[Sales Qty]]-Inventory_Data[[#This Row],[Closing Stock]]</f>
        <v>0</v>
      </c>
      <c r="N2406">
        <f>Inventory_Data[[#This Row],[Purchase Qty]]*Inventory_Data[[#This Row],[Unit Cost]]</f>
        <v>477015</v>
      </c>
      <c r="O2406" t="str">
        <f>IF(Inventory_Data[[#This Row],[Closing Stock]]&lt;=Inventory_Data[[#This Row],[Reorder Level]],"Low Stock","In Stock")</f>
        <v>In Stock</v>
      </c>
      <c r="P2406" t="str">
        <f>TEXT(Inventory_Data[[#This Row],[Date]],"MMM")</f>
        <v>May</v>
      </c>
      <c r="Q2406" t="str">
        <f>TEXT(Inventory_Data[[#This Row],[Date]],"YYYY")</f>
        <v>2026</v>
      </c>
    </row>
    <row r="2407" spans="1:17" x14ac:dyDescent="0.3">
      <c r="A2407" s="1">
        <v>46172</v>
      </c>
      <c r="B2407" t="s">
        <v>12</v>
      </c>
      <c r="C2407" t="s">
        <v>13</v>
      </c>
      <c r="D2407" t="s">
        <v>26</v>
      </c>
      <c r="E2407" t="s">
        <v>24</v>
      </c>
      <c r="F2407">
        <v>96</v>
      </c>
      <c r="G2407">
        <v>11</v>
      </c>
      <c r="H2407">
        <v>35</v>
      </c>
      <c r="I2407">
        <v>72</v>
      </c>
      <c r="J2407">
        <v>32</v>
      </c>
      <c r="K2407">
        <v>16961</v>
      </c>
      <c r="L2407">
        <v>1221192</v>
      </c>
      <c r="M2407">
        <f>Inventory_Data[[#This Row],[Opening Stock]]+Inventory_Data[[#This Row],[Purchase Qty]]-Inventory_Data[[#This Row],[Sales Qty]]-Inventory_Data[[#This Row],[Closing Stock]]</f>
        <v>0</v>
      </c>
      <c r="N2407">
        <f>Inventory_Data[[#This Row],[Purchase Qty]]*Inventory_Data[[#This Row],[Unit Cost]]</f>
        <v>186571</v>
      </c>
      <c r="O2407" t="str">
        <f>IF(Inventory_Data[[#This Row],[Closing Stock]]&lt;=Inventory_Data[[#This Row],[Reorder Level]],"Low Stock","In Stock")</f>
        <v>In Stock</v>
      </c>
      <c r="P2407" t="str">
        <f>TEXT(Inventory_Data[[#This Row],[Date]],"MMM")</f>
        <v>May</v>
      </c>
      <c r="Q2407" t="str">
        <f>TEXT(Inventory_Data[[#This Row],[Date]],"YYYY")</f>
        <v>2026</v>
      </c>
    </row>
    <row r="2408" spans="1:17" x14ac:dyDescent="0.3">
      <c r="A2408" s="1">
        <v>46172</v>
      </c>
      <c r="B2408" t="s">
        <v>19</v>
      </c>
      <c r="C2408" t="s">
        <v>13</v>
      </c>
      <c r="D2408" t="s">
        <v>26</v>
      </c>
      <c r="E2408" t="s">
        <v>24</v>
      </c>
      <c r="F2408">
        <v>23</v>
      </c>
      <c r="G2408">
        <v>64</v>
      </c>
      <c r="H2408">
        <v>14</v>
      </c>
      <c r="I2408">
        <v>73</v>
      </c>
      <c r="J2408">
        <v>15</v>
      </c>
      <c r="K2408">
        <v>12233</v>
      </c>
      <c r="L2408">
        <v>893009</v>
      </c>
      <c r="M2408">
        <f>Inventory_Data[[#This Row],[Opening Stock]]+Inventory_Data[[#This Row],[Purchase Qty]]-Inventory_Data[[#This Row],[Sales Qty]]-Inventory_Data[[#This Row],[Closing Stock]]</f>
        <v>0</v>
      </c>
      <c r="N2408">
        <f>Inventory_Data[[#This Row],[Purchase Qty]]*Inventory_Data[[#This Row],[Unit Cost]]</f>
        <v>782912</v>
      </c>
      <c r="O2408" t="str">
        <f>IF(Inventory_Data[[#This Row],[Closing Stock]]&lt;=Inventory_Data[[#This Row],[Reorder Level]],"Low Stock","In Stock")</f>
        <v>In Stock</v>
      </c>
      <c r="P2408" t="str">
        <f>TEXT(Inventory_Data[[#This Row],[Date]],"MMM")</f>
        <v>May</v>
      </c>
      <c r="Q2408" t="str">
        <f>TEXT(Inventory_Data[[#This Row],[Date]],"YYYY")</f>
        <v>2026</v>
      </c>
    </row>
    <row r="2409" spans="1:17" x14ac:dyDescent="0.3">
      <c r="A2409" s="1">
        <v>46172</v>
      </c>
      <c r="B2409" t="s">
        <v>35</v>
      </c>
      <c r="C2409" t="s">
        <v>22</v>
      </c>
      <c r="D2409" t="s">
        <v>37</v>
      </c>
      <c r="E2409" t="s">
        <v>20</v>
      </c>
      <c r="F2409">
        <v>242</v>
      </c>
      <c r="G2409">
        <v>102</v>
      </c>
      <c r="H2409">
        <v>127</v>
      </c>
      <c r="I2409">
        <v>217</v>
      </c>
      <c r="J2409">
        <v>130</v>
      </c>
      <c r="K2409">
        <v>685</v>
      </c>
      <c r="L2409">
        <v>148645</v>
      </c>
      <c r="M2409">
        <f>Inventory_Data[[#This Row],[Opening Stock]]+Inventory_Data[[#This Row],[Purchase Qty]]-Inventory_Data[[#This Row],[Sales Qty]]-Inventory_Data[[#This Row],[Closing Stock]]</f>
        <v>0</v>
      </c>
      <c r="N2409">
        <f>Inventory_Data[[#This Row],[Purchase Qty]]*Inventory_Data[[#This Row],[Unit Cost]]</f>
        <v>69870</v>
      </c>
      <c r="O2409" t="str">
        <f>IF(Inventory_Data[[#This Row],[Closing Stock]]&lt;=Inventory_Data[[#This Row],[Reorder Level]],"Low Stock","In Stock")</f>
        <v>In Stock</v>
      </c>
      <c r="P2409" t="str">
        <f>TEXT(Inventory_Data[[#This Row],[Date]],"MMM")</f>
        <v>May</v>
      </c>
      <c r="Q2409" t="str">
        <f>TEXT(Inventory_Data[[#This Row],[Date]],"YYYY")</f>
        <v>2026</v>
      </c>
    </row>
    <row r="2410" spans="1:17" x14ac:dyDescent="0.3">
      <c r="A2410" s="1">
        <v>46172</v>
      </c>
      <c r="B2410" t="s">
        <v>45</v>
      </c>
      <c r="C2410" t="s">
        <v>13</v>
      </c>
      <c r="D2410" t="s">
        <v>37</v>
      </c>
      <c r="E2410" t="s">
        <v>20</v>
      </c>
      <c r="F2410">
        <v>84</v>
      </c>
      <c r="G2410">
        <v>36</v>
      </c>
      <c r="H2410">
        <v>4</v>
      </c>
      <c r="I2410">
        <v>116</v>
      </c>
      <c r="J2410">
        <v>23</v>
      </c>
      <c r="K2410">
        <v>11816</v>
      </c>
      <c r="L2410">
        <v>1370656</v>
      </c>
      <c r="M2410">
        <f>Inventory_Data[[#This Row],[Opening Stock]]+Inventory_Data[[#This Row],[Purchase Qty]]-Inventory_Data[[#This Row],[Sales Qty]]-Inventory_Data[[#This Row],[Closing Stock]]</f>
        <v>0</v>
      </c>
      <c r="N2410">
        <f>Inventory_Data[[#This Row],[Purchase Qty]]*Inventory_Data[[#This Row],[Unit Cost]]</f>
        <v>425376</v>
      </c>
      <c r="O2410" t="str">
        <f>IF(Inventory_Data[[#This Row],[Closing Stock]]&lt;=Inventory_Data[[#This Row],[Reorder Level]],"Low Stock","In Stock")</f>
        <v>In Stock</v>
      </c>
      <c r="P2410" t="str">
        <f>TEXT(Inventory_Data[[#This Row],[Date]],"MMM")</f>
        <v>May</v>
      </c>
      <c r="Q2410" t="str">
        <f>TEXT(Inventory_Data[[#This Row],[Date]],"YYYY")</f>
        <v>2026</v>
      </c>
    </row>
    <row r="2411" spans="1:17" x14ac:dyDescent="0.3">
      <c r="A2411" s="1">
        <v>46173</v>
      </c>
      <c r="B2411" t="s">
        <v>42</v>
      </c>
      <c r="C2411" t="s">
        <v>17</v>
      </c>
      <c r="D2411" t="s">
        <v>26</v>
      </c>
      <c r="E2411" t="s">
        <v>24</v>
      </c>
      <c r="F2411">
        <v>47</v>
      </c>
      <c r="G2411">
        <v>24</v>
      </c>
      <c r="H2411">
        <v>24</v>
      </c>
      <c r="I2411">
        <v>47</v>
      </c>
      <c r="J2411">
        <v>24</v>
      </c>
      <c r="K2411">
        <v>22400</v>
      </c>
      <c r="L2411">
        <v>1052800</v>
      </c>
      <c r="M2411">
        <f>Inventory_Data[[#This Row],[Opening Stock]]+Inventory_Data[[#This Row],[Purchase Qty]]-Inventory_Data[[#This Row],[Sales Qty]]-Inventory_Data[[#This Row],[Closing Stock]]</f>
        <v>0</v>
      </c>
      <c r="N2411">
        <f>Inventory_Data[[#This Row],[Purchase Qty]]*Inventory_Data[[#This Row],[Unit Cost]]</f>
        <v>537600</v>
      </c>
      <c r="O2411" t="str">
        <f>IF(Inventory_Data[[#This Row],[Closing Stock]]&lt;=Inventory_Data[[#This Row],[Reorder Level]],"Low Stock","In Stock")</f>
        <v>In Stock</v>
      </c>
      <c r="P2411" t="str">
        <f>TEXT(Inventory_Data[[#This Row],[Date]],"MMM")</f>
        <v>May</v>
      </c>
      <c r="Q2411" t="str">
        <f>TEXT(Inventory_Data[[#This Row],[Date]],"YYYY")</f>
        <v>2026</v>
      </c>
    </row>
    <row r="2412" spans="1:17" x14ac:dyDescent="0.3">
      <c r="A2412" s="1">
        <v>46173</v>
      </c>
      <c r="B2412" t="s">
        <v>38</v>
      </c>
      <c r="C2412" t="s">
        <v>17</v>
      </c>
      <c r="D2412" t="s">
        <v>14</v>
      </c>
      <c r="E2412" t="s">
        <v>29</v>
      </c>
      <c r="F2412">
        <v>97</v>
      </c>
      <c r="G2412">
        <v>27</v>
      </c>
      <c r="H2412">
        <v>20</v>
      </c>
      <c r="I2412">
        <v>104</v>
      </c>
      <c r="J2412">
        <v>12</v>
      </c>
      <c r="K2412">
        <v>21726</v>
      </c>
      <c r="L2412">
        <v>2259504</v>
      </c>
      <c r="M2412">
        <f>Inventory_Data[[#This Row],[Opening Stock]]+Inventory_Data[[#This Row],[Purchase Qty]]-Inventory_Data[[#This Row],[Sales Qty]]-Inventory_Data[[#This Row],[Closing Stock]]</f>
        <v>0</v>
      </c>
      <c r="N2412">
        <f>Inventory_Data[[#This Row],[Purchase Qty]]*Inventory_Data[[#This Row],[Unit Cost]]</f>
        <v>586602</v>
      </c>
      <c r="O2412" t="str">
        <f>IF(Inventory_Data[[#This Row],[Closing Stock]]&lt;=Inventory_Data[[#This Row],[Reorder Level]],"Low Stock","In Stock")</f>
        <v>In Stock</v>
      </c>
      <c r="P2412" t="str">
        <f>TEXT(Inventory_Data[[#This Row],[Date]],"MMM")</f>
        <v>May</v>
      </c>
      <c r="Q2412" t="str">
        <f>TEXT(Inventory_Data[[#This Row],[Date]],"YYYY")</f>
        <v>2026</v>
      </c>
    </row>
    <row r="2413" spans="1:17" x14ac:dyDescent="0.3">
      <c r="A2413" s="1">
        <v>46173</v>
      </c>
      <c r="B2413" t="s">
        <v>42</v>
      </c>
      <c r="C2413" t="s">
        <v>17</v>
      </c>
      <c r="D2413" t="s">
        <v>37</v>
      </c>
      <c r="E2413" t="s">
        <v>34</v>
      </c>
      <c r="F2413">
        <v>42</v>
      </c>
      <c r="G2413">
        <v>47</v>
      </c>
      <c r="H2413">
        <v>38</v>
      </c>
      <c r="I2413">
        <v>51</v>
      </c>
      <c r="J2413">
        <v>22</v>
      </c>
      <c r="K2413">
        <v>22429</v>
      </c>
      <c r="L2413">
        <v>1143879</v>
      </c>
      <c r="M2413">
        <f>Inventory_Data[[#This Row],[Opening Stock]]+Inventory_Data[[#This Row],[Purchase Qty]]-Inventory_Data[[#This Row],[Sales Qty]]-Inventory_Data[[#This Row],[Closing Stock]]</f>
        <v>0</v>
      </c>
      <c r="N2413">
        <f>Inventory_Data[[#This Row],[Purchase Qty]]*Inventory_Data[[#This Row],[Unit Cost]]</f>
        <v>1054163</v>
      </c>
      <c r="O2413" t="str">
        <f>IF(Inventory_Data[[#This Row],[Closing Stock]]&lt;=Inventory_Data[[#This Row],[Reorder Level]],"Low Stock","In Stock")</f>
        <v>In Stock</v>
      </c>
      <c r="P2413" t="str">
        <f>TEXT(Inventory_Data[[#This Row],[Date]],"MMM")</f>
        <v>May</v>
      </c>
      <c r="Q2413" t="str">
        <f>TEXT(Inventory_Data[[#This Row],[Date]],"YYYY")</f>
        <v>2026</v>
      </c>
    </row>
    <row r="2414" spans="1:17" x14ac:dyDescent="0.3">
      <c r="A2414" s="1">
        <v>46173</v>
      </c>
      <c r="B2414" t="s">
        <v>45</v>
      </c>
      <c r="C2414" t="s">
        <v>13</v>
      </c>
      <c r="D2414" t="s">
        <v>14</v>
      </c>
      <c r="E2414" t="s">
        <v>15</v>
      </c>
      <c r="F2414">
        <v>56</v>
      </c>
      <c r="G2414">
        <v>17</v>
      </c>
      <c r="H2414">
        <v>36</v>
      </c>
      <c r="I2414">
        <v>37</v>
      </c>
      <c r="J2414">
        <v>36</v>
      </c>
      <c r="K2414">
        <v>5904</v>
      </c>
      <c r="L2414">
        <v>218448</v>
      </c>
      <c r="M2414">
        <f>Inventory_Data[[#This Row],[Opening Stock]]+Inventory_Data[[#This Row],[Purchase Qty]]-Inventory_Data[[#This Row],[Sales Qty]]-Inventory_Data[[#This Row],[Closing Stock]]</f>
        <v>0</v>
      </c>
      <c r="N2414">
        <f>Inventory_Data[[#This Row],[Purchase Qty]]*Inventory_Data[[#This Row],[Unit Cost]]</f>
        <v>100368</v>
      </c>
      <c r="O2414" t="str">
        <f>IF(Inventory_Data[[#This Row],[Closing Stock]]&lt;=Inventory_Data[[#This Row],[Reorder Level]],"Low Stock","In Stock")</f>
        <v>In Stock</v>
      </c>
      <c r="P2414" t="str">
        <f>TEXT(Inventory_Data[[#This Row],[Date]],"MMM")</f>
        <v>May</v>
      </c>
      <c r="Q2414" t="str">
        <f>TEXT(Inventory_Data[[#This Row],[Date]],"YYYY")</f>
        <v>2026</v>
      </c>
    </row>
    <row r="2415" spans="1:17" x14ac:dyDescent="0.3">
      <c r="A2415" s="1">
        <v>46173</v>
      </c>
      <c r="B2415" t="s">
        <v>41</v>
      </c>
      <c r="C2415" t="s">
        <v>22</v>
      </c>
      <c r="D2415" t="s">
        <v>37</v>
      </c>
      <c r="E2415" t="s">
        <v>18</v>
      </c>
      <c r="F2415">
        <v>398</v>
      </c>
      <c r="G2415">
        <v>239</v>
      </c>
      <c r="H2415">
        <v>170</v>
      </c>
      <c r="I2415">
        <v>467</v>
      </c>
      <c r="J2415">
        <v>91</v>
      </c>
      <c r="K2415">
        <v>35</v>
      </c>
      <c r="L2415">
        <v>16345</v>
      </c>
      <c r="M2415">
        <f>Inventory_Data[[#This Row],[Opening Stock]]+Inventory_Data[[#This Row],[Purchase Qty]]-Inventory_Data[[#This Row],[Sales Qty]]-Inventory_Data[[#This Row],[Closing Stock]]</f>
        <v>0</v>
      </c>
      <c r="N2415">
        <f>Inventory_Data[[#This Row],[Purchase Qty]]*Inventory_Data[[#This Row],[Unit Cost]]</f>
        <v>8365</v>
      </c>
      <c r="O2415" t="str">
        <f>IF(Inventory_Data[[#This Row],[Closing Stock]]&lt;=Inventory_Data[[#This Row],[Reorder Level]],"Low Stock","In Stock")</f>
        <v>In Stock</v>
      </c>
      <c r="P2415" t="str">
        <f>TEXT(Inventory_Data[[#This Row],[Date]],"MMM")</f>
        <v>May</v>
      </c>
      <c r="Q2415" t="str">
        <f>TEXT(Inventory_Data[[#This Row],[Date]],"YYYY")</f>
        <v>2026</v>
      </c>
    </row>
    <row r="2416" spans="1:17" x14ac:dyDescent="0.3">
      <c r="A2416" s="1">
        <v>46173</v>
      </c>
      <c r="B2416" t="s">
        <v>32</v>
      </c>
      <c r="C2416" t="s">
        <v>28</v>
      </c>
      <c r="D2416" t="s">
        <v>23</v>
      </c>
      <c r="E2416" t="s">
        <v>20</v>
      </c>
      <c r="F2416">
        <v>54</v>
      </c>
      <c r="G2416">
        <v>73</v>
      </c>
      <c r="H2416">
        <v>53</v>
      </c>
      <c r="I2416">
        <v>74</v>
      </c>
      <c r="J2416">
        <v>36</v>
      </c>
      <c r="K2416">
        <v>41247</v>
      </c>
      <c r="L2416">
        <v>3052278</v>
      </c>
      <c r="M2416">
        <f>Inventory_Data[[#This Row],[Opening Stock]]+Inventory_Data[[#This Row],[Purchase Qty]]-Inventory_Data[[#This Row],[Sales Qty]]-Inventory_Data[[#This Row],[Closing Stock]]</f>
        <v>0</v>
      </c>
      <c r="N2416">
        <f>Inventory_Data[[#This Row],[Purchase Qty]]*Inventory_Data[[#This Row],[Unit Cost]]</f>
        <v>3011031</v>
      </c>
      <c r="O2416" t="str">
        <f>IF(Inventory_Data[[#This Row],[Closing Stock]]&lt;=Inventory_Data[[#This Row],[Reorder Level]],"Low Stock","In Stock")</f>
        <v>In Stock</v>
      </c>
      <c r="P2416" t="str">
        <f>TEXT(Inventory_Data[[#This Row],[Date]],"MMM")</f>
        <v>May</v>
      </c>
      <c r="Q2416" t="str">
        <f>TEXT(Inventory_Data[[#This Row],[Date]],"YYYY")</f>
        <v>2026</v>
      </c>
    </row>
    <row r="2417" spans="1:17" x14ac:dyDescent="0.3">
      <c r="A2417" s="1">
        <v>46173</v>
      </c>
      <c r="B2417" t="s">
        <v>45</v>
      </c>
      <c r="C2417" t="s">
        <v>13</v>
      </c>
      <c r="D2417" t="s">
        <v>23</v>
      </c>
      <c r="E2417" t="s">
        <v>15</v>
      </c>
      <c r="F2417">
        <v>69</v>
      </c>
      <c r="G2417">
        <v>19</v>
      </c>
      <c r="H2417">
        <v>3</v>
      </c>
      <c r="I2417">
        <v>85</v>
      </c>
      <c r="J2417">
        <v>29</v>
      </c>
      <c r="K2417">
        <v>6955</v>
      </c>
      <c r="L2417">
        <v>591175</v>
      </c>
      <c r="M2417">
        <f>Inventory_Data[[#This Row],[Opening Stock]]+Inventory_Data[[#This Row],[Purchase Qty]]-Inventory_Data[[#This Row],[Sales Qty]]-Inventory_Data[[#This Row],[Closing Stock]]</f>
        <v>0</v>
      </c>
      <c r="N2417">
        <f>Inventory_Data[[#This Row],[Purchase Qty]]*Inventory_Data[[#This Row],[Unit Cost]]</f>
        <v>132145</v>
      </c>
      <c r="O2417" t="str">
        <f>IF(Inventory_Data[[#This Row],[Closing Stock]]&lt;=Inventory_Data[[#This Row],[Reorder Level]],"Low Stock","In Stock")</f>
        <v>In Stock</v>
      </c>
      <c r="P2417" t="str">
        <f>TEXT(Inventory_Data[[#This Row],[Date]],"MMM")</f>
        <v>May</v>
      </c>
      <c r="Q2417" t="str">
        <f>TEXT(Inventory_Data[[#This Row],[Date]],"YYYY")</f>
        <v>2026</v>
      </c>
    </row>
    <row r="2418" spans="1:17" x14ac:dyDescent="0.3">
      <c r="A2418" s="1">
        <v>46173</v>
      </c>
      <c r="B2418" t="s">
        <v>31</v>
      </c>
      <c r="C2418" t="s">
        <v>22</v>
      </c>
      <c r="D2418" t="s">
        <v>23</v>
      </c>
      <c r="E2418" t="s">
        <v>18</v>
      </c>
      <c r="F2418">
        <v>462</v>
      </c>
      <c r="G2418">
        <v>156</v>
      </c>
      <c r="H2418">
        <v>15</v>
      </c>
      <c r="I2418">
        <v>603</v>
      </c>
      <c r="J2418">
        <v>88</v>
      </c>
      <c r="K2418">
        <v>148</v>
      </c>
      <c r="L2418">
        <v>89244</v>
      </c>
      <c r="M2418">
        <f>Inventory_Data[[#This Row],[Opening Stock]]+Inventory_Data[[#This Row],[Purchase Qty]]-Inventory_Data[[#This Row],[Sales Qty]]-Inventory_Data[[#This Row],[Closing Stock]]</f>
        <v>0</v>
      </c>
      <c r="N2418">
        <f>Inventory_Data[[#This Row],[Purchase Qty]]*Inventory_Data[[#This Row],[Unit Cost]]</f>
        <v>23088</v>
      </c>
      <c r="O2418" t="str">
        <f>IF(Inventory_Data[[#This Row],[Closing Stock]]&lt;=Inventory_Data[[#This Row],[Reorder Level]],"Low Stock","In Stock")</f>
        <v>In Stock</v>
      </c>
      <c r="P2418" t="str">
        <f>TEXT(Inventory_Data[[#This Row],[Date]],"MMM")</f>
        <v>May</v>
      </c>
      <c r="Q2418" t="str">
        <f>TEXT(Inventory_Data[[#This Row],[Date]],"YYYY")</f>
        <v>2026</v>
      </c>
    </row>
    <row r="2419" spans="1:17" x14ac:dyDescent="0.3">
      <c r="A2419" s="1">
        <v>46174</v>
      </c>
      <c r="B2419" t="s">
        <v>44</v>
      </c>
      <c r="C2419" t="s">
        <v>28</v>
      </c>
      <c r="D2419" t="s">
        <v>23</v>
      </c>
      <c r="E2419" t="s">
        <v>29</v>
      </c>
      <c r="F2419">
        <v>99</v>
      </c>
      <c r="G2419">
        <v>27</v>
      </c>
      <c r="H2419">
        <v>53</v>
      </c>
      <c r="I2419">
        <v>73</v>
      </c>
      <c r="J2419">
        <v>20</v>
      </c>
      <c r="K2419">
        <v>15985</v>
      </c>
      <c r="L2419">
        <v>1166905</v>
      </c>
      <c r="M2419">
        <f>Inventory_Data[[#This Row],[Opening Stock]]+Inventory_Data[[#This Row],[Purchase Qty]]-Inventory_Data[[#This Row],[Sales Qty]]-Inventory_Data[[#This Row],[Closing Stock]]</f>
        <v>0</v>
      </c>
      <c r="N2419">
        <f>Inventory_Data[[#This Row],[Purchase Qty]]*Inventory_Data[[#This Row],[Unit Cost]]</f>
        <v>431595</v>
      </c>
      <c r="O2419" t="str">
        <f>IF(Inventory_Data[[#This Row],[Closing Stock]]&lt;=Inventory_Data[[#This Row],[Reorder Level]],"Low Stock","In Stock")</f>
        <v>In Stock</v>
      </c>
      <c r="P2419" t="str">
        <f>TEXT(Inventory_Data[[#This Row],[Date]],"MMM")</f>
        <v>Jun</v>
      </c>
      <c r="Q2419" t="str">
        <f>TEXT(Inventory_Data[[#This Row],[Date]],"YYYY")</f>
        <v>2026</v>
      </c>
    </row>
    <row r="2420" spans="1:17" x14ac:dyDescent="0.3">
      <c r="A2420" s="1">
        <v>46174</v>
      </c>
      <c r="B2420" t="s">
        <v>45</v>
      </c>
      <c r="C2420" t="s">
        <v>13</v>
      </c>
      <c r="D2420" t="s">
        <v>37</v>
      </c>
      <c r="E2420" t="s">
        <v>24</v>
      </c>
      <c r="F2420">
        <v>97</v>
      </c>
      <c r="G2420">
        <v>38</v>
      </c>
      <c r="H2420">
        <v>12</v>
      </c>
      <c r="I2420">
        <v>123</v>
      </c>
      <c r="J2420">
        <v>16</v>
      </c>
      <c r="K2420">
        <v>7188</v>
      </c>
      <c r="L2420">
        <v>884124</v>
      </c>
      <c r="M2420">
        <f>Inventory_Data[[#This Row],[Opening Stock]]+Inventory_Data[[#This Row],[Purchase Qty]]-Inventory_Data[[#This Row],[Sales Qty]]-Inventory_Data[[#This Row],[Closing Stock]]</f>
        <v>0</v>
      </c>
      <c r="N2420">
        <f>Inventory_Data[[#This Row],[Purchase Qty]]*Inventory_Data[[#This Row],[Unit Cost]]</f>
        <v>273144</v>
      </c>
      <c r="O2420" t="str">
        <f>IF(Inventory_Data[[#This Row],[Closing Stock]]&lt;=Inventory_Data[[#This Row],[Reorder Level]],"Low Stock","In Stock")</f>
        <v>In Stock</v>
      </c>
      <c r="P2420" t="str">
        <f>TEXT(Inventory_Data[[#This Row],[Date]],"MMM")</f>
        <v>Jun</v>
      </c>
      <c r="Q2420" t="str">
        <f>TEXT(Inventory_Data[[#This Row],[Date]],"YYYY")</f>
        <v>2026</v>
      </c>
    </row>
    <row r="2421" spans="1:17" x14ac:dyDescent="0.3">
      <c r="A2421" s="1">
        <v>46174</v>
      </c>
      <c r="B2421" t="s">
        <v>45</v>
      </c>
      <c r="C2421" t="s">
        <v>13</v>
      </c>
      <c r="D2421" t="s">
        <v>23</v>
      </c>
      <c r="E2421" t="s">
        <v>29</v>
      </c>
      <c r="F2421">
        <v>98</v>
      </c>
      <c r="G2421">
        <v>69</v>
      </c>
      <c r="H2421">
        <v>59</v>
      </c>
      <c r="I2421">
        <v>108</v>
      </c>
      <c r="J2421">
        <v>35</v>
      </c>
      <c r="K2421">
        <v>17369</v>
      </c>
      <c r="L2421">
        <v>1875852</v>
      </c>
      <c r="M2421">
        <f>Inventory_Data[[#This Row],[Opening Stock]]+Inventory_Data[[#This Row],[Purchase Qty]]-Inventory_Data[[#This Row],[Sales Qty]]-Inventory_Data[[#This Row],[Closing Stock]]</f>
        <v>0</v>
      </c>
      <c r="N2421">
        <f>Inventory_Data[[#This Row],[Purchase Qty]]*Inventory_Data[[#This Row],[Unit Cost]]</f>
        <v>1198461</v>
      </c>
      <c r="O2421" t="str">
        <f>IF(Inventory_Data[[#This Row],[Closing Stock]]&lt;=Inventory_Data[[#This Row],[Reorder Level]],"Low Stock","In Stock")</f>
        <v>In Stock</v>
      </c>
      <c r="P2421" t="str">
        <f>TEXT(Inventory_Data[[#This Row],[Date]],"MMM")</f>
        <v>Jun</v>
      </c>
      <c r="Q2421" t="str">
        <f>TEXT(Inventory_Data[[#This Row],[Date]],"YYYY")</f>
        <v>2026</v>
      </c>
    </row>
    <row r="2422" spans="1:17" x14ac:dyDescent="0.3">
      <c r="A2422" s="1">
        <v>46175</v>
      </c>
      <c r="B2422" t="s">
        <v>42</v>
      </c>
      <c r="C2422" t="s">
        <v>17</v>
      </c>
      <c r="D2422" t="s">
        <v>26</v>
      </c>
      <c r="E2422" t="s">
        <v>24</v>
      </c>
      <c r="F2422">
        <v>24</v>
      </c>
      <c r="G2422">
        <v>46</v>
      </c>
      <c r="H2422">
        <v>32</v>
      </c>
      <c r="I2422">
        <v>38</v>
      </c>
      <c r="J2422">
        <v>15</v>
      </c>
      <c r="K2422">
        <v>8625</v>
      </c>
      <c r="L2422">
        <v>327750</v>
      </c>
      <c r="M2422">
        <f>Inventory_Data[[#This Row],[Opening Stock]]+Inventory_Data[[#This Row],[Purchase Qty]]-Inventory_Data[[#This Row],[Sales Qty]]-Inventory_Data[[#This Row],[Closing Stock]]</f>
        <v>0</v>
      </c>
      <c r="N2422">
        <f>Inventory_Data[[#This Row],[Purchase Qty]]*Inventory_Data[[#This Row],[Unit Cost]]</f>
        <v>396750</v>
      </c>
      <c r="O2422" t="str">
        <f>IF(Inventory_Data[[#This Row],[Closing Stock]]&lt;=Inventory_Data[[#This Row],[Reorder Level]],"Low Stock","In Stock")</f>
        <v>In Stock</v>
      </c>
      <c r="P2422" t="str">
        <f>TEXT(Inventory_Data[[#This Row],[Date]],"MMM")</f>
        <v>Jun</v>
      </c>
      <c r="Q2422" t="str">
        <f>TEXT(Inventory_Data[[#This Row],[Date]],"YYYY")</f>
        <v>2026</v>
      </c>
    </row>
    <row r="2423" spans="1:17" x14ac:dyDescent="0.3">
      <c r="A2423" s="1">
        <v>46175</v>
      </c>
      <c r="B2423" t="s">
        <v>40</v>
      </c>
      <c r="C2423" t="s">
        <v>28</v>
      </c>
      <c r="D2423" t="s">
        <v>14</v>
      </c>
      <c r="E2423" t="s">
        <v>18</v>
      </c>
      <c r="F2423">
        <v>136</v>
      </c>
      <c r="G2423">
        <v>78</v>
      </c>
      <c r="H2423">
        <v>11</v>
      </c>
      <c r="I2423">
        <v>203</v>
      </c>
      <c r="J2423">
        <v>32</v>
      </c>
      <c r="K2423">
        <v>41600</v>
      </c>
      <c r="L2423">
        <v>8444800</v>
      </c>
      <c r="M2423">
        <f>Inventory_Data[[#This Row],[Opening Stock]]+Inventory_Data[[#This Row],[Purchase Qty]]-Inventory_Data[[#This Row],[Sales Qty]]-Inventory_Data[[#This Row],[Closing Stock]]</f>
        <v>0</v>
      </c>
      <c r="N2423">
        <f>Inventory_Data[[#This Row],[Purchase Qty]]*Inventory_Data[[#This Row],[Unit Cost]]</f>
        <v>3244800</v>
      </c>
      <c r="O2423" t="str">
        <f>IF(Inventory_Data[[#This Row],[Closing Stock]]&lt;=Inventory_Data[[#This Row],[Reorder Level]],"Low Stock","In Stock")</f>
        <v>In Stock</v>
      </c>
      <c r="P2423" t="str">
        <f>TEXT(Inventory_Data[[#This Row],[Date]],"MMM")</f>
        <v>Jun</v>
      </c>
      <c r="Q2423" t="str">
        <f>TEXT(Inventory_Data[[#This Row],[Date]],"YYYY")</f>
        <v>2026</v>
      </c>
    </row>
    <row r="2424" spans="1:17" x14ac:dyDescent="0.3">
      <c r="A2424" s="1">
        <v>46175</v>
      </c>
      <c r="B2424" t="s">
        <v>40</v>
      </c>
      <c r="C2424" t="s">
        <v>28</v>
      </c>
      <c r="D2424" t="s">
        <v>26</v>
      </c>
      <c r="E2424" t="s">
        <v>34</v>
      </c>
      <c r="F2424">
        <v>149</v>
      </c>
      <c r="G2424">
        <v>24</v>
      </c>
      <c r="H2424">
        <v>21</v>
      </c>
      <c r="I2424">
        <v>152</v>
      </c>
      <c r="J2424">
        <v>47</v>
      </c>
      <c r="K2424">
        <v>11823</v>
      </c>
      <c r="L2424">
        <v>1797096</v>
      </c>
      <c r="M2424">
        <f>Inventory_Data[[#This Row],[Opening Stock]]+Inventory_Data[[#This Row],[Purchase Qty]]-Inventory_Data[[#This Row],[Sales Qty]]-Inventory_Data[[#This Row],[Closing Stock]]</f>
        <v>0</v>
      </c>
      <c r="N2424">
        <f>Inventory_Data[[#This Row],[Purchase Qty]]*Inventory_Data[[#This Row],[Unit Cost]]</f>
        <v>283752</v>
      </c>
      <c r="O2424" t="str">
        <f>IF(Inventory_Data[[#This Row],[Closing Stock]]&lt;=Inventory_Data[[#This Row],[Reorder Level]],"Low Stock","In Stock")</f>
        <v>In Stock</v>
      </c>
      <c r="P2424" t="str">
        <f>TEXT(Inventory_Data[[#This Row],[Date]],"MMM")</f>
        <v>Jun</v>
      </c>
      <c r="Q2424" t="str">
        <f>TEXT(Inventory_Data[[#This Row],[Date]],"YYYY")</f>
        <v>2026</v>
      </c>
    </row>
    <row r="2425" spans="1:17" x14ac:dyDescent="0.3">
      <c r="A2425" s="1">
        <v>46175</v>
      </c>
      <c r="B2425" t="s">
        <v>19</v>
      </c>
      <c r="C2425" t="s">
        <v>13</v>
      </c>
      <c r="D2425" t="s">
        <v>26</v>
      </c>
      <c r="E2425" t="s">
        <v>24</v>
      </c>
      <c r="F2425">
        <v>35</v>
      </c>
      <c r="G2425">
        <v>66</v>
      </c>
      <c r="H2425">
        <v>35</v>
      </c>
      <c r="I2425">
        <v>66</v>
      </c>
      <c r="J2425">
        <v>21</v>
      </c>
      <c r="K2425">
        <v>11854</v>
      </c>
      <c r="L2425">
        <v>782364</v>
      </c>
      <c r="M2425">
        <f>Inventory_Data[[#This Row],[Opening Stock]]+Inventory_Data[[#This Row],[Purchase Qty]]-Inventory_Data[[#This Row],[Sales Qty]]-Inventory_Data[[#This Row],[Closing Stock]]</f>
        <v>0</v>
      </c>
      <c r="N2425">
        <f>Inventory_Data[[#This Row],[Purchase Qty]]*Inventory_Data[[#This Row],[Unit Cost]]</f>
        <v>782364</v>
      </c>
      <c r="O2425" t="str">
        <f>IF(Inventory_Data[[#This Row],[Closing Stock]]&lt;=Inventory_Data[[#This Row],[Reorder Level]],"Low Stock","In Stock")</f>
        <v>In Stock</v>
      </c>
      <c r="P2425" t="str">
        <f>TEXT(Inventory_Data[[#This Row],[Date]],"MMM")</f>
        <v>Jun</v>
      </c>
      <c r="Q2425" t="str">
        <f>TEXT(Inventory_Data[[#This Row],[Date]],"YYYY")</f>
        <v>2026</v>
      </c>
    </row>
    <row r="2426" spans="1:17" x14ac:dyDescent="0.3">
      <c r="A2426" s="1">
        <v>46176</v>
      </c>
      <c r="B2426" t="s">
        <v>27</v>
      </c>
      <c r="C2426" t="s">
        <v>28</v>
      </c>
      <c r="D2426" t="s">
        <v>26</v>
      </c>
      <c r="E2426" t="s">
        <v>18</v>
      </c>
      <c r="F2426">
        <v>89</v>
      </c>
      <c r="G2426">
        <v>24</v>
      </c>
      <c r="H2426">
        <v>86</v>
      </c>
      <c r="I2426">
        <v>27</v>
      </c>
      <c r="J2426">
        <v>30</v>
      </c>
      <c r="K2426">
        <v>50623</v>
      </c>
      <c r="L2426">
        <v>1366821</v>
      </c>
      <c r="M2426">
        <f>Inventory_Data[[#This Row],[Opening Stock]]+Inventory_Data[[#This Row],[Purchase Qty]]-Inventory_Data[[#This Row],[Sales Qty]]-Inventory_Data[[#This Row],[Closing Stock]]</f>
        <v>0</v>
      </c>
      <c r="N2426">
        <f>Inventory_Data[[#This Row],[Purchase Qty]]*Inventory_Data[[#This Row],[Unit Cost]]</f>
        <v>1214952</v>
      </c>
      <c r="O2426" t="str">
        <f>IF(Inventory_Data[[#This Row],[Closing Stock]]&lt;=Inventory_Data[[#This Row],[Reorder Level]],"Low Stock","In Stock")</f>
        <v>Low Stock</v>
      </c>
      <c r="P2426" t="str">
        <f>TEXT(Inventory_Data[[#This Row],[Date]],"MMM")</f>
        <v>Jun</v>
      </c>
      <c r="Q2426" t="str">
        <f>TEXT(Inventory_Data[[#This Row],[Date]],"YYYY")</f>
        <v>2026</v>
      </c>
    </row>
    <row r="2427" spans="1:17" x14ac:dyDescent="0.3">
      <c r="A2427" s="1">
        <v>46176</v>
      </c>
      <c r="B2427" t="s">
        <v>21</v>
      </c>
      <c r="C2427" t="s">
        <v>22</v>
      </c>
      <c r="D2427" t="s">
        <v>26</v>
      </c>
      <c r="E2427" t="s">
        <v>18</v>
      </c>
      <c r="F2427">
        <v>100</v>
      </c>
      <c r="G2427">
        <v>288</v>
      </c>
      <c r="H2427">
        <v>187</v>
      </c>
      <c r="I2427">
        <v>201</v>
      </c>
      <c r="J2427">
        <v>80</v>
      </c>
      <c r="K2427">
        <v>941</v>
      </c>
      <c r="L2427">
        <v>189141</v>
      </c>
      <c r="M2427">
        <f>Inventory_Data[[#This Row],[Opening Stock]]+Inventory_Data[[#This Row],[Purchase Qty]]-Inventory_Data[[#This Row],[Sales Qty]]-Inventory_Data[[#This Row],[Closing Stock]]</f>
        <v>0</v>
      </c>
      <c r="N2427">
        <f>Inventory_Data[[#This Row],[Purchase Qty]]*Inventory_Data[[#This Row],[Unit Cost]]</f>
        <v>271008</v>
      </c>
      <c r="O2427" t="str">
        <f>IF(Inventory_Data[[#This Row],[Closing Stock]]&lt;=Inventory_Data[[#This Row],[Reorder Level]],"Low Stock","In Stock")</f>
        <v>In Stock</v>
      </c>
      <c r="P2427" t="str">
        <f>TEXT(Inventory_Data[[#This Row],[Date]],"MMM")</f>
        <v>Jun</v>
      </c>
      <c r="Q2427" t="str">
        <f>TEXT(Inventory_Data[[#This Row],[Date]],"YYYY")</f>
        <v>2026</v>
      </c>
    </row>
    <row r="2428" spans="1:17" x14ac:dyDescent="0.3">
      <c r="A2428" s="1">
        <v>46176</v>
      </c>
      <c r="B2428" t="s">
        <v>30</v>
      </c>
      <c r="C2428" t="s">
        <v>28</v>
      </c>
      <c r="D2428" t="s">
        <v>37</v>
      </c>
      <c r="E2428" t="s">
        <v>15</v>
      </c>
      <c r="F2428">
        <v>129</v>
      </c>
      <c r="G2428">
        <v>60</v>
      </c>
      <c r="H2428">
        <v>50</v>
      </c>
      <c r="I2428">
        <v>139</v>
      </c>
      <c r="J2428">
        <v>51</v>
      </c>
      <c r="K2428">
        <v>8243</v>
      </c>
      <c r="L2428">
        <v>1145777</v>
      </c>
      <c r="M2428">
        <f>Inventory_Data[[#This Row],[Opening Stock]]+Inventory_Data[[#This Row],[Purchase Qty]]-Inventory_Data[[#This Row],[Sales Qty]]-Inventory_Data[[#This Row],[Closing Stock]]</f>
        <v>0</v>
      </c>
      <c r="N2428">
        <f>Inventory_Data[[#This Row],[Purchase Qty]]*Inventory_Data[[#This Row],[Unit Cost]]</f>
        <v>494580</v>
      </c>
      <c r="O2428" t="str">
        <f>IF(Inventory_Data[[#This Row],[Closing Stock]]&lt;=Inventory_Data[[#This Row],[Reorder Level]],"Low Stock","In Stock")</f>
        <v>In Stock</v>
      </c>
      <c r="P2428" t="str">
        <f>TEXT(Inventory_Data[[#This Row],[Date]],"MMM")</f>
        <v>Jun</v>
      </c>
      <c r="Q2428" t="str">
        <f>TEXT(Inventory_Data[[#This Row],[Date]],"YYYY")</f>
        <v>2026</v>
      </c>
    </row>
    <row r="2429" spans="1:17" x14ac:dyDescent="0.3">
      <c r="A2429" s="1">
        <v>46176</v>
      </c>
      <c r="B2429" t="s">
        <v>19</v>
      </c>
      <c r="C2429" t="s">
        <v>13</v>
      </c>
      <c r="D2429" t="s">
        <v>14</v>
      </c>
      <c r="E2429" t="s">
        <v>15</v>
      </c>
      <c r="F2429">
        <v>59</v>
      </c>
      <c r="G2429">
        <v>63</v>
      </c>
      <c r="H2429">
        <v>60</v>
      </c>
      <c r="I2429">
        <v>62</v>
      </c>
      <c r="J2429">
        <v>32</v>
      </c>
      <c r="K2429">
        <v>4029</v>
      </c>
      <c r="L2429">
        <v>249798</v>
      </c>
      <c r="M2429">
        <f>Inventory_Data[[#This Row],[Opening Stock]]+Inventory_Data[[#This Row],[Purchase Qty]]-Inventory_Data[[#This Row],[Sales Qty]]-Inventory_Data[[#This Row],[Closing Stock]]</f>
        <v>0</v>
      </c>
      <c r="N2429">
        <f>Inventory_Data[[#This Row],[Purchase Qty]]*Inventory_Data[[#This Row],[Unit Cost]]</f>
        <v>253827</v>
      </c>
      <c r="O2429" t="str">
        <f>IF(Inventory_Data[[#This Row],[Closing Stock]]&lt;=Inventory_Data[[#This Row],[Reorder Level]],"Low Stock","In Stock")</f>
        <v>In Stock</v>
      </c>
      <c r="P2429" t="str">
        <f>TEXT(Inventory_Data[[#This Row],[Date]],"MMM")</f>
        <v>Jun</v>
      </c>
      <c r="Q2429" t="str">
        <f>TEXT(Inventory_Data[[#This Row],[Date]],"YYYY")</f>
        <v>2026</v>
      </c>
    </row>
    <row r="2430" spans="1:17" x14ac:dyDescent="0.3">
      <c r="A2430" s="1">
        <v>46177</v>
      </c>
      <c r="B2430" t="s">
        <v>45</v>
      </c>
      <c r="C2430" t="s">
        <v>13</v>
      </c>
      <c r="D2430" t="s">
        <v>14</v>
      </c>
      <c r="E2430" t="s">
        <v>20</v>
      </c>
      <c r="F2430">
        <v>42</v>
      </c>
      <c r="G2430">
        <v>9</v>
      </c>
      <c r="H2430">
        <v>19</v>
      </c>
      <c r="I2430">
        <v>32</v>
      </c>
      <c r="J2430">
        <v>18</v>
      </c>
      <c r="K2430">
        <v>3360</v>
      </c>
      <c r="L2430">
        <v>107520</v>
      </c>
      <c r="M2430">
        <f>Inventory_Data[[#This Row],[Opening Stock]]+Inventory_Data[[#This Row],[Purchase Qty]]-Inventory_Data[[#This Row],[Sales Qty]]-Inventory_Data[[#This Row],[Closing Stock]]</f>
        <v>0</v>
      </c>
      <c r="N2430">
        <f>Inventory_Data[[#This Row],[Purchase Qty]]*Inventory_Data[[#This Row],[Unit Cost]]</f>
        <v>30240</v>
      </c>
      <c r="O2430" t="str">
        <f>IF(Inventory_Data[[#This Row],[Closing Stock]]&lt;=Inventory_Data[[#This Row],[Reorder Level]],"Low Stock","In Stock")</f>
        <v>In Stock</v>
      </c>
      <c r="P2430" t="str">
        <f>TEXT(Inventory_Data[[#This Row],[Date]],"MMM")</f>
        <v>Jun</v>
      </c>
      <c r="Q2430" t="str">
        <f>TEXT(Inventory_Data[[#This Row],[Date]],"YYYY")</f>
        <v>2026</v>
      </c>
    </row>
    <row r="2431" spans="1:17" x14ac:dyDescent="0.3">
      <c r="A2431" s="1">
        <v>46177</v>
      </c>
      <c r="B2431" t="s">
        <v>35</v>
      </c>
      <c r="C2431" t="s">
        <v>22</v>
      </c>
      <c r="D2431" t="s">
        <v>23</v>
      </c>
      <c r="E2431" t="s">
        <v>15</v>
      </c>
      <c r="F2431">
        <v>129</v>
      </c>
      <c r="G2431">
        <v>191</v>
      </c>
      <c r="H2431">
        <v>225</v>
      </c>
      <c r="I2431">
        <v>95</v>
      </c>
      <c r="J2431">
        <v>54</v>
      </c>
      <c r="K2431">
        <v>152</v>
      </c>
      <c r="L2431">
        <v>14440</v>
      </c>
      <c r="M2431">
        <f>Inventory_Data[[#This Row],[Opening Stock]]+Inventory_Data[[#This Row],[Purchase Qty]]-Inventory_Data[[#This Row],[Sales Qty]]-Inventory_Data[[#This Row],[Closing Stock]]</f>
        <v>0</v>
      </c>
      <c r="N2431">
        <f>Inventory_Data[[#This Row],[Purchase Qty]]*Inventory_Data[[#This Row],[Unit Cost]]</f>
        <v>29032</v>
      </c>
      <c r="O2431" t="str">
        <f>IF(Inventory_Data[[#This Row],[Closing Stock]]&lt;=Inventory_Data[[#This Row],[Reorder Level]],"Low Stock","In Stock")</f>
        <v>In Stock</v>
      </c>
      <c r="P2431" t="str">
        <f>TEXT(Inventory_Data[[#This Row],[Date]],"MMM")</f>
        <v>Jun</v>
      </c>
      <c r="Q2431" t="str">
        <f>TEXT(Inventory_Data[[#This Row],[Date]],"YYYY")</f>
        <v>2026</v>
      </c>
    </row>
    <row r="2432" spans="1:17" x14ac:dyDescent="0.3">
      <c r="A2432" s="1">
        <v>46177</v>
      </c>
      <c r="B2432" t="s">
        <v>12</v>
      </c>
      <c r="C2432" t="s">
        <v>13</v>
      </c>
      <c r="D2432" t="s">
        <v>23</v>
      </c>
      <c r="E2432" t="s">
        <v>15</v>
      </c>
      <c r="F2432">
        <v>83</v>
      </c>
      <c r="G2432">
        <v>40</v>
      </c>
      <c r="H2432">
        <v>30</v>
      </c>
      <c r="I2432">
        <v>93</v>
      </c>
      <c r="J2432">
        <v>37</v>
      </c>
      <c r="K2432">
        <v>16672</v>
      </c>
      <c r="L2432">
        <v>1550496</v>
      </c>
      <c r="M2432">
        <f>Inventory_Data[[#This Row],[Opening Stock]]+Inventory_Data[[#This Row],[Purchase Qty]]-Inventory_Data[[#This Row],[Sales Qty]]-Inventory_Data[[#This Row],[Closing Stock]]</f>
        <v>0</v>
      </c>
      <c r="N2432">
        <f>Inventory_Data[[#This Row],[Purchase Qty]]*Inventory_Data[[#This Row],[Unit Cost]]</f>
        <v>666880</v>
      </c>
      <c r="O2432" t="str">
        <f>IF(Inventory_Data[[#This Row],[Closing Stock]]&lt;=Inventory_Data[[#This Row],[Reorder Level]],"Low Stock","In Stock")</f>
        <v>In Stock</v>
      </c>
      <c r="P2432" t="str">
        <f>TEXT(Inventory_Data[[#This Row],[Date]],"MMM")</f>
        <v>Jun</v>
      </c>
      <c r="Q2432" t="str">
        <f>TEXT(Inventory_Data[[#This Row],[Date]],"YYYY")</f>
        <v>2026</v>
      </c>
    </row>
    <row r="2433" spans="1:17" x14ac:dyDescent="0.3">
      <c r="A2433" s="1">
        <v>46177</v>
      </c>
      <c r="B2433" t="s">
        <v>27</v>
      </c>
      <c r="C2433" t="s">
        <v>28</v>
      </c>
      <c r="D2433" t="s">
        <v>23</v>
      </c>
      <c r="E2433" t="s">
        <v>20</v>
      </c>
      <c r="F2433">
        <v>173</v>
      </c>
      <c r="G2433">
        <v>45</v>
      </c>
      <c r="H2433">
        <v>52</v>
      </c>
      <c r="I2433">
        <v>166</v>
      </c>
      <c r="J2433">
        <v>47</v>
      </c>
      <c r="K2433">
        <v>8564</v>
      </c>
      <c r="L2433">
        <v>1421624</v>
      </c>
      <c r="M2433">
        <f>Inventory_Data[[#This Row],[Opening Stock]]+Inventory_Data[[#This Row],[Purchase Qty]]-Inventory_Data[[#This Row],[Sales Qty]]-Inventory_Data[[#This Row],[Closing Stock]]</f>
        <v>0</v>
      </c>
      <c r="N2433">
        <f>Inventory_Data[[#This Row],[Purchase Qty]]*Inventory_Data[[#This Row],[Unit Cost]]</f>
        <v>385380</v>
      </c>
      <c r="O2433" t="str">
        <f>IF(Inventory_Data[[#This Row],[Closing Stock]]&lt;=Inventory_Data[[#This Row],[Reorder Level]],"Low Stock","In Stock")</f>
        <v>In Stock</v>
      </c>
      <c r="P2433" t="str">
        <f>TEXT(Inventory_Data[[#This Row],[Date]],"MMM")</f>
        <v>Jun</v>
      </c>
      <c r="Q2433" t="str">
        <f>TEXT(Inventory_Data[[#This Row],[Date]],"YYYY")</f>
        <v>2026</v>
      </c>
    </row>
    <row r="2434" spans="1:17" x14ac:dyDescent="0.3">
      <c r="A2434" s="1">
        <v>46177</v>
      </c>
      <c r="B2434" t="s">
        <v>30</v>
      </c>
      <c r="C2434" t="s">
        <v>28</v>
      </c>
      <c r="D2434" t="s">
        <v>23</v>
      </c>
      <c r="E2434" t="s">
        <v>29</v>
      </c>
      <c r="F2434">
        <v>105</v>
      </c>
      <c r="G2434">
        <v>98</v>
      </c>
      <c r="H2434">
        <v>14</v>
      </c>
      <c r="I2434">
        <v>189</v>
      </c>
      <c r="J2434">
        <v>48</v>
      </c>
      <c r="K2434">
        <v>19088</v>
      </c>
      <c r="L2434">
        <v>3607632</v>
      </c>
      <c r="M2434">
        <f>Inventory_Data[[#This Row],[Opening Stock]]+Inventory_Data[[#This Row],[Purchase Qty]]-Inventory_Data[[#This Row],[Sales Qty]]-Inventory_Data[[#This Row],[Closing Stock]]</f>
        <v>0</v>
      </c>
      <c r="N2434">
        <f>Inventory_Data[[#This Row],[Purchase Qty]]*Inventory_Data[[#This Row],[Unit Cost]]</f>
        <v>1870624</v>
      </c>
      <c r="O2434" t="str">
        <f>IF(Inventory_Data[[#This Row],[Closing Stock]]&lt;=Inventory_Data[[#This Row],[Reorder Level]],"Low Stock","In Stock")</f>
        <v>In Stock</v>
      </c>
      <c r="P2434" t="str">
        <f>TEXT(Inventory_Data[[#This Row],[Date]],"MMM")</f>
        <v>Jun</v>
      </c>
      <c r="Q2434" t="str">
        <f>TEXT(Inventory_Data[[#This Row],[Date]],"YYYY")</f>
        <v>2026</v>
      </c>
    </row>
    <row r="2435" spans="1:17" x14ac:dyDescent="0.3">
      <c r="A2435" s="1">
        <v>46177</v>
      </c>
      <c r="B2435" t="s">
        <v>25</v>
      </c>
      <c r="C2435" t="s">
        <v>17</v>
      </c>
      <c r="D2435" t="s">
        <v>23</v>
      </c>
      <c r="E2435" t="s">
        <v>29</v>
      </c>
      <c r="F2435">
        <v>54</v>
      </c>
      <c r="G2435">
        <v>38</v>
      </c>
      <c r="H2435">
        <v>33</v>
      </c>
      <c r="I2435">
        <v>59</v>
      </c>
      <c r="J2435">
        <v>19</v>
      </c>
      <c r="K2435">
        <v>8334</v>
      </c>
      <c r="L2435">
        <v>491706</v>
      </c>
      <c r="M2435">
        <f>Inventory_Data[[#This Row],[Opening Stock]]+Inventory_Data[[#This Row],[Purchase Qty]]-Inventory_Data[[#This Row],[Sales Qty]]-Inventory_Data[[#This Row],[Closing Stock]]</f>
        <v>0</v>
      </c>
      <c r="N2435">
        <f>Inventory_Data[[#This Row],[Purchase Qty]]*Inventory_Data[[#This Row],[Unit Cost]]</f>
        <v>316692</v>
      </c>
      <c r="O2435" t="str">
        <f>IF(Inventory_Data[[#This Row],[Closing Stock]]&lt;=Inventory_Data[[#This Row],[Reorder Level]],"Low Stock","In Stock")</f>
        <v>In Stock</v>
      </c>
      <c r="P2435" t="str">
        <f>TEXT(Inventory_Data[[#This Row],[Date]],"MMM")</f>
        <v>Jun</v>
      </c>
      <c r="Q2435" t="str">
        <f>TEXT(Inventory_Data[[#This Row],[Date]],"YYYY")</f>
        <v>2026</v>
      </c>
    </row>
    <row r="2436" spans="1:17" x14ac:dyDescent="0.3">
      <c r="A2436" s="1">
        <v>46177</v>
      </c>
      <c r="B2436" t="s">
        <v>39</v>
      </c>
      <c r="C2436" t="s">
        <v>28</v>
      </c>
      <c r="D2436" t="s">
        <v>14</v>
      </c>
      <c r="E2436" t="s">
        <v>24</v>
      </c>
      <c r="F2436">
        <v>32</v>
      </c>
      <c r="G2436">
        <v>94</v>
      </c>
      <c r="H2436">
        <v>96</v>
      </c>
      <c r="I2436">
        <v>30</v>
      </c>
      <c r="J2436">
        <v>42</v>
      </c>
      <c r="K2436">
        <v>50754</v>
      </c>
      <c r="L2436">
        <v>1522620</v>
      </c>
      <c r="M2436">
        <f>Inventory_Data[[#This Row],[Opening Stock]]+Inventory_Data[[#This Row],[Purchase Qty]]-Inventory_Data[[#This Row],[Sales Qty]]-Inventory_Data[[#This Row],[Closing Stock]]</f>
        <v>0</v>
      </c>
      <c r="N2436">
        <f>Inventory_Data[[#This Row],[Purchase Qty]]*Inventory_Data[[#This Row],[Unit Cost]]</f>
        <v>4770876</v>
      </c>
      <c r="O2436" t="str">
        <f>IF(Inventory_Data[[#This Row],[Closing Stock]]&lt;=Inventory_Data[[#This Row],[Reorder Level]],"Low Stock","In Stock")</f>
        <v>Low Stock</v>
      </c>
      <c r="P2436" t="str">
        <f>TEXT(Inventory_Data[[#This Row],[Date]],"MMM")</f>
        <v>Jun</v>
      </c>
      <c r="Q2436" t="str">
        <f>TEXT(Inventory_Data[[#This Row],[Date]],"YYYY")</f>
        <v>2026</v>
      </c>
    </row>
    <row r="2437" spans="1:17" x14ac:dyDescent="0.3">
      <c r="A2437" s="1">
        <v>46177</v>
      </c>
      <c r="B2437" t="s">
        <v>12</v>
      </c>
      <c r="C2437" t="s">
        <v>13</v>
      </c>
      <c r="D2437" t="s">
        <v>14</v>
      </c>
      <c r="E2437" t="s">
        <v>20</v>
      </c>
      <c r="F2437">
        <v>93</v>
      </c>
      <c r="G2437">
        <v>31</v>
      </c>
      <c r="H2437">
        <v>48</v>
      </c>
      <c r="I2437">
        <v>76</v>
      </c>
      <c r="J2437">
        <v>17</v>
      </c>
      <c r="K2437">
        <v>7042</v>
      </c>
      <c r="L2437">
        <v>535192</v>
      </c>
      <c r="M2437">
        <f>Inventory_Data[[#This Row],[Opening Stock]]+Inventory_Data[[#This Row],[Purchase Qty]]-Inventory_Data[[#This Row],[Sales Qty]]-Inventory_Data[[#This Row],[Closing Stock]]</f>
        <v>0</v>
      </c>
      <c r="N2437">
        <f>Inventory_Data[[#This Row],[Purchase Qty]]*Inventory_Data[[#This Row],[Unit Cost]]</f>
        <v>218302</v>
      </c>
      <c r="O2437" t="str">
        <f>IF(Inventory_Data[[#This Row],[Closing Stock]]&lt;=Inventory_Data[[#This Row],[Reorder Level]],"Low Stock","In Stock")</f>
        <v>In Stock</v>
      </c>
      <c r="P2437" t="str">
        <f>TEXT(Inventory_Data[[#This Row],[Date]],"MMM")</f>
        <v>Jun</v>
      </c>
      <c r="Q2437" t="str">
        <f>TEXT(Inventory_Data[[#This Row],[Date]],"YYYY")</f>
        <v>2026</v>
      </c>
    </row>
    <row r="2438" spans="1:17" x14ac:dyDescent="0.3">
      <c r="A2438" s="1">
        <v>46178</v>
      </c>
      <c r="B2438" t="s">
        <v>39</v>
      </c>
      <c r="C2438" t="s">
        <v>28</v>
      </c>
      <c r="D2438" t="s">
        <v>23</v>
      </c>
      <c r="E2438" t="s">
        <v>20</v>
      </c>
      <c r="F2438">
        <v>80</v>
      </c>
      <c r="G2438">
        <v>62</v>
      </c>
      <c r="H2438">
        <v>22</v>
      </c>
      <c r="I2438">
        <v>120</v>
      </c>
      <c r="J2438">
        <v>54</v>
      </c>
      <c r="K2438">
        <v>40650</v>
      </c>
      <c r="L2438">
        <v>4878000</v>
      </c>
      <c r="M2438">
        <f>Inventory_Data[[#This Row],[Opening Stock]]+Inventory_Data[[#This Row],[Purchase Qty]]-Inventory_Data[[#This Row],[Sales Qty]]-Inventory_Data[[#This Row],[Closing Stock]]</f>
        <v>0</v>
      </c>
      <c r="N2438">
        <f>Inventory_Data[[#This Row],[Purchase Qty]]*Inventory_Data[[#This Row],[Unit Cost]]</f>
        <v>2520300</v>
      </c>
      <c r="O2438" t="str">
        <f>IF(Inventory_Data[[#This Row],[Closing Stock]]&lt;=Inventory_Data[[#This Row],[Reorder Level]],"Low Stock","In Stock")</f>
        <v>In Stock</v>
      </c>
      <c r="P2438" t="str">
        <f>TEXT(Inventory_Data[[#This Row],[Date]],"MMM")</f>
        <v>Jun</v>
      </c>
      <c r="Q2438" t="str">
        <f>TEXT(Inventory_Data[[#This Row],[Date]],"YYYY")</f>
        <v>2026</v>
      </c>
    </row>
    <row r="2439" spans="1:17" x14ac:dyDescent="0.3">
      <c r="A2439" s="1">
        <v>46178</v>
      </c>
      <c r="B2439" t="s">
        <v>39</v>
      </c>
      <c r="C2439" t="s">
        <v>28</v>
      </c>
      <c r="D2439" t="s">
        <v>23</v>
      </c>
      <c r="E2439" t="s">
        <v>34</v>
      </c>
      <c r="F2439">
        <v>59</v>
      </c>
      <c r="G2439">
        <v>34</v>
      </c>
      <c r="H2439">
        <v>9</v>
      </c>
      <c r="I2439">
        <v>84</v>
      </c>
      <c r="J2439">
        <v>53</v>
      </c>
      <c r="K2439">
        <v>59562</v>
      </c>
      <c r="L2439">
        <v>5003208</v>
      </c>
      <c r="M2439">
        <f>Inventory_Data[[#This Row],[Opening Stock]]+Inventory_Data[[#This Row],[Purchase Qty]]-Inventory_Data[[#This Row],[Sales Qty]]-Inventory_Data[[#This Row],[Closing Stock]]</f>
        <v>0</v>
      </c>
      <c r="N2439">
        <f>Inventory_Data[[#This Row],[Purchase Qty]]*Inventory_Data[[#This Row],[Unit Cost]]</f>
        <v>2025108</v>
      </c>
      <c r="O2439" t="str">
        <f>IF(Inventory_Data[[#This Row],[Closing Stock]]&lt;=Inventory_Data[[#This Row],[Reorder Level]],"Low Stock","In Stock")</f>
        <v>In Stock</v>
      </c>
      <c r="P2439" t="str">
        <f>TEXT(Inventory_Data[[#This Row],[Date]],"MMM")</f>
        <v>Jun</v>
      </c>
      <c r="Q2439" t="str">
        <f>TEXT(Inventory_Data[[#This Row],[Date]],"YYYY")</f>
        <v>2026</v>
      </c>
    </row>
    <row r="2440" spans="1:17" x14ac:dyDescent="0.3">
      <c r="A2440" s="1">
        <v>46178</v>
      </c>
      <c r="B2440" t="s">
        <v>41</v>
      </c>
      <c r="C2440" t="s">
        <v>22</v>
      </c>
      <c r="D2440" t="s">
        <v>26</v>
      </c>
      <c r="E2440" t="s">
        <v>34</v>
      </c>
      <c r="F2440">
        <v>435</v>
      </c>
      <c r="G2440">
        <v>276</v>
      </c>
      <c r="H2440">
        <v>247</v>
      </c>
      <c r="I2440">
        <v>464</v>
      </c>
      <c r="J2440">
        <v>130</v>
      </c>
      <c r="K2440">
        <v>734</v>
      </c>
      <c r="L2440">
        <v>340576</v>
      </c>
      <c r="M2440">
        <f>Inventory_Data[[#This Row],[Opening Stock]]+Inventory_Data[[#This Row],[Purchase Qty]]-Inventory_Data[[#This Row],[Sales Qty]]-Inventory_Data[[#This Row],[Closing Stock]]</f>
        <v>0</v>
      </c>
      <c r="N2440">
        <f>Inventory_Data[[#This Row],[Purchase Qty]]*Inventory_Data[[#This Row],[Unit Cost]]</f>
        <v>202584</v>
      </c>
      <c r="O2440" t="str">
        <f>IF(Inventory_Data[[#This Row],[Closing Stock]]&lt;=Inventory_Data[[#This Row],[Reorder Level]],"Low Stock","In Stock")</f>
        <v>In Stock</v>
      </c>
      <c r="P2440" t="str">
        <f>TEXT(Inventory_Data[[#This Row],[Date]],"MMM")</f>
        <v>Jun</v>
      </c>
      <c r="Q2440" t="str">
        <f>TEXT(Inventory_Data[[#This Row],[Date]],"YYYY")</f>
        <v>2026</v>
      </c>
    </row>
    <row r="2441" spans="1:17" x14ac:dyDescent="0.3">
      <c r="A2441" s="1">
        <v>46178</v>
      </c>
      <c r="B2441" t="s">
        <v>16</v>
      </c>
      <c r="C2441" t="s">
        <v>17</v>
      </c>
      <c r="D2441" t="s">
        <v>26</v>
      </c>
      <c r="E2441" t="s">
        <v>20</v>
      </c>
      <c r="F2441">
        <v>34</v>
      </c>
      <c r="G2441">
        <v>29</v>
      </c>
      <c r="H2441">
        <v>34</v>
      </c>
      <c r="I2441">
        <v>29</v>
      </c>
      <c r="J2441">
        <v>23</v>
      </c>
      <c r="K2441">
        <v>5870</v>
      </c>
      <c r="L2441">
        <v>170230</v>
      </c>
      <c r="M2441">
        <f>Inventory_Data[[#This Row],[Opening Stock]]+Inventory_Data[[#This Row],[Purchase Qty]]-Inventory_Data[[#This Row],[Sales Qty]]-Inventory_Data[[#This Row],[Closing Stock]]</f>
        <v>0</v>
      </c>
      <c r="N2441">
        <f>Inventory_Data[[#This Row],[Purchase Qty]]*Inventory_Data[[#This Row],[Unit Cost]]</f>
        <v>170230</v>
      </c>
      <c r="O2441" t="str">
        <f>IF(Inventory_Data[[#This Row],[Closing Stock]]&lt;=Inventory_Data[[#This Row],[Reorder Level]],"Low Stock","In Stock")</f>
        <v>In Stock</v>
      </c>
      <c r="P2441" t="str">
        <f>TEXT(Inventory_Data[[#This Row],[Date]],"MMM")</f>
        <v>Jun</v>
      </c>
      <c r="Q2441" t="str">
        <f>TEXT(Inventory_Data[[#This Row],[Date]],"YYYY")</f>
        <v>2026</v>
      </c>
    </row>
    <row r="2442" spans="1:17" x14ac:dyDescent="0.3">
      <c r="A2442" s="1">
        <v>46178</v>
      </c>
      <c r="B2442" t="s">
        <v>36</v>
      </c>
      <c r="C2442" t="s">
        <v>22</v>
      </c>
      <c r="D2442" t="s">
        <v>14</v>
      </c>
      <c r="E2442" t="s">
        <v>18</v>
      </c>
      <c r="F2442">
        <v>450</v>
      </c>
      <c r="G2442">
        <v>94</v>
      </c>
      <c r="H2442">
        <v>190</v>
      </c>
      <c r="I2442">
        <v>354</v>
      </c>
      <c r="J2442">
        <v>59</v>
      </c>
      <c r="K2442">
        <v>1073</v>
      </c>
      <c r="L2442">
        <v>379842</v>
      </c>
      <c r="M2442">
        <f>Inventory_Data[[#This Row],[Opening Stock]]+Inventory_Data[[#This Row],[Purchase Qty]]-Inventory_Data[[#This Row],[Sales Qty]]-Inventory_Data[[#This Row],[Closing Stock]]</f>
        <v>0</v>
      </c>
      <c r="N2442">
        <f>Inventory_Data[[#This Row],[Purchase Qty]]*Inventory_Data[[#This Row],[Unit Cost]]</f>
        <v>100862</v>
      </c>
      <c r="O2442" t="str">
        <f>IF(Inventory_Data[[#This Row],[Closing Stock]]&lt;=Inventory_Data[[#This Row],[Reorder Level]],"Low Stock","In Stock")</f>
        <v>In Stock</v>
      </c>
      <c r="P2442" t="str">
        <f>TEXT(Inventory_Data[[#This Row],[Date]],"MMM")</f>
        <v>Jun</v>
      </c>
      <c r="Q2442" t="str">
        <f>TEXT(Inventory_Data[[#This Row],[Date]],"YYYY")</f>
        <v>2026</v>
      </c>
    </row>
    <row r="2443" spans="1:17" x14ac:dyDescent="0.3">
      <c r="A2443" s="1">
        <v>46179</v>
      </c>
      <c r="B2443" t="s">
        <v>33</v>
      </c>
      <c r="C2443" t="s">
        <v>13</v>
      </c>
      <c r="D2443" t="s">
        <v>26</v>
      </c>
      <c r="E2443" t="s">
        <v>34</v>
      </c>
      <c r="F2443">
        <v>47</v>
      </c>
      <c r="G2443">
        <v>11</v>
      </c>
      <c r="H2443">
        <v>5</v>
      </c>
      <c r="I2443">
        <v>53</v>
      </c>
      <c r="J2443">
        <v>26</v>
      </c>
      <c r="K2443">
        <v>1993</v>
      </c>
      <c r="L2443">
        <v>105629</v>
      </c>
      <c r="M2443">
        <f>Inventory_Data[[#This Row],[Opening Stock]]+Inventory_Data[[#This Row],[Purchase Qty]]-Inventory_Data[[#This Row],[Sales Qty]]-Inventory_Data[[#This Row],[Closing Stock]]</f>
        <v>0</v>
      </c>
      <c r="N2443">
        <f>Inventory_Data[[#This Row],[Purchase Qty]]*Inventory_Data[[#This Row],[Unit Cost]]</f>
        <v>21923</v>
      </c>
      <c r="O2443" t="str">
        <f>IF(Inventory_Data[[#This Row],[Closing Stock]]&lt;=Inventory_Data[[#This Row],[Reorder Level]],"Low Stock","In Stock")</f>
        <v>In Stock</v>
      </c>
      <c r="P2443" t="str">
        <f>TEXT(Inventory_Data[[#This Row],[Date]],"MMM")</f>
        <v>Jun</v>
      </c>
      <c r="Q2443" t="str">
        <f>TEXT(Inventory_Data[[#This Row],[Date]],"YYYY")</f>
        <v>2026</v>
      </c>
    </row>
    <row r="2444" spans="1:17" x14ac:dyDescent="0.3">
      <c r="A2444" s="1">
        <v>46179</v>
      </c>
      <c r="B2444" t="s">
        <v>12</v>
      </c>
      <c r="C2444" t="s">
        <v>13</v>
      </c>
      <c r="D2444" t="s">
        <v>14</v>
      </c>
      <c r="E2444" t="s">
        <v>20</v>
      </c>
      <c r="F2444">
        <v>94</v>
      </c>
      <c r="G2444">
        <v>10</v>
      </c>
      <c r="H2444">
        <v>50</v>
      </c>
      <c r="I2444">
        <v>54</v>
      </c>
      <c r="J2444">
        <v>34</v>
      </c>
      <c r="K2444">
        <v>16262</v>
      </c>
      <c r="L2444">
        <v>878148</v>
      </c>
      <c r="M2444">
        <f>Inventory_Data[[#This Row],[Opening Stock]]+Inventory_Data[[#This Row],[Purchase Qty]]-Inventory_Data[[#This Row],[Sales Qty]]-Inventory_Data[[#This Row],[Closing Stock]]</f>
        <v>0</v>
      </c>
      <c r="N2444">
        <f>Inventory_Data[[#This Row],[Purchase Qty]]*Inventory_Data[[#This Row],[Unit Cost]]</f>
        <v>162620</v>
      </c>
      <c r="O2444" t="str">
        <f>IF(Inventory_Data[[#This Row],[Closing Stock]]&lt;=Inventory_Data[[#This Row],[Reorder Level]],"Low Stock","In Stock")</f>
        <v>In Stock</v>
      </c>
      <c r="P2444" t="str">
        <f>TEXT(Inventory_Data[[#This Row],[Date]],"MMM")</f>
        <v>Jun</v>
      </c>
      <c r="Q2444" t="str">
        <f>TEXT(Inventory_Data[[#This Row],[Date]],"YYYY")</f>
        <v>2026</v>
      </c>
    </row>
    <row r="2445" spans="1:17" x14ac:dyDescent="0.3">
      <c r="A2445" s="1">
        <v>46179</v>
      </c>
      <c r="B2445" t="s">
        <v>27</v>
      </c>
      <c r="C2445" t="s">
        <v>28</v>
      </c>
      <c r="D2445" t="s">
        <v>26</v>
      </c>
      <c r="E2445" t="s">
        <v>34</v>
      </c>
      <c r="F2445">
        <v>24</v>
      </c>
      <c r="G2445">
        <v>83</v>
      </c>
      <c r="H2445">
        <v>42</v>
      </c>
      <c r="I2445">
        <v>65</v>
      </c>
      <c r="J2445">
        <v>50</v>
      </c>
      <c r="K2445">
        <v>55980</v>
      </c>
      <c r="L2445">
        <v>3638700</v>
      </c>
      <c r="M2445">
        <f>Inventory_Data[[#This Row],[Opening Stock]]+Inventory_Data[[#This Row],[Purchase Qty]]-Inventory_Data[[#This Row],[Sales Qty]]-Inventory_Data[[#This Row],[Closing Stock]]</f>
        <v>0</v>
      </c>
      <c r="N2445">
        <f>Inventory_Data[[#This Row],[Purchase Qty]]*Inventory_Data[[#This Row],[Unit Cost]]</f>
        <v>4646340</v>
      </c>
      <c r="O2445" t="str">
        <f>IF(Inventory_Data[[#This Row],[Closing Stock]]&lt;=Inventory_Data[[#This Row],[Reorder Level]],"Low Stock","In Stock")</f>
        <v>In Stock</v>
      </c>
      <c r="P2445" t="str">
        <f>TEXT(Inventory_Data[[#This Row],[Date]],"MMM")</f>
        <v>Jun</v>
      </c>
      <c r="Q2445" t="str">
        <f>TEXT(Inventory_Data[[#This Row],[Date]],"YYYY")</f>
        <v>2026</v>
      </c>
    </row>
    <row r="2446" spans="1:17" x14ac:dyDescent="0.3">
      <c r="A2446" s="1">
        <v>46179</v>
      </c>
      <c r="B2446" t="s">
        <v>39</v>
      </c>
      <c r="C2446" t="s">
        <v>28</v>
      </c>
      <c r="D2446" t="s">
        <v>14</v>
      </c>
      <c r="E2446" t="s">
        <v>24</v>
      </c>
      <c r="F2446">
        <v>131</v>
      </c>
      <c r="G2446">
        <v>95</v>
      </c>
      <c r="H2446">
        <v>47</v>
      </c>
      <c r="I2446">
        <v>179</v>
      </c>
      <c r="J2446">
        <v>34</v>
      </c>
      <c r="K2446">
        <v>47412</v>
      </c>
      <c r="L2446">
        <v>8486748</v>
      </c>
      <c r="M2446">
        <f>Inventory_Data[[#This Row],[Opening Stock]]+Inventory_Data[[#This Row],[Purchase Qty]]-Inventory_Data[[#This Row],[Sales Qty]]-Inventory_Data[[#This Row],[Closing Stock]]</f>
        <v>0</v>
      </c>
      <c r="N2446">
        <f>Inventory_Data[[#This Row],[Purchase Qty]]*Inventory_Data[[#This Row],[Unit Cost]]</f>
        <v>4504140</v>
      </c>
      <c r="O2446" t="str">
        <f>IF(Inventory_Data[[#This Row],[Closing Stock]]&lt;=Inventory_Data[[#This Row],[Reorder Level]],"Low Stock","In Stock")</f>
        <v>In Stock</v>
      </c>
      <c r="P2446" t="str">
        <f>TEXT(Inventory_Data[[#This Row],[Date]],"MMM")</f>
        <v>Jun</v>
      </c>
      <c r="Q2446" t="str">
        <f>TEXT(Inventory_Data[[#This Row],[Date]],"YYYY")</f>
        <v>2026</v>
      </c>
    </row>
    <row r="2447" spans="1:17" x14ac:dyDescent="0.3">
      <c r="A2447" s="1">
        <v>46179</v>
      </c>
      <c r="B2447" t="s">
        <v>41</v>
      </c>
      <c r="C2447" t="s">
        <v>22</v>
      </c>
      <c r="D2447" t="s">
        <v>26</v>
      </c>
      <c r="E2447" t="s">
        <v>20</v>
      </c>
      <c r="F2447">
        <v>466</v>
      </c>
      <c r="G2447">
        <v>141</v>
      </c>
      <c r="H2447">
        <v>33</v>
      </c>
      <c r="I2447">
        <v>574</v>
      </c>
      <c r="J2447">
        <v>119</v>
      </c>
      <c r="K2447">
        <v>870</v>
      </c>
      <c r="L2447">
        <v>499380</v>
      </c>
      <c r="M2447">
        <f>Inventory_Data[[#This Row],[Opening Stock]]+Inventory_Data[[#This Row],[Purchase Qty]]-Inventory_Data[[#This Row],[Sales Qty]]-Inventory_Data[[#This Row],[Closing Stock]]</f>
        <v>0</v>
      </c>
      <c r="N2447">
        <f>Inventory_Data[[#This Row],[Purchase Qty]]*Inventory_Data[[#This Row],[Unit Cost]]</f>
        <v>122670</v>
      </c>
      <c r="O2447" t="str">
        <f>IF(Inventory_Data[[#This Row],[Closing Stock]]&lt;=Inventory_Data[[#This Row],[Reorder Level]],"Low Stock","In Stock")</f>
        <v>In Stock</v>
      </c>
      <c r="P2447" t="str">
        <f>TEXT(Inventory_Data[[#This Row],[Date]],"MMM")</f>
        <v>Jun</v>
      </c>
      <c r="Q2447" t="str">
        <f>TEXT(Inventory_Data[[#This Row],[Date]],"YYYY")</f>
        <v>2026</v>
      </c>
    </row>
    <row r="2448" spans="1:17" x14ac:dyDescent="0.3">
      <c r="A2448" s="1">
        <v>46179</v>
      </c>
      <c r="B2448" t="s">
        <v>45</v>
      </c>
      <c r="C2448" t="s">
        <v>13</v>
      </c>
      <c r="D2448" t="s">
        <v>23</v>
      </c>
      <c r="E2448" t="s">
        <v>29</v>
      </c>
      <c r="F2448">
        <v>81</v>
      </c>
      <c r="G2448">
        <v>42</v>
      </c>
      <c r="H2448">
        <v>31</v>
      </c>
      <c r="I2448">
        <v>92</v>
      </c>
      <c r="J2448">
        <v>37</v>
      </c>
      <c r="K2448">
        <v>7954</v>
      </c>
      <c r="L2448">
        <v>731768</v>
      </c>
      <c r="M2448">
        <f>Inventory_Data[[#This Row],[Opening Stock]]+Inventory_Data[[#This Row],[Purchase Qty]]-Inventory_Data[[#This Row],[Sales Qty]]-Inventory_Data[[#This Row],[Closing Stock]]</f>
        <v>0</v>
      </c>
      <c r="N2448">
        <f>Inventory_Data[[#This Row],[Purchase Qty]]*Inventory_Data[[#This Row],[Unit Cost]]</f>
        <v>334068</v>
      </c>
      <c r="O2448" t="str">
        <f>IF(Inventory_Data[[#This Row],[Closing Stock]]&lt;=Inventory_Data[[#This Row],[Reorder Level]],"Low Stock","In Stock")</f>
        <v>In Stock</v>
      </c>
      <c r="P2448" t="str">
        <f>TEXT(Inventory_Data[[#This Row],[Date]],"MMM")</f>
        <v>Jun</v>
      </c>
      <c r="Q2448" t="str">
        <f>TEXT(Inventory_Data[[#This Row],[Date]],"YYYY")</f>
        <v>2026</v>
      </c>
    </row>
    <row r="2449" spans="1:17" x14ac:dyDescent="0.3">
      <c r="A2449" s="1">
        <v>46179</v>
      </c>
      <c r="B2449" t="s">
        <v>33</v>
      </c>
      <c r="C2449" t="s">
        <v>13</v>
      </c>
      <c r="D2449" t="s">
        <v>23</v>
      </c>
      <c r="E2449" t="s">
        <v>29</v>
      </c>
      <c r="F2449">
        <v>41</v>
      </c>
      <c r="G2449">
        <v>16</v>
      </c>
      <c r="H2449">
        <v>9</v>
      </c>
      <c r="I2449">
        <v>48</v>
      </c>
      <c r="J2449">
        <v>32</v>
      </c>
      <c r="K2449">
        <v>16251</v>
      </c>
      <c r="L2449">
        <v>780048</v>
      </c>
      <c r="M2449">
        <f>Inventory_Data[[#This Row],[Opening Stock]]+Inventory_Data[[#This Row],[Purchase Qty]]-Inventory_Data[[#This Row],[Sales Qty]]-Inventory_Data[[#This Row],[Closing Stock]]</f>
        <v>0</v>
      </c>
      <c r="N2449">
        <f>Inventory_Data[[#This Row],[Purchase Qty]]*Inventory_Data[[#This Row],[Unit Cost]]</f>
        <v>260016</v>
      </c>
      <c r="O2449" t="str">
        <f>IF(Inventory_Data[[#This Row],[Closing Stock]]&lt;=Inventory_Data[[#This Row],[Reorder Level]],"Low Stock","In Stock")</f>
        <v>In Stock</v>
      </c>
      <c r="P2449" t="str">
        <f>TEXT(Inventory_Data[[#This Row],[Date]],"MMM")</f>
        <v>Jun</v>
      </c>
      <c r="Q2449" t="str">
        <f>TEXT(Inventory_Data[[#This Row],[Date]],"YYYY")</f>
        <v>2026</v>
      </c>
    </row>
    <row r="2450" spans="1:17" x14ac:dyDescent="0.3">
      <c r="A2450" s="1">
        <v>46179</v>
      </c>
      <c r="B2450" t="s">
        <v>12</v>
      </c>
      <c r="C2450" t="s">
        <v>13</v>
      </c>
      <c r="D2450" t="s">
        <v>37</v>
      </c>
      <c r="E2450" t="s">
        <v>18</v>
      </c>
      <c r="F2450">
        <v>22</v>
      </c>
      <c r="G2450">
        <v>25</v>
      </c>
      <c r="H2450">
        <v>15</v>
      </c>
      <c r="I2450">
        <v>32</v>
      </c>
      <c r="J2450">
        <v>32</v>
      </c>
      <c r="K2450">
        <v>7158</v>
      </c>
      <c r="L2450">
        <v>229056</v>
      </c>
      <c r="M2450">
        <f>Inventory_Data[[#This Row],[Opening Stock]]+Inventory_Data[[#This Row],[Purchase Qty]]-Inventory_Data[[#This Row],[Sales Qty]]-Inventory_Data[[#This Row],[Closing Stock]]</f>
        <v>0</v>
      </c>
      <c r="N2450">
        <f>Inventory_Data[[#This Row],[Purchase Qty]]*Inventory_Data[[#This Row],[Unit Cost]]</f>
        <v>178950</v>
      </c>
      <c r="O2450" t="str">
        <f>IF(Inventory_Data[[#This Row],[Closing Stock]]&lt;=Inventory_Data[[#This Row],[Reorder Level]],"Low Stock","In Stock")</f>
        <v>Low Stock</v>
      </c>
      <c r="P2450" t="str">
        <f>TEXT(Inventory_Data[[#This Row],[Date]],"MMM")</f>
        <v>Jun</v>
      </c>
      <c r="Q2450" t="str">
        <f>TEXT(Inventory_Data[[#This Row],[Date]],"YYYY")</f>
        <v>2026</v>
      </c>
    </row>
    <row r="2451" spans="1:17" x14ac:dyDescent="0.3">
      <c r="A2451" s="1">
        <v>46179</v>
      </c>
      <c r="B2451" t="s">
        <v>44</v>
      </c>
      <c r="C2451" t="s">
        <v>28</v>
      </c>
      <c r="D2451" t="s">
        <v>14</v>
      </c>
      <c r="E2451" t="s">
        <v>15</v>
      </c>
      <c r="F2451">
        <v>47</v>
      </c>
      <c r="G2451">
        <v>15</v>
      </c>
      <c r="H2451">
        <v>31</v>
      </c>
      <c r="I2451">
        <v>31</v>
      </c>
      <c r="J2451">
        <v>31</v>
      </c>
      <c r="K2451">
        <v>62487</v>
      </c>
      <c r="L2451">
        <v>1937097</v>
      </c>
      <c r="M2451">
        <f>Inventory_Data[[#This Row],[Opening Stock]]+Inventory_Data[[#This Row],[Purchase Qty]]-Inventory_Data[[#This Row],[Sales Qty]]-Inventory_Data[[#This Row],[Closing Stock]]</f>
        <v>0</v>
      </c>
      <c r="N2451">
        <f>Inventory_Data[[#This Row],[Purchase Qty]]*Inventory_Data[[#This Row],[Unit Cost]]</f>
        <v>937305</v>
      </c>
      <c r="O2451" t="str">
        <f>IF(Inventory_Data[[#This Row],[Closing Stock]]&lt;=Inventory_Data[[#This Row],[Reorder Level]],"Low Stock","In Stock")</f>
        <v>Low Stock</v>
      </c>
      <c r="P2451" t="str">
        <f>TEXT(Inventory_Data[[#This Row],[Date]],"MMM")</f>
        <v>Jun</v>
      </c>
      <c r="Q2451" t="str">
        <f>TEXT(Inventory_Data[[#This Row],[Date]],"YYYY")</f>
        <v>2026</v>
      </c>
    </row>
    <row r="2452" spans="1:17" x14ac:dyDescent="0.3">
      <c r="A2452" s="1">
        <v>46179</v>
      </c>
      <c r="B2452" t="s">
        <v>12</v>
      </c>
      <c r="C2452" t="s">
        <v>13</v>
      </c>
      <c r="D2452" t="s">
        <v>14</v>
      </c>
      <c r="E2452" t="s">
        <v>18</v>
      </c>
      <c r="F2452">
        <v>61</v>
      </c>
      <c r="G2452">
        <v>63</v>
      </c>
      <c r="H2452">
        <v>34</v>
      </c>
      <c r="I2452">
        <v>90</v>
      </c>
      <c r="J2452">
        <v>36</v>
      </c>
      <c r="K2452">
        <v>13090</v>
      </c>
      <c r="L2452">
        <v>1178100</v>
      </c>
      <c r="M2452">
        <f>Inventory_Data[[#This Row],[Opening Stock]]+Inventory_Data[[#This Row],[Purchase Qty]]-Inventory_Data[[#This Row],[Sales Qty]]-Inventory_Data[[#This Row],[Closing Stock]]</f>
        <v>0</v>
      </c>
      <c r="N2452">
        <f>Inventory_Data[[#This Row],[Purchase Qty]]*Inventory_Data[[#This Row],[Unit Cost]]</f>
        <v>824670</v>
      </c>
      <c r="O2452" t="str">
        <f>IF(Inventory_Data[[#This Row],[Closing Stock]]&lt;=Inventory_Data[[#This Row],[Reorder Level]],"Low Stock","In Stock")</f>
        <v>In Stock</v>
      </c>
      <c r="P2452" t="str">
        <f>TEXT(Inventory_Data[[#This Row],[Date]],"MMM")</f>
        <v>Jun</v>
      </c>
      <c r="Q2452" t="str">
        <f>TEXT(Inventory_Data[[#This Row],[Date]],"YYYY")</f>
        <v>2026</v>
      </c>
    </row>
    <row r="2453" spans="1:17" x14ac:dyDescent="0.3">
      <c r="A2453" s="1">
        <v>46179</v>
      </c>
      <c r="B2453" t="s">
        <v>43</v>
      </c>
      <c r="C2453" t="s">
        <v>22</v>
      </c>
      <c r="D2453" t="s">
        <v>26</v>
      </c>
      <c r="E2453" t="s">
        <v>18</v>
      </c>
      <c r="F2453">
        <v>248</v>
      </c>
      <c r="G2453">
        <v>88</v>
      </c>
      <c r="H2453">
        <v>243</v>
      </c>
      <c r="I2453">
        <v>93</v>
      </c>
      <c r="J2453">
        <v>58</v>
      </c>
      <c r="K2453">
        <v>263</v>
      </c>
      <c r="L2453">
        <v>24459</v>
      </c>
      <c r="M2453">
        <f>Inventory_Data[[#This Row],[Opening Stock]]+Inventory_Data[[#This Row],[Purchase Qty]]-Inventory_Data[[#This Row],[Sales Qty]]-Inventory_Data[[#This Row],[Closing Stock]]</f>
        <v>0</v>
      </c>
      <c r="N2453">
        <f>Inventory_Data[[#This Row],[Purchase Qty]]*Inventory_Data[[#This Row],[Unit Cost]]</f>
        <v>23144</v>
      </c>
      <c r="O2453" t="str">
        <f>IF(Inventory_Data[[#This Row],[Closing Stock]]&lt;=Inventory_Data[[#This Row],[Reorder Level]],"Low Stock","In Stock")</f>
        <v>In Stock</v>
      </c>
      <c r="P2453" t="str">
        <f>TEXT(Inventory_Data[[#This Row],[Date]],"MMM")</f>
        <v>Jun</v>
      </c>
      <c r="Q2453" t="str">
        <f>TEXT(Inventory_Data[[#This Row],[Date]],"YYYY")</f>
        <v>2026</v>
      </c>
    </row>
    <row r="2454" spans="1:17" x14ac:dyDescent="0.3">
      <c r="A2454" s="1">
        <v>46179</v>
      </c>
      <c r="B2454" t="s">
        <v>27</v>
      </c>
      <c r="C2454" t="s">
        <v>28</v>
      </c>
      <c r="D2454" t="s">
        <v>14</v>
      </c>
      <c r="E2454" t="s">
        <v>24</v>
      </c>
      <c r="F2454">
        <v>70</v>
      </c>
      <c r="G2454">
        <v>102</v>
      </c>
      <c r="H2454">
        <v>42</v>
      </c>
      <c r="I2454">
        <v>130</v>
      </c>
      <c r="J2454">
        <v>59</v>
      </c>
      <c r="K2454">
        <v>28064</v>
      </c>
      <c r="L2454">
        <v>3648320</v>
      </c>
      <c r="M2454">
        <f>Inventory_Data[[#This Row],[Opening Stock]]+Inventory_Data[[#This Row],[Purchase Qty]]-Inventory_Data[[#This Row],[Sales Qty]]-Inventory_Data[[#This Row],[Closing Stock]]</f>
        <v>0</v>
      </c>
      <c r="N2454">
        <f>Inventory_Data[[#This Row],[Purchase Qty]]*Inventory_Data[[#This Row],[Unit Cost]]</f>
        <v>2862528</v>
      </c>
      <c r="O2454" t="str">
        <f>IF(Inventory_Data[[#This Row],[Closing Stock]]&lt;=Inventory_Data[[#This Row],[Reorder Level]],"Low Stock","In Stock")</f>
        <v>In Stock</v>
      </c>
      <c r="P2454" t="str">
        <f>TEXT(Inventory_Data[[#This Row],[Date]],"MMM")</f>
        <v>Jun</v>
      </c>
      <c r="Q2454" t="str">
        <f>TEXT(Inventory_Data[[#This Row],[Date]],"YYYY")</f>
        <v>2026</v>
      </c>
    </row>
    <row r="2455" spans="1:17" x14ac:dyDescent="0.3">
      <c r="A2455" s="1">
        <v>46180</v>
      </c>
      <c r="B2455" t="s">
        <v>39</v>
      </c>
      <c r="C2455" t="s">
        <v>28</v>
      </c>
      <c r="D2455" t="s">
        <v>14</v>
      </c>
      <c r="E2455" t="s">
        <v>20</v>
      </c>
      <c r="F2455">
        <v>149</v>
      </c>
      <c r="G2455">
        <v>76</v>
      </c>
      <c r="H2455">
        <v>91</v>
      </c>
      <c r="I2455">
        <v>134</v>
      </c>
      <c r="J2455">
        <v>31</v>
      </c>
      <c r="K2455">
        <v>12182</v>
      </c>
      <c r="L2455">
        <v>1632388</v>
      </c>
      <c r="M2455">
        <f>Inventory_Data[[#This Row],[Opening Stock]]+Inventory_Data[[#This Row],[Purchase Qty]]-Inventory_Data[[#This Row],[Sales Qty]]-Inventory_Data[[#This Row],[Closing Stock]]</f>
        <v>0</v>
      </c>
      <c r="N2455">
        <f>Inventory_Data[[#This Row],[Purchase Qty]]*Inventory_Data[[#This Row],[Unit Cost]]</f>
        <v>925832</v>
      </c>
      <c r="O2455" t="str">
        <f>IF(Inventory_Data[[#This Row],[Closing Stock]]&lt;=Inventory_Data[[#This Row],[Reorder Level]],"Low Stock","In Stock")</f>
        <v>In Stock</v>
      </c>
      <c r="P2455" t="str">
        <f>TEXT(Inventory_Data[[#This Row],[Date]],"MMM")</f>
        <v>Jun</v>
      </c>
      <c r="Q2455" t="str">
        <f>TEXT(Inventory_Data[[#This Row],[Date]],"YYYY")</f>
        <v>2026</v>
      </c>
    </row>
    <row r="2456" spans="1:17" x14ac:dyDescent="0.3">
      <c r="A2456" s="1">
        <v>46180</v>
      </c>
      <c r="B2456" t="s">
        <v>45</v>
      </c>
      <c r="C2456" t="s">
        <v>13</v>
      </c>
      <c r="D2456" t="s">
        <v>23</v>
      </c>
      <c r="E2456" t="s">
        <v>24</v>
      </c>
      <c r="F2456">
        <v>50</v>
      </c>
      <c r="G2456">
        <v>24</v>
      </c>
      <c r="H2456">
        <v>18</v>
      </c>
      <c r="I2456">
        <v>56</v>
      </c>
      <c r="J2456">
        <v>19</v>
      </c>
      <c r="K2456">
        <v>12154</v>
      </c>
      <c r="L2456">
        <v>680624</v>
      </c>
      <c r="M2456">
        <f>Inventory_Data[[#This Row],[Opening Stock]]+Inventory_Data[[#This Row],[Purchase Qty]]-Inventory_Data[[#This Row],[Sales Qty]]-Inventory_Data[[#This Row],[Closing Stock]]</f>
        <v>0</v>
      </c>
      <c r="N2456">
        <f>Inventory_Data[[#This Row],[Purchase Qty]]*Inventory_Data[[#This Row],[Unit Cost]]</f>
        <v>291696</v>
      </c>
      <c r="O2456" t="str">
        <f>IF(Inventory_Data[[#This Row],[Closing Stock]]&lt;=Inventory_Data[[#This Row],[Reorder Level]],"Low Stock","In Stock")</f>
        <v>In Stock</v>
      </c>
      <c r="P2456" t="str">
        <f>TEXT(Inventory_Data[[#This Row],[Date]],"MMM")</f>
        <v>Jun</v>
      </c>
      <c r="Q2456" t="str">
        <f>TEXT(Inventory_Data[[#This Row],[Date]],"YYYY")</f>
        <v>2026</v>
      </c>
    </row>
    <row r="2457" spans="1:17" x14ac:dyDescent="0.3">
      <c r="A2457" s="1">
        <v>46180</v>
      </c>
      <c r="B2457" t="s">
        <v>25</v>
      </c>
      <c r="C2457" t="s">
        <v>17</v>
      </c>
      <c r="D2457" t="s">
        <v>14</v>
      </c>
      <c r="E2457" t="s">
        <v>29</v>
      </c>
      <c r="F2457">
        <v>43</v>
      </c>
      <c r="G2457">
        <v>43</v>
      </c>
      <c r="H2457">
        <v>21</v>
      </c>
      <c r="I2457">
        <v>65</v>
      </c>
      <c r="J2457">
        <v>27</v>
      </c>
      <c r="K2457">
        <v>11920</v>
      </c>
      <c r="L2457">
        <v>774800</v>
      </c>
      <c r="M2457">
        <f>Inventory_Data[[#This Row],[Opening Stock]]+Inventory_Data[[#This Row],[Purchase Qty]]-Inventory_Data[[#This Row],[Sales Qty]]-Inventory_Data[[#This Row],[Closing Stock]]</f>
        <v>0</v>
      </c>
      <c r="N2457">
        <f>Inventory_Data[[#This Row],[Purchase Qty]]*Inventory_Data[[#This Row],[Unit Cost]]</f>
        <v>512560</v>
      </c>
      <c r="O2457" t="str">
        <f>IF(Inventory_Data[[#This Row],[Closing Stock]]&lt;=Inventory_Data[[#This Row],[Reorder Level]],"Low Stock","In Stock")</f>
        <v>In Stock</v>
      </c>
      <c r="P2457" t="str">
        <f>TEXT(Inventory_Data[[#This Row],[Date]],"MMM")</f>
        <v>Jun</v>
      </c>
      <c r="Q2457" t="str">
        <f>TEXT(Inventory_Data[[#This Row],[Date]],"YYYY")</f>
        <v>2026</v>
      </c>
    </row>
    <row r="2458" spans="1:17" x14ac:dyDescent="0.3">
      <c r="A2458" s="1">
        <v>46180</v>
      </c>
      <c r="B2458" t="s">
        <v>16</v>
      </c>
      <c r="C2458" t="s">
        <v>17</v>
      </c>
      <c r="D2458" t="s">
        <v>37</v>
      </c>
      <c r="E2458" t="s">
        <v>18</v>
      </c>
      <c r="F2458">
        <v>90</v>
      </c>
      <c r="G2458">
        <v>37</v>
      </c>
      <c r="H2458">
        <v>12</v>
      </c>
      <c r="I2458">
        <v>115</v>
      </c>
      <c r="J2458">
        <v>17</v>
      </c>
      <c r="K2458">
        <v>1730</v>
      </c>
      <c r="L2458">
        <v>198950</v>
      </c>
      <c r="M2458">
        <f>Inventory_Data[[#This Row],[Opening Stock]]+Inventory_Data[[#This Row],[Purchase Qty]]-Inventory_Data[[#This Row],[Sales Qty]]-Inventory_Data[[#This Row],[Closing Stock]]</f>
        <v>0</v>
      </c>
      <c r="N2458">
        <f>Inventory_Data[[#This Row],[Purchase Qty]]*Inventory_Data[[#This Row],[Unit Cost]]</f>
        <v>64010</v>
      </c>
      <c r="O2458" t="str">
        <f>IF(Inventory_Data[[#This Row],[Closing Stock]]&lt;=Inventory_Data[[#This Row],[Reorder Level]],"Low Stock","In Stock")</f>
        <v>In Stock</v>
      </c>
      <c r="P2458" t="str">
        <f>TEXT(Inventory_Data[[#This Row],[Date]],"MMM")</f>
        <v>Jun</v>
      </c>
      <c r="Q2458" t="str">
        <f>TEXT(Inventory_Data[[#This Row],[Date]],"YYYY")</f>
        <v>2026</v>
      </c>
    </row>
    <row r="2459" spans="1:17" x14ac:dyDescent="0.3">
      <c r="A2459" s="1">
        <v>46180</v>
      </c>
      <c r="B2459" t="s">
        <v>25</v>
      </c>
      <c r="C2459" t="s">
        <v>17</v>
      </c>
      <c r="D2459" t="s">
        <v>23</v>
      </c>
      <c r="E2459" t="s">
        <v>18</v>
      </c>
      <c r="F2459">
        <v>31</v>
      </c>
      <c r="G2459">
        <v>38</v>
      </c>
      <c r="H2459">
        <v>36</v>
      </c>
      <c r="I2459">
        <v>33</v>
      </c>
      <c r="J2459">
        <v>19</v>
      </c>
      <c r="K2459">
        <v>14743</v>
      </c>
      <c r="L2459">
        <v>486519</v>
      </c>
      <c r="M2459">
        <f>Inventory_Data[[#This Row],[Opening Stock]]+Inventory_Data[[#This Row],[Purchase Qty]]-Inventory_Data[[#This Row],[Sales Qty]]-Inventory_Data[[#This Row],[Closing Stock]]</f>
        <v>0</v>
      </c>
      <c r="N2459">
        <f>Inventory_Data[[#This Row],[Purchase Qty]]*Inventory_Data[[#This Row],[Unit Cost]]</f>
        <v>560234</v>
      </c>
      <c r="O2459" t="str">
        <f>IF(Inventory_Data[[#This Row],[Closing Stock]]&lt;=Inventory_Data[[#This Row],[Reorder Level]],"Low Stock","In Stock")</f>
        <v>In Stock</v>
      </c>
      <c r="P2459" t="str">
        <f>TEXT(Inventory_Data[[#This Row],[Date]],"MMM")</f>
        <v>Jun</v>
      </c>
      <c r="Q2459" t="str">
        <f>TEXT(Inventory_Data[[#This Row],[Date]],"YYYY")</f>
        <v>2026</v>
      </c>
    </row>
    <row r="2460" spans="1:17" x14ac:dyDescent="0.3">
      <c r="A2460" s="1">
        <v>46181</v>
      </c>
      <c r="B2460" t="s">
        <v>44</v>
      </c>
      <c r="C2460" t="s">
        <v>28</v>
      </c>
      <c r="D2460" t="s">
        <v>37</v>
      </c>
      <c r="E2460" t="s">
        <v>34</v>
      </c>
      <c r="F2460">
        <v>91</v>
      </c>
      <c r="G2460">
        <v>14</v>
      </c>
      <c r="H2460">
        <v>96</v>
      </c>
      <c r="I2460">
        <v>9</v>
      </c>
      <c r="J2460">
        <v>24</v>
      </c>
      <c r="K2460">
        <v>10900</v>
      </c>
      <c r="L2460">
        <v>98100</v>
      </c>
      <c r="M2460">
        <f>Inventory_Data[[#This Row],[Opening Stock]]+Inventory_Data[[#This Row],[Purchase Qty]]-Inventory_Data[[#This Row],[Sales Qty]]-Inventory_Data[[#This Row],[Closing Stock]]</f>
        <v>0</v>
      </c>
      <c r="N2460">
        <f>Inventory_Data[[#This Row],[Purchase Qty]]*Inventory_Data[[#This Row],[Unit Cost]]</f>
        <v>152600</v>
      </c>
      <c r="O2460" t="str">
        <f>IF(Inventory_Data[[#This Row],[Closing Stock]]&lt;=Inventory_Data[[#This Row],[Reorder Level]],"Low Stock","In Stock")</f>
        <v>Low Stock</v>
      </c>
      <c r="P2460" t="str">
        <f>TEXT(Inventory_Data[[#This Row],[Date]],"MMM")</f>
        <v>Jun</v>
      </c>
      <c r="Q2460" t="str">
        <f>TEXT(Inventory_Data[[#This Row],[Date]],"YYYY")</f>
        <v>2026</v>
      </c>
    </row>
    <row r="2461" spans="1:17" x14ac:dyDescent="0.3">
      <c r="A2461" s="1">
        <v>46181</v>
      </c>
      <c r="B2461" t="s">
        <v>44</v>
      </c>
      <c r="C2461" t="s">
        <v>28</v>
      </c>
      <c r="D2461" t="s">
        <v>37</v>
      </c>
      <c r="E2461" t="s">
        <v>24</v>
      </c>
      <c r="F2461">
        <v>125</v>
      </c>
      <c r="G2461">
        <v>62</v>
      </c>
      <c r="H2461">
        <v>94</v>
      </c>
      <c r="I2461">
        <v>93</v>
      </c>
      <c r="J2461">
        <v>49</v>
      </c>
      <c r="K2461">
        <v>63253</v>
      </c>
      <c r="L2461">
        <v>5882529</v>
      </c>
      <c r="M2461">
        <f>Inventory_Data[[#This Row],[Opening Stock]]+Inventory_Data[[#This Row],[Purchase Qty]]-Inventory_Data[[#This Row],[Sales Qty]]-Inventory_Data[[#This Row],[Closing Stock]]</f>
        <v>0</v>
      </c>
      <c r="N2461">
        <f>Inventory_Data[[#This Row],[Purchase Qty]]*Inventory_Data[[#This Row],[Unit Cost]]</f>
        <v>3921686</v>
      </c>
      <c r="O2461" t="str">
        <f>IF(Inventory_Data[[#This Row],[Closing Stock]]&lt;=Inventory_Data[[#This Row],[Reorder Level]],"Low Stock","In Stock")</f>
        <v>In Stock</v>
      </c>
      <c r="P2461" t="str">
        <f>TEXT(Inventory_Data[[#This Row],[Date]],"MMM")</f>
        <v>Jun</v>
      </c>
      <c r="Q2461" t="str">
        <f>TEXT(Inventory_Data[[#This Row],[Date]],"YYYY")</f>
        <v>2026</v>
      </c>
    </row>
    <row r="2462" spans="1:17" x14ac:dyDescent="0.3">
      <c r="A2462" s="1">
        <v>46181</v>
      </c>
      <c r="B2462" t="s">
        <v>45</v>
      </c>
      <c r="C2462" t="s">
        <v>13</v>
      </c>
      <c r="D2462" t="s">
        <v>26</v>
      </c>
      <c r="E2462" t="s">
        <v>29</v>
      </c>
      <c r="F2462">
        <v>33</v>
      </c>
      <c r="G2462">
        <v>48</v>
      </c>
      <c r="H2462">
        <v>61</v>
      </c>
      <c r="I2462">
        <v>20</v>
      </c>
      <c r="J2462">
        <v>31</v>
      </c>
      <c r="K2462">
        <v>4790</v>
      </c>
      <c r="L2462">
        <v>95800</v>
      </c>
      <c r="M2462">
        <f>Inventory_Data[[#This Row],[Opening Stock]]+Inventory_Data[[#This Row],[Purchase Qty]]-Inventory_Data[[#This Row],[Sales Qty]]-Inventory_Data[[#This Row],[Closing Stock]]</f>
        <v>0</v>
      </c>
      <c r="N2462">
        <f>Inventory_Data[[#This Row],[Purchase Qty]]*Inventory_Data[[#This Row],[Unit Cost]]</f>
        <v>229920</v>
      </c>
      <c r="O2462" t="str">
        <f>IF(Inventory_Data[[#This Row],[Closing Stock]]&lt;=Inventory_Data[[#This Row],[Reorder Level]],"Low Stock","In Stock")</f>
        <v>Low Stock</v>
      </c>
      <c r="P2462" t="str">
        <f>TEXT(Inventory_Data[[#This Row],[Date]],"MMM")</f>
        <v>Jun</v>
      </c>
      <c r="Q2462" t="str">
        <f>TEXT(Inventory_Data[[#This Row],[Date]],"YYYY")</f>
        <v>2026</v>
      </c>
    </row>
    <row r="2463" spans="1:17" x14ac:dyDescent="0.3">
      <c r="A2463" s="1">
        <v>46181</v>
      </c>
      <c r="B2463" t="s">
        <v>27</v>
      </c>
      <c r="C2463" t="s">
        <v>28</v>
      </c>
      <c r="D2463" t="s">
        <v>26</v>
      </c>
      <c r="E2463" t="s">
        <v>34</v>
      </c>
      <c r="F2463">
        <v>54</v>
      </c>
      <c r="G2463">
        <v>79</v>
      </c>
      <c r="H2463">
        <v>76</v>
      </c>
      <c r="I2463">
        <v>57</v>
      </c>
      <c r="J2463">
        <v>54</v>
      </c>
      <c r="K2463">
        <v>61620</v>
      </c>
      <c r="L2463">
        <v>3512340</v>
      </c>
      <c r="M2463">
        <f>Inventory_Data[[#This Row],[Opening Stock]]+Inventory_Data[[#This Row],[Purchase Qty]]-Inventory_Data[[#This Row],[Sales Qty]]-Inventory_Data[[#This Row],[Closing Stock]]</f>
        <v>0</v>
      </c>
      <c r="N2463">
        <f>Inventory_Data[[#This Row],[Purchase Qty]]*Inventory_Data[[#This Row],[Unit Cost]]</f>
        <v>4867980</v>
      </c>
      <c r="O2463" t="str">
        <f>IF(Inventory_Data[[#This Row],[Closing Stock]]&lt;=Inventory_Data[[#This Row],[Reorder Level]],"Low Stock","In Stock")</f>
        <v>In Stock</v>
      </c>
      <c r="P2463" t="str">
        <f>TEXT(Inventory_Data[[#This Row],[Date]],"MMM")</f>
        <v>Jun</v>
      </c>
      <c r="Q2463" t="str">
        <f>TEXT(Inventory_Data[[#This Row],[Date]],"YYYY")</f>
        <v>2026</v>
      </c>
    </row>
    <row r="2464" spans="1:17" x14ac:dyDescent="0.3">
      <c r="A2464" s="1">
        <v>46182</v>
      </c>
      <c r="B2464" t="s">
        <v>41</v>
      </c>
      <c r="C2464" t="s">
        <v>22</v>
      </c>
      <c r="D2464" t="s">
        <v>37</v>
      </c>
      <c r="E2464" t="s">
        <v>29</v>
      </c>
      <c r="F2464">
        <v>442</v>
      </c>
      <c r="G2464">
        <v>270</v>
      </c>
      <c r="H2464">
        <v>101</v>
      </c>
      <c r="I2464">
        <v>611</v>
      </c>
      <c r="J2464">
        <v>106</v>
      </c>
      <c r="K2464">
        <v>639</v>
      </c>
      <c r="L2464">
        <v>390429</v>
      </c>
      <c r="M2464">
        <f>Inventory_Data[[#This Row],[Opening Stock]]+Inventory_Data[[#This Row],[Purchase Qty]]-Inventory_Data[[#This Row],[Sales Qty]]-Inventory_Data[[#This Row],[Closing Stock]]</f>
        <v>0</v>
      </c>
      <c r="N2464">
        <f>Inventory_Data[[#This Row],[Purchase Qty]]*Inventory_Data[[#This Row],[Unit Cost]]</f>
        <v>172530</v>
      </c>
      <c r="O2464" t="str">
        <f>IF(Inventory_Data[[#This Row],[Closing Stock]]&lt;=Inventory_Data[[#This Row],[Reorder Level]],"Low Stock","In Stock")</f>
        <v>In Stock</v>
      </c>
      <c r="P2464" t="str">
        <f>TEXT(Inventory_Data[[#This Row],[Date]],"MMM")</f>
        <v>Jun</v>
      </c>
      <c r="Q2464" t="str">
        <f>TEXT(Inventory_Data[[#This Row],[Date]],"YYYY")</f>
        <v>2026</v>
      </c>
    </row>
    <row r="2465" spans="1:17" x14ac:dyDescent="0.3">
      <c r="A2465" s="1">
        <v>46182</v>
      </c>
      <c r="B2465" t="s">
        <v>35</v>
      </c>
      <c r="C2465" t="s">
        <v>22</v>
      </c>
      <c r="D2465" t="s">
        <v>37</v>
      </c>
      <c r="E2465" t="s">
        <v>24</v>
      </c>
      <c r="F2465">
        <v>496</v>
      </c>
      <c r="G2465">
        <v>154</v>
      </c>
      <c r="H2465">
        <v>242</v>
      </c>
      <c r="I2465">
        <v>408</v>
      </c>
      <c r="J2465">
        <v>59</v>
      </c>
      <c r="K2465">
        <v>657</v>
      </c>
      <c r="L2465">
        <v>268056</v>
      </c>
      <c r="M2465">
        <f>Inventory_Data[[#This Row],[Opening Stock]]+Inventory_Data[[#This Row],[Purchase Qty]]-Inventory_Data[[#This Row],[Sales Qty]]-Inventory_Data[[#This Row],[Closing Stock]]</f>
        <v>0</v>
      </c>
      <c r="N2465">
        <f>Inventory_Data[[#This Row],[Purchase Qty]]*Inventory_Data[[#This Row],[Unit Cost]]</f>
        <v>101178</v>
      </c>
      <c r="O2465" t="str">
        <f>IF(Inventory_Data[[#This Row],[Closing Stock]]&lt;=Inventory_Data[[#This Row],[Reorder Level]],"Low Stock","In Stock")</f>
        <v>In Stock</v>
      </c>
      <c r="P2465" t="str">
        <f>TEXT(Inventory_Data[[#This Row],[Date]],"MMM")</f>
        <v>Jun</v>
      </c>
      <c r="Q2465" t="str">
        <f>TEXT(Inventory_Data[[#This Row],[Date]],"YYYY")</f>
        <v>2026</v>
      </c>
    </row>
    <row r="2466" spans="1:17" x14ac:dyDescent="0.3">
      <c r="A2466" s="1">
        <v>46182</v>
      </c>
      <c r="B2466" t="s">
        <v>31</v>
      </c>
      <c r="C2466" t="s">
        <v>22</v>
      </c>
      <c r="D2466" t="s">
        <v>14</v>
      </c>
      <c r="E2466" t="s">
        <v>15</v>
      </c>
      <c r="F2466">
        <v>321</v>
      </c>
      <c r="G2466">
        <v>237</v>
      </c>
      <c r="H2466">
        <v>255</v>
      </c>
      <c r="I2466">
        <v>303</v>
      </c>
      <c r="J2466">
        <v>138</v>
      </c>
      <c r="K2466">
        <v>152</v>
      </c>
      <c r="L2466">
        <v>46056</v>
      </c>
      <c r="M2466">
        <f>Inventory_Data[[#This Row],[Opening Stock]]+Inventory_Data[[#This Row],[Purchase Qty]]-Inventory_Data[[#This Row],[Sales Qty]]-Inventory_Data[[#This Row],[Closing Stock]]</f>
        <v>0</v>
      </c>
      <c r="N2466">
        <f>Inventory_Data[[#This Row],[Purchase Qty]]*Inventory_Data[[#This Row],[Unit Cost]]</f>
        <v>36024</v>
      </c>
      <c r="O2466" t="str">
        <f>IF(Inventory_Data[[#This Row],[Closing Stock]]&lt;=Inventory_Data[[#This Row],[Reorder Level]],"Low Stock","In Stock")</f>
        <v>In Stock</v>
      </c>
      <c r="P2466" t="str">
        <f>TEXT(Inventory_Data[[#This Row],[Date]],"MMM")</f>
        <v>Jun</v>
      </c>
      <c r="Q2466" t="str">
        <f>TEXT(Inventory_Data[[#This Row],[Date]],"YYYY")</f>
        <v>2026</v>
      </c>
    </row>
    <row r="2467" spans="1:17" x14ac:dyDescent="0.3">
      <c r="A2467" s="1">
        <v>46182</v>
      </c>
      <c r="B2467" t="s">
        <v>16</v>
      </c>
      <c r="C2467" t="s">
        <v>17</v>
      </c>
      <c r="D2467" t="s">
        <v>14</v>
      </c>
      <c r="E2467" t="s">
        <v>29</v>
      </c>
      <c r="F2467">
        <v>82</v>
      </c>
      <c r="G2467">
        <v>32</v>
      </c>
      <c r="H2467">
        <v>7</v>
      </c>
      <c r="I2467">
        <v>107</v>
      </c>
      <c r="J2467">
        <v>25</v>
      </c>
      <c r="K2467">
        <v>22730</v>
      </c>
      <c r="L2467">
        <v>2432110</v>
      </c>
      <c r="M2467">
        <f>Inventory_Data[[#This Row],[Opening Stock]]+Inventory_Data[[#This Row],[Purchase Qty]]-Inventory_Data[[#This Row],[Sales Qty]]-Inventory_Data[[#This Row],[Closing Stock]]</f>
        <v>0</v>
      </c>
      <c r="N2467">
        <f>Inventory_Data[[#This Row],[Purchase Qty]]*Inventory_Data[[#This Row],[Unit Cost]]</f>
        <v>727360</v>
      </c>
      <c r="O2467" t="str">
        <f>IF(Inventory_Data[[#This Row],[Closing Stock]]&lt;=Inventory_Data[[#This Row],[Reorder Level]],"Low Stock","In Stock")</f>
        <v>In Stock</v>
      </c>
      <c r="P2467" t="str">
        <f>TEXT(Inventory_Data[[#This Row],[Date]],"MMM")</f>
        <v>Jun</v>
      </c>
      <c r="Q2467" t="str">
        <f>TEXT(Inventory_Data[[#This Row],[Date]],"YYYY")</f>
        <v>2026</v>
      </c>
    </row>
    <row r="2468" spans="1:17" x14ac:dyDescent="0.3">
      <c r="A2468" s="1">
        <v>46183</v>
      </c>
      <c r="B2468" t="s">
        <v>43</v>
      </c>
      <c r="C2468" t="s">
        <v>22</v>
      </c>
      <c r="D2468" t="s">
        <v>37</v>
      </c>
      <c r="E2468" t="s">
        <v>29</v>
      </c>
      <c r="F2468">
        <v>353</v>
      </c>
      <c r="G2468">
        <v>58</v>
      </c>
      <c r="H2468">
        <v>59</v>
      </c>
      <c r="I2468">
        <v>352</v>
      </c>
      <c r="J2468">
        <v>147</v>
      </c>
      <c r="K2468">
        <v>483</v>
      </c>
      <c r="L2468">
        <v>170016</v>
      </c>
      <c r="M2468">
        <f>Inventory_Data[[#This Row],[Opening Stock]]+Inventory_Data[[#This Row],[Purchase Qty]]-Inventory_Data[[#This Row],[Sales Qty]]-Inventory_Data[[#This Row],[Closing Stock]]</f>
        <v>0</v>
      </c>
      <c r="N2468">
        <f>Inventory_Data[[#This Row],[Purchase Qty]]*Inventory_Data[[#This Row],[Unit Cost]]</f>
        <v>28014</v>
      </c>
      <c r="O2468" t="str">
        <f>IF(Inventory_Data[[#This Row],[Closing Stock]]&lt;=Inventory_Data[[#This Row],[Reorder Level]],"Low Stock","In Stock")</f>
        <v>In Stock</v>
      </c>
      <c r="P2468" t="str">
        <f>TEXT(Inventory_Data[[#This Row],[Date]],"MMM")</f>
        <v>Jun</v>
      </c>
      <c r="Q2468" t="str">
        <f>TEXT(Inventory_Data[[#This Row],[Date]],"YYYY")</f>
        <v>2026</v>
      </c>
    </row>
    <row r="2469" spans="1:17" x14ac:dyDescent="0.3">
      <c r="A2469" s="1">
        <v>46183</v>
      </c>
      <c r="B2469" t="s">
        <v>16</v>
      </c>
      <c r="C2469" t="s">
        <v>17</v>
      </c>
      <c r="D2469" t="s">
        <v>37</v>
      </c>
      <c r="E2469" t="s">
        <v>20</v>
      </c>
      <c r="F2469">
        <v>19</v>
      </c>
      <c r="G2469">
        <v>35</v>
      </c>
      <c r="H2469">
        <v>14</v>
      </c>
      <c r="I2469">
        <v>40</v>
      </c>
      <c r="J2469">
        <v>14</v>
      </c>
      <c r="K2469">
        <v>24922</v>
      </c>
      <c r="L2469">
        <v>996880</v>
      </c>
      <c r="M2469">
        <f>Inventory_Data[[#This Row],[Opening Stock]]+Inventory_Data[[#This Row],[Purchase Qty]]-Inventory_Data[[#This Row],[Sales Qty]]-Inventory_Data[[#This Row],[Closing Stock]]</f>
        <v>0</v>
      </c>
      <c r="N2469">
        <f>Inventory_Data[[#This Row],[Purchase Qty]]*Inventory_Data[[#This Row],[Unit Cost]]</f>
        <v>872270</v>
      </c>
      <c r="O2469" t="str">
        <f>IF(Inventory_Data[[#This Row],[Closing Stock]]&lt;=Inventory_Data[[#This Row],[Reorder Level]],"Low Stock","In Stock")</f>
        <v>In Stock</v>
      </c>
      <c r="P2469" t="str">
        <f>TEXT(Inventory_Data[[#This Row],[Date]],"MMM")</f>
        <v>Jun</v>
      </c>
      <c r="Q2469" t="str">
        <f>TEXT(Inventory_Data[[#This Row],[Date]],"YYYY")</f>
        <v>2026</v>
      </c>
    </row>
    <row r="2470" spans="1:17" x14ac:dyDescent="0.3">
      <c r="A2470" s="1">
        <v>46183</v>
      </c>
      <c r="B2470" t="s">
        <v>36</v>
      </c>
      <c r="C2470" t="s">
        <v>22</v>
      </c>
      <c r="D2470" t="s">
        <v>26</v>
      </c>
      <c r="E2470" t="s">
        <v>34</v>
      </c>
      <c r="F2470">
        <v>404</v>
      </c>
      <c r="G2470">
        <v>138</v>
      </c>
      <c r="H2470">
        <v>105</v>
      </c>
      <c r="I2470">
        <v>437</v>
      </c>
      <c r="J2470">
        <v>128</v>
      </c>
      <c r="K2470">
        <v>589</v>
      </c>
      <c r="L2470">
        <v>257393</v>
      </c>
      <c r="M2470">
        <f>Inventory_Data[[#This Row],[Opening Stock]]+Inventory_Data[[#This Row],[Purchase Qty]]-Inventory_Data[[#This Row],[Sales Qty]]-Inventory_Data[[#This Row],[Closing Stock]]</f>
        <v>0</v>
      </c>
      <c r="N2470">
        <f>Inventory_Data[[#This Row],[Purchase Qty]]*Inventory_Data[[#This Row],[Unit Cost]]</f>
        <v>81282</v>
      </c>
      <c r="O2470" t="str">
        <f>IF(Inventory_Data[[#This Row],[Closing Stock]]&lt;=Inventory_Data[[#This Row],[Reorder Level]],"Low Stock","In Stock")</f>
        <v>In Stock</v>
      </c>
      <c r="P2470" t="str">
        <f>TEXT(Inventory_Data[[#This Row],[Date]],"MMM")</f>
        <v>Jun</v>
      </c>
      <c r="Q2470" t="str">
        <f>TEXT(Inventory_Data[[#This Row],[Date]],"YYYY")</f>
        <v>2026</v>
      </c>
    </row>
    <row r="2471" spans="1:17" x14ac:dyDescent="0.3">
      <c r="A2471" s="1">
        <v>46183</v>
      </c>
      <c r="B2471" t="s">
        <v>31</v>
      </c>
      <c r="C2471" t="s">
        <v>22</v>
      </c>
      <c r="D2471" t="s">
        <v>14</v>
      </c>
      <c r="E2471" t="s">
        <v>20</v>
      </c>
      <c r="F2471">
        <v>396</v>
      </c>
      <c r="G2471">
        <v>261</v>
      </c>
      <c r="H2471">
        <v>133</v>
      </c>
      <c r="I2471">
        <v>524</v>
      </c>
      <c r="J2471">
        <v>144</v>
      </c>
      <c r="K2471">
        <v>298</v>
      </c>
      <c r="L2471">
        <v>156152</v>
      </c>
      <c r="M2471">
        <f>Inventory_Data[[#This Row],[Opening Stock]]+Inventory_Data[[#This Row],[Purchase Qty]]-Inventory_Data[[#This Row],[Sales Qty]]-Inventory_Data[[#This Row],[Closing Stock]]</f>
        <v>0</v>
      </c>
      <c r="N2471">
        <f>Inventory_Data[[#This Row],[Purchase Qty]]*Inventory_Data[[#This Row],[Unit Cost]]</f>
        <v>77778</v>
      </c>
      <c r="O2471" t="str">
        <f>IF(Inventory_Data[[#This Row],[Closing Stock]]&lt;=Inventory_Data[[#This Row],[Reorder Level]],"Low Stock","In Stock")</f>
        <v>In Stock</v>
      </c>
      <c r="P2471" t="str">
        <f>TEXT(Inventory_Data[[#This Row],[Date]],"MMM")</f>
        <v>Jun</v>
      </c>
      <c r="Q2471" t="str">
        <f>TEXT(Inventory_Data[[#This Row],[Date]],"YYYY")</f>
        <v>2026</v>
      </c>
    </row>
    <row r="2472" spans="1:17" x14ac:dyDescent="0.3">
      <c r="A2472" s="1">
        <v>46183</v>
      </c>
      <c r="B2472" t="s">
        <v>43</v>
      </c>
      <c r="C2472" t="s">
        <v>22</v>
      </c>
      <c r="D2472" t="s">
        <v>26</v>
      </c>
      <c r="E2472" t="s">
        <v>34</v>
      </c>
      <c r="F2472">
        <v>383</v>
      </c>
      <c r="G2472">
        <v>31</v>
      </c>
      <c r="H2472">
        <v>50</v>
      </c>
      <c r="I2472">
        <v>364</v>
      </c>
      <c r="J2472">
        <v>109</v>
      </c>
      <c r="K2472">
        <v>337</v>
      </c>
      <c r="L2472">
        <v>122668</v>
      </c>
      <c r="M2472">
        <f>Inventory_Data[[#This Row],[Opening Stock]]+Inventory_Data[[#This Row],[Purchase Qty]]-Inventory_Data[[#This Row],[Sales Qty]]-Inventory_Data[[#This Row],[Closing Stock]]</f>
        <v>0</v>
      </c>
      <c r="N2472">
        <f>Inventory_Data[[#This Row],[Purchase Qty]]*Inventory_Data[[#This Row],[Unit Cost]]</f>
        <v>10447</v>
      </c>
      <c r="O2472" t="str">
        <f>IF(Inventory_Data[[#This Row],[Closing Stock]]&lt;=Inventory_Data[[#This Row],[Reorder Level]],"Low Stock","In Stock")</f>
        <v>In Stock</v>
      </c>
      <c r="P2472" t="str">
        <f>TEXT(Inventory_Data[[#This Row],[Date]],"MMM")</f>
        <v>Jun</v>
      </c>
      <c r="Q2472" t="str">
        <f>TEXT(Inventory_Data[[#This Row],[Date]],"YYYY")</f>
        <v>2026</v>
      </c>
    </row>
    <row r="2473" spans="1:17" x14ac:dyDescent="0.3">
      <c r="A2473" s="1">
        <v>46183</v>
      </c>
      <c r="B2473" t="s">
        <v>38</v>
      </c>
      <c r="C2473" t="s">
        <v>17</v>
      </c>
      <c r="D2473" t="s">
        <v>37</v>
      </c>
      <c r="E2473" t="s">
        <v>15</v>
      </c>
      <c r="F2473">
        <v>80</v>
      </c>
      <c r="G2473">
        <v>41</v>
      </c>
      <c r="H2473">
        <v>23</v>
      </c>
      <c r="I2473">
        <v>98</v>
      </c>
      <c r="J2473">
        <v>11</v>
      </c>
      <c r="K2473">
        <v>5216</v>
      </c>
      <c r="L2473">
        <v>511168</v>
      </c>
      <c r="M2473">
        <f>Inventory_Data[[#This Row],[Opening Stock]]+Inventory_Data[[#This Row],[Purchase Qty]]-Inventory_Data[[#This Row],[Sales Qty]]-Inventory_Data[[#This Row],[Closing Stock]]</f>
        <v>0</v>
      </c>
      <c r="N2473">
        <f>Inventory_Data[[#This Row],[Purchase Qty]]*Inventory_Data[[#This Row],[Unit Cost]]</f>
        <v>213856</v>
      </c>
      <c r="O2473" t="str">
        <f>IF(Inventory_Data[[#This Row],[Closing Stock]]&lt;=Inventory_Data[[#This Row],[Reorder Level]],"Low Stock","In Stock")</f>
        <v>In Stock</v>
      </c>
      <c r="P2473" t="str">
        <f>TEXT(Inventory_Data[[#This Row],[Date]],"MMM")</f>
        <v>Jun</v>
      </c>
      <c r="Q2473" t="str">
        <f>TEXT(Inventory_Data[[#This Row],[Date]],"YYYY")</f>
        <v>2026</v>
      </c>
    </row>
    <row r="2474" spans="1:17" x14ac:dyDescent="0.3">
      <c r="A2474" s="1">
        <v>46183</v>
      </c>
      <c r="B2474" t="s">
        <v>21</v>
      </c>
      <c r="C2474" t="s">
        <v>22</v>
      </c>
      <c r="D2474" t="s">
        <v>14</v>
      </c>
      <c r="E2474" t="s">
        <v>18</v>
      </c>
      <c r="F2474">
        <v>398</v>
      </c>
      <c r="G2474">
        <v>160</v>
      </c>
      <c r="H2474">
        <v>247</v>
      </c>
      <c r="I2474">
        <v>311</v>
      </c>
      <c r="J2474">
        <v>62</v>
      </c>
      <c r="K2474">
        <v>157</v>
      </c>
      <c r="L2474">
        <v>48827</v>
      </c>
      <c r="M2474">
        <f>Inventory_Data[[#This Row],[Opening Stock]]+Inventory_Data[[#This Row],[Purchase Qty]]-Inventory_Data[[#This Row],[Sales Qty]]-Inventory_Data[[#This Row],[Closing Stock]]</f>
        <v>0</v>
      </c>
      <c r="N2474">
        <f>Inventory_Data[[#This Row],[Purchase Qty]]*Inventory_Data[[#This Row],[Unit Cost]]</f>
        <v>25120</v>
      </c>
      <c r="O2474" t="str">
        <f>IF(Inventory_Data[[#This Row],[Closing Stock]]&lt;=Inventory_Data[[#This Row],[Reorder Level]],"Low Stock","In Stock")</f>
        <v>In Stock</v>
      </c>
      <c r="P2474" t="str">
        <f>TEXT(Inventory_Data[[#This Row],[Date]],"MMM")</f>
        <v>Jun</v>
      </c>
      <c r="Q2474" t="str">
        <f>TEXT(Inventory_Data[[#This Row],[Date]],"YYYY")</f>
        <v>2026</v>
      </c>
    </row>
    <row r="2475" spans="1:17" x14ac:dyDescent="0.3">
      <c r="A2475" s="1">
        <v>46183</v>
      </c>
      <c r="B2475" t="s">
        <v>32</v>
      </c>
      <c r="C2475" t="s">
        <v>28</v>
      </c>
      <c r="D2475" t="s">
        <v>14</v>
      </c>
      <c r="E2475" t="s">
        <v>34</v>
      </c>
      <c r="F2475">
        <v>69</v>
      </c>
      <c r="G2475">
        <v>35</v>
      </c>
      <c r="H2475">
        <v>76</v>
      </c>
      <c r="I2475">
        <v>28</v>
      </c>
      <c r="J2475">
        <v>26</v>
      </c>
      <c r="K2475">
        <v>15204</v>
      </c>
      <c r="L2475">
        <v>425712</v>
      </c>
      <c r="M2475">
        <f>Inventory_Data[[#This Row],[Opening Stock]]+Inventory_Data[[#This Row],[Purchase Qty]]-Inventory_Data[[#This Row],[Sales Qty]]-Inventory_Data[[#This Row],[Closing Stock]]</f>
        <v>0</v>
      </c>
      <c r="N2475">
        <f>Inventory_Data[[#This Row],[Purchase Qty]]*Inventory_Data[[#This Row],[Unit Cost]]</f>
        <v>532140</v>
      </c>
      <c r="O2475" t="str">
        <f>IF(Inventory_Data[[#This Row],[Closing Stock]]&lt;=Inventory_Data[[#This Row],[Reorder Level]],"Low Stock","In Stock")</f>
        <v>In Stock</v>
      </c>
      <c r="P2475" t="str">
        <f>TEXT(Inventory_Data[[#This Row],[Date]],"MMM")</f>
        <v>Jun</v>
      </c>
      <c r="Q2475" t="str">
        <f>TEXT(Inventory_Data[[#This Row],[Date]],"YYYY")</f>
        <v>2026</v>
      </c>
    </row>
    <row r="2476" spans="1:17" x14ac:dyDescent="0.3">
      <c r="A2476" s="1">
        <v>46183</v>
      </c>
      <c r="B2476" t="s">
        <v>41</v>
      </c>
      <c r="C2476" t="s">
        <v>22</v>
      </c>
      <c r="D2476" t="s">
        <v>37</v>
      </c>
      <c r="E2476" t="s">
        <v>29</v>
      </c>
      <c r="F2476">
        <v>115</v>
      </c>
      <c r="G2476">
        <v>224</v>
      </c>
      <c r="H2476">
        <v>123</v>
      </c>
      <c r="I2476">
        <v>216</v>
      </c>
      <c r="J2476">
        <v>82</v>
      </c>
      <c r="K2476">
        <v>178</v>
      </c>
      <c r="L2476">
        <v>38448</v>
      </c>
      <c r="M2476">
        <f>Inventory_Data[[#This Row],[Opening Stock]]+Inventory_Data[[#This Row],[Purchase Qty]]-Inventory_Data[[#This Row],[Sales Qty]]-Inventory_Data[[#This Row],[Closing Stock]]</f>
        <v>0</v>
      </c>
      <c r="N2476">
        <f>Inventory_Data[[#This Row],[Purchase Qty]]*Inventory_Data[[#This Row],[Unit Cost]]</f>
        <v>39872</v>
      </c>
      <c r="O2476" t="str">
        <f>IF(Inventory_Data[[#This Row],[Closing Stock]]&lt;=Inventory_Data[[#This Row],[Reorder Level]],"Low Stock","In Stock")</f>
        <v>In Stock</v>
      </c>
      <c r="P2476" t="str">
        <f>TEXT(Inventory_Data[[#This Row],[Date]],"MMM")</f>
        <v>Jun</v>
      </c>
      <c r="Q2476" t="str">
        <f>TEXT(Inventory_Data[[#This Row],[Date]],"YYYY")</f>
        <v>2026</v>
      </c>
    </row>
    <row r="2477" spans="1:17" x14ac:dyDescent="0.3">
      <c r="A2477" s="1">
        <v>46184</v>
      </c>
      <c r="B2477" t="s">
        <v>44</v>
      </c>
      <c r="C2477" t="s">
        <v>28</v>
      </c>
      <c r="D2477" t="s">
        <v>14</v>
      </c>
      <c r="E2477" t="s">
        <v>15</v>
      </c>
      <c r="F2477">
        <v>150</v>
      </c>
      <c r="G2477">
        <v>76</v>
      </c>
      <c r="H2477">
        <v>41</v>
      </c>
      <c r="I2477">
        <v>185</v>
      </c>
      <c r="J2477">
        <v>57</v>
      </c>
      <c r="K2477">
        <v>40432</v>
      </c>
      <c r="L2477">
        <v>7479920</v>
      </c>
      <c r="M2477">
        <f>Inventory_Data[[#This Row],[Opening Stock]]+Inventory_Data[[#This Row],[Purchase Qty]]-Inventory_Data[[#This Row],[Sales Qty]]-Inventory_Data[[#This Row],[Closing Stock]]</f>
        <v>0</v>
      </c>
      <c r="N2477">
        <f>Inventory_Data[[#This Row],[Purchase Qty]]*Inventory_Data[[#This Row],[Unit Cost]]</f>
        <v>3072832</v>
      </c>
      <c r="O2477" t="str">
        <f>IF(Inventory_Data[[#This Row],[Closing Stock]]&lt;=Inventory_Data[[#This Row],[Reorder Level]],"Low Stock","In Stock")</f>
        <v>In Stock</v>
      </c>
      <c r="P2477" t="str">
        <f>TEXT(Inventory_Data[[#This Row],[Date]],"MMM")</f>
        <v>Jun</v>
      </c>
      <c r="Q2477" t="str">
        <f>TEXT(Inventory_Data[[#This Row],[Date]],"YYYY")</f>
        <v>2026</v>
      </c>
    </row>
    <row r="2478" spans="1:17" x14ac:dyDescent="0.3">
      <c r="A2478" s="1">
        <v>46184</v>
      </c>
      <c r="B2478" t="s">
        <v>12</v>
      </c>
      <c r="C2478" t="s">
        <v>13</v>
      </c>
      <c r="D2478" t="s">
        <v>23</v>
      </c>
      <c r="E2478" t="s">
        <v>34</v>
      </c>
      <c r="F2478">
        <v>119</v>
      </c>
      <c r="G2478">
        <v>21</v>
      </c>
      <c r="H2478">
        <v>25</v>
      </c>
      <c r="I2478">
        <v>115</v>
      </c>
      <c r="J2478">
        <v>20</v>
      </c>
      <c r="K2478">
        <v>3453</v>
      </c>
      <c r="L2478">
        <v>397095</v>
      </c>
      <c r="M2478">
        <f>Inventory_Data[[#This Row],[Opening Stock]]+Inventory_Data[[#This Row],[Purchase Qty]]-Inventory_Data[[#This Row],[Sales Qty]]-Inventory_Data[[#This Row],[Closing Stock]]</f>
        <v>0</v>
      </c>
      <c r="N2478">
        <f>Inventory_Data[[#This Row],[Purchase Qty]]*Inventory_Data[[#This Row],[Unit Cost]]</f>
        <v>72513</v>
      </c>
      <c r="O2478" t="str">
        <f>IF(Inventory_Data[[#This Row],[Closing Stock]]&lt;=Inventory_Data[[#This Row],[Reorder Level]],"Low Stock","In Stock")</f>
        <v>In Stock</v>
      </c>
      <c r="P2478" t="str">
        <f>TEXT(Inventory_Data[[#This Row],[Date]],"MMM")</f>
        <v>Jun</v>
      </c>
      <c r="Q2478" t="str">
        <f>TEXT(Inventory_Data[[#This Row],[Date]],"YYYY")</f>
        <v>2026</v>
      </c>
    </row>
    <row r="2479" spans="1:17" x14ac:dyDescent="0.3">
      <c r="A2479" s="1">
        <v>46184</v>
      </c>
      <c r="B2479" t="s">
        <v>31</v>
      </c>
      <c r="C2479" t="s">
        <v>22</v>
      </c>
      <c r="D2479" t="s">
        <v>26</v>
      </c>
      <c r="E2479" t="s">
        <v>20</v>
      </c>
      <c r="F2479">
        <v>61</v>
      </c>
      <c r="G2479">
        <v>130</v>
      </c>
      <c r="H2479">
        <v>165</v>
      </c>
      <c r="I2479">
        <v>26</v>
      </c>
      <c r="J2479">
        <v>73</v>
      </c>
      <c r="K2479">
        <v>144</v>
      </c>
      <c r="L2479">
        <v>3744</v>
      </c>
      <c r="M2479">
        <f>Inventory_Data[[#This Row],[Opening Stock]]+Inventory_Data[[#This Row],[Purchase Qty]]-Inventory_Data[[#This Row],[Sales Qty]]-Inventory_Data[[#This Row],[Closing Stock]]</f>
        <v>0</v>
      </c>
      <c r="N2479">
        <f>Inventory_Data[[#This Row],[Purchase Qty]]*Inventory_Data[[#This Row],[Unit Cost]]</f>
        <v>18720</v>
      </c>
      <c r="O2479" t="str">
        <f>IF(Inventory_Data[[#This Row],[Closing Stock]]&lt;=Inventory_Data[[#This Row],[Reorder Level]],"Low Stock","In Stock")</f>
        <v>Low Stock</v>
      </c>
      <c r="P2479" t="str">
        <f>TEXT(Inventory_Data[[#This Row],[Date]],"MMM")</f>
        <v>Jun</v>
      </c>
      <c r="Q2479" t="str">
        <f>TEXT(Inventory_Data[[#This Row],[Date]],"YYYY")</f>
        <v>2026</v>
      </c>
    </row>
    <row r="2480" spans="1:17" x14ac:dyDescent="0.3">
      <c r="A2480" s="1">
        <v>46184</v>
      </c>
      <c r="B2480" t="s">
        <v>33</v>
      </c>
      <c r="C2480" t="s">
        <v>13</v>
      </c>
      <c r="D2480" t="s">
        <v>37</v>
      </c>
      <c r="E2480" t="s">
        <v>15</v>
      </c>
      <c r="F2480">
        <v>83</v>
      </c>
      <c r="G2480">
        <v>55</v>
      </c>
      <c r="H2480">
        <v>14</v>
      </c>
      <c r="I2480">
        <v>124</v>
      </c>
      <c r="J2480">
        <v>37</v>
      </c>
      <c r="K2480">
        <v>17657</v>
      </c>
      <c r="L2480">
        <v>2189468</v>
      </c>
      <c r="M2480">
        <f>Inventory_Data[[#This Row],[Opening Stock]]+Inventory_Data[[#This Row],[Purchase Qty]]-Inventory_Data[[#This Row],[Sales Qty]]-Inventory_Data[[#This Row],[Closing Stock]]</f>
        <v>0</v>
      </c>
      <c r="N2480">
        <f>Inventory_Data[[#This Row],[Purchase Qty]]*Inventory_Data[[#This Row],[Unit Cost]]</f>
        <v>971135</v>
      </c>
      <c r="O2480" t="str">
        <f>IF(Inventory_Data[[#This Row],[Closing Stock]]&lt;=Inventory_Data[[#This Row],[Reorder Level]],"Low Stock","In Stock")</f>
        <v>In Stock</v>
      </c>
      <c r="P2480" t="str">
        <f>TEXT(Inventory_Data[[#This Row],[Date]],"MMM")</f>
        <v>Jun</v>
      </c>
      <c r="Q2480" t="str">
        <f>TEXT(Inventory_Data[[#This Row],[Date]],"YYYY")</f>
        <v>2026</v>
      </c>
    </row>
    <row r="2481" spans="1:17" x14ac:dyDescent="0.3">
      <c r="A2481" s="1">
        <v>46184</v>
      </c>
      <c r="B2481" t="s">
        <v>45</v>
      </c>
      <c r="C2481" t="s">
        <v>13</v>
      </c>
      <c r="D2481" t="s">
        <v>26</v>
      </c>
      <c r="E2481" t="s">
        <v>15</v>
      </c>
      <c r="F2481">
        <v>99</v>
      </c>
      <c r="G2481">
        <v>39</v>
      </c>
      <c r="H2481">
        <v>7</v>
      </c>
      <c r="I2481">
        <v>131</v>
      </c>
      <c r="J2481">
        <v>28</v>
      </c>
      <c r="K2481">
        <v>16065</v>
      </c>
      <c r="L2481">
        <v>2104515</v>
      </c>
      <c r="M2481">
        <f>Inventory_Data[[#This Row],[Opening Stock]]+Inventory_Data[[#This Row],[Purchase Qty]]-Inventory_Data[[#This Row],[Sales Qty]]-Inventory_Data[[#This Row],[Closing Stock]]</f>
        <v>0</v>
      </c>
      <c r="N2481">
        <f>Inventory_Data[[#This Row],[Purchase Qty]]*Inventory_Data[[#This Row],[Unit Cost]]</f>
        <v>626535</v>
      </c>
      <c r="O2481" t="str">
        <f>IF(Inventory_Data[[#This Row],[Closing Stock]]&lt;=Inventory_Data[[#This Row],[Reorder Level]],"Low Stock","In Stock")</f>
        <v>In Stock</v>
      </c>
      <c r="P2481" t="str">
        <f>TEXT(Inventory_Data[[#This Row],[Date]],"MMM")</f>
        <v>Jun</v>
      </c>
      <c r="Q2481" t="str">
        <f>TEXT(Inventory_Data[[#This Row],[Date]],"YYYY")</f>
        <v>2026</v>
      </c>
    </row>
    <row r="2482" spans="1:17" x14ac:dyDescent="0.3">
      <c r="A2482" s="1">
        <v>46185</v>
      </c>
      <c r="B2482" t="s">
        <v>27</v>
      </c>
      <c r="C2482" t="s">
        <v>28</v>
      </c>
      <c r="D2482" t="s">
        <v>23</v>
      </c>
      <c r="E2482" t="s">
        <v>18</v>
      </c>
      <c r="F2482">
        <v>72</v>
      </c>
      <c r="G2482">
        <v>63</v>
      </c>
      <c r="H2482">
        <v>53</v>
      </c>
      <c r="I2482">
        <v>82</v>
      </c>
      <c r="J2482">
        <v>39</v>
      </c>
      <c r="K2482">
        <v>1987</v>
      </c>
      <c r="L2482">
        <v>162934</v>
      </c>
      <c r="M2482">
        <f>Inventory_Data[[#This Row],[Opening Stock]]+Inventory_Data[[#This Row],[Purchase Qty]]-Inventory_Data[[#This Row],[Sales Qty]]-Inventory_Data[[#This Row],[Closing Stock]]</f>
        <v>0</v>
      </c>
      <c r="N2482">
        <f>Inventory_Data[[#This Row],[Purchase Qty]]*Inventory_Data[[#This Row],[Unit Cost]]</f>
        <v>125181</v>
      </c>
      <c r="O2482" t="str">
        <f>IF(Inventory_Data[[#This Row],[Closing Stock]]&lt;=Inventory_Data[[#This Row],[Reorder Level]],"Low Stock","In Stock")</f>
        <v>In Stock</v>
      </c>
      <c r="P2482" t="str">
        <f>TEXT(Inventory_Data[[#This Row],[Date]],"MMM")</f>
        <v>Jun</v>
      </c>
      <c r="Q2482" t="str">
        <f>TEXT(Inventory_Data[[#This Row],[Date]],"YYYY")</f>
        <v>2026</v>
      </c>
    </row>
    <row r="2483" spans="1:17" x14ac:dyDescent="0.3">
      <c r="A2483" s="1">
        <v>46185</v>
      </c>
      <c r="B2483" t="s">
        <v>33</v>
      </c>
      <c r="C2483" t="s">
        <v>13</v>
      </c>
      <c r="D2483" t="s">
        <v>26</v>
      </c>
      <c r="E2483" t="s">
        <v>34</v>
      </c>
      <c r="F2483">
        <v>68</v>
      </c>
      <c r="G2483">
        <v>47</v>
      </c>
      <c r="H2483">
        <v>44</v>
      </c>
      <c r="I2483">
        <v>71</v>
      </c>
      <c r="J2483">
        <v>28</v>
      </c>
      <c r="K2483">
        <v>9356</v>
      </c>
      <c r="L2483">
        <v>664276</v>
      </c>
      <c r="M2483">
        <f>Inventory_Data[[#This Row],[Opening Stock]]+Inventory_Data[[#This Row],[Purchase Qty]]-Inventory_Data[[#This Row],[Sales Qty]]-Inventory_Data[[#This Row],[Closing Stock]]</f>
        <v>0</v>
      </c>
      <c r="N2483">
        <f>Inventory_Data[[#This Row],[Purchase Qty]]*Inventory_Data[[#This Row],[Unit Cost]]</f>
        <v>439732</v>
      </c>
      <c r="O2483" t="str">
        <f>IF(Inventory_Data[[#This Row],[Closing Stock]]&lt;=Inventory_Data[[#This Row],[Reorder Level]],"Low Stock","In Stock")</f>
        <v>In Stock</v>
      </c>
      <c r="P2483" t="str">
        <f>TEXT(Inventory_Data[[#This Row],[Date]],"MMM")</f>
        <v>Jun</v>
      </c>
      <c r="Q2483" t="str">
        <f>TEXT(Inventory_Data[[#This Row],[Date]],"YYYY")</f>
        <v>2026</v>
      </c>
    </row>
    <row r="2484" spans="1:17" x14ac:dyDescent="0.3">
      <c r="A2484" s="1">
        <v>46185</v>
      </c>
      <c r="B2484" t="s">
        <v>21</v>
      </c>
      <c r="C2484" t="s">
        <v>22</v>
      </c>
      <c r="D2484" t="s">
        <v>23</v>
      </c>
      <c r="E2484" t="s">
        <v>34</v>
      </c>
      <c r="F2484">
        <v>186</v>
      </c>
      <c r="G2484">
        <v>195</v>
      </c>
      <c r="H2484">
        <v>109</v>
      </c>
      <c r="I2484">
        <v>272</v>
      </c>
      <c r="J2484">
        <v>136</v>
      </c>
      <c r="K2484">
        <v>640</v>
      </c>
      <c r="L2484">
        <v>174080</v>
      </c>
      <c r="M2484">
        <f>Inventory_Data[[#This Row],[Opening Stock]]+Inventory_Data[[#This Row],[Purchase Qty]]-Inventory_Data[[#This Row],[Sales Qty]]-Inventory_Data[[#This Row],[Closing Stock]]</f>
        <v>0</v>
      </c>
      <c r="N2484">
        <f>Inventory_Data[[#This Row],[Purchase Qty]]*Inventory_Data[[#This Row],[Unit Cost]]</f>
        <v>124800</v>
      </c>
      <c r="O2484" t="str">
        <f>IF(Inventory_Data[[#This Row],[Closing Stock]]&lt;=Inventory_Data[[#This Row],[Reorder Level]],"Low Stock","In Stock")</f>
        <v>In Stock</v>
      </c>
      <c r="P2484" t="str">
        <f>TEXT(Inventory_Data[[#This Row],[Date]],"MMM")</f>
        <v>Jun</v>
      </c>
      <c r="Q2484" t="str">
        <f>TEXT(Inventory_Data[[#This Row],[Date]],"YYYY")</f>
        <v>2026</v>
      </c>
    </row>
    <row r="2485" spans="1:17" x14ac:dyDescent="0.3">
      <c r="A2485" s="1">
        <v>46185</v>
      </c>
      <c r="B2485" t="s">
        <v>39</v>
      </c>
      <c r="C2485" t="s">
        <v>28</v>
      </c>
      <c r="D2485" t="s">
        <v>37</v>
      </c>
      <c r="E2485" t="s">
        <v>18</v>
      </c>
      <c r="F2485">
        <v>164</v>
      </c>
      <c r="G2485">
        <v>93</v>
      </c>
      <c r="H2485">
        <v>91</v>
      </c>
      <c r="I2485">
        <v>166</v>
      </c>
      <c r="J2485">
        <v>30</v>
      </c>
      <c r="K2485">
        <v>51329</v>
      </c>
      <c r="L2485">
        <v>8520614</v>
      </c>
      <c r="M2485">
        <f>Inventory_Data[[#This Row],[Opening Stock]]+Inventory_Data[[#This Row],[Purchase Qty]]-Inventory_Data[[#This Row],[Sales Qty]]-Inventory_Data[[#This Row],[Closing Stock]]</f>
        <v>0</v>
      </c>
      <c r="N2485">
        <f>Inventory_Data[[#This Row],[Purchase Qty]]*Inventory_Data[[#This Row],[Unit Cost]]</f>
        <v>4773597</v>
      </c>
      <c r="O2485" t="str">
        <f>IF(Inventory_Data[[#This Row],[Closing Stock]]&lt;=Inventory_Data[[#This Row],[Reorder Level]],"Low Stock","In Stock")</f>
        <v>In Stock</v>
      </c>
      <c r="P2485" t="str">
        <f>TEXT(Inventory_Data[[#This Row],[Date]],"MMM")</f>
        <v>Jun</v>
      </c>
      <c r="Q2485" t="str">
        <f>TEXT(Inventory_Data[[#This Row],[Date]],"YYYY")</f>
        <v>2026</v>
      </c>
    </row>
    <row r="2486" spans="1:17" x14ac:dyDescent="0.3">
      <c r="A2486" s="1">
        <v>46185</v>
      </c>
      <c r="B2486" t="s">
        <v>39</v>
      </c>
      <c r="C2486" t="s">
        <v>28</v>
      </c>
      <c r="D2486" t="s">
        <v>23</v>
      </c>
      <c r="E2486" t="s">
        <v>15</v>
      </c>
      <c r="F2486">
        <v>127</v>
      </c>
      <c r="G2486">
        <v>32</v>
      </c>
      <c r="H2486">
        <v>46</v>
      </c>
      <c r="I2486">
        <v>113</v>
      </c>
      <c r="J2486">
        <v>27</v>
      </c>
      <c r="K2486">
        <v>14660</v>
      </c>
      <c r="L2486">
        <v>1656580</v>
      </c>
      <c r="M2486">
        <f>Inventory_Data[[#This Row],[Opening Stock]]+Inventory_Data[[#This Row],[Purchase Qty]]-Inventory_Data[[#This Row],[Sales Qty]]-Inventory_Data[[#This Row],[Closing Stock]]</f>
        <v>0</v>
      </c>
      <c r="N2486">
        <f>Inventory_Data[[#This Row],[Purchase Qty]]*Inventory_Data[[#This Row],[Unit Cost]]</f>
        <v>469120</v>
      </c>
      <c r="O2486" t="str">
        <f>IF(Inventory_Data[[#This Row],[Closing Stock]]&lt;=Inventory_Data[[#This Row],[Reorder Level]],"Low Stock","In Stock")</f>
        <v>In Stock</v>
      </c>
      <c r="P2486" t="str">
        <f>TEXT(Inventory_Data[[#This Row],[Date]],"MMM")</f>
        <v>Jun</v>
      </c>
      <c r="Q2486" t="str">
        <f>TEXT(Inventory_Data[[#This Row],[Date]],"YYYY")</f>
        <v>2026</v>
      </c>
    </row>
    <row r="2487" spans="1:17" x14ac:dyDescent="0.3">
      <c r="A2487" s="1">
        <v>46186</v>
      </c>
      <c r="B2487" t="s">
        <v>35</v>
      </c>
      <c r="C2487" t="s">
        <v>22</v>
      </c>
      <c r="D2487" t="s">
        <v>37</v>
      </c>
      <c r="E2487" t="s">
        <v>20</v>
      </c>
      <c r="F2487">
        <v>203</v>
      </c>
      <c r="G2487">
        <v>178</v>
      </c>
      <c r="H2487">
        <v>276</v>
      </c>
      <c r="I2487">
        <v>105</v>
      </c>
      <c r="J2487">
        <v>121</v>
      </c>
      <c r="K2487">
        <v>441</v>
      </c>
      <c r="L2487">
        <v>46305</v>
      </c>
      <c r="M2487">
        <f>Inventory_Data[[#This Row],[Opening Stock]]+Inventory_Data[[#This Row],[Purchase Qty]]-Inventory_Data[[#This Row],[Sales Qty]]-Inventory_Data[[#This Row],[Closing Stock]]</f>
        <v>0</v>
      </c>
      <c r="N2487">
        <f>Inventory_Data[[#This Row],[Purchase Qty]]*Inventory_Data[[#This Row],[Unit Cost]]</f>
        <v>78498</v>
      </c>
      <c r="O2487" t="str">
        <f>IF(Inventory_Data[[#This Row],[Closing Stock]]&lt;=Inventory_Data[[#This Row],[Reorder Level]],"Low Stock","In Stock")</f>
        <v>Low Stock</v>
      </c>
      <c r="P2487" t="str">
        <f>TEXT(Inventory_Data[[#This Row],[Date]],"MMM")</f>
        <v>Jun</v>
      </c>
      <c r="Q2487" t="str">
        <f>TEXT(Inventory_Data[[#This Row],[Date]],"YYYY")</f>
        <v>2026</v>
      </c>
    </row>
    <row r="2488" spans="1:17" x14ac:dyDescent="0.3">
      <c r="A2488" s="1">
        <v>46186</v>
      </c>
      <c r="B2488" t="s">
        <v>30</v>
      </c>
      <c r="C2488" t="s">
        <v>28</v>
      </c>
      <c r="D2488" t="s">
        <v>14</v>
      </c>
      <c r="E2488" t="s">
        <v>29</v>
      </c>
      <c r="F2488">
        <v>109</v>
      </c>
      <c r="G2488">
        <v>22</v>
      </c>
      <c r="H2488">
        <v>21</v>
      </c>
      <c r="I2488">
        <v>110</v>
      </c>
      <c r="J2488">
        <v>36</v>
      </c>
      <c r="K2488">
        <v>50117</v>
      </c>
      <c r="L2488">
        <v>5512870</v>
      </c>
      <c r="M2488">
        <f>Inventory_Data[[#This Row],[Opening Stock]]+Inventory_Data[[#This Row],[Purchase Qty]]-Inventory_Data[[#This Row],[Sales Qty]]-Inventory_Data[[#This Row],[Closing Stock]]</f>
        <v>0</v>
      </c>
      <c r="N2488">
        <f>Inventory_Data[[#This Row],[Purchase Qty]]*Inventory_Data[[#This Row],[Unit Cost]]</f>
        <v>1102574</v>
      </c>
      <c r="O2488" t="str">
        <f>IF(Inventory_Data[[#This Row],[Closing Stock]]&lt;=Inventory_Data[[#This Row],[Reorder Level]],"Low Stock","In Stock")</f>
        <v>In Stock</v>
      </c>
      <c r="P2488" t="str">
        <f>TEXT(Inventory_Data[[#This Row],[Date]],"MMM")</f>
        <v>Jun</v>
      </c>
      <c r="Q2488" t="str">
        <f>TEXT(Inventory_Data[[#This Row],[Date]],"YYYY")</f>
        <v>2026</v>
      </c>
    </row>
    <row r="2489" spans="1:17" x14ac:dyDescent="0.3">
      <c r="A2489" s="1">
        <v>46186</v>
      </c>
      <c r="B2489" t="s">
        <v>31</v>
      </c>
      <c r="C2489" t="s">
        <v>22</v>
      </c>
      <c r="D2489" t="s">
        <v>26</v>
      </c>
      <c r="E2489" t="s">
        <v>20</v>
      </c>
      <c r="F2489">
        <v>371</v>
      </c>
      <c r="G2489">
        <v>103</v>
      </c>
      <c r="H2489">
        <v>272</v>
      </c>
      <c r="I2489">
        <v>202</v>
      </c>
      <c r="J2489">
        <v>65</v>
      </c>
      <c r="K2489">
        <v>503</v>
      </c>
      <c r="L2489">
        <v>101606</v>
      </c>
      <c r="M2489">
        <f>Inventory_Data[[#This Row],[Opening Stock]]+Inventory_Data[[#This Row],[Purchase Qty]]-Inventory_Data[[#This Row],[Sales Qty]]-Inventory_Data[[#This Row],[Closing Stock]]</f>
        <v>0</v>
      </c>
      <c r="N2489">
        <f>Inventory_Data[[#This Row],[Purchase Qty]]*Inventory_Data[[#This Row],[Unit Cost]]</f>
        <v>51809</v>
      </c>
      <c r="O2489" t="str">
        <f>IF(Inventory_Data[[#This Row],[Closing Stock]]&lt;=Inventory_Data[[#This Row],[Reorder Level]],"Low Stock","In Stock")</f>
        <v>In Stock</v>
      </c>
      <c r="P2489" t="str">
        <f>TEXT(Inventory_Data[[#This Row],[Date]],"MMM")</f>
        <v>Jun</v>
      </c>
      <c r="Q2489" t="str">
        <f>TEXT(Inventory_Data[[#This Row],[Date]],"YYYY")</f>
        <v>2026</v>
      </c>
    </row>
    <row r="2490" spans="1:17" x14ac:dyDescent="0.3">
      <c r="A2490" s="1">
        <v>46187</v>
      </c>
      <c r="B2490" t="s">
        <v>36</v>
      </c>
      <c r="C2490" t="s">
        <v>22</v>
      </c>
      <c r="D2490" t="s">
        <v>14</v>
      </c>
      <c r="E2490" t="s">
        <v>20</v>
      </c>
      <c r="F2490">
        <v>363</v>
      </c>
      <c r="G2490">
        <v>89</v>
      </c>
      <c r="H2490">
        <v>97</v>
      </c>
      <c r="I2490">
        <v>355</v>
      </c>
      <c r="J2490">
        <v>117</v>
      </c>
      <c r="K2490">
        <v>46</v>
      </c>
      <c r="L2490">
        <v>16330</v>
      </c>
      <c r="M2490">
        <f>Inventory_Data[[#This Row],[Opening Stock]]+Inventory_Data[[#This Row],[Purchase Qty]]-Inventory_Data[[#This Row],[Sales Qty]]-Inventory_Data[[#This Row],[Closing Stock]]</f>
        <v>0</v>
      </c>
      <c r="N2490">
        <f>Inventory_Data[[#This Row],[Purchase Qty]]*Inventory_Data[[#This Row],[Unit Cost]]</f>
        <v>4094</v>
      </c>
      <c r="O2490" t="str">
        <f>IF(Inventory_Data[[#This Row],[Closing Stock]]&lt;=Inventory_Data[[#This Row],[Reorder Level]],"Low Stock","In Stock")</f>
        <v>In Stock</v>
      </c>
      <c r="P2490" t="str">
        <f>TEXT(Inventory_Data[[#This Row],[Date]],"MMM")</f>
        <v>Jun</v>
      </c>
      <c r="Q2490" t="str">
        <f>TEXT(Inventory_Data[[#This Row],[Date]],"YYYY")</f>
        <v>2026</v>
      </c>
    </row>
    <row r="2491" spans="1:17" x14ac:dyDescent="0.3">
      <c r="A2491" s="1">
        <v>46187</v>
      </c>
      <c r="B2491" t="s">
        <v>21</v>
      </c>
      <c r="C2491" t="s">
        <v>22</v>
      </c>
      <c r="D2491" t="s">
        <v>23</v>
      </c>
      <c r="E2491" t="s">
        <v>24</v>
      </c>
      <c r="F2491">
        <v>362</v>
      </c>
      <c r="G2491">
        <v>112</v>
      </c>
      <c r="H2491">
        <v>203</v>
      </c>
      <c r="I2491">
        <v>271</v>
      </c>
      <c r="J2491">
        <v>74</v>
      </c>
      <c r="K2491">
        <v>234</v>
      </c>
      <c r="L2491">
        <v>63414</v>
      </c>
      <c r="M2491">
        <f>Inventory_Data[[#This Row],[Opening Stock]]+Inventory_Data[[#This Row],[Purchase Qty]]-Inventory_Data[[#This Row],[Sales Qty]]-Inventory_Data[[#This Row],[Closing Stock]]</f>
        <v>0</v>
      </c>
      <c r="N2491">
        <f>Inventory_Data[[#This Row],[Purchase Qty]]*Inventory_Data[[#This Row],[Unit Cost]]</f>
        <v>26208</v>
      </c>
      <c r="O2491" t="str">
        <f>IF(Inventory_Data[[#This Row],[Closing Stock]]&lt;=Inventory_Data[[#This Row],[Reorder Level]],"Low Stock","In Stock")</f>
        <v>In Stock</v>
      </c>
      <c r="P2491" t="str">
        <f>TEXT(Inventory_Data[[#This Row],[Date]],"MMM")</f>
        <v>Jun</v>
      </c>
      <c r="Q2491" t="str">
        <f>TEXT(Inventory_Data[[#This Row],[Date]],"YYYY")</f>
        <v>2026</v>
      </c>
    </row>
    <row r="2492" spans="1:17" x14ac:dyDescent="0.3">
      <c r="A2492" s="1">
        <v>46187</v>
      </c>
      <c r="B2492" t="s">
        <v>43</v>
      </c>
      <c r="C2492" t="s">
        <v>22</v>
      </c>
      <c r="D2492" t="s">
        <v>14</v>
      </c>
      <c r="E2492" t="s">
        <v>24</v>
      </c>
      <c r="F2492">
        <v>236</v>
      </c>
      <c r="G2492">
        <v>173</v>
      </c>
      <c r="H2492">
        <v>271</v>
      </c>
      <c r="I2492">
        <v>138</v>
      </c>
      <c r="J2492">
        <v>96</v>
      </c>
      <c r="K2492">
        <v>972</v>
      </c>
      <c r="L2492">
        <v>134136</v>
      </c>
      <c r="M2492">
        <f>Inventory_Data[[#This Row],[Opening Stock]]+Inventory_Data[[#This Row],[Purchase Qty]]-Inventory_Data[[#This Row],[Sales Qty]]-Inventory_Data[[#This Row],[Closing Stock]]</f>
        <v>0</v>
      </c>
      <c r="N2492">
        <f>Inventory_Data[[#This Row],[Purchase Qty]]*Inventory_Data[[#This Row],[Unit Cost]]</f>
        <v>168156</v>
      </c>
      <c r="O2492" t="str">
        <f>IF(Inventory_Data[[#This Row],[Closing Stock]]&lt;=Inventory_Data[[#This Row],[Reorder Level]],"Low Stock","In Stock")</f>
        <v>In Stock</v>
      </c>
      <c r="P2492" t="str">
        <f>TEXT(Inventory_Data[[#This Row],[Date]],"MMM")</f>
        <v>Jun</v>
      </c>
      <c r="Q2492" t="str">
        <f>TEXT(Inventory_Data[[#This Row],[Date]],"YYYY")</f>
        <v>2026</v>
      </c>
    </row>
    <row r="2493" spans="1:17" x14ac:dyDescent="0.3">
      <c r="A2493" s="1">
        <v>46187</v>
      </c>
      <c r="B2493" t="s">
        <v>30</v>
      </c>
      <c r="C2493" t="s">
        <v>28</v>
      </c>
      <c r="D2493" t="s">
        <v>37</v>
      </c>
      <c r="E2493" t="s">
        <v>24</v>
      </c>
      <c r="F2493">
        <v>96</v>
      </c>
      <c r="G2493">
        <v>54</v>
      </c>
      <c r="H2493">
        <v>92</v>
      </c>
      <c r="I2493">
        <v>58</v>
      </c>
      <c r="J2493">
        <v>42</v>
      </c>
      <c r="K2493">
        <v>15506</v>
      </c>
      <c r="L2493">
        <v>899348</v>
      </c>
      <c r="M2493">
        <f>Inventory_Data[[#This Row],[Opening Stock]]+Inventory_Data[[#This Row],[Purchase Qty]]-Inventory_Data[[#This Row],[Sales Qty]]-Inventory_Data[[#This Row],[Closing Stock]]</f>
        <v>0</v>
      </c>
      <c r="N2493">
        <f>Inventory_Data[[#This Row],[Purchase Qty]]*Inventory_Data[[#This Row],[Unit Cost]]</f>
        <v>837324</v>
      </c>
      <c r="O2493" t="str">
        <f>IF(Inventory_Data[[#This Row],[Closing Stock]]&lt;=Inventory_Data[[#This Row],[Reorder Level]],"Low Stock","In Stock")</f>
        <v>In Stock</v>
      </c>
      <c r="P2493" t="str">
        <f>TEXT(Inventory_Data[[#This Row],[Date]],"MMM")</f>
        <v>Jun</v>
      </c>
      <c r="Q2493" t="str">
        <f>TEXT(Inventory_Data[[#This Row],[Date]],"YYYY")</f>
        <v>2026</v>
      </c>
    </row>
    <row r="2494" spans="1:17" x14ac:dyDescent="0.3">
      <c r="A2494" s="1">
        <v>46187</v>
      </c>
      <c r="B2494" t="s">
        <v>43</v>
      </c>
      <c r="C2494" t="s">
        <v>22</v>
      </c>
      <c r="D2494" t="s">
        <v>26</v>
      </c>
      <c r="E2494" t="s">
        <v>34</v>
      </c>
      <c r="F2494">
        <v>257</v>
      </c>
      <c r="G2494">
        <v>164</v>
      </c>
      <c r="H2494">
        <v>19</v>
      </c>
      <c r="I2494">
        <v>402</v>
      </c>
      <c r="J2494">
        <v>134</v>
      </c>
      <c r="K2494">
        <v>600</v>
      </c>
      <c r="L2494">
        <v>241200</v>
      </c>
      <c r="M2494">
        <f>Inventory_Data[[#This Row],[Opening Stock]]+Inventory_Data[[#This Row],[Purchase Qty]]-Inventory_Data[[#This Row],[Sales Qty]]-Inventory_Data[[#This Row],[Closing Stock]]</f>
        <v>0</v>
      </c>
      <c r="N2494">
        <f>Inventory_Data[[#This Row],[Purchase Qty]]*Inventory_Data[[#This Row],[Unit Cost]]</f>
        <v>98400</v>
      </c>
      <c r="O2494" t="str">
        <f>IF(Inventory_Data[[#This Row],[Closing Stock]]&lt;=Inventory_Data[[#This Row],[Reorder Level]],"Low Stock","In Stock")</f>
        <v>In Stock</v>
      </c>
      <c r="P2494" t="str">
        <f>TEXT(Inventory_Data[[#This Row],[Date]],"MMM")</f>
        <v>Jun</v>
      </c>
      <c r="Q2494" t="str">
        <f>TEXT(Inventory_Data[[#This Row],[Date]],"YYYY")</f>
        <v>2026</v>
      </c>
    </row>
    <row r="2495" spans="1:17" x14ac:dyDescent="0.3">
      <c r="A2495" s="1">
        <v>46188</v>
      </c>
      <c r="B2495" t="s">
        <v>31</v>
      </c>
      <c r="C2495" t="s">
        <v>22</v>
      </c>
      <c r="D2495" t="s">
        <v>26</v>
      </c>
      <c r="E2495" t="s">
        <v>20</v>
      </c>
      <c r="F2495">
        <v>496</v>
      </c>
      <c r="G2495">
        <v>249</v>
      </c>
      <c r="H2495">
        <v>242</v>
      </c>
      <c r="I2495">
        <v>503</v>
      </c>
      <c r="J2495">
        <v>75</v>
      </c>
      <c r="K2495">
        <v>986</v>
      </c>
      <c r="L2495">
        <v>495958</v>
      </c>
      <c r="M2495">
        <f>Inventory_Data[[#This Row],[Opening Stock]]+Inventory_Data[[#This Row],[Purchase Qty]]-Inventory_Data[[#This Row],[Sales Qty]]-Inventory_Data[[#This Row],[Closing Stock]]</f>
        <v>0</v>
      </c>
      <c r="N2495">
        <f>Inventory_Data[[#This Row],[Purchase Qty]]*Inventory_Data[[#This Row],[Unit Cost]]</f>
        <v>245514</v>
      </c>
      <c r="O2495" t="str">
        <f>IF(Inventory_Data[[#This Row],[Closing Stock]]&lt;=Inventory_Data[[#This Row],[Reorder Level]],"Low Stock","In Stock")</f>
        <v>In Stock</v>
      </c>
      <c r="P2495" t="str">
        <f>TEXT(Inventory_Data[[#This Row],[Date]],"MMM")</f>
        <v>Jun</v>
      </c>
      <c r="Q2495" t="str">
        <f>TEXT(Inventory_Data[[#This Row],[Date]],"YYYY")</f>
        <v>2026</v>
      </c>
    </row>
    <row r="2496" spans="1:17" x14ac:dyDescent="0.3">
      <c r="A2496" s="1">
        <v>46188</v>
      </c>
      <c r="B2496" t="s">
        <v>38</v>
      </c>
      <c r="C2496" t="s">
        <v>17</v>
      </c>
      <c r="D2496" t="s">
        <v>37</v>
      </c>
      <c r="E2496" t="s">
        <v>34</v>
      </c>
      <c r="F2496">
        <v>37</v>
      </c>
      <c r="G2496">
        <v>21</v>
      </c>
      <c r="H2496">
        <v>29</v>
      </c>
      <c r="I2496">
        <v>29</v>
      </c>
      <c r="J2496">
        <v>29</v>
      </c>
      <c r="K2496">
        <v>23488</v>
      </c>
      <c r="L2496">
        <v>681152</v>
      </c>
      <c r="M2496">
        <f>Inventory_Data[[#This Row],[Opening Stock]]+Inventory_Data[[#This Row],[Purchase Qty]]-Inventory_Data[[#This Row],[Sales Qty]]-Inventory_Data[[#This Row],[Closing Stock]]</f>
        <v>0</v>
      </c>
      <c r="N2496">
        <f>Inventory_Data[[#This Row],[Purchase Qty]]*Inventory_Data[[#This Row],[Unit Cost]]</f>
        <v>493248</v>
      </c>
      <c r="O2496" t="str">
        <f>IF(Inventory_Data[[#This Row],[Closing Stock]]&lt;=Inventory_Data[[#This Row],[Reorder Level]],"Low Stock","In Stock")</f>
        <v>Low Stock</v>
      </c>
      <c r="P2496" t="str">
        <f>TEXT(Inventory_Data[[#This Row],[Date]],"MMM")</f>
        <v>Jun</v>
      </c>
      <c r="Q2496" t="str">
        <f>TEXT(Inventory_Data[[#This Row],[Date]],"YYYY")</f>
        <v>2026</v>
      </c>
    </row>
    <row r="2497" spans="1:17" x14ac:dyDescent="0.3">
      <c r="A2497" s="1">
        <v>46189</v>
      </c>
      <c r="B2497" t="s">
        <v>33</v>
      </c>
      <c r="C2497" t="s">
        <v>13</v>
      </c>
      <c r="D2497" t="s">
        <v>26</v>
      </c>
      <c r="E2497" t="s">
        <v>34</v>
      </c>
      <c r="F2497">
        <v>106</v>
      </c>
      <c r="G2497">
        <v>76</v>
      </c>
      <c r="H2497">
        <v>21</v>
      </c>
      <c r="I2497">
        <v>161</v>
      </c>
      <c r="J2497">
        <v>35</v>
      </c>
      <c r="K2497">
        <v>4267</v>
      </c>
      <c r="L2497">
        <v>686987</v>
      </c>
      <c r="M2497">
        <f>Inventory_Data[[#This Row],[Opening Stock]]+Inventory_Data[[#This Row],[Purchase Qty]]-Inventory_Data[[#This Row],[Sales Qty]]-Inventory_Data[[#This Row],[Closing Stock]]</f>
        <v>0</v>
      </c>
      <c r="N2497">
        <f>Inventory_Data[[#This Row],[Purchase Qty]]*Inventory_Data[[#This Row],[Unit Cost]]</f>
        <v>324292</v>
      </c>
      <c r="O2497" t="str">
        <f>IF(Inventory_Data[[#This Row],[Closing Stock]]&lt;=Inventory_Data[[#This Row],[Reorder Level]],"Low Stock","In Stock")</f>
        <v>In Stock</v>
      </c>
      <c r="P2497" t="str">
        <f>TEXT(Inventory_Data[[#This Row],[Date]],"MMM")</f>
        <v>Jun</v>
      </c>
      <c r="Q2497" t="str">
        <f>TEXT(Inventory_Data[[#This Row],[Date]],"YYYY")</f>
        <v>2026</v>
      </c>
    </row>
    <row r="2498" spans="1:17" x14ac:dyDescent="0.3">
      <c r="A2498" s="1">
        <v>46189</v>
      </c>
      <c r="B2498" t="s">
        <v>27</v>
      </c>
      <c r="C2498" t="s">
        <v>28</v>
      </c>
      <c r="D2498" t="s">
        <v>26</v>
      </c>
      <c r="E2498" t="s">
        <v>24</v>
      </c>
      <c r="F2498">
        <v>141</v>
      </c>
      <c r="G2498">
        <v>18</v>
      </c>
      <c r="H2498">
        <v>84</v>
      </c>
      <c r="I2498">
        <v>75</v>
      </c>
      <c r="J2498">
        <v>57</v>
      </c>
      <c r="K2498">
        <v>24505</v>
      </c>
      <c r="L2498">
        <v>1837875</v>
      </c>
      <c r="M2498">
        <f>Inventory_Data[[#This Row],[Opening Stock]]+Inventory_Data[[#This Row],[Purchase Qty]]-Inventory_Data[[#This Row],[Sales Qty]]-Inventory_Data[[#This Row],[Closing Stock]]</f>
        <v>0</v>
      </c>
      <c r="N2498">
        <f>Inventory_Data[[#This Row],[Purchase Qty]]*Inventory_Data[[#This Row],[Unit Cost]]</f>
        <v>441090</v>
      </c>
      <c r="O2498" t="str">
        <f>IF(Inventory_Data[[#This Row],[Closing Stock]]&lt;=Inventory_Data[[#This Row],[Reorder Level]],"Low Stock","In Stock")</f>
        <v>In Stock</v>
      </c>
      <c r="P2498" t="str">
        <f>TEXT(Inventory_Data[[#This Row],[Date]],"MMM")</f>
        <v>Jun</v>
      </c>
      <c r="Q2498" t="str">
        <f>TEXT(Inventory_Data[[#This Row],[Date]],"YYYY")</f>
        <v>2026</v>
      </c>
    </row>
    <row r="2499" spans="1:17" x14ac:dyDescent="0.3">
      <c r="A2499" s="1">
        <v>46189</v>
      </c>
      <c r="B2499" t="s">
        <v>43</v>
      </c>
      <c r="C2499" t="s">
        <v>22</v>
      </c>
      <c r="D2499" t="s">
        <v>14</v>
      </c>
      <c r="E2499" t="s">
        <v>18</v>
      </c>
      <c r="F2499">
        <v>364</v>
      </c>
      <c r="G2499">
        <v>98</v>
      </c>
      <c r="H2499">
        <v>224</v>
      </c>
      <c r="I2499">
        <v>238</v>
      </c>
      <c r="J2499">
        <v>127</v>
      </c>
      <c r="K2499">
        <v>180</v>
      </c>
      <c r="L2499">
        <v>42840</v>
      </c>
      <c r="M2499">
        <f>Inventory_Data[[#This Row],[Opening Stock]]+Inventory_Data[[#This Row],[Purchase Qty]]-Inventory_Data[[#This Row],[Sales Qty]]-Inventory_Data[[#This Row],[Closing Stock]]</f>
        <v>0</v>
      </c>
      <c r="N2499">
        <f>Inventory_Data[[#This Row],[Purchase Qty]]*Inventory_Data[[#This Row],[Unit Cost]]</f>
        <v>17640</v>
      </c>
      <c r="O2499" t="str">
        <f>IF(Inventory_Data[[#This Row],[Closing Stock]]&lt;=Inventory_Data[[#This Row],[Reorder Level]],"Low Stock","In Stock")</f>
        <v>In Stock</v>
      </c>
      <c r="P2499" t="str">
        <f>TEXT(Inventory_Data[[#This Row],[Date]],"MMM")</f>
        <v>Jun</v>
      </c>
      <c r="Q2499" t="str">
        <f>TEXT(Inventory_Data[[#This Row],[Date]],"YYYY")</f>
        <v>2026</v>
      </c>
    </row>
    <row r="2500" spans="1:17" x14ac:dyDescent="0.3">
      <c r="A2500" s="1">
        <v>46189</v>
      </c>
      <c r="B2500" t="s">
        <v>44</v>
      </c>
      <c r="C2500" t="s">
        <v>28</v>
      </c>
      <c r="D2500" t="s">
        <v>26</v>
      </c>
      <c r="E2500" t="s">
        <v>29</v>
      </c>
      <c r="F2500">
        <v>52</v>
      </c>
      <c r="G2500">
        <v>114</v>
      </c>
      <c r="H2500">
        <v>90</v>
      </c>
      <c r="I2500">
        <v>76</v>
      </c>
      <c r="J2500">
        <v>26</v>
      </c>
      <c r="K2500">
        <v>42860</v>
      </c>
      <c r="L2500">
        <v>3257360</v>
      </c>
      <c r="M2500">
        <f>Inventory_Data[[#This Row],[Opening Stock]]+Inventory_Data[[#This Row],[Purchase Qty]]-Inventory_Data[[#This Row],[Sales Qty]]-Inventory_Data[[#This Row],[Closing Stock]]</f>
        <v>0</v>
      </c>
      <c r="N2500">
        <f>Inventory_Data[[#This Row],[Purchase Qty]]*Inventory_Data[[#This Row],[Unit Cost]]</f>
        <v>4886040</v>
      </c>
      <c r="O2500" t="str">
        <f>IF(Inventory_Data[[#This Row],[Closing Stock]]&lt;=Inventory_Data[[#This Row],[Reorder Level]],"Low Stock","In Stock")</f>
        <v>In Stock</v>
      </c>
      <c r="P2500" t="str">
        <f>TEXT(Inventory_Data[[#This Row],[Date]],"MMM")</f>
        <v>Jun</v>
      </c>
      <c r="Q2500" t="str">
        <f>TEXT(Inventory_Data[[#This Row],[Date]],"YYYY")</f>
        <v>2026</v>
      </c>
    </row>
    <row r="2501" spans="1:17" x14ac:dyDescent="0.3">
      <c r="A2501" s="1">
        <v>46190</v>
      </c>
      <c r="B2501" t="s">
        <v>36</v>
      </c>
      <c r="C2501" t="s">
        <v>22</v>
      </c>
      <c r="D2501" t="s">
        <v>23</v>
      </c>
      <c r="E2501" t="s">
        <v>34</v>
      </c>
      <c r="F2501">
        <v>197</v>
      </c>
      <c r="G2501">
        <v>274</v>
      </c>
      <c r="H2501">
        <v>275</v>
      </c>
      <c r="I2501">
        <v>196</v>
      </c>
      <c r="J2501">
        <v>149</v>
      </c>
      <c r="K2501">
        <v>450</v>
      </c>
      <c r="L2501">
        <v>88200</v>
      </c>
      <c r="M2501">
        <f>Inventory_Data[[#This Row],[Opening Stock]]+Inventory_Data[[#This Row],[Purchase Qty]]-Inventory_Data[[#This Row],[Sales Qty]]-Inventory_Data[[#This Row],[Closing Stock]]</f>
        <v>0</v>
      </c>
      <c r="N2501">
        <f>Inventory_Data[[#This Row],[Purchase Qty]]*Inventory_Data[[#This Row],[Unit Cost]]</f>
        <v>123300</v>
      </c>
      <c r="O2501" t="str">
        <f>IF(Inventory_Data[[#This Row],[Closing Stock]]&lt;=Inventory_Data[[#This Row],[Reorder Level]],"Low Stock","In Stock")</f>
        <v>In Stock</v>
      </c>
      <c r="P2501" t="str">
        <f>TEXT(Inventory_Data[[#This Row],[Date]],"MMM")</f>
        <v>Jun</v>
      </c>
      <c r="Q2501" t="str">
        <f>TEXT(Inventory_Data[[#This Row],[Date]],"YYYY")</f>
        <v>2026</v>
      </c>
    </row>
    <row r="2502" spans="1:17" x14ac:dyDescent="0.3">
      <c r="A2502" s="1">
        <v>46190</v>
      </c>
      <c r="B2502" t="s">
        <v>41</v>
      </c>
      <c r="C2502" t="s">
        <v>22</v>
      </c>
      <c r="D2502" t="s">
        <v>26</v>
      </c>
      <c r="E2502" t="s">
        <v>34</v>
      </c>
      <c r="F2502">
        <v>448</v>
      </c>
      <c r="G2502">
        <v>157</v>
      </c>
      <c r="H2502">
        <v>204</v>
      </c>
      <c r="I2502">
        <v>401</v>
      </c>
      <c r="J2502">
        <v>117</v>
      </c>
      <c r="K2502">
        <v>203</v>
      </c>
      <c r="L2502">
        <v>81403</v>
      </c>
      <c r="M2502">
        <f>Inventory_Data[[#This Row],[Opening Stock]]+Inventory_Data[[#This Row],[Purchase Qty]]-Inventory_Data[[#This Row],[Sales Qty]]-Inventory_Data[[#This Row],[Closing Stock]]</f>
        <v>0</v>
      </c>
      <c r="N2502">
        <f>Inventory_Data[[#This Row],[Purchase Qty]]*Inventory_Data[[#This Row],[Unit Cost]]</f>
        <v>31871</v>
      </c>
      <c r="O2502" t="str">
        <f>IF(Inventory_Data[[#This Row],[Closing Stock]]&lt;=Inventory_Data[[#This Row],[Reorder Level]],"Low Stock","In Stock")</f>
        <v>In Stock</v>
      </c>
      <c r="P2502" t="str">
        <f>TEXT(Inventory_Data[[#This Row],[Date]],"MMM")</f>
        <v>Jun</v>
      </c>
      <c r="Q2502" t="str">
        <f>TEXT(Inventory_Data[[#This Row],[Date]],"YYYY")</f>
        <v>2026</v>
      </c>
    </row>
    <row r="2503" spans="1:17" x14ac:dyDescent="0.3">
      <c r="A2503" s="1">
        <v>46190</v>
      </c>
      <c r="B2503" t="s">
        <v>30</v>
      </c>
      <c r="C2503" t="s">
        <v>28</v>
      </c>
      <c r="D2503" t="s">
        <v>26</v>
      </c>
      <c r="E2503" t="s">
        <v>20</v>
      </c>
      <c r="F2503">
        <v>77</v>
      </c>
      <c r="G2503">
        <v>14</v>
      </c>
      <c r="H2503">
        <v>56</v>
      </c>
      <c r="I2503">
        <v>35</v>
      </c>
      <c r="J2503">
        <v>40</v>
      </c>
      <c r="K2503">
        <v>34508</v>
      </c>
      <c r="L2503">
        <v>1207780</v>
      </c>
      <c r="M2503">
        <f>Inventory_Data[[#This Row],[Opening Stock]]+Inventory_Data[[#This Row],[Purchase Qty]]-Inventory_Data[[#This Row],[Sales Qty]]-Inventory_Data[[#This Row],[Closing Stock]]</f>
        <v>0</v>
      </c>
      <c r="N2503">
        <f>Inventory_Data[[#This Row],[Purchase Qty]]*Inventory_Data[[#This Row],[Unit Cost]]</f>
        <v>483112</v>
      </c>
      <c r="O2503" t="str">
        <f>IF(Inventory_Data[[#This Row],[Closing Stock]]&lt;=Inventory_Data[[#This Row],[Reorder Level]],"Low Stock","In Stock")</f>
        <v>Low Stock</v>
      </c>
      <c r="P2503" t="str">
        <f>TEXT(Inventory_Data[[#This Row],[Date]],"MMM")</f>
        <v>Jun</v>
      </c>
      <c r="Q2503" t="str">
        <f>TEXT(Inventory_Data[[#This Row],[Date]],"YYYY")</f>
        <v>2026</v>
      </c>
    </row>
    <row r="2504" spans="1:17" x14ac:dyDescent="0.3">
      <c r="A2504" s="1">
        <v>46190</v>
      </c>
      <c r="B2504" t="s">
        <v>32</v>
      </c>
      <c r="C2504" t="s">
        <v>28</v>
      </c>
      <c r="D2504" t="s">
        <v>26</v>
      </c>
      <c r="E2504" t="s">
        <v>34</v>
      </c>
      <c r="F2504">
        <v>171</v>
      </c>
      <c r="G2504">
        <v>111</v>
      </c>
      <c r="H2504">
        <v>7</v>
      </c>
      <c r="I2504">
        <v>275</v>
      </c>
      <c r="J2504">
        <v>50</v>
      </c>
      <c r="K2504">
        <v>41735</v>
      </c>
      <c r="L2504">
        <v>11477125</v>
      </c>
      <c r="M2504">
        <f>Inventory_Data[[#This Row],[Opening Stock]]+Inventory_Data[[#This Row],[Purchase Qty]]-Inventory_Data[[#This Row],[Sales Qty]]-Inventory_Data[[#This Row],[Closing Stock]]</f>
        <v>0</v>
      </c>
      <c r="N2504">
        <f>Inventory_Data[[#This Row],[Purchase Qty]]*Inventory_Data[[#This Row],[Unit Cost]]</f>
        <v>4632585</v>
      </c>
      <c r="O2504" t="str">
        <f>IF(Inventory_Data[[#This Row],[Closing Stock]]&lt;=Inventory_Data[[#This Row],[Reorder Level]],"Low Stock","In Stock")</f>
        <v>In Stock</v>
      </c>
      <c r="P2504" t="str">
        <f>TEXT(Inventory_Data[[#This Row],[Date]],"MMM")</f>
        <v>Jun</v>
      </c>
      <c r="Q2504" t="str">
        <f>TEXT(Inventory_Data[[#This Row],[Date]],"YYYY")</f>
        <v>2026</v>
      </c>
    </row>
    <row r="2505" spans="1:17" x14ac:dyDescent="0.3">
      <c r="A2505" s="1">
        <v>46190</v>
      </c>
      <c r="B2505" t="s">
        <v>21</v>
      </c>
      <c r="C2505" t="s">
        <v>22</v>
      </c>
      <c r="D2505" t="s">
        <v>23</v>
      </c>
      <c r="E2505" t="s">
        <v>18</v>
      </c>
      <c r="F2505">
        <v>70</v>
      </c>
      <c r="G2505">
        <v>81</v>
      </c>
      <c r="H2505">
        <v>151</v>
      </c>
      <c r="I2505">
        <v>0</v>
      </c>
      <c r="J2505">
        <v>93</v>
      </c>
      <c r="K2505">
        <v>1110</v>
      </c>
      <c r="L2505">
        <v>0</v>
      </c>
      <c r="M2505">
        <f>Inventory_Data[[#This Row],[Opening Stock]]+Inventory_Data[[#This Row],[Purchase Qty]]-Inventory_Data[[#This Row],[Sales Qty]]-Inventory_Data[[#This Row],[Closing Stock]]</f>
        <v>0</v>
      </c>
      <c r="N2505">
        <f>Inventory_Data[[#This Row],[Purchase Qty]]*Inventory_Data[[#This Row],[Unit Cost]]</f>
        <v>89910</v>
      </c>
      <c r="O2505" t="str">
        <f>IF(Inventory_Data[[#This Row],[Closing Stock]]&lt;=Inventory_Data[[#This Row],[Reorder Level]],"Low Stock","In Stock")</f>
        <v>Low Stock</v>
      </c>
      <c r="P2505" t="str">
        <f>TEXT(Inventory_Data[[#This Row],[Date]],"MMM")</f>
        <v>Jun</v>
      </c>
      <c r="Q2505" t="str">
        <f>TEXT(Inventory_Data[[#This Row],[Date]],"YYYY")</f>
        <v>2026</v>
      </c>
    </row>
    <row r="2506" spans="1:17" x14ac:dyDescent="0.3">
      <c r="A2506" s="1">
        <v>46190</v>
      </c>
      <c r="B2506" t="s">
        <v>40</v>
      </c>
      <c r="C2506" t="s">
        <v>28</v>
      </c>
      <c r="D2506" t="s">
        <v>14</v>
      </c>
      <c r="E2506" t="s">
        <v>24</v>
      </c>
      <c r="F2506">
        <v>61</v>
      </c>
      <c r="G2506">
        <v>45</v>
      </c>
      <c r="H2506">
        <v>13</v>
      </c>
      <c r="I2506">
        <v>93</v>
      </c>
      <c r="J2506">
        <v>29</v>
      </c>
      <c r="K2506">
        <v>47275</v>
      </c>
      <c r="L2506">
        <v>4396575</v>
      </c>
      <c r="M2506">
        <f>Inventory_Data[[#This Row],[Opening Stock]]+Inventory_Data[[#This Row],[Purchase Qty]]-Inventory_Data[[#This Row],[Sales Qty]]-Inventory_Data[[#This Row],[Closing Stock]]</f>
        <v>0</v>
      </c>
      <c r="N2506">
        <f>Inventory_Data[[#This Row],[Purchase Qty]]*Inventory_Data[[#This Row],[Unit Cost]]</f>
        <v>2127375</v>
      </c>
      <c r="O2506" t="str">
        <f>IF(Inventory_Data[[#This Row],[Closing Stock]]&lt;=Inventory_Data[[#This Row],[Reorder Level]],"Low Stock","In Stock")</f>
        <v>In Stock</v>
      </c>
      <c r="P2506" t="str">
        <f>TEXT(Inventory_Data[[#This Row],[Date]],"MMM")</f>
        <v>Jun</v>
      </c>
      <c r="Q2506" t="str">
        <f>TEXT(Inventory_Data[[#This Row],[Date]],"YYYY")</f>
        <v>2026</v>
      </c>
    </row>
    <row r="2507" spans="1:17" x14ac:dyDescent="0.3">
      <c r="A2507" s="1">
        <v>46190</v>
      </c>
      <c r="B2507" t="s">
        <v>12</v>
      </c>
      <c r="C2507" t="s">
        <v>13</v>
      </c>
      <c r="D2507" t="s">
        <v>37</v>
      </c>
      <c r="E2507" t="s">
        <v>34</v>
      </c>
      <c r="F2507">
        <v>24</v>
      </c>
      <c r="G2507">
        <v>61</v>
      </c>
      <c r="H2507">
        <v>27</v>
      </c>
      <c r="I2507">
        <v>58</v>
      </c>
      <c r="J2507">
        <v>20</v>
      </c>
      <c r="K2507">
        <v>2035</v>
      </c>
      <c r="L2507">
        <v>118030</v>
      </c>
      <c r="M2507">
        <f>Inventory_Data[[#This Row],[Opening Stock]]+Inventory_Data[[#This Row],[Purchase Qty]]-Inventory_Data[[#This Row],[Sales Qty]]-Inventory_Data[[#This Row],[Closing Stock]]</f>
        <v>0</v>
      </c>
      <c r="N2507">
        <f>Inventory_Data[[#This Row],[Purchase Qty]]*Inventory_Data[[#This Row],[Unit Cost]]</f>
        <v>124135</v>
      </c>
      <c r="O2507" t="str">
        <f>IF(Inventory_Data[[#This Row],[Closing Stock]]&lt;=Inventory_Data[[#This Row],[Reorder Level]],"Low Stock","In Stock")</f>
        <v>In Stock</v>
      </c>
      <c r="P2507" t="str">
        <f>TEXT(Inventory_Data[[#This Row],[Date]],"MMM")</f>
        <v>Jun</v>
      </c>
      <c r="Q2507" t="str">
        <f>TEXT(Inventory_Data[[#This Row],[Date]],"YYYY")</f>
        <v>2026</v>
      </c>
    </row>
    <row r="2508" spans="1:17" x14ac:dyDescent="0.3">
      <c r="A2508" s="1">
        <v>46190</v>
      </c>
      <c r="B2508" t="s">
        <v>43</v>
      </c>
      <c r="C2508" t="s">
        <v>22</v>
      </c>
      <c r="D2508" t="s">
        <v>37</v>
      </c>
      <c r="E2508" t="s">
        <v>29</v>
      </c>
      <c r="F2508">
        <v>207</v>
      </c>
      <c r="G2508">
        <v>188</v>
      </c>
      <c r="H2508">
        <v>244</v>
      </c>
      <c r="I2508">
        <v>151</v>
      </c>
      <c r="J2508">
        <v>70</v>
      </c>
      <c r="K2508">
        <v>681</v>
      </c>
      <c r="L2508">
        <v>102831</v>
      </c>
      <c r="M2508">
        <f>Inventory_Data[[#This Row],[Opening Stock]]+Inventory_Data[[#This Row],[Purchase Qty]]-Inventory_Data[[#This Row],[Sales Qty]]-Inventory_Data[[#This Row],[Closing Stock]]</f>
        <v>0</v>
      </c>
      <c r="N2508">
        <f>Inventory_Data[[#This Row],[Purchase Qty]]*Inventory_Data[[#This Row],[Unit Cost]]</f>
        <v>128028</v>
      </c>
      <c r="O2508" t="str">
        <f>IF(Inventory_Data[[#This Row],[Closing Stock]]&lt;=Inventory_Data[[#This Row],[Reorder Level]],"Low Stock","In Stock")</f>
        <v>In Stock</v>
      </c>
      <c r="P2508" t="str">
        <f>TEXT(Inventory_Data[[#This Row],[Date]],"MMM")</f>
        <v>Jun</v>
      </c>
      <c r="Q2508" t="str">
        <f>TEXT(Inventory_Data[[#This Row],[Date]],"YYYY")</f>
        <v>2026</v>
      </c>
    </row>
    <row r="2509" spans="1:17" x14ac:dyDescent="0.3">
      <c r="A2509" s="1">
        <v>46191</v>
      </c>
      <c r="B2509" t="s">
        <v>30</v>
      </c>
      <c r="C2509" t="s">
        <v>28</v>
      </c>
      <c r="D2509" t="s">
        <v>26</v>
      </c>
      <c r="E2509" t="s">
        <v>29</v>
      </c>
      <c r="F2509">
        <v>145</v>
      </c>
      <c r="G2509">
        <v>38</v>
      </c>
      <c r="H2509">
        <v>45</v>
      </c>
      <c r="I2509">
        <v>138</v>
      </c>
      <c r="J2509">
        <v>53</v>
      </c>
      <c r="K2509">
        <v>36169</v>
      </c>
      <c r="L2509">
        <v>4991322</v>
      </c>
      <c r="M2509">
        <f>Inventory_Data[[#This Row],[Opening Stock]]+Inventory_Data[[#This Row],[Purchase Qty]]-Inventory_Data[[#This Row],[Sales Qty]]-Inventory_Data[[#This Row],[Closing Stock]]</f>
        <v>0</v>
      </c>
      <c r="N2509">
        <f>Inventory_Data[[#This Row],[Purchase Qty]]*Inventory_Data[[#This Row],[Unit Cost]]</f>
        <v>1374422</v>
      </c>
      <c r="O2509" t="str">
        <f>IF(Inventory_Data[[#This Row],[Closing Stock]]&lt;=Inventory_Data[[#This Row],[Reorder Level]],"Low Stock","In Stock")</f>
        <v>In Stock</v>
      </c>
      <c r="P2509" t="str">
        <f>TEXT(Inventory_Data[[#This Row],[Date]],"MMM")</f>
        <v>Jun</v>
      </c>
      <c r="Q2509" t="str">
        <f>TEXT(Inventory_Data[[#This Row],[Date]],"YYYY")</f>
        <v>2026</v>
      </c>
    </row>
    <row r="2510" spans="1:17" x14ac:dyDescent="0.3">
      <c r="A2510" s="1">
        <v>46191</v>
      </c>
      <c r="B2510" t="s">
        <v>12</v>
      </c>
      <c r="C2510" t="s">
        <v>13</v>
      </c>
      <c r="D2510" t="s">
        <v>14</v>
      </c>
      <c r="E2510" t="s">
        <v>18</v>
      </c>
      <c r="F2510">
        <v>107</v>
      </c>
      <c r="G2510">
        <v>18</v>
      </c>
      <c r="H2510">
        <v>50</v>
      </c>
      <c r="I2510">
        <v>75</v>
      </c>
      <c r="J2510">
        <v>35</v>
      </c>
      <c r="K2510">
        <v>5015</v>
      </c>
      <c r="L2510">
        <v>376125</v>
      </c>
      <c r="M2510">
        <f>Inventory_Data[[#This Row],[Opening Stock]]+Inventory_Data[[#This Row],[Purchase Qty]]-Inventory_Data[[#This Row],[Sales Qty]]-Inventory_Data[[#This Row],[Closing Stock]]</f>
        <v>0</v>
      </c>
      <c r="N2510">
        <f>Inventory_Data[[#This Row],[Purchase Qty]]*Inventory_Data[[#This Row],[Unit Cost]]</f>
        <v>90270</v>
      </c>
      <c r="O2510" t="str">
        <f>IF(Inventory_Data[[#This Row],[Closing Stock]]&lt;=Inventory_Data[[#This Row],[Reorder Level]],"Low Stock","In Stock")</f>
        <v>In Stock</v>
      </c>
      <c r="P2510" t="str">
        <f>TEXT(Inventory_Data[[#This Row],[Date]],"MMM")</f>
        <v>Jun</v>
      </c>
      <c r="Q2510" t="str">
        <f>TEXT(Inventory_Data[[#This Row],[Date]],"YYYY")</f>
        <v>2026</v>
      </c>
    </row>
    <row r="2511" spans="1:17" x14ac:dyDescent="0.3">
      <c r="A2511" s="1">
        <v>46191</v>
      </c>
      <c r="B2511" t="s">
        <v>12</v>
      </c>
      <c r="C2511" t="s">
        <v>13</v>
      </c>
      <c r="D2511" t="s">
        <v>26</v>
      </c>
      <c r="E2511" t="s">
        <v>20</v>
      </c>
      <c r="F2511">
        <v>93</v>
      </c>
      <c r="G2511">
        <v>17</v>
      </c>
      <c r="H2511">
        <v>30</v>
      </c>
      <c r="I2511">
        <v>80</v>
      </c>
      <c r="J2511">
        <v>25</v>
      </c>
      <c r="K2511">
        <v>11612</v>
      </c>
      <c r="L2511">
        <v>928960</v>
      </c>
      <c r="M2511">
        <f>Inventory_Data[[#This Row],[Opening Stock]]+Inventory_Data[[#This Row],[Purchase Qty]]-Inventory_Data[[#This Row],[Sales Qty]]-Inventory_Data[[#This Row],[Closing Stock]]</f>
        <v>0</v>
      </c>
      <c r="N2511">
        <f>Inventory_Data[[#This Row],[Purchase Qty]]*Inventory_Data[[#This Row],[Unit Cost]]</f>
        <v>197404</v>
      </c>
      <c r="O2511" t="str">
        <f>IF(Inventory_Data[[#This Row],[Closing Stock]]&lt;=Inventory_Data[[#This Row],[Reorder Level]],"Low Stock","In Stock")</f>
        <v>In Stock</v>
      </c>
      <c r="P2511" t="str">
        <f>TEXT(Inventory_Data[[#This Row],[Date]],"MMM")</f>
        <v>Jun</v>
      </c>
      <c r="Q2511" t="str">
        <f>TEXT(Inventory_Data[[#This Row],[Date]],"YYYY")</f>
        <v>2026</v>
      </c>
    </row>
    <row r="2512" spans="1:17" x14ac:dyDescent="0.3">
      <c r="A2512" s="1">
        <v>46191</v>
      </c>
      <c r="B2512" t="s">
        <v>32</v>
      </c>
      <c r="C2512" t="s">
        <v>28</v>
      </c>
      <c r="D2512" t="s">
        <v>26</v>
      </c>
      <c r="E2512" t="s">
        <v>15</v>
      </c>
      <c r="F2512">
        <v>168</v>
      </c>
      <c r="G2512">
        <v>79</v>
      </c>
      <c r="H2512">
        <v>5</v>
      </c>
      <c r="I2512">
        <v>242</v>
      </c>
      <c r="J2512">
        <v>31</v>
      </c>
      <c r="K2512">
        <v>64932</v>
      </c>
      <c r="L2512">
        <v>15713544</v>
      </c>
      <c r="M2512">
        <f>Inventory_Data[[#This Row],[Opening Stock]]+Inventory_Data[[#This Row],[Purchase Qty]]-Inventory_Data[[#This Row],[Sales Qty]]-Inventory_Data[[#This Row],[Closing Stock]]</f>
        <v>0</v>
      </c>
      <c r="N2512">
        <f>Inventory_Data[[#This Row],[Purchase Qty]]*Inventory_Data[[#This Row],[Unit Cost]]</f>
        <v>5129628</v>
      </c>
      <c r="O2512" t="str">
        <f>IF(Inventory_Data[[#This Row],[Closing Stock]]&lt;=Inventory_Data[[#This Row],[Reorder Level]],"Low Stock","In Stock")</f>
        <v>In Stock</v>
      </c>
      <c r="P2512" t="str">
        <f>TEXT(Inventory_Data[[#This Row],[Date]],"MMM")</f>
        <v>Jun</v>
      </c>
      <c r="Q2512" t="str">
        <f>TEXT(Inventory_Data[[#This Row],[Date]],"YYYY")</f>
        <v>2026</v>
      </c>
    </row>
    <row r="2513" spans="1:17" x14ac:dyDescent="0.3">
      <c r="A2513" s="1">
        <v>46192</v>
      </c>
      <c r="B2513" t="s">
        <v>36</v>
      </c>
      <c r="C2513" t="s">
        <v>22</v>
      </c>
      <c r="D2513" t="s">
        <v>14</v>
      </c>
      <c r="E2513" t="s">
        <v>18</v>
      </c>
      <c r="F2513">
        <v>440</v>
      </c>
      <c r="G2513">
        <v>210</v>
      </c>
      <c r="H2513">
        <v>117</v>
      </c>
      <c r="I2513">
        <v>533</v>
      </c>
      <c r="J2513">
        <v>117</v>
      </c>
      <c r="K2513">
        <v>833</v>
      </c>
      <c r="L2513">
        <v>443989</v>
      </c>
      <c r="M2513">
        <f>Inventory_Data[[#This Row],[Opening Stock]]+Inventory_Data[[#This Row],[Purchase Qty]]-Inventory_Data[[#This Row],[Sales Qty]]-Inventory_Data[[#This Row],[Closing Stock]]</f>
        <v>0</v>
      </c>
      <c r="N2513">
        <f>Inventory_Data[[#This Row],[Purchase Qty]]*Inventory_Data[[#This Row],[Unit Cost]]</f>
        <v>174930</v>
      </c>
      <c r="O2513" t="str">
        <f>IF(Inventory_Data[[#This Row],[Closing Stock]]&lt;=Inventory_Data[[#This Row],[Reorder Level]],"Low Stock","In Stock")</f>
        <v>In Stock</v>
      </c>
      <c r="P2513" t="str">
        <f>TEXT(Inventory_Data[[#This Row],[Date]],"MMM")</f>
        <v>Jun</v>
      </c>
      <c r="Q2513" t="str">
        <f>TEXT(Inventory_Data[[#This Row],[Date]],"YYYY")</f>
        <v>2026</v>
      </c>
    </row>
    <row r="2514" spans="1:17" x14ac:dyDescent="0.3">
      <c r="A2514" s="1">
        <v>46192</v>
      </c>
      <c r="B2514" t="s">
        <v>21</v>
      </c>
      <c r="C2514" t="s">
        <v>22</v>
      </c>
      <c r="D2514" t="s">
        <v>14</v>
      </c>
      <c r="E2514" t="s">
        <v>34</v>
      </c>
      <c r="F2514">
        <v>427</v>
      </c>
      <c r="G2514">
        <v>117</v>
      </c>
      <c r="H2514">
        <v>121</v>
      </c>
      <c r="I2514">
        <v>423</v>
      </c>
      <c r="J2514">
        <v>121</v>
      </c>
      <c r="K2514">
        <v>130</v>
      </c>
      <c r="L2514">
        <v>54990</v>
      </c>
      <c r="M2514">
        <f>Inventory_Data[[#This Row],[Opening Stock]]+Inventory_Data[[#This Row],[Purchase Qty]]-Inventory_Data[[#This Row],[Sales Qty]]-Inventory_Data[[#This Row],[Closing Stock]]</f>
        <v>0</v>
      </c>
      <c r="N2514">
        <f>Inventory_Data[[#This Row],[Purchase Qty]]*Inventory_Data[[#This Row],[Unit Cost]]</f>
        <v>15210</v>
      </c>
      <c r="O2514" t="str">
        <f>IF(Inventory_Data[[#This Row],[Closing Stock]]&lt;=Inventory_Data[[#This Row],[Reorder Level]],"Low Stock","In Stock")</f>
        <v>In Stock</v>
      </c>
      <c r="P2514" t="str">
        <f>TEXT(Inventory_Data[[#This Row],[Date]],"MMM")</f>
        <v>Jun</v>
      </c>
      <c r="Q2514" t="str">
        <f>TEXT(Inventory_Data[[#This Row],[Date]],"YYYY")</f>
        <v>2026</v>
      </c>
    </row>
    <row r="2515" spans="1:17" x14ac:dyDescent="0.3">
      <c r="A2515" s="1">
        <v>46192</v>
      </c>
      <c r="B2515" t="s">
        <v>12</v>
      </c>
      <c r="C2515" t="s">
        <v>13</v>
      </c>
      <c r="D2515" t="s">
        <v>26</v>
      </c>
      <c r="E2515" t="s">
        <v>34</v>
      </c>
      <c r="F2515">
        <v>113</v>
      </c>
      <c r="G2515">
        <v>41</v>
      </c>
      <c r="H2515">
        <v>45</v>
      </c>
      <c r="I2515">
        <v>109</v>
      </c>
      <c r="J2515">
        <v>15</v>
      </c>
      <c r="K2515">
        <v>14836</v>
      </c>
      <c r="L2515">
        <v>1617124</v>
      </c>
      <c r="M2515">
        <f>Inventory_Data[[#This Row],[Opening Stock]]+Inventory_Data[[#This Row],[Purchase Qty]]-Inventory_Data[[#This Row],[Sales Qty]]-Inventory_Data[[#This Row],[Closing Stock]]</f>
        <v>0</v>
      </c>
      <c r="N2515">
        <f>Inventory_Data[[#This Row],[Purchase Qty]]*Inventory_Data[[#This Row],[Unit Cost]]</f>
        <v>608276</v>
      </c>
      <c r="O2515" t="str">
        <f>IF(Inventory_Data[[#This Row],[Closing Stock]]&lt;=Inventory_Data[[#This Row],[Reorder Level]],"Low Stock","In Stock")</f>
        <v>In Stock</v>
      </c>
      <c r="P2515" t="str">
        <f>TEXT(Inventory_Data[[#This Row],[Date]],"MMM")</f>
        <v>Jun</v>
      </c>
      <c r="Q2515" t="str">
        <f>TEXT(Inventory_Data[[#This Row],[Date]],"YYYY")</f>
        <v>2026</v>
      </c>
    </row>
    <row r="2516" spans="1:17" x14ac:dyDescent="0.3">
      <c r="A2516" s="1">
        <v>46193</v>
      </c>
      <c r="B2516" t="s">
        <v>25</v>
      </c>
      <c r="C2516" t="s">
        <v>17</v>
      </c>
      <c r="D2516" t="s">
        <v>26</v>
      </c>
      <c r="E2516" t="s">
        <v>24</v>
      </c>
      <c r="F2516">
        <v>96</v>
      </c>
      <c r="G2516">
        <v>36</v>
      </c>
      <c r="H2516">
        <v>24</v>
      </c>
      <c r="I2516">
        <v>108</v>
      </c>
      <c r="J2516">
        <v>18</v>
      </c>
      <c r="K2516">
        <v>15805</v>
      </c>
      <c r="L2516">
        <v>1706940</v>
      </c>
      <c r="M2516">
        <f>Inventory_Data[[#This Row],[Opening Stock]]+Inventory_Data[[#This Row],[Purchase Qty]]-Inventory_Data[[#This Row],[Sales Qty]]-Inventory_Data[[#This Row],[Closing Stock]]</f>
        <v>0</v>
      </c>
      <c r="N2516">
        <f>Inventory_Data[[#This Row],[Purchase Qty]]*Inventory_Data[[#This Row],[Unit Cost]]</f>
        <v>568980</v>
      </c>
      <c r="O2516" t="str">
        <f>IF(Inventory_Data[[#This Row],[Closing Stock]]&lt;=Inventory_Data[[#This Row],[Reorder Level]],"Low Stock","In Stock")</f>
        <v>In Stock</v>
      </c>
      <c r="P2516" t="str">
        <f>TEXT(Inventory_Data[[#This Row],[Date]],"MMM")</f>
        <v>Jun</v>
      </c>
      <c r="Q2516" t="str">
        <f>TEXT(Inventory_Data[[#This Row],[Date]],"YYYY")</f>
        <v>2026</v>
      </c>
    </row>
    <row r="2517" spans="1:17" x14ac:dyDescent="0.3">
      <c r="A2517" s="1">
        <v>46193</v>
      </c>
      <c r="B2517" t="s">
        <v>19</v>
      </c>
      <c r="C2517" t="s">
        <v>13</v>
      </c>
      <c r="D2517" t="s">
        <v>23</v>
      </c>
      <c r="E2517" t="s">
        <v>29</v>
      </c>
      <c r="F2517">
        <v>48</v>
      </c>
      <c r="G2517">
        <v>34</v>
      </c>
      <c r="H2517">
        <v>20</v>
      </c>
      <c r="I2517">
        <v>62</v>
      </c>
      <c r="J2517">
        <v>33</v>
      </c>
      <c r="K2517">
        <v>14926</v>
      </c>
      <c r="L2517">
        <v>925412</v>
      </c>
      <c r="M2517">
        <f>Inventory_Data[[#This Row],[Opening Stock]]+Inventory_Data[[#This Row],[Purchase Qty]]-Inventory_Data[[#This Row],[Sales Qty]]-Inventory_Data[[#This Row],[Closing Stock]]</f>
        <v>0</v>
      </c>
      <c r="N2517">
        <f>Inventory_Data[[#This Row],[Purchase Qty]]*Inventory_Data[[#This Row],[Unit Cost]]</f>
        <v>507484</v>
      </c>
      <c r="O2517" t="str">
        <f>IF(Inventory_Data[[#This Row],[Closing Stock]]&lt;=Inventory_Data[[#This Row],[Reorder Level]],"Low Stock","In Stock")</f>
        <v>In Stock</v>
      </c>
      <c r="P2517" t="str">
        <f>TEXT(Inventory_Data[[#This Row],[Date]],"MMM")</f>
        <v>Jun</v>
      </c>
      <c r="Q2517" t="str">
        <f>TEXT(Inventory_Data[[#This Row],[Date]],"YYYY")</f>
        <v>2026</v>
      </c>
    </row>
    <row r="2518" spans="1:17" x14ac:dyDescent="0.3">
      <c r="A2518" s="1">
        <v>46193</v>
      </c>
      <c r="B2518" t="s">
        <v>12</v>
      </c>
      <c r="C2518" t="s">
        <v>13</v>
      </c>
      <c r="D2518" t="s">
        <v>37</v>
      </c>
      <c r="E2518" t="s">
        <v>29</v>
      </c>
      <c r="F2518">
        <v>16</v>
      </c>
      <c r="G2518">
        <v>37</v>
      </c>
      <c r="H2518">
        <v>23</v>
      </c>
      <c r="I2518">
        <v>30</v>
      </c>
      <c r="J2518">
        <v>24</v>
      </c>
      <c r="K2518">
        <v>2864</v>
      </c>
      <c r="L2518">
        <v>85920</v>
      </c>
      <c r="M2518">
        <f>Inventory_Data[[#This Row],[Opening Stock]]+Inventory_Data[[#This Row],[Purchase Qty]]-Inventory_Data[[#This Row],[Sales Qty]]-Inventory_Data[[#This Row],[Closing Stock]]</f>
        <v>0</v>
      </c>
      <c r="N2518">
        <f>Inventory_Data[[#This Row],[Purchase Qty]]*Inventory_Data[[#This Row],[Unit Cost]]</f>
        <v>105968</v>
      </c>
      <c r="O2518" t="str">
        <f>IF(Inventory_Data[[#This Row],[Closing Stock]]&lt;=Inventory_Data[[#This Row],[Reorder Level]],"Low Stock","In Stock")</f>
        <v>In Stock</v>
      </c>
      <c r="P2518" t="str">
        <f>TEXT(Inventory_Data[[#This Row],[Date]],"MMM")</f>
        <v>Jun</v>
      </c>
      <c r="Q2518" t="str">
        <f>TEXT(Inventory_Data[[#This Row],[Date]],"YYYY")</f>
        <v>2026</v>
      </c>
    </row>
    <row r="2519" spans="1:17" x14ac:dyDescent="0.3">
      <c r="A2519" s="1">
        <v>46193</v>
      </c>
      <c r="B2519" t="s">
        <v>35</v>
      </c>
      <c r="C2519" t="s">
        <v>22</v>
      </c>
      <c r="D2519" t="s">
        <v>14</v>
      </c>
      <c r="E2519" t="s">
        <v>34</v>
      </c>
      <c r="F2519">
        <v>189</v>
      </c>
      <c r="G2519">
        <v>107</v>
      </c>
      <c r="H2519">
        <v>223</v>
      </c>
      <c r="I2519">
        <v>73</v>
      </c>
      <c r="J2519">
        <v>78</v>
      </c>
      <c r="K2519">
        <v>547</v>
      </c>
      <c r="L2519">
        <v>39931</v>
      </c>
      <c r="M2519">
        <f>Inventory_Data[[#This Row],[Opening Stock]]+Inventory_Data[[#This Row],[Purchase Qty]]-Inventory_Data[[#This Row],[Sales Qty]]-Inventory_Data[[#This Row],[Closing Stock]]</f>
        <v>0</v>
      </c>
      <c r="N2519">
        <f>Inventory_Data[[#This Row],[Purchase Qty]]*Inventory_Data[[#This Row],[Unit Cost]]</f>
        <v>58529</v>
      </c>
      <c r="O2519" t="str">
        <f>IF(Inventory_Data[[#This Row],[Closing Stock]]&lt;=Inventory_Data[[#This Row],[Reorder Level]],"Low Stock","In Stock")</f>
        <v>Low Stock</v>
      </c>
      <c r="P2519" t="str">
        <f>TEXT(Inventory_Data[[#This Row],[Date]],"MMM")</f>
        <v>Jun</v>
      </c>
      <c r="Q2519" t="str">
        <f>TEXT(Inventory_Data[[#This Row],[Date]],"YYYY")</f>
        <v>2026</v>
      </c>
    </row>
    <row r="2520" spans="1:17" x14ac:dyDescent="0.3">
      <c r="A2520" s="1">
        <v>46193</v>
      </c>
      <c r="B2520" t="s">
        <v>12</v>
      </c>
      <c r="C2520" t="s">
        <v>13</v>
      </c>
      <c r="D2520" t="s">
        <v>14</v>
      </c>
      <c r="E2520" t="s">
        <v>18</v>
      </c>
      <c r="F2520">
        <v>100</v>
      </c>
      <c r="G2520">
        <v>21</v>
      </c>
      <c r="H2520">
        <v>16</v>
      </c>
      <c r="I2520">
        <v>105</v>
      </c>
      <c r="J2520">
        <v>33</v>
      </c>
      <c r="K2520">
        <v>7581</v>
      </c>
      <c r="L2520">
        <v>796005</v>
      </c>
      <c r="M2520">
        <f>Inventory_Data[[#This Row],[Opening Stock]]+Inventory_Data[[#This Row],[Purchase Qty]]-Inventory_Data[[#This Row],[Sales Qty]]-Inventory_Data[[#This Row],[Closing Stock]]</f>
        <v>0</v>
      </c>
      <c r="N2520">
        <f>Inventory_Data[[#This Row],[Purchase Qty]]*Inventory_Data[[#This Row],[Unit Cost]]</f>
        <v>159201</v>
      </c>
      <c r="O2520" t="str">
        <f>IF(Inventory_Data[[#This Row],[Closing Stock]]&lt;=Inventory_Data[[#This Row],[Reorder Level]],"Low Stock","In Stock")</f>
        <v>In Stock</v>
      </c>
      <c r="P2520" t="str">
        <f>TEXT(Inventory_Data[[#This Row],[Date]],"MMM")</f>
        <v>Jun</v>
      </c>
      <c r="Q2520" t="str">
        <f>TEXT(Inventory_Data[[#This Row],[Date]],"YYYY")</f>
        <v>2026</v>
      </c>
    </row>
    <row r="2521" spans="1:17" x14ac:dyDescent="0.3">
      <c r="A2521" s="1">
        <v>46193</v>
      </c>
      <c r="B2521" t="s">
        <v>12</v>
      </c>
      <c r="C2521" t="s">
        <v>13</v>
      </c>
      <c r="D2521" t="s">
        <v>23</v>
      </c>
      <c r="E2521" t="s">
        <v>29</v>
      </c>
      <c r="F2521">
        <v>43</v>
      </c>
      <c r="G2521">
        <v>47</v>
      </c>
      <c r="H2521">
        <v>27</v>
      </c>
      <c r="I2521">
        <v>63</v>
      </c>
      <c r="J2521">
        <v>20</v>
      </c>
      <c r="K2521">
        <v>2101</v>
      </c>
      <c r="L2521">
        <v>132363</v>
      </c>
      <c r="M2521">
        <f>Inventory_Data[[#This Row],[Opening Stock]]+Inventory_Data[[#This Row],[Purchase Qty]]-Inventory_Data[[#This Row],[Sales Qty]]-Inventory_Data[[#This Row],[Closing Stock]]</f>
        <v>0</v>
      </c>
      <c r="N2521">
        <f>Inventory_Data[[#This Row],[Purchase Qty]]*Inventory_Data[[#This Row],[Unit Cost]]</f>
        <v>98747</v>
      </c>
      <c r="O2521" t="str">
        <f>IF(Inventory_Data[[#This Row],[Closing Stock]]&lt;=Inventory_Data[[#This Row],[Reorder Level]],"Low Stock","In Stock")</f>
        <v>In Stock</v>
      </c>
      <c r="P2521" t="str">
        <f>TEXT(Inventory_Data[[#This Row],[Date]],"MMM")</f>
        <v>Jun</v>
      </c>
      <c r="Q2521" t="str">
        <f>TEXT(Inventory_Data[[#This Row],[Date]],"YYYY")</f>
        <v>2026</v>
      </c>
    </row>
    <row r="2522" spans="1:17" x14ac:dyDescent="0.3">
      <c r="A2522" s="1">
        <v>46193</v>
      </c>
      <c r="B2522" t="s">
        <v>38</v>
      </c>
      <c r="C2522" t="s">
        <v>17</v>
      </c>
      <c r="D2522" t="s">
        <v>26</v>
      </c>
      <c r="E2522" t="s">
        <v>24</v>
      </c>
      <c r="F2522">
        <v>19</v>
      </c>
      <c r="G2522">
        <v>41</v>
      </c>
      <c r="H2522">
        <v>14</v>
      </c>
      <c r="I2522">
        <v>46</v>
      </c>
      <c r="J2522">
        <v>21</v>
      </c>
      <c r="K2522">
        <v>5208</v>
      </c>
      <c r="L2522">
        <v>239568</v>
      </c>
      <c r="M2522">
        <f>Inventory_Data[[#This Row],[Opening Stock]]+Inventory_Data[[#This Row],[Purchase Qty]]-Inventory_Data[[#This Row],[Sales Qty]]-Inventory_Data[[#This Row],[Closing Stock]]</f>
        <v>0</v>
      </c>
      <c r="N2522">
        <f>Inventory_Data[[#This Row],[Purchase Qty]]*Inventory_Data[[#This Row],[Unit Cost]]</f>
        <v>213528</v>
      </c>
      <c r="O2522" t="str">
        <f>IF(Inventory_Data[[#This Row],[Closing Stock]]&lt;=Inventory_Data[[#This Row],[Reorder Level]],"Low Stock","In Stock")</f>
        <v>In Stock</v>
      </c>
      <c r="P2522" t="str">
        <f>TEXT(Inventory_Data[[#This Row],[Date]],"MMM")</f>
        <v>Jun</v>
      </c>
      <c r="Q2522" t="str">
        <f>TEXT(Inventory_Data[[#This Row],[Date]],"YYYY")</f>
        <v>2026</v>
      </c>
    </row>
    <row r="2523" spans="1:17" x14ac:dyDescent="0.3">
      <c r="A2523" s="1">
        <v>46194</v>
      </c>
      <c r="B2523" t="s">
        <v>41</v>
      </c>
      <c r="C2523" t="s">
        <v>22</v>
      </c>
      <c r="D2523" t="s">
        <v>26</v>
      </c>
      <c r="E2523" t="s">
        <v>20</v>
      </c>
      <c r="F2523">
        <v>277</v>
      </c>
      <c r="G2523">
        <v>118</v>
      </c>
      <c r="H2523">
        <v>101</v>
      </c>
      <c r="I2523">
        <v>294</v>
      </c>
      <c r="J2523">
        <v>91</v>
      </c>
      <c r="K2523">
        <v>530</v>
      </c>
      <c r="L2523">
        <v>155820</v>
      </c>
      <c r="M2523">
        <f>Inventory_Data[[#This Row],[Opening Stock]]+Inventory_Data[[#This Row],[Purchase Qty]]-Inventory_Data[[#This Row],[Sales Qty]]-Inventory_Data[[#This Row],[Closing Stock]]</f>
        <v>0</v>
      </c>
      <c r="N2523">
        <f>Inventory_Data[[#This Row],[Purchase Qty]]*Inventory_Data[[#This Row],[Unit Cost]]</f>
        <v>62540</v>
      </c>
      <c r="O2523" t="str">
        <f>IF(Inventory_Data[[#This Row],[Closing Stock]]&lt;=Inventory_Data[[#This Row],[Reorder Level]],"Low Stock","In Stock")</f>
        <v>In Stock</v>
      </c>
      <c r="P2523" t="str">
        <f>TEXT(Inventory_Data[[#This Row],[Date]],"MMM")</f>
        <v>Jun</v>
      </c>
      <c r="Q2523" t="str">
        <f>TEXT(Inventory_Data[[#This Row],[Date]],"YYYY")</f>
        <v>2026</v>
      </c>
    </row>
    <row r="2524" spans="1:17" x14ac:dyDescent="0.3">
      <c r="A2524" s="1">
        <v>46194</v>
      </c>
      <c r="B2524" t="s">
        <v>35</v>
      </c>
      <c r="C2524" t="s">
        <v>22</v>
      </c>
      <c r="D2524" t="s">
        <v>14</v>
      </c>
      <c r="E2524" t="s">
        <v>34</v>
      </c>
      <c r="F2524">
        <v>283</v>
      </c>
      <c r="G2524">
        <v>88</v>
      </c>
      <c r="H2524">
        <v>260</v>
      </c>
      <c r="I2524">
        <v>111</v>
      </c>
      <c r="J2524">
        <v>55</v>
      </c>
      <c r="K2524">
        <v>105</v>
      </c>
      <c r="L2524">
        <v>11655</v>
      </c>
      <c r="M2524">
        <f>Inventory_Data[[#This Row],[Opening Stock]]+Inventory_Data[[#This Row],[Purchase Qty]]-Inventory_Data[[#This Row],[Sales Qty]]-Inventory_Data[[#This Row],[Closing Stock]]</f>
        <v>0</v>
      </c>
      <c r="N2524">
        <f>Inventory_Data[[#This Row],[Purchase Qty]]*Inventory_Data[[#This Row],[Unit Cost]]</f>
        <v>9240</v>
      </c>
      <c r="O2524" t="str">
        <f>IF(Inventory_Data[[#This Row],[Closing Stock]]&lt;=Inventory_Data[[#This Row],[Reorder Level]],"Low Stock","In Stock")</f>
        <v>In Stock</v>
      </c>
      <c r="P2524" t="str">
        <f>TEXT(Inventory_Data[[#This Row],[Date]],"MMM")</f>
        <v>Jun</v>
      </c>
      <c r="Q2524" t="str">
        <f>TEXT(Inventory_Data[[#This Row],[Date]],"YYYY")</f>
        <v>2026</v>
      </c>
    </row>
    <row r="2525" spans="1:17" x14ac:dyDescent="0.3">
      <c r="A2525" s="1">
        <v>46194</v>
      </c>
      <c r="B2525" t="s">
        <v>33</v>
      </c>
      <c r="C2525" t="s">
        <v>13</v>
      </c>
      <c r="D2525" t="s">
        <v>23</v>
      </c>
      <c r="E2525" t="s">
        <v>18</v>
      </c>
      <c r="F2525">
        <v>50</v>
      </c>
      <c r="G2525">
        <v>28</v>
      </c>
      <c r="H2525">
        <v>33</v>
      </c>
      <c r="I2525">
        <v>45</v>
      </c>
      <c r="J2525">
        <v>28</v>
      </c>
      <c r="K2525">
        <v>8802</v>
      </c>
      <c r="L2525">
        <v>396090</v>
      </c>
      <c r="M2525">
        <f>Inventory_Data[[#This Row],[Opening Stock]]+Inventory_Data[[#This Row],[Purchase Qty]]-Inventory_Data[[#This Row],[Sales Qty]]-Inventory_Data[[#This Row],[Closing Stock]]</f>
        <v>0</v>
      </c>
      <c r="N2525">
        <f>Inventory_Data[[#This Row],[Purchase Qty]]*Inventory_Data[[#This Row],[Unit Cost]]</f>
        <v>246456</v>
      </c>
      <c r="O2525" t="str">
        <f>IF(Inventory_Data[[#This Row],[Closing Stock]]&lt;=Inventory_Data[[#This Row],[Reorder Level]],"Low Stock","In Stock")</f>
        <v>In Stock</v>
      </c>
      <c r="P2525" t="str">
        <f>TEXT(Inventory_Data[[#This Row],[Date]],"MMM")</f>
        <v>Jun</v>
      </c>
      <c r="Q2525" t="str">
        <f>TEXT(Inventory_Data[[#This Row],[Date]],"YYYY")</f>
        <v>2026</v>
      </c>
    </row>
    <row r="2526" spans="1:17" x14ac:dyDescent="0.3">
      <c r="A2526" s="1">
        <v>46194</v>
      </c>
      <c r="B2526" t="s">
        <v>32</v>
      </c>
      <c r="C2526" t="s">
        <v>28</v>
      </c>
      <c r="D2526" t="s">
        <v>37</v>
      </c>
      <c r="E2526" t="s">
        <v>34</v>
      </c>
      <c r="F2526">
        <v>27</v>
      </c>
      <c r="G2526">
        <v>104</v>
      </c>
      <c r="H2526">
        <v>25</v>
      </c>
      <c r="I2526">
        <v>106</v>
      </c>
      <c r="J2526">
        <v>41</v>
      </c>
      <c r="K2526">
        <v>16673</v>
      </c>
      <c r="L2526">
        <v>1767338</v>
      </c>
      <c r="M2526">
        <f>Inventory_Data[[#This Row],[Opening Stock]]+Inventory_Data[[#This Row],[Purchase Qty]]-Inventory_Data[[#This Row],[Sales Qty]]-Inventory_Data[[#This Row],[Closing Stock]]</f>
        <v>0</v>
      </c>
      <c r="N2526">
        <f>Inventory_Data[[#This Row],[Purchase Qty]]*Inventory_Data[[#This Row],[Unit Cost]]</f>
        <v>1733992</v>
      </c>
      <c r="O2526" t="str">
        <f>IF(Inventory_Data[[#This Row],[Closing Stock]]&lt;=Inventory_Data[[#This Row],[Reorder Level]],"Low Stock","In Stock")</f>
        <v>In Stock</v>
      </c>
      <c r="P2526" t="str">
        <f>TEXT(Inventory_Data[[#This Row],[Date]],"MMM")</f>
        <v>Jun</v>
      </c>
      <c r="Q2526" t="str">
        <f>TEXT(Inventory_Data[[#This Row],[Date]],"YYYY")</f>
        <v>2026</v>
      </c>
    </row>
    <row r="2527" spans="1:17" x14ac:dyDescent="0.3">
      <c r="A2527" s="1">
        <v>46194</v>
      </c>
      <c r="B2527" t="s">
        <v>16</v>
      </c>
      <c r="C2527" t="s">
        <v>17</v>
      </c>
      <c r="D2527" t="s">
        <v>14</v>
      </c>
      <c r="E2527" t="s">
        <v>34</v>
      </c>
      <c r="F2527">
        <v>88</v>
      </c>
      <c r="G2527">
        <v>8</v>
      </c>
      <c r="H2527">
        <v>13</v>
      </c>
      <c r="I2527">
        <v>83</v>
      </c>
      <c r="J2527">
        <v>22</v>
      </c>
      <c r="K2527">
        <v>9467</v>
      </c>
      <c r="L2527">
        <v>785761</v>
      </c>
      <c r="M2527">
        <f>Inventory_Data[[#This Row],[Opening Stock]]+Inventory_Data[[#This Row],[Purchase Qty]]-Inventory_Data[[#This Row],[Sales Qty]]-Inventory_Data[[#This Row],[Closing Stock]]</f>
        <v>0</v>
      </c>
      <c r="N2527">
        <f>Inventory_Data[[#This Row],[Purchase Qty]]*Inventory_Data[[#This Row],[Unit Cost]]</f>
        <v>75736</v>
      </c>
      <c r="O2527" t="str">
        <f>IF(Inventory_Data[[#This Row],[Closing Stock]]&lt;=Inventory_Data[[#This Row],[Reorder Level]],"Low Stock","In Stock")</f>
        <v>In Stock</v>
      </c>
      <c r="P2527" t="str">
        <f>TEXT(Inventory_Data[[#This Row],[Date]],"MMM")</f>
        <v>Jun</v>
      </c>
      <c r="Q2527" t="str">
        <f>TEXT(Inventory_Data[[#This Row],[Date]],"YYYY")</f>
        <v>2026</v>
      </c>
    </row>
    <row r="2528" spans="1:17" x14ac:dyDescent="0.3">
      <c r="A2528" s="1">
        <v>46194</v>
      </c>
      <c r="B2528" t="s">
        <v>31</v>
      </c>
      <c r="C2528" t="s">
        <v>22</v>
      </c>
      <c r="D2528" t="s">
        <v>26</v>
      </c>
      <c r="E2528" t="s">
        <v>34</v>
      </c>
      <c r="F2528">
        <v>417</v>
      </c>
      <c r="G2528">
        <v>284</v>
      </c>
      <c r="H2528">
        <v>277</v>
      </c>
      <c r="I2528">
        <v>424</v>
      </c>
      <c r="J2528">
        <v>58</v>
      </c>
      <c r="K2528">
        <v>145</v>
      </c>
      <c r="L2528">
        <v>61480</v>
      </c>
      <c r="M2528">
        <f>Inventory_Data[[#This Row],[Opening Stock]]+Inventory_Data[[#This Row],[Purchase Qty]]-Inventory_Data[[#This Row],[Sales Qty]]-Inventory_Data[[#This Row],[Closing Stock]]</f>
        <v>0</v>
      </c>
      <c r="N2528">
        <f>Inventory_Data[[#This Row],[Purchase Qty]]*Inventory_Data[[#This Row],[Unit Cost]]</f>
        <v>41180</v>
      </c>
      <c r="O2528" t="str">
        <f>IF(Inventory_Data[[#This Row],[Closing Stock]]&lt;=Inventory_Data[[#This Row],[Reorder Level]],"Low Stock","In Stock")</f>
        <v>In Stock</v>
      </c>
      <c r="P2528" t="str">
        <f>TEXT(Inventory_Data[[#This Row],[Date]],"MMM")</f>
        <v>Jun</v>
      </c>
      <c r="Q2528" t="str">
        <f>TEXT(Inventory_Data[[#This Row],[Date]],"YYYY")</f>
        <v>2026</v>
      </c>
    </row>
    <row r="2529" spans="1:17" x14ac:dyDescent="0.3">
      <c r="A2529" s="1">
        <v>46195</v>
      </c>
      <c r="B2529" t="s">
        <v>32</v>
      </c>
      <c r="C2529" t="s">
        <v>28</v>
      </c>
      <c r="D2529" t="s">
        <v>37</v>
      </c>
      <c r="E2529" t="s">
        <v>24</v>
      </c>
      <c r="F2529">
        <v>173</v>
      </c>
      <c r="G2529">
        <v>35</v>
      </c>
      <c r="H2529">
        <v>50</v>
      </c>
      <c r="I2529">
        <v>158</v>
      </c>
      <c r="J2529">
        <v>37</v>
      </c>
      <c r="K2529">
        <v>13179</v>
      </c>
      <c r="L2529">
        <v>2082282</v>
      </c>
      <c r="M2529">
        <f>Inventory_Data[[#This Row],[Opening Stock]]+Inventory_Data[[#This Row],[Purchase Qty]]-Inventory_Data[[#This Row],[Sales Qty]]-Inventory_Data[[#This Row],[Closing Stock]]</f>
        <v>0</v>
      </c>
      <c r="N2529">
        <f>Inventory_Data[[#This Row],[Purchase Qty]]*Inventory_Data[[#This Row],[Unit Cost]]</f>
        <v>461265</v>
      </c>
      <c r="O2529" t="str">
        <f>IF(Inventory_Data[[#This Row],[Closing Stock]]&lt;=Inventory_Data[[#This Row],[Reorder Level]],"Low Stock","In Stock")</f>
        <v>In Stock</v>
      </c>
      <c r="P2529" t="str">
        <f>TEXT(Inventory_Data[[#This Row],[Date]],"MMM")</f>
        <v>Jun</v>
      </c>
      <c r="Q2529" t="str">
        <f>TEXT(Inventory_Data[[#This Row],[Date]],"YYYY")</f>
        <v>2026</v>
      </c>
    </row>
    <row r="2530" spans="1:17" x14ac:dyDescent="0.3">
      <c r="A2530" s="1">
        <v>46195</v>
      </c>
      <c r="B2530" t="s">
        <v>31</v>
      </c>
      <c r="C2530" t="s">
        <v>22</v>
      </c>
      <c r="D2530" t="s">
        <v>26</v>
      </c>
      <c r="E2530" t="s">
        <v>29</v>
      </c>
      <c r="F2530">
        <v>472</v>
      </c>
      <c r="G2530">
        <v>169</v>
      </c>
      <c r="H2530">
        <v>108</v>
      </c>
      <c r="I2530">
        <v>533</v>
      </c>
      <c r="J2530">
        <v>120</v>
      </c>
      <c r="K2530">
        <v>963</v>
      </c>
      <c r="L2530">
        <v>513279</v>
      </c>
      <c r="M2530">
        <f>Inventory_Data[[#This Row],[Opening Stock]]+Inventory_Data[[#This Row],[Purchase Qty]]-Inventory_Data[[#This Row],[Sales Qty]]-Inventory_Data[[#This Row],[Closing Stock]]</f>
        <v>0</v>
      </c>
      <c r="N2530">
        <f>Inventory_Data[[#This Row],[Purchase Qty]]*Inventory_Data[[#This Row],[Unit Cost]]</f>
        <v>162747</v>
      </c>
      <c r="O2530" t="str">
        <f>IF(Inventory_Data[[#This Row],[Closing Stock]]&lt;=Inventory_Data[[#This Row],[Reorder Level]],"Low Stock","In Stock")</f>
        <v>In Stock</v>
      </c>
      <c r="P2530" t="str">
        <f>TEXT(Inventory_Data[[#This Row],[Date]],"MMM")</f>
        <v>Jun</v>
      </c>
      <c r="Q2530" t="str">
        <f>TEXT(Inventory_Data[[#This Row],[Date]],"YYYY")</f>
        <v>2026</v>
      </c>
    </row>
    <row r="2531" spans="1:17" x14ac:dyDescent="0.3">
      <c r="A2531" s="1">
        <v>46195</v>
      </c>
      <c r="B2531" t="s">
        <v>16</v>
      </c>
      <c r="C2531" t="s">
        <v>17</v>
      </c>
      <c r="D2531" t="s">
        <v>37</v>
      </c>
      <c r="E2531" t="s">
        <v>18</v>
      </c>
      <c r="F2531">
        <v>37</v>
      </c>
      <c r="G2531">
        <v>8</v>
      </c>
      <c r="H2531">
        <v>32</v>
      </c>
      <c r="I2531">
        <v>13</v>
      </c>
      <c r="J2531">
        <v>28</v>
      </c>
      <c r="K2531">
        <v>1579</v>
      </c>
      <c r="L2531">
        <v>20527</v>
      </c>
      <c r="M2531">
        <f>Inventory_Data[[#This Row],[Opening Stock]]+Inventory_Data[[#This Row],[Purchase Qty]]-Inventory_Data[[#This Row],[Sales Qty]]-Inventory_Data[[#This Row],[Closing Stock]]</f>
        <v>0</v>
      </c>
      <c r="N2531">
        <f>Inventory_Data[[#This Row],[Purchase Qty]]*Inventory_Data[[#This Row],[Unit Cost]]</f>
        <v>12632</v>
      </c>
      <c r="O2531" t="str">
        <f>IF(Inventory_Data[[#This Row],[Closing Stock]]&lt;=Inventory_Data[[#This Row],[Reorder Level]],"Low Stock","In Stock")</f>
        <v>Low Stock</v>
      </c>
      <c r="P2531" t="str">
        <f>TEXT(Inventory_Data[[#This Row],[Date]],"MMM")</f>
        <v>Jun</v>
      </c>
      <c r="Q2531" t="str">
        <f>TEXT(Inventory_Data[[#This Row],[Date]],"YYYY")</f>
        <v>2026</v>
      </c>
    </row>
    <row r="2532" spans="1:17" x14ac:dyDescent="0.3">
      <c r="A2532" s="1">
        <v>46195</v>
      </c>
      <c r="B2532" t="s">
        <v>31</v>
      </c>
      <c r="C2532" t="s">
        <v>22</v>
      </c>
      <c r="D2532" t="s">
        <v>23</v>
      </c>
      <c r="E2532" t="s">
        <v>24</v>
      </c>
      <c r="F2532">
        <v>432</v>
      </c>
      <c r="G2532">
        <v>144</v>
      </c>
      <c r="H2532">
        <v>84</v>
      </c>
      <c r="I2532">
        <v>492</v>
      </c>
      <c r="J2532">
        <v>100</v>
      </c>
      <c r="K2532">
        <v>97</v>
      </c>
      <c r="L2532">
        <v>47724</v>
      </c>
      <c r="M2532">
        <f>Inventory_Data[[#This Row],[Opening Stock]]+Inventory_Data[[#This Row],[Purchase Qty]]-Inventory_Data[[#This Row],[Sales Qty]]-Inventory_Data[[#This Row],[Closing Stock]]</f>
        <v>0</v>
      </c>
      <c r="N2532">
        <f>Inventory_Data[[#This Row],[Purchase Qty]]*Inventory_Data[[#This Row],[Unit Cost]]</f>
        <v>13968</v>
      </c>
      <c r="O2532" t="str">
        <f>IF(Inventory_Data[[#This Row],[Closing Stock]]&lt;=Inventory_Data[[#This Row],[Reorder Level]],"Low Stock","In Stock")</f>
        <v>In Stock</v>
      </c>
      <c r="P2532" t="str">
        <f>TEXT(Inventory_Data[[#This Row],[Date]],"MMM")</f>
        <v>Jun</v>
      </c>
      <c r="Q2532" t="str">
        <f>TEXT(Inventory_Data[[#This Row],[Date]],"YYYY")</f>
        <v>2026</v>
      </c>
    </row>
    <row r="2533" spans="1:17" x14ac:dyDescent="0.3">
      <c r="A2533" s="1">
        <v>46196</v>
      </c>
      <c r="B2533" t="s">
        <v>40</v>
      </c>
      <c r="C2533" t="s">
        <v>28</v>
      </c>
      <c r="D2533" t="s">
        <v>26</v>
      </c>
      <c r="E2533" t="s">
        <v>24</v>
      </c>
      <c r="F2533">
        <v>108</v>
      </c>
      <c r="G2533">
        <v>27</v>
      </c>
      <c r="H2533">
        <v>58</v>
      </c>
      <c r="I2533">
        <v>77</v>
      </c>
      <c r="J2533">
        <v>58</v>
      </c>
      <c r="K2533">
        <v>46112</v>
      </c>
      <c r="L2533">
        <v>3550624</v>
      </c>
      <c r="M2533">
        <f>Inventory_Data[[#This Row],[Opening Stock]]+Inventory_Data[[#This Row],[Purchase Qty]]-Inventory_Data[[#This Row],[Sales Qty]]-Inventory_Data[[#This Row],[Closing Stock]]</f>
        <v>0</v>
      </c>
      <c r="N2533">
        <f>Inventory_Data[[#This Row],[Purchase Qty]]*Inventory_Data[[#This Row],[Unit Cost]]</f>
        <v>1245024</v>
      </c>
      <c r="O2533" t="str">
        <f>IF(Inventory_Data[[#This Row],[Closing Stock]]&lt;=Inventory_Data[[#This Row],[Reorder Level]],"Low Stock","In Stock")</f>
        <v>In Stock</v>
      </c>
      <c r="P2533" t="str">
        <f>TEXT(Inventory_Data[[#This Row],[Date]],"MMM")</f>
        <v>Jun</v>
      </c>
      <c r="Q2533" t="str">
        <f>TEXT(Inventory_Data[[#This Row],[Date]],"YYYY")</f>
        <v>2026</v>
      </c>
    </row>
    <row r="2534" spans="1:17" x14ac:dyDescent="0.3">
      <c r="A2534" s="1">
        <v>46196</v>
      </c>
      <c r="B2534" t="s">
        <v>19</v>
      </c>
      <c r="C2534" t="s">
        <v>13</v>
      </c>
      <c r="D2534" t="s">
        <v>26</v>
      </c>
      <c r="E2534" t="s">
        <v>15</v>
      </c>
      <c r="F2534">
        <v>39</v>
      </c>
      <c r="G2534">
        <v>56</v>
      </c>
      <c r="H2534">
        <v>6</v>
      </c>
      <c r="I2534">
        <v>89</v>
      </c>
      <c r="J2534">
        <v>29</v>
      </c>
      <c r="K2534">
        <v>11234</v>
      </c>
      <c r="L2534">
        <v>999826</v>
      </c>
      <c r="M2534">
        <f>Inventory_Data[[#This Row],[Opening Stock]]+Inventory_Data[[#This Row],[Purchase Qty]]-Inventory_Data[[#This Row],[Sales Qty]]-Inventory_Data[[#This Row],[Closing Stock]]</f>
        <v>0</v>
      </c>
      <c r="N2534">
        <f>Inventory_Data[[#This Row],[Purchase Qty]]*Inventory_Data[[#This Row],[Unit Cost]]</f>
        <v>629104</v>
      </c>
      <c r="O2534" t="str">
        <f>IF(Inventory_Data[[#This Row],[Closing Stock]]&lt;=Inventory_Data[[#This Row],[Reorder Level]],"Low Stock","In Stock")</f>
        <v>In Stock</v>
      </c>
      <c r="P2534" t="str">
        <f>TEXT(Inventory_Data[[#This Row],[Date]],"MMM")</f>
        <v>Jun</v>
      </c>
      <c r="Q2534" t="str">
        <f>TEXT(Inventory_Data[[#This Row],[Date]],"YYYY")</f>
        <v>2026</v>
      </c>
    </row>
    <row r="2535" spans="1:17" x14ac:dyDescent="0.3">
      <c r="A2535" s="1">
        <v>46196</v>
      </c>
      <c r="B2535" t="s">
        <v>43</v>
      </c>
      <c r="C2535" t="s">
        <v>22</v>
      </c>
      <c r="D2535" t="s">
        <v>23</v>
      </c>
      <c r="E2535" t="s">
        <v>34</v>
      </c>
      <c r="F2535">
        <v>103</v>
      </c>
      <c r="G2535">
        <v>84</v>
      </c>
      <c r="H2535">
        <v>187</v>
      </c>
      <c r="I2535">
        <v>0</v>
      </c>
      <c r="J2535">
        <v>108</v>
      </c>
      <c r="K2535">
        <v>296</v>
      </c>
      <c r="L2535">
        <v>0</v>
      </c>
      <c r="M2535">
        <f>Inventory_Data[[#This Row],[Opening Stock]]+Inventory_Data[[#This Row],[Purchase Qty]]-Inventory_Data[[#This Row],[Sales Qty]]-Inventory_Data[[#This Row],[Closing Stock]]</f>
        <v>0</v>
      </c>
      <c r="N2535">
        <f>Inventory_Data[[#This Row],[Purchase Qty]]*Inventory_Data[[#This Row],[Unit Cost]]</f>
        <v>24864</v>
      </c>
      <c r="O2535" t="str">
        <f>IF(Inventory_Data[[#This Row],[Closing Stock]]&lt;=Inventory_Data[[#This Row],[Reorder Level]],"Low Stock","In Stock")</f>
        <v>Low Stock</v>
      </c>
      <c r="P2535" t="str">
        <f>TEXT(Inventory_Data[[#This Row],[Date]],"MMM")</f>
        <v>Jun</v>
      </c>
      <c r="Q2535" t="str">
        <f>TEXT(Inventory_Data[[#This Row],[Date]],"YYYY")</f>
        <v>2026</v>
      </c>
    </row>
    <row r="2536" spans="1:17" x14ac:dyDescent="0.3">
      <c r="A2536" s="1">
        <v>46196</v>
      </c>
      <c r="B2536" t="s">
        <v>43</v>
      </c>
      <c r="C2536" t="s">
        <v>22</v>
      </c>
      <c r="D2536" t="s">
        <v>14</v>
      </c>
      <c r="E2536" t="s">
        <v>20</v>
      </c>
      <c r="F2536">
        <v>497</v>
      </c>
      <c r="G2536">
        <v>224</v>
      </c>
      <c r="H2536">
        <v>223</v>
      </c>
      <c r="I2536">
        <v>498</v>
      </c>
      <c r="J2536">
        <v>98</v>
      </c>
      <c r="K2536">
        <v>873</v>
      </c>
      <c r="L2536">
        <v>434754</v>
      </c>
      <c r="M2536">
        <f>Inventory_Data[[#This Row],[Opening Stock]]+Inventory_Data[[#This Row],[Purchase Qty]]-Inventory_Data[[#This Row],[Sales Qty]]-Inventory_Data[[#This Row],[Closing Stock]]</f>
        <v>0</v>
      </c>
      <c r="N2536">
        <f>Inventory_Data[[#This Row],[Purchase Qty]]*Inventory_Data[[#This Row],[Unit Cost]]</f>
        <v>195552</v>
      </c>
      <c r="O2536" t="str">
        <f>IF(Inventory_Data[[#This Row],[Closing Stock]]&lt;=Inventory_Data[[#This Row],[Reorder Level]],"Low Stock","In Stock")</f>
        <v>In Stock</v>
      </c>
      <c r="P2536" t="str">
        <f>TEXT(Inventory_Data[[#This Row],[Date]],"MMM")</f>
        <v>Jun</v>
      </c>
      <c r="Q2536" t="str">
        <f>TEXT(Inventory_Data[[#This Row],[Date]],"YYYY")</f>
        <v>2026</v>
      </c>
    </row>
    <row r="2537" spans="1:17" x14ac:dyDescent="0.3">
      <c r="A2537" s="1">
        <v>46197</v>
      </c>
      <c r="B2537" t="s">
        <v>27</v>
      </c>
      <c r="C2537" t="s">
        <v>28</v>
      </c>
      <c r="D2537" t="s">
        <v>23</v>
      </c>
      <c r="E2537" t="s">
        <v>20</v>
      </c>
      <c r="F2537">
        <v>173</v>
      </c>
      <c r="G2537">
        <v>32</v>
      </c>
      <c r="H2537">
        <v>83</v>
      </c>
      <c r="I2537">
        <v>122</v>
      </c>
      <c r="J2537">
        <v>46</v>
      </c>
      <c r="K2537">
        <v>26307</v>
      </c>
      <c r="L2537">
        <v>3209454</v>
      </c>
      <c r="M2537">
        <f>Inventory_Data[[#This Row],[Opening Stock]]+Inventory_Data[[#This Row],[Purchase Qty]]-Inventory_Data[[#This Row],[Sales Qty]]-Inventory_Data[[#This Row],[Closing Stock]]</f>
        <v>0</v>
      </c>
      <c r="N2537">
        <f>Inventory_Data[[#This Row],[Purchase Qty]]*Inventory_Data[[#This Row],[Unit Cost]]</f>
        <v>841824</v>
      </c>
      <c r="O2537" t="str">
        <f>IF(Inventory_Data[[#This Row],[Closing Stock]]&lt;=Inventory_Data[[#This Row],[Reorder Level]],"Low Stock","In Stock")</f>
        <v>In Stock</v>
      </c>
      <c r="P2537" t="str">
        <f>TEXT(Inventory_Data[[#This Row],[Date]],"MMM")</f>
        <v>Jun</v>
      </c>
      <c r="Q2537" t="str">
        <f>TEXT(Inventory_Data[[#This Row],[Date]],"YYYY")</f>
        <v>2026</v>
      </c>
    </row>
    <row r="2538" spans="1:17" x14ac:dyDescent="0.3">
      <c r="A2538" s="1">
        <v>46197</v>
      </c>
      <c r="B2538" t="s">
        <v>31</v>
      </c>
      <c r="C2538" t="s">
        <v>22</v>
      </c>
      <c r="D2538" t="s">
        <v>26</v>
      </c>
      <c r="E2538" t="s">
        <v>15</v>
      </c>
      <c r="F2538">
        <v>136</v>
      </c>
      <c r="G2538">
        <v>186</v>
      </c>
      <c r="H2538">
        <v>274</v>
      </c>
      <c r="I2538">
        <v>48</v>
      </c>
      <c r="J2538">
        <v>112</v>
      </c>
      <c r="K2538">
        <v>1065</v>
      </c>
      <c r="L2538">
        <v>51120</v>
      </c>
      <c r="M2538">
        <f>Inventory_Data[[#This Row],[Opening Stock]]+Inventory_Data[[#This Row],[Purchase Qty]]-Inventory_Data[[#This Row],[Sales Qty]]-Inventory_Data[[#This Row],[Closing Stock]]</f>
        <v>0</v>
      </c>
      <c r="N2538">
        <f>Inventory_Data[[#This Row],[Purchase Qty]]*Inventory_Data[[#This Row],[Unit Cost]]</f>
        <v>198090</v>
      </c>
      <c r="O2538" t="str">
        <f>IF(Inventory_Data[[#This Row],[Closing Stock]]&lt;=Inventory_Data[[#This Row],[Reorder Level]],"Low Stock","In Stock")</f>
        <v>Low Stock</v>
      </c>
      <c r="P2538" t="str">
        <f>TEXT(Inventory_Data[[#This Row],[Date]],"MMM")</f>
        <v>Jun</v>
      </c>
      <c r="Q2538" t="str">
        <f>TEXT(Inventory_Data[[#This Row],[Date]],"YYYY")</f>
        <v>2026</v>
      </c>
    </row>
    <row r="2539" spans="1:17" x14ac:dyDescent="0.3">
      <c r="A2539" s="1">
        <v>46197</v>
      </c>
      <c r="B2539" t="s">
        <v>39</v>
      </c>
      <c r="C2539" t="s">
        <v>28</v>
      </c>
      <c r="D2539" t="s">
        <v>23</v>
      </c>
      <c r="E2539" t="s">
        <v>29</v>
      </c>
      <c r="F2539">
        <v>175</v>
      </c>
      <c r="G2539">
        <v>118</v>
      </c>
      <c r="H2539">
        <v>70</v>
      </c>
      <c r="I2539">
        <v>223</v>
      </c>
      <c r="J2539">
        <v>24</v>
      </c>
      <c r="K2539">
        <v>31836</v>
      </c>
      <c r="L2539">
        <v>7099428</v>
      </c>
      <c r="M2539">
        <f>Inventory_Data[[#This Row],[Opening Stock]]+Inventory_Data[[#This Row],[Purchase Qty]]-Inventory_Data[[#This Row],[Sales Qty]]-Inventory_Data[[#This Row],[Closing Stock]]</f>
        <v>0</v>
      </c>
      <c r="N2539">
        <f>Inventory_Data[[#This Row],[Purchase Qty]]*Inventory_Data[[#This Row],[Unit Cost]]</f>
        <v>3756648</v>
      </c>
      <c r="O2539" t="str">
        <f>IF(Inventory_Data[[#This Row],[Closing Stock]]&lt;=Inventory_Data[[#This Row],[Reorder Level]],"Low Stock","In Stock")</f>
        <v>In Stock</v>
      </c>
      <c r="P2539" t="str">
        <f>TEXT(Inventory_Data[[#This Row],[Date]],"MMM")</f>
        <v>Jun</v>
      </c>
      <c r="Q2539" t="str">
        <f>TEXT(Inventory_Data[[#This Row],[Date]],"YYYY")</f>
        <v>2026</v>
      </c>
    </row>
    <row r="2540" spans="1:17" x14ac:dyDescent="0.3">
      <c r="A2540" s="1">
        <v>46197</v>
      </c>
      <c r="B2540" t="s">
        <v>33</v>
      </c>
      <c r="C2540" t="s">
        <v>13</v>
      </c>
      <c r="D2540" t="s">
        <v>26</v>
      </c>
      <c r="E2540" t="s">
        <v>24</v>
      </c>
      <c r="F2540">
        <v>40</v>
      </c>
      <c r="G2540">
        <v>14</v>
      </c>
      <c r="H2540">
        <v>49</v>
      </c>
      <c r="I2540">
        <v>5</v>
      </c>
      <c r="J2540">
        <v>17</v>
      </c>
      <c r="K2540">
        <v>17405</v>
      </c>
      <c r="L2540">
        <v>87025</v>
      </c>
      <c r="M2540">
        <f>Inventory_Data[[#This Row],[Opening Stock]]+Inventory_Data[[#This Row],[Purchase Qty]]-Inventory_Data[[#This Row],[Sales Qty]]-Inventory_Data[[#This Row],[Closing Stock]]</f>
        <v>0</v>
      </c>
      <c r="N2540">
        <f>Inventory_Data[[#This Row],[Purchase Qty]]*Inventory_Data[[#This Row],[Unit Cost]]</f>
        <v>243670</v>
      </c>
      <c r="O2540" t="str">
        <f>IF(Inventory_Data[[#This Row],[Closing Stock]]&lt;=Inventory_Data[[#This Row],[Reorder Level]],"Low Stock","In Stock")</f>
        <v>Low Stock</v>
      </c>
      <c r="P2540" t="str">
        <f>TEXT(Inventory_Data[[#This Row],[Date]],"MMM")</f>
        <v>Jun</v>
      </c>
      <c r="Q2540" t="str">
        <f>TEXT(Inventory_Data[[#This Row],[Date]],"YYYY")</f>
        <v>2026</v>
      </c>
    </row>
    <row r="2541" spans="1:17" x14ac:dyDescent="0.3">
      <c r="A2541" s="1">
        <v>46197</v>
      </c>
      <c r="B2541" t="s">
        <v>27</v>
      </c>
      <c r="C2541" t="s">
        <v>28</v>
      </c>
      <c r="D2541" t="s">
        <v>26</v>
      </c>
      <c r="E2541" t="s">
        <v>18</v>
      </c>
      <c r="F2541">
        <v>96</v>
      </c>
      <c r="G2541">
        <v>12</v>
      </c>
      <c r="H2541">
        <v>41</v>
      </c>
      <c r="I2541">
        <v>67</v>
      </c>
      <c r="J2541">
        <v>38</v>
      </c>
      <c r="K2541">
        <v>24271</v>
      </c>
      <c r="L2541">
        <v>1626157</v>
      </c>
      <c r="M2541">
        <f>Inventory_Data[[#This Row],[Opening Stock]]+Inventory_Data[[#This Row],[Purchase Qty]]-Inventory_Data[[#This Row],[Sales Qty]]-Inventory_Data[[#This Row],[Closing Stock]]</f>
        <v>0</v>
      </c>
      <c r="N2541">
        <f>Inventory_Data[[#This Row],[Purchase Qty]]*Inventory_Data[[#This Row],[Unit Cost]]</f>
        <v>291252</v>
      </c>
      <c r="O2541" t="str">
        <f>IF(Inventory_Data[[#This Row],[Closing Stock]]&lt;=Inventory_Data[[#This Row],[Reorder Level]],"Low Stock","In Stock")</f>
        <v>In Stock</v>
      </c>
      <c r="P2541" t="str">
        <f>TEXT(Inventory_Data[[#This Row],[Date]],"MMM")</f>
        <v>Jun</v>
      </c>
      <c r="Q2541" t="str">
        <f>TEXT(Inventory_Data[[#This Row],[Date]],"YYYY")</f>
        <v>2026</v>
      </c>
    </row>
    <row r="2542" spans="1:17" x14ac:dyDescent="0.3">
      <c r="A2542" s="1">
        <v>46197</v>
      </c>
      <c r="B2542" t="s">
        <v>12</v>
      </c>
      <c r="C2542" t="s">
        <v>13</v>
      </c>
      <c r="D2542" t="s">
        <v>14</v>
      </c>
      <c r="E2542" t="s">
        <v>34</v>
      </c>
      <c r="F2542">
        <v>53</v>
      </c>
      <c r="G2542">
        <v>37</v>
      </c>
      <c r="H2542">
        <v>42</v>
      </c>
      <c r="I2542">
        <v>48</v>
      </c>
      <c r="J2542">
        <v>34</v>
      </c>
      <c r="K2542">
        <v>15758</v>
      </c>
      <c r="L2542">
        <v>756384</v>
      </c>
      <c r="M2542">
        <f>Inventory_Data[[#This Row],[Opening Stock]]+Inventory_Data[[#This Row],[Purchase Qty]]-Inventory_Data[[#This Row],[Sales Qty]]-Inventory_Data[[#This Row],[Closing Stock]]</f>
        <v>0</v>
      </c>
      <c r="N2542">
        <f>Inventory_Data[[#This Row],[Purchase Qty]]*Inventory_Data[[#This Row],[Unit Cost]]</f>
        <v>583046</v>
      </c>
      <c r="O2542" t="str">
        <f>IF(Inventory_Data[[#This Row],[Closing Stock]]&lt;=Inventory_Data[[#This Row],[Reorder Level]],"Low Stock","In Stock")</f>
        <v>In Stock</v>
      </c>
      <c r="P2542" t="str">
        <f>TEXT(Inventory_Data[[#This Row],[Date]],"MMM")</f>
        <v>Jun</v>
      </c>
      <c r="Q2542" t="str">
        <f>TEXT(Inventory_Data[[#This Row],[Date]],"YYYY")</f>
        <v>2026</v>
      </c>
    </row>
    <row r="2543" spans="1:17" x14ac:dyDescent="0.3">
      <c r="A2543" s="1">
        <v>46198</v>
      </c>
      <c r="B2543" t="s">
        <v>19</v>
      </c>
      <c r="C2543" t="s">
        <v>13</v>
      </c>
      <c r="D2543" t="s">
        <v>14</v>
      </c>
      <c r="E2543" t="s">
        <v>18</v>
      </c>
      <c r="F2543">
        <v>62</v>
      </c>
      <c r="G2543">
        <v>17</v>
      </c>
      <c r="H2543">
        <v>5</v>
      </c>
      <c r="I2543">
        <v>74</v>
      </c>
      <c r="J2543">
        <v>20</v>
      </c>
      <c r="K2543">
        <v>715</v>
      </c>
      <c r="L2543">
        <v>52910</v>
      </c>
      <c r="M2543">
        <f>Inventory_Data[[#This Row],[Opening Stock]]+Inventory_Data[[#This Row],[Purchase Qty]]-Inventory_Data[[#This Row],[Sales Qty]]-Inventory_Data[[#This Row],[Closing Stock]]</f>
        <v>0</v>
      </c>
      <c r="N2543">
        <f>Inventory_Data[[#This Row],[Purchase Qty]]*Inventory_Data[[#This Row],[Unit Cost]]</f>
        <v>12155</v>
      </c>
      <c r="O2543" t="str">
        <f>IF(Inventory_Data[[#This Row],[Closing Stock]]&lt;=Inventory_Data[[#This Row],[Reorder Level]],"Low Stock","In Stock")</f>
        <v>In Stock</v>
      </c>
      <c r="P2543" t="str">
        <f>TEXT(Inventory_Data[[#This Row],[Date]],"MMM")</f>
        <v>Jun</v>
      </c>
      <c r="Q2543" t="str">
        <f>TEXT(Inventory_Data[[#This Row],[Date]],"YYYY")</f>
        <v>2026</v>
      </c>
    </row>
    <row r="2544" spans="1:17" x14ac:dyDescent="0.3">
      <c r="A2544" s="1">
        <v>46198</v>
      </c>
      <c r="B2544" t="s">
        <v>45</v>
      </c>
      <c r="C2544" t="s">
        <v>13</v>
      </c>
      <c r="D2544" t="s">
        <v>37</v>
      </c>
      <c r="E2544" t="s">
        <v>24</v>
      </c>
      <c r="F2544">
        <v>51</v>
      </c>
      <c r="G2544">
        <v>62</v>
      </c>
      <c r="H2544">
        <v>56</v>
      </c>
      <c r="I2544">
        <v>57</v>
      </c>
      <c r="J2544">
        <v>25</v>
      </c>
      <c r="K2544">
        <v>10839</v>
      </c>
      <c r="L2544">
        <v>617823</v>
      </c>
      <c r="M2544">
        <f>Inventory_Data[[#This Row],[Opening Stock]]+Inventory_Data[[#This Row],[Purchase Qty]]-Inventory_Data[[#This Row],[Sales Qty]]-Inventory_Data[[#This Row],[Closing Stock]]</f>
        <v>0</v>
      </c>
      <c r="N2544">
        <f>Inventory_Data[[#This Row],[Purchase Qty]]*Inventory_Data[[#This Row],[Unit Cost]]</f>
        <v>672018</v>
      </c>
      <c r="O2544" t="str">
        <f>IF(Inventory_Data[[#This Row],[Closing Stock]]&lt;=Inventory_Data[[#This Row],[Reorder Level]],"Low Stock","In Stock")</f>
        <v>In Stock</v>
      </c>
      <c r="P2544" t="str">
        <f>TEXT(Inventory_Data[[#This Row],[Date]],"MMM")</f>
        <v>Jun</v>
      </c>
      <c r="Q2544" t="str">
        <f>TEXT(Inventory_Data[[#This Row],[Date]],"YYYY")</f>
        <v>2026</v>
      </c>
    </row>
    <row r="2545" spans="1:17" x14ac:dyDescent="0.3">
      <c r="A2545" s="1">
        <v>46198</v>
      </c>
      <c r="B2545" t="s">
        <v>38</v>
      </c>
      <c r="C2545" t="s">
        <v>17</v>
      </c>
      <c r="D2545" t="s">
        <v>14</v>
      </c>
      <c r="E2545" t="s">
        <v>24</v>
      </c>
      <c r="F2545">
        <v>45</v>
      </c>
      <c r="G2545">
        <v>17</v>
      </c>
      <c r="H2545">
        <v>33</v>
      </c>
      <c r="I2545">
        <v>29</v>
      </c>
      <c r="J2545">
        <v>28</v>
      </c>
      <c r="K2545">
        <v>17698</v>
      </c>
      <c r="L2545">
        <v>513242</v>
      </c>
      <c r="M2545">
        <f>Inventory_Data[[#This Row],[Opening Stock]]+Inventory_Data[[#This Row],[Purchase Qty]]-Inventory_Data[[#This Row],[Sales Qty]]-Inventory_Data[[#This Row],[Closing Stock]]</f>
        <v>0</v>
      </c>
      <c r="N2545">
        <f>Inventory_Data[[#This Row],[Purchase Qty]]*Inventory_Data[[#This Row],[Unit Cost]]</f>
        <v>300866</v>
      </c>
      <c r="O2545" t="str">
        <f>IF(Inventory_Data[[#This Row],[Closing Stock]]&lt;=Inventory_Data[[#This Row],[Reorder Level]],"Low Stock","In Stock")</f>
        <v>In Stock</v>
      </c>
      <c r="P2545" t="str">
        <f>TEXT(Inventory_Data[[#This Row],[Date]],"MMM")</f>
        <v>Jun</v>
      </c>
      <c r="Q2545" t="str">
        <f>TEXT(Inventory_Data[[#This Row],[Date]],"YYYY")</f>
        <v>2026</v>
      </c>
    </row>
    <row r="2546" spans="1:17" x14ac:dyDescent="0.3">
      <c r="A2546" s="1">
        <v>46198</v>
      </c>
      <c r="B2546" t="s">
        <v>30</v>
      </c>
      <c r="C2546" t="s">
        <v>28</v>
      </c>
      <c r="D2546" t="s">
        <v>26</v>
      </c>
      <c r="E2546" t="s">
        <v>24</v>
      </c>
      <c r="F2546">
        <v>79</v>
      </c>
      <c r="G2546">
        <v>76</v>
      </c>
      <c r="H2546">
        <v>69</v>
      </c>
      <c r="I2546">
        <v>86</v>
      </c>
      <c r="J2546">
        <v>38</v>
      </c>
      <c r="K2546">
        <v>27155</v>
      </c>
      <c r="L2546">
        <v>2335330</v>
      </c>
      <c r="M2546">
        <f>Inventory_Data[[#This Row],[Opening Stock]]+Inventory_Data[[#This Row],[Purchase Qty]]-Inventory_Data[[#This Row],[Sales Qty]]-Inventory_Data[[#This Row],[Closing Stock]]</f>
        <v>0</v>
      </c>
      <c r="N2546">
        <f>Inventory_Data[[#This Row],[Purchase Qty]]*Inventory_Data[[#This Row],[Unit Cost]]</f>
        <v>2063780</v>
      </c>
      <c r="O2546" t="str">
        <f>IF(Inventory_Data[[#This Row],[Closing Stock]]&lt;=Inventory_Data[[#This Row],[Reorder Level]],"Low Stock","In Stock")</f>
        <v>In Stock</v>
      </c>
      <c r="P2546" t="str">
        <f>TEXT(Inventory_Data[[#This Row],[Date]],"MMM")</f>
        <v>Jun</v>
      </c>
      <c r="Q2546" t="str">
        <f>TEXT(Inventory_Data[[#This Row],[Date]],"YYYY")</f>
        <v>2026</v>
      </c>
    </row>
    <row r="2547" spans="1:17" x14ac:dyDescent="0.3">
      <c r="A2547" s="1">
        <v>46199</v>
      </c>
      <c r="B2547" t="s">
        <v>38</v>
      </c>
      <c r="C2547" t="s">
        <v>17</v>
      </c>
      <c r="D2547" t="s">
        <v>37</v>
      </c>
      <c r="E2547" t="s">
        <v>34</v>
      </c>
      <c r="F2547">
        <v>27</v>
      </c>
      <c r="G2547">
        <v>46</v>
      </c>
      <c r="H2547">
        <v>19</v>
      </c>
      <c r="I2547">
        <v>54</v>
      </c>
      <c r="J2547">
        <v>16</v>
      </c>
      <c r="K2547">
        <v>14629</v>
      </c>
      <c r="L2547">
        <v>789966</v>
      </c>
      <c r="M2547">
        <f>Inventory_Data[[#This Row],[Opening Stock]]+Inventory_Data[[#This Row],[Purchase Qty]]-Inventory_Data[[#This Row],[Sales Qty]]-Inventory_Data[[#This Row],[Closing Stock]]</f>
        <v>0</v>
      </c>
      <c r="N2547">
        <f>Inventory_Data[[#This Row],[Purchase Qty]]*Inventory_Data[[#This Row],[Unit Cost]]</f>
        <v>672934</v>
      </c>
      <c r="O2547" t="str">
        <f>IF(Inventory_Data[[#This Row],[Closing Stock]]&lt;=Inventory_Data[[#This Row],[Reorder Level]],"Low Stock","In Stock")</f>
        <v>In Stock</v>
      </c>
      <c r="P2547" t="str">
        <f>TEXT(Inventory_Data[[#This Row],[Date]],"MMM")</f>
        <v>Jun</v>
      </c>
      <c r="Q2547" t="str">
        <f>TEXT(Inventory_Data[[#This Row],[Date]],"YYYY")</f>
        <v>2026</v>
      </c>
    </row>
    <row r="2548" spans="1:17" x14ac:dyDescent="0.3">
      <c r="A2548" s="1">
        <v>46199</v>
      </c>
      <c r="B2548" t="s">
        <v>35</v>
      </c>
      <c r="C2548" t="s">
        <v>22</v>
      </c>
      <c r="D2548" t="s">
        <v>23</v>
      </c>
      <c r="E2548" t="s">
        <v>24</v>
      </c>
      <c r="F2548">
        <v>408</v>
      </c>
      <c r="G2548">
        <v>249</v>
      </c>
      <c r="H2548">
        <v>156</v>
      </c>
      <c r="I2548">
        <v>501</v>
      </c>
      <c r="J2548">
        <v>85</v>
      </c>
      <c r="K2548">
        <v>278</v>
      </c>
      <c r="L2548">
        <v>139278</v>
      </c>
      <c r="M2548">
        <f>Inventory_Data[[#This Row],[Opening Stock]]+Inventory_Data[[#This Row],[Purchase Qty]]-Inventory_Data[[#This Row],[Sales Qty]]-Inventory_Data[[#This Row],[Closing Stock]]</f>
        <v>0</v>
      </c>
      <c r="N2548">
        <f>Inventory_Data[[#This Row],[Purchase Qty]]*Inventory_Data[[#This Row],[Unit Cost]]</f>
        <v>69222</v>
      </c>
      <c r="O2548" t="str">
        <f>IF(Inventory_Data[[#This Row],[Closing Stock]]&lt;=Inventory_Data[[#This Row],[Reorder Level]],"Low Stock","In Stock")</f>
        <v>In Stock</v>
      </c>
      <c r="P2548" t="str">
        <f>TEXT(Inventory_Data[[#This Row],[Date]],"MMM")</f>
        <v>Jun</v>
      </c>
      <c r="Q2548" t="str">
        <f>TEXT(Inventory_Data[[#This Row],[Date]],"YYYY")</f>
        <v>2026</v>
      </c>
    </row>
    <row r="2549" spans="1:17" x14ac:dyDescent="0.3">
      <c r="A2549" s="1">
        <v>46199</v>
      </c>
      <c r="B2549" t="s">
        <v>41</v>
      </c>
      <c r="C2549" t="s">
        <v>22</v>
      </c>
      <c r="D2549" t="s">
        <v>14</v>
      </c>
      <c r="E2549" t="s">
        <v>34</v>
      </c>
      <c r="F2549">
        <v>315</v>
      </c>
      <c r="G2549">
        <v>256</v>
      </c>
      <c r="H2549">
        <v>63</v>
      </c>
      <c r="I2549">
        <v>508</v>
      </c>
      <c r="J2549">
        <v>53</v>
      </c>
      <c r="K2549">
        <v>997</v>
      </c>
      <c r="L2549">
        <v>506476</v>
      </c>
      <c r="M2549">
        <f>Inventory_Data[[#This Row],[Opening Stock]]+Inventory_Data[[#This Row],[Purchase Qty]]-Inventory_Data[[#This Row],[Sales Qty]]-Inventory_Data[[#This Row],[Closing Stock]]</f>
        <v>0</v>
      </c>
      <c r="N2549">
        <f>Inventory_Data[[#This Row],[Purchase Qty]]*Inventory_Data[[#This Row],[Unit Cost]]</f>
        <v>255232</v>
      </c>
      <c r="O2549" t="str">
        <f>IF(Inventory_Data[[#This Row],[Closing Stock]]&lt;=Inventory_Data[[#This Row],[Reorder Level]],"Low Stock","In Stock")</f>
        <v>In Stock</v>
      </c>
      <c r="P2549" t="str">
        <f>TEXT(Inventory_Data[[#This Row],[Date]],"MMM")</f>
        <v>Jun</v>
      </c>
      <c r="Q2549" t="str">
        <f>TEXT(Inventory_Data[[#This Row],[Date]],"YYYY")</f>
        <v>2026</v>
      </c>
    </row>
    <row r="2550" spans="1:17" x14ac:dyDescent="0.3">
      <c r="A2550" s="1">
        <v>46199</v>
      </c>
      <c r="B2550" t="s">
        <v>44</v>
      </c>
      <c r="C2550" t="s">
        <v>28</v>
      </c>
      <c r="D2550" t="s">
        <v>26</v>
      </c>
      <c r="E2550" t="s">
        <v>24</v>
      </c>
      <c r="F2550">
        <v>133</v>
      </c>
      <c r="G2550">
        <v>85</v>
      </c>
      <c r="H2550">
        <v>33</v>
      </c>
      <c r="I2550">
        <v>185</v>
      </c>
      <c r="J2550">
        <v>45</v>
      </c>
      <c r="K2550">
        <v>32162</v>
      </c>
      <c r="L2550">
        <v>5949970</v>
      </c>
      <c r="M2550">
        <f>Inventory_Data[[#This Row],[Opening Stock]]+Inventory_Data[[#This Row],[Purchase Qty]]-Inventory_Data[[#This Row],[Sales Qty]]-Inventory_Data[[#This Row],[Closing Stock]]</f>
        <v>0</v>
      </c>
      <c r="N2550">
        <f>Inventory_Data[[#This Row],[Purchase Qty]]*Inventory_Data[[#This Row],[Unit Cost]]</f>
        <v>2733770</v>
      </c>
      <c r="O2550" t="str">
        <f>IF(Inventory_Data[[#This Row],[Closing Stock]]&lt;=Inventory_Data[[#This Row],[Reorder Level]],"Low Stock","In Stock")</f>
        <v>In Stock</v>
      </c>
      <c r="P2550" t="str">
        <f>TEXT(Inventory_Data[[#This Row],[Date]],"MMM")</f>
        <v>Jun</v>
      </c>
      <c r="Q2550" t="str">
        <f>TEXT(Inventory_Data[[#This Row],[Date]],"YYYY")</f>
        <v>2026</v>
      </c>
    </row>
    <row r="2551" spans="1:17" x14ac:dyDescent="0.3">
      <c r="A2551" s="1">
        <v>46199</v>
      </c>
      <c r="B2551" t="s">
        <v>25</v>
      </c>
      <c r="C2551" t="s">
        <v>17</v>
      </c>
      <c r="D2551" t="s">
        <v>37</v>
      </c>
      <c r="E2551" t="s">
        <v>29</v>
      </c>
      <c r="F2551">
        <v>25</v>
      </c>
      <c r="G2551">
        <v>19</v>
      </c>
      <c r="H2551">
        <v>6</v>
      </c>
      <c r="I2551">
        <v>38</v>
      </c>
      <c r="J2551">
        <v>19</v>
      </c>
      <c r="K2551">
        <v>19442</v>
      </c>
      <c r="L2551">
        <v>738796</v>
      </c>
      <c r="M2551">
        <f>Inventory_Data[[#This Row],[Opening Stock]]+Inventory_Data[[#This Row],[Purchase Qty]]-Inventory_Data[[#This Row],[Sales Qty]]-Inventory_Data[[#This Row],[Closing Stock]]</f>
        <v>0</v>
      </c>
      <c r="N2551">
        <f>Inventory_Data[[#This Row],[Purchase Qty]]*Inventory_Data[[#This Row],[Unit Cost]]</f>
        <v>369398</v>
      </c>
      <c r="O2551" t="str">
        <f>IF(Inventory_Data[[#This Row],[Closing Stock]]&lt;=Inventory_Data[[#This Row],[Reorder Level]],"Low Stock","In Stock")</f>
        <v>In Stock</v>
      </c>
      <c r="P2551" t="str">
        <f>TEXT(Inventory_Data[[#This Row],[Date]],"MMM")</f>
        <v>Jun</v>
      </c>
      <c r="Q2551" t="str">
        <f>TEXT(Inventory_Data[[#This Row],[Date]],"YYYY")</f>
        <v>2026</v>
      </c>
    </row>
    <row r="2552" spans="1:17" x14ac:dyDescent="0.3">
      <c r="A2552" s="1">
        <v>46199</v>
      </c>
      <c r="B2552" t="s">
        <v>33</v>
      </c>
      <c r="C2552" t="s">
        <v>13</v>
      </c>
      <c r="D2552" t="s">
        <v>23</v>
      </c>
      <c r="E2552" t="s">
        <v>29</v>
      </c>
      <c r="F2552">
        <v>69</v>
      </c>
      <c r="G2552">
        <v>72</v>
      </c>
      <c r="H2552">
        <v>7</v>
      </c>
      <c r="I2552">
        <v>134</v>
      </c>
      <c r="J2552">
        <v>30</v>
      </c>
      <c r="K2552">
        <v>7173</v>
      </c>
      <c r="L2552">
        <v>961182</v>
      </c>
      <c r="M2552">
        <f>Inventory_Data[[#This Row],[Opening Stock]]+Inventory_Data[[#This Row],[Purchase Qty]]-Inventory_Data[[#This Row],[Sales Qty]]-Inventory_Data[[#This Row],[Closing Stock]]</f>
        <v>0</v>
      </c>
      <c r="N2552">
        <f>Inventory_Data[[#This Row],[Purchase Qty]]*Inventory_Data[[#This Row],[Unit Cost]]</f>
        <v>516456</v>
      </c>
      <c r="O2552" t="str">
        <f>IF(Inventory_Data[[#This Row],[Closing Stock]]&lt;=Inventory_Data[[#This Row],[Reorder Level]],"Low Stock","In Stock")</f>
        <v>In Stock</v>
      </c>
      <c r="P2552" t="str">
        <f>TEXT(Inventory_Data[[#This Row],[Date]],"MMM")</f>
        <v>Jun</v>
      </c>
      <c r="Q2552" t="str">
        <f>TEXT(Inventory_Data[[#This Row],[Date]],"YYYY")</f>
        <v>2026</v>
      </c>
    </row>
    <row r="2553" spans="1:17" x14ac:dyDescent="0.3">
      <c r="A2553" s="1">
        <v>46199</v>
      </c>
      <c r="B2553" t="s">
        <v>33</v>
      </c>
      <c r="C2553" t="s">
        <v>13</v>
      </c>
      <c r="D2553" t="s">
        <v>37</v>
      </c>
      <c r="E2553" t="s">
        <v>20</v>
      </c>
      <c r="F2553">
        <v>22</v>
      </c>
      <c r="G2553">
        <v>61</v>
      </c>
      <c r="H2553">
        <v>49</v>
      </c>
      <c r="I2553">
        <v>34</v>
      </c>
      <c r="J2553">
        <v>34</v>
      </c>
      <c r="K2553">
        <v>7982</v>
      </c>
      <c r="L2553">
        <v>271388</v>
      </c>
      <c r="M2553">
        <f>Inventory_Data[[#This Row],[Opening Stock]]+Inventory_Data[[#This Row],[Purchase Qty]]-Inventory_Data[[#This Row],[Sales Qty]]-Inventory_Data[[#This Row],[Closing Stock]]</f>
        <v>0</v>
      </c>
      <c r="N2553">
        <f>Inventory_Data[[#This Row],[Purchase Qty]]*Inventory_Data[[#This Row],[Unit Cost]]</f>
        <v>486902</v>
      </c>
      <c r="O2553" t="str">
        <f>IF(Inventory_Data[[#This Row],[Closing Stock]]&lt;=Inventory_Data[[#This Row],[Reorder Level]],"Low Stock","In Stock")</f>
        <v>Low Stock</v>
      </c>
      <c r="P2553" t="str">
        <f>TEXT(Inventory_Data[[#This Row],[Date]],"MMM")</f>
        <v>Jun</v>
      </c>
      <c r="Q2553" t="str">
        <f>TEXT(Inventory_Data[[#This Row],[Date]],"YYYY")</f>
        <v>2026</v>
      </c>
    </row>
    <row r="2554" spans="1:17" x14ac:dyDescent="0.3">
      <c r="A2554" s="1">
        <v>46199</v>
      </c>
      <c r="B2554" t="s">
        <v>44</v>
      </c>
      <c r="C2554" t="s">
        <v>28</v>
      </c>
      <c r="D2554" t="s">
        <v>23</v>
      </c>
      <c r="E2554" t="s">
        <v>15</v>
      </c>
      <c r="F2554">
        <v>125</v>
      </c>
      <c r="G2554">
        <v>60</v>
      </c>
      <c r="H2554">
        <v>85</v>
      </c>
      <c r="I2554">
        <v>100</v>
      </c>
      <c r="J2554">
        <v>48</v>
      </c>
      <c r="K2554">
        <v>52132</v>
      </c>
      <c r="L2554">
        <v>5213200</v>
      </c>
      <c r="M2554">
        <f>Inventory_Data[[#This Row],[Opening Stock]]+Inventory_Data[[#This Row],[Purchase Qty]]-Inventory_Data[[#This Row],[Sales Qty]]-Inventory_Data[[#This Row],[Closing Stock]]</f>
        <v>0</v>
      </c>
      <c r="N2554">
        <f>Inventory_Data[[#This Row],[Purchase Qty]]*Inventory_Data[[#This Row],[Unit Cost]]</f>
        <v>3127920</v>
      </c>
      <c r="O2554" t="str">
        <f>IF(Inventory_Data[[#This Row],[Closing Stock]]&lt;=Inventory_Data[[#This Row],[Reorder Level]],"Low Stock","In Stock")</f>
        <v>In Stock</v>
      </c>
      <c r="P2554" t="str">
        <f>TEXT(Inventory_Data[[#This Row],[Date]],"MMM")</f>
        <v>Jun</v>
      </c>
      <c r="Q2554" t="str">
        <f>TEXT(Inventory_Data[[#This Row],[Date]],"YYYY")</f>
        <v>2026</v>
      </c>
    </row>
    <row r="2555" spans="1:17" x14ac:dyDescent="0.3">
      <c r="A2555" s="1">
        <v>46200</v>
      </c>
      <c r="B2555" t="s">
        <v>12</v>
      </c>
      <c r="C2555" t="s">
        <v>13</v>
      </c>
      <c r="D2555" t="s">
        <v>37</v>
      </c>
      <c r="E2555" t="s">
        <v>15</v>
      </c>
      <c r="F2555">
        <v>80</v>
      </c>
      <c r="G2555">
        <v>68</v>
      </c>
      <c r="H2555">
        <v>33</v>
      </c>
      <c r="I2555">
        <v>115</v>
      </c>
      <c r="J2555">
        <v>16</v>
      </c>
      <c r="K2555">
        <v>17968</v>
      </c>
      <c r="L2555">
        <v>2066320</v>
      </c>
      <c r="M2555">
        <f>Inventory_Data[[#This Row],[Opening Stock]]+Inventory_Data[[#This Row],[Purchase Qty]]-Inventory_Data[[#This Row],[Sales Qty]]-Inventory_Data[[#This Row],[Closing Stock]]</f>
        <v>0</v>
      </c>
      <c r="N2555">
        <f>Inventory_Data[[#This Row],[Purchase Qty]]*Inventory_Data[[#This Row],[Unit Cost]]</f>
        <v>1221824</v>
      </c>
      <c r="O2555" t="str">
        <f>IF(Inventory_Data[[#This Row],[Closing Stock]]&lt;=Inventory_Data[[#This Row],[Reorder Level]],"Low Stock","In Stock")</f>
        <v>In Stock</v>
      </c>
      <c r="P2555" t="str">
        <f>TEXT(Inventory_Data[[#This Row],[Date]],"MMM")</f>
        <v>Jun</v>
      </c>
      <c r="Q2555" t="str">
        <f>TEXT(Inventory_Data[[#This Row],[Date]],"YYYY")</f>
        <v>2026</v>
      </c>
    </row>
    <row r="2556" spans="1:17" x14ac:dyDescent="0.3">
      <c r="A2556" s="1">
        <v>46200</v>
      </c>
      <c r="B2556" t="s">
        <v>16</v>
      </c>
      <c r="C2556" t="s">
        <v>17</v>
      </c>
      <c r="D2556" t="s">
        <v>14</v>
      </c>
      <c r="E2556" t="s">
        <v>34</v>
      </c>
      <c r="F2556">
        <v>45</v>
      </c>
      <c r="G2556">
        <v>21</v>
      </c>
      <c r="H2556">
        <v>38</v>
      </c>
      <c r="I2556">
        <v>28</v>
      </c>
      <c r="J2556">
        <v>13</v>
      </c>
      <c r="K2556">
        <v>17054</v>
      </c>
      <c r="L2556">
        <v>477512</v>
      </c>
      <c r="M2556">
        <f>Inventory_Data[[#This Row],[Opening Stock]]+Inventory_Data[[#This Row],[Purchase Qty]]-Inventory_Data[[#This Row],[Sales Qty]]-Inventory_Data[[#This Row],[Closing Stock]]</f>
        <v>0</v>
      </c>
      <c r="N2556">
        <f>Inventory_Data[[#This Row],[Purchase Qty]]*Inventory_Data[[#This Row],[Unit Cost]]</f>
        <v>358134</v>
      </c>
      <c r="O2556" t="str">
        <f>IF(Inventory_Data[[#This Row],[Closing Stock]]&lt;=Inventory_Data[[#This Row],[Reorder Level]],"Low Stock","In Stock")</f>
        <v>In Stock</v>
      </c>
      <c r="P2556" t="str">
        <f>TEXT(Inventory_Data[[#This Row],[Date]],"MMM")</f>
        <v>Jun</v>
      </c>
      <c r="Q2556" t="str">
        <f>TEXT(Inventory_Data[[#This Row],[Date]],"YYYY")</f>
        <v>2026</v>
      </c>
    </row>
    <row r="2557" spans="1:17" x14ac:dyDescent="0.3">
      <c r="A2557" s="1">
        <v>46200</v>
      </c>
      <c r="B2557" t="s">
        <v>35</v>
      </c>
      <c r="C2557" t="s">
        <v>22</v>
      </c>
      <c r="D2557" t="s">
        <v>37</v>
      </c>
      <c r="E2557" t="s">
        <v>24</v>
      </c>
      <c r="F2557">
        <v>397</v>
      </c>
      <c r="G2557">
        <v>253</v>
      </c>
      <c r="H2557">
        <v>162</v>
      </c>
      <c r="I2557">
        <v>488</v>
      </c>
      <c r="J2557">
        <v>74</v>
      </c>
      <c r="K2557">
        <v>111</v>
      </c>
      <c r="L2557">
        <v>54168</v>
      </c>
      <c r="M2557">
        <f>Inventory_Data[[#This Row],[Opening Stock]]+Inventory_Data[[#This Row],[Purchase Qty]]-Inventory_Data[[#This Row],[Sales Qty]]-Inventory_Data[[#This Row],[Closing Stock]]</f>
        <v>0</v>
      </c>
      <c r="N2557">
        <f>Inventory_Data[[#This Row],[Purchase Qty]]*Inventory_Data[[#This Row],[Unit Cost]]</f>
        <v>28083</v>
      </c>
      <c r="O2557" t="str">
        <f>IF(Inventory_Data[[#This Row],[Closing Stock]]&lt;=Inventory_Data[[#This Row],[Reorder Level]],"Low Stock","In Stock")</f>
        <v>In Stock</v>
      </c>
      <c r="P2557" t="str">
        <f>TEXT(Inventory_Data[[#This Row],[Date]],"MMM")</f>
        <v>Jun</v>
      </c>
      <c r="Q2557" t="str">
        <f>TEXT(Inventory_Data[[#This Row],[Date]],"YYYY")</f>
        <v>2026</v>
      </c>
    </row>
    <row r="2558" spans="1:17" x14ac:dyDescent="0.3">
      <c r="A2558" s="1">
        <v>46200</v>
      </c>
      <c r="B2558" t="s">
        <v>40</v>
      </c>
      <c r="C2558" t="s">
        <v>28</v>
      </c>
      <c r="D2558" t="s">
        <v>23</v>
      </c>
      <c r="E2558" t="s">
        <v>20</v>
      </c>
      <c r="F2558">
        <v>56</v>
      </c>
      <c r="G2558">
        <v>117</v>
      </c>
      <c r="H2558">
        <v>32</v>
      </c>
      <c r="I2558">
        <v>141</v>
      </c>
      <c r="J2558">
        <v>25</v>
      </c>
      <c r="K2558">
        <v>11710</v>
      </c>
      <c r="L2558">
        <v>1651110</v>
      </c>
      <c r="M2558">
        <f>Inventory_Data[[#This Row],[Opening Stock]]+Inventory_Data[[#This Row],[Purchase Qty]]-Inventory_Data[[#This Row],[Sales Qty]]-Inventory_Data[[#This Row],[Closing Stock]]</f>
        <v>0</v>
      </c>
      <c r="N2558">
        <f>Inventory_Data[[#This Row],[Purchase Qty]]*Inventory_Data[[#This Row],[Unit Cost]]</f>
        <v>1370070</v>
      </c>
      <c r="O2558" t="str">
        <f>IF(Inventory_Data[[#This Row],[Closing Stock]]&lt;=Inventory_Data[[#This Row],[Reorder Level]],"Low Stock","In Stock")</f>
        <v>In Stock</v>
      </c>
      <c r="P2558" t="str">
        <f>TEXT(Inventory_Data[[#This Row],[Date]],"MMM")</f>
        <v>Jun</v>
      </c>
      <c r="Q2558" t="str">
        <f>TEXT(Inventory_Data[[#This Row],[Date]],"YYYY")</f>
        <v>2026</v>
      </c>
    </row>
    <row r="2559" spans="1:17" x14ac:dyDescent="0.3">
      <c r="A2559" s="1">
        <v>46201</v>
      </c>
      <c r="B2559" t="s">
        <v>39</v>
      </c>
      <c r="C2559" t="s">
        <v>28</v>
      </c>
      <c r="D2559" t="s">
        <v>26</v>
      </c>
      <c r="E2559" t="s">
        <v>20</v>
      </c>
      <c r="F2559">
        <v>151</v>
      </c>
      <c r="G2559">
        <v>115</v>
      </c>
      <c r="H2559">
        <v>37</v>
      </c>
      <c r="I2559">
        <v>229</v>
      </c>
      <c r="J2559">
        <v>28</v>
      </c>
      <c r="K2559">
        <v>50506</v>
      </c>
      <c r="L2559">
        <v>11565874</v>
      </c>
      <c r="M2559">
        <f>Inventory_Data[[#This Row],[Opening Stock]]+Inventory_Data[[#This Row],[Purchase Qty]]-Inventory_Data[[#This Row],[Sales Qty]]-Inventory_Data[[#This Row],[Closing Stock]]</f>
        <v>0</v>
      </c>
      <c r="N2559">
        <f>Inventory_Data[[#This Row],[Purchase Qty]]*Inventory_Data[[#This Row],[Unit Cost]]</f>
        <v>5808190</v>
      </c>
      <c r="O2559" t="str">
        <f>IF(Inventory_Data[[#This Row],[Closing Stock]]&lt;=Inventory_Data[[#This Row],[Reorder Level]],"Low Stock","In Stock")</f>
        <v>In Stock</v>
      </c>
      <c r="P2559" t="str">
        <f>TEXT(Inventory_Data[[#This Row],[Date]],"MMM")</f>
        <v>Jun</v>
      </c>
      <c r="Q2559" t="str">
        <f>TEXT(Inventory_Data[[#This Row],[Date]],"YYYY")</f>
        <v>2026</v>
      </c>
    </row>
    <row r="2560" spans="1:17" x14ac:dyDescent="0.3">
      <c r="A2560" s="1">
        <v>46201</v>
      </c>
      <c r="B2560" t="s">
        <v>31</v>
      </c>
      <c r="C2560" t="s">
        <v>22</v>
      </c>
      <c r="D2560" t="s">
        <v>37</v>
      </c>
      <c r="E2560" t="s">
        <v>29</v>
      </c>
      <c r="F2560">
        <v>60</v>
      </c>
      <c r="G2560">
        <v>246</v>
      </c>
      <c r="H2560">
        <v>111</v>
      </c>
      <c r="I2560">
        <v>195</v>
      </c>
      <c r="J2560">
        <v>135</v>
      </c>
      <c r="K2560">
        <v>798</v>
      </c>
      <c r="L2560">
        <v>155610</v>
      </c>
      <c r="M2560">
        <f>Inventory_Data[[#This Row],[Opening Stock]]+Inventory_Data[[#This Row],[Purchase Qty]]-Inventory_Data[[#This Row],[Sales Qty]]-Inventory_Data[[#This Row],[Closing Stock]]</f>
        <v>0</v>
      </c>
      <c r="N2560">
        <f>Inventory_Data[[#This Row],[Purchase Qty]]*Inventory_Data[[#This Row],[Unit Cost]]</f>
        <v>196308</v>
      </c>
      <c r="O2560" t="str">
        <f>IF(Inventory_Data[[#This Row],[Closing Stock]]&lt;=Inventory_Data[[#This Row],[Reorder Level]],"Low Stock","In Stock")</f>
        <v>In Stock</v>
      </c>
      <c r="P2560" t="str">
        <f>TEXT(Inventory_Data[[#This Row],[Date]],"MMM")</f>
        <v>Jun</v>
      </c>
      <c r="Q2560" t="str">
        <f>TEXT(Inventory_Data[[#This Row],[Date]],"YYYY")</f>
        <v>2026</v>
      </c>
    </row>
    <row r="2561" spans="1:17" x14ac:dyDescent="0.3">
      <c r="A2561" s="1">
        <v>46201</v>
      </c>
      <c r="B2561" t="s">
        <v>39</v>
      </c>
      <c r="C2561" t="s">
        <v>28</v>
      </c>
      <c r="D2561" t="s">
        <v>37</v>
      </c>
      <c r="E2561" t="s">
        <v>34</v>
      </c>
      <c r="F2561">
        <v>136</v>
      </c>
      <c r="G2561">
        <v>48</v>
      </c>
      <c r="H2561">
        <v>47</v>
      </c>
      <c r="I2561">
        <v>137</v>
      </c>
      <c r="J2561">
        <v>33</v>
      </c>
      <c r="K2561">
        <v>30410</v>
      </c>
      <c r="L2561">
        <v>4166170</v>
      </c>
      <c r="M2561">
        <f>Inventory_Data[[#This Row],[Opening Stock]]+Inventory_Data[[#This Row],[Purchase Qty]]-Inventory_Data[[#This Row],[Sales Qty]]-Inventory_Data[[#This Row],[Closing Stock]]</f>
        <v>0</v>
      </c>
      <c r="N2561">
        <f>Inventory_Data[[#This Row],[Purchase Qty]]*Inventory_Data[[#This Row],[Unit Cost]]</f>
        <v>1459680</v>
      </c>
      <c r="O2561" t="str">
        <f>IF(Inventory_Data[[#This Row],[Closing Stock]]&lt;=Inventory_Data[[#This Row],[Reorder Level]],"Low Stock","In Stock")</f>
        <v>In Stock</v>
      </c>
      <c r="P2561" t="str">
        <f>TEXT(Inventory_Data[[#This Row],[Date]],"MMM")</f>
        <v>Jun</v>
      </c>
      <c r="Q2561" t="str">
        <f>TEXT(Inventory_Data[[#This Row],[Date]],"YYYY")</f>
        <v>2026</v>
      </c>
    </row>
    <row r="2562" spans="1:17" x14ac:dyDescent="0.3">
      <c r="A2562" s="1">
        <v>46201</v>
      </c>
      <c r="B2562" t="s">
        <v>31</v>
      </c>
      <c r="C2562" t="s">
        <v>22</v>
      </c>
      <c r="D2562" t="s">
        <v>26</v>
      </c>
      <c r="E2562" t="s">
        <v>29</v>
      </c>
      <c r="F2562">
        <v>352</v>
      </c>
      <c r="G2562">
        <v>117</v>
      </c>
      <c r="H2562">
        <v>72</v>
      </c>
      <c r="I2562">
        <v>397</v>
      </c>
      <c r="J2562">
        <v>52</v>
      </c>
      <c r="K2562">
        <v>941</v>
      </c>
      <c r="L2562">
        <v>373577</v>
      </c>
      <c r="M2562">
        <f>Inventory_Data[[#This Row],[Opening Stock]]+Inventory_Data[[#This Row],[Purchase Qty]]-Inventory_Data[[#This Row],[Sales Qty]]-Inventory_Data[[#This Row],[Closing Stock]]</f>
        <v>0</v>
      </c>
      <c r="N2562">
        <f>Inventory_Data[[#This Row],[Purchase Qty]]*Inventory_Data[[#This Row],[Unit Cost]]</f>
        <v>110097</v>
      </c>
      <c r="O2562" t="str">
        <f>IF(Inventory_Data[[#This Row],[Closing Stock]]&lt;=Inventory_Data[[#This Row],[Reorder Level]],"Low Stock","In Stock")</f>
        <v>In Stock</v>
      </c>
      <c r="P2562" t="str">
        <f>TEXT(Inventory_Data[[#This Row],[Date]],"MMM")</f>
        <v>Jun</v>
      </c>
      <c r="Q2562" t="str">
        <f>TEXT(Inventory_Data[[#This Row],[Date]],"YYYY")</f>
        <v>2026</v>
      </c>
    </row>
    <row r="2563" spans="1:17" x14ac:dyDescent="0.3">
      <c r="A2563" s="1">
        <v>46201</v>
      </c>
      <c r="B2563" t="s">
        <v>35</v>
      </c>
      <c r="C2563" t="s">
        <v>22</v>
      </c>
      <c r="D2563" t="s">
        <v>14</v>
      </c>
      <c r="E2563" t="s">
        <v>34</v>
      </c>
      <c r="F2563">
        <v>312</v>
      </c>
      <c r="G2563">
        <v>240</v>
      </c>
      <c r="H2563">
        <v>80</v>
      </c>
      <c r="I2563">
        <v>472</v>
      </c>
      <c r="J2563">
        <v>118</v>
      </c>
      <c r="K2563">
        <v>915</v>
      </c>
      <c r="L2563">
        <v>431880</v>
      </c>
      <c r="M2563">
        <f>Inventory_Data[[#This Row],[Opening Stock]]+Inventory_Data[[#This Row],[Purchase Qty]]-Inventory_Data[[#This Row],[Sales Qty]]-Inventory_Data[[#This Row],[Closing Stock]]</f>
        <v>0</v>
      </c>
      <c r="N2563">
        <f>Inventory_Data[[#This Row],[Purchase Qty]]*Inventory_Data[[#This Row],[Unit Cost]]</f>
        <v>219600</v>
      </c>
      <c r="O2563" t="str">
        <f>IF(Inventory_Data[[#This Row],[Closing Stock]]&lt;=Inventory_Data[[#This Row],[Reorder Level]],"Low Stock","In Stock")</f>
        <v>In Stock</v>
      </c>
      <c r="P2563" t="str">
        <f>TEXT(Inventory_Data[[#This Row],[Date]],"MMM")</f>
        <v>Jun</v>
      </c>
      <c r="Q2563" t="str">
        <f>TEXT(Inventory_Data[[#This Row],[Date]],"YYYY")</f>
        <v>2026</v>
      </c>
    </row>
    <row r="2564" spans="1:17" x14ac:dyDescent="0.3">
      <c r="A2564" s="1">
        <v>46201</v>
      </c>
      <c r="B2564" t="s">
        <v>40</v>
      </c>
      <c r="C2564" t="s">
        <v>28</v>
      </c>
      <c r="D2564" t="s">
        <v>23</v>
      </c>
      <c r="E2564" t="s">
        <v>24</v>
      </c>
      <c r="F2564">
        <v>145</v>
      </c>
      <c r="G2564">
        <v>28</v>
      </c>
      <c r="H2564">
        <v>28</v>
      </c>
      <c r="I2564">
        <v>145</v>
      </c>
      <c r="J2564">
        <v>36</v>
      </c>
      <c r="K2564">
        <v>62263</v>
      </c>
      <c r="L2564">
        <v>9028135</v>
      </c>
      <c r="M2564">
        <f>Inventory_Data[[#This Row],[Opening Stock]]+Inventory_Data[[#This Row],[Purchase Qty]]-Inventory_Data[[#This Row],[Sales Qty]]-Inventory_Data[[#This Row],[Closing Stock]]</f>
        <v>0</v>
      </c>
      <c r="N2564">
        <f>Inventory_Data[[#This Row],[Purchase Qty]]*Inventory_Data[[#This Row],[Unit Cost]]</f>
        <v>1743364</v>
      </c>
      <c r="O2564" t="str">
        <f>IF(Inventory_Data[[#This Row],[Closing Stock]]&lt;=Inventory_Data[[#This Row],[Reorder Level]],"Low Stock","In Stock")</f>
        <v>In Stock</v>
      </c>
      <c r="P2564" t="str">
        <f>TEXT(Inventory_Data[[#This Row],[Date]],"MMM")</f>
        <v>Jun</v>
      </c>
      <c r="Q2564" t="str">
        <f>TEXT(Inventory_Data[[#This Row],[Date]],"YYYY")</f>
        <v>2026</v>
      </c>
    </row>
    <row r="2565" spans="1:17" x14ac:dyDescent="0.3">
      <c r="A2565" s="1">
        <v>46202</v>
      </c>
      <c r="B2565" t="s">
        <v>40</v>
      </c>
      <c r="C2565" t="s">
        <v>28</v>
      </c>
      <c r="D2565" t="s">
        <v>23</v>
      </c>
      <c r="E2565" t="s">
        <v>20</v>
      </c>
      <c r="F2565">
        <v>90</v>
      </c>
      <c r="G2565">
        <v>65</v>
      </c>
      <c r="H2565">
        <v>76</v>
      </c>
      <c r="I2565">
        <v>79</v>
      </c>
      <c r="J2565">
        <v>29</v>
      </c>
      <c r="K2565">
        <v>20356</v>
      </c>
      <c r="L2565">
        <v>1608124</v>
      </c>
      <c r="M2565">
        <f>Inventory_Data[[#This Row],[Opening Stock]]+Inventory_Data[[#This Row],[Purchase Qty]]-Inventory_Data[[#This Row],[Sales Qty]]-Inventory_Data[[#This Row],[Closing Stock]]</f>
        <v>0</v>
      </c>
      <c r="N2565">
        <f>Inventory_Data[[#This Row],[Purchase Qty]]*Inventory_Data[[#This Row],[Unit Cost]]</f>
        <v>1323140</v>
      </c>
      <c r="O2565" t="str">
        <f>IF(Inventory_Data[[#This Row],[Closing Stock]]&lt;=Inventory_Data[[#This Row],[Reorder Level]],"Low Stock","In Stock")</f>
        <v>In Stock</v>
      </c>
      <c r="P2565" t="str">
        <f>TEXT(Inventory_Data[[#This Row],[Date]],"MMM")</f>
        <v>Jun</v>
      </c>
      <c r="Q2565" t="str">
        <f>TEXT(Inventory_Data[[#This Row],[Date]],"YYYY")</f>
        <v>2026</v>
      </c>
    </row>
    <row r="2566" spans="1:17" x14ac:dyDescent="0.3">
      <c r="A2566" s="1">
        <v>46202</v>
      </c>
      <c r="B2566" t="s">
        <v>35</v>
      </c>
      <c r="C2566" t="s">
        <v>22</v>
      </c>
      <c r="D2566" t="s">
        <v>37</v>
      </c>
      <c r="E2566" t="s">
        <v>15</v>
      </c>
      <c r="F2566">
        <v>111</v>
      </c>
      <c r="G2566">
        <v>258</v>
      </c>
      <c r="H2566">
        <v>104</v>
      </c>
      <c r="I2566">
        <v>265</v>
      </c>
      <c r="J2566">
        <v>114</v>
      </c>
      <c r="K2566">
        <v>1078</v>
      </c>
      <c r="L2566">
        <v>285670</v>
      </c>
      <c r="M2566">
        <f>Inventory_Data[[#This Row],[Opening Stock]]+Inventory_Data[[#This Row],[Purchase Qty]]-Inventory_Data[[#This Row],[Sales Qty]]-Inventory_Data[[#This Row],[Closing Stock]]</f>
        <v>0</v>
      </c>
      <c r="N2566">
        <f>Inventory_Data[[#This Row],[Purchase Qty]]*Inventory_Data[[#This Row],[Unit Cost]]</f>
        <v>278124</v>
      </c>
      <c r="O2566" t="str">
        <f>IF(Inventory_Data[[#This Row],[Closing Stock]]&lt;=Inventory_Data[[#This Row],[Reorder Level]],"Low Stock","In Stock")</f>
        <v>In Stock</v>
      </c>
      <c r="P2566" t="str">
        <f>TEXT(Inventory_Data[[#This Row],[Date]],"MMM")</f>
        <v>Jun</v>
      </c>
      <c r="Q2566" t="str">
        <f>TEXT(Inventory_Data[[#This Row],[Date]],"YYYY")</f>
        <v>2026</v>
      </c>
    </row>
    <row r="2567" spans="1:17" x14ac:dyDescent="0.3">
      <c r="A2567" s="1">
        <v>46202</v>
      </c>
      <c r="B2567" t="s">
        <v>39</v>
      </c>
      <c r="C2567" t="s">
        <v>28</v>
      </c>
      <c r="D2567" t="s">
        <v>23</v>
      </c>
      <c r="E2567" t="s">
        <v>29</v>
      </c>
      <c r="F2567">
        <v>117</v>
      </c>
      <c r="G2567">
        <v>112</v>
      </c>
      <c r="H2567">
        <v>65</v>
      </c>
      <c r="I2567">
        <v>164</v>
      </c>
      <c r="J2567">
        <v>39</v>
      </c>
      <c r="K2567">
        <v>43049</v>
      </c>
      <c r="L2567">
        <v>7060036</v>
      </c>
      <c r="M2567">
        <f>Inventory_Data[[#This Row],[Opening Stock]]+Inventory_Data[[#This Row],[Purchase Qty]]-Inventory_Data[[#This Row],[Sales Qty]]-Inventory_Data[[#This Row],[Closing Stock]]</f>
        <v>0</v>
      </c>
      <c r="N2567">
        <f>Inventory_Data[[#This Row],[Purchase Qty]]*Inventory_Data[[#This Row],[Unit Cost]]</f>
        <v>4821488</v>
      </c>
      <c r="O2567" t="str">
        <f>IF(Inventory_Data[[#This Row],[Closing Stock]]&lt;=Inventory_Data[[#This Row],[Reorder Level]],"Low Stock","In Stock")</f>
        <v>In Stock</v>
      </c>
      <c r="P2567" t="str">
        <f>TEXT(Inventory_Data[[#This Row],[Date]],"MMM")</f>
        <v>Jun</v>
      </c>
      <c r="Q2567" t="str">
        <f>TEXT(Inventory_Data[[#This Row],[Date]],"YYYY")</f>
        <v>2026</v>
      </c>
    </row>
    <row r="2568" spans="1:17" x14ac:dyDescent="0.3">
      <c r="A2568" s="1">
        <v>46203</v>
      </c>
      <c r="B2568" t="s">
        <v>38</v>
      </c>
      <c r="C2568" t="s">
        <v>17</v>
      </c>
      <c r="D2568" t="s">
        <v>14</v>
      </c>
      <c r="E2568" t="s">
        <v>24</v>
      </c>
      <c r="F2568">
        <v>50</v>
      </c>
      <c r="G2568">
        <v>26</v>
      </c>
      <c r="H2568">
        <v>39</v>
      </c>
      <c r="I2568">
        <v>37</v>
      </c>
      <c r="J2568">
        <v>18</v>
      </c>
      <c r="K2568">
        <v>8950</v>
      </c>
      <c r="L2568">
        <v>331150</v>
      </c>
      <c r="M2568">
        <f>Inventory_Data[[#This Row],[Opening Stock]]+Inventory_Data[[#This Row],[Purchase Qty]]-Inventory_Data[[#This Row],[Sales Qty]]-Inventory_Data[[#This Row],[Closing Stock]]</f>
        <v>0</v>
      </c>
      <c r="N2568">
        <f>Inventory_Data[[#This Row],[Purchase Qty]]*Inventory_Data[[#This Row],[Unit Cost]]</f>
        <v>232700</v>
      </c>
      <c r="O2568" t="str">
        <f>IF(Inventory_Data[[#This Row],[Closing Stock]]&lt;=Inventory_Data[[#This Row],[Reorder Level]],"Low Stock","In Stock")</f>
        <v>In Stock</v>
      </c>
      <c r="P2568" t="str">
        <f>TEXT(Inventory_Data[[#This Row],[Date]],"MMM")</f>
        <v>Jun</v>
      </c>
      <c r="Q2568" t="str">
        <f>TEXT(Inventory_Data[[#This Row],[Date]],"YYYY")</f>
        <v>2026</v>
      </c>
    </row>
    <row r="2569" spans="1:17" x14ac:dyDescent="0.3">
      <c r="A2569" s="1">
        <v>46203</v>
      </c>
      <c r="B2569" t="s">
        <v>43</v>
      </c>
      <c r="C2569" t="s">
        <v>22</v>
      </c>
      <c r="D2569" t="s">
        <v>23</v>
      </c>
      <c r="E2569" t="s">
        <v>34</v>
      </c>
      <c r="F2569">
        <v>394</v>
      </c>
      <c r="G2569">
        <v>74</v>
      </c>
      <c r="H2569">
        <v>143</v>
      </c>
      <c r="I2569">
        <v>325</v>
      </c>
      <c r="J2569">
        <v>119</v>
      </c>
      <c r="K2569">
        <v>40</v>
      </c>
      <c r="L2569">
        <v>13000</v>
      </c>
      <c r="M2569">
        <f>Inventory_Data[[#This Row],[Opening Stock]]+Inventory_Data[[#This Row],[Purchase Qty]]-Inventory_Data[[#This Row],[Sales Qty]]-Inventory_Data[[#This Row],[Closing Stock]]</f>
        <v>0</v>
      </c>
      <c r="N2569">
        <f>Inventory_Data[[#This Row],[Purchase Qty]]*Inventory_Data[[#This Row],[Unit Cost]]</f>
        <v>2960</v>
      </c>
      <c r="O2569" t="str">
        <f>IF(Inventory_Data[[#This Row],[Closing Stock]]&lt;=Inventory_Data[[#This Row],[Reorder Level]],"Low Stock","In Stock")</f>
        <v>In Stock</v>
      </c>
      <c r="P2569" t="str">
        <f>TEXT(Inventory_Data[[#This Row],[Date]],"MMM")</f>
        <v>Jun</v>
      </c>
      <c r="Q2569" t="str">
        <f>TEXT(Inventory_Data[[#This Row],[Date]],"YYYY")</f>
        <v>2026</v>
      </c>
    </row>
    <row r="2570" spans="1:17" x14ac:dyDescent="0.3">
      <c r="A2570" s="1">
        <v>46203</v>
      </c>
      <c r="B2570" t="s">
        <v>43</v>
      </c>
      <c r="C2570" t="s">
        <v>22</v>
      </c>
      <c r="D2570" t="s">
        <v>14</v>
      </c>
      <c r="E2570" t="s">
        <v>15</v>
      </c>
      <c r="F2570">
        <v>358</v>
      </c>
      <c r="G2570">
        <v>47</v>
      </c>
      <c r="H2570">
        <v>66</v>
      </c>
      <c r="I2570">
        <v>339</v>
      </c>
      <c r="J2570">
        <v>54</v>
      </c>
      <c r="K2570">
        <v>131</v>
      </c>
      <c r="L2570">
        <v>44409</v>
      </c>
      <c r="M2570">
        <f>Inventory_Data[[#This Row],[Opening Stock]]+Inventory_Data[[#This Row],[Purchase Qty]]-Inventory_Data[[#This Row],[Sales Qty]]-Inventory_Data[[#This Row],[Closing Stock]]</f>
        <v>0</v>
      </c>
      <c r="N2570">
        <f>Inventory_Data[[#This Row],[Purchase Qty]]*Inventory_Data[[#This Row],[Unit Cost]]</f>
        <v>6157</v>
      </c>
      <c r="O2570" t="str">
        <f>IF(Inventory_Data[[#This Row],[Closing Stock]]&lt;=Inventory_Data[[#This Row],[Reorder Level]],"Low Stock","In Stock")</f>
        <v>In Stock</v>
      </c>
      <c r="P2570" t="str">
        <f>TEXT(Inventory_Data[[#This Row],[Date]],"MMM")</f>
        <v>Jun</v>
      </c>
      <c r="Q2570" t="str">
        <f>TEXT(Inventory_Data[[#This Row],[Date]],"YYYY")</f>
        <v>2026</v>
      </c>
    </row>
    <row r="2571" spans="1:17" x14ac:dyDescent="0.3">
      <c r="A2571" s="1">
        <v>46203</v>
      </c>
      <c r="B2571" t="s">
        <v>40</v>
      </c>
      <c r="C2571" t="s">
        <v>28</v>
      </c>
      <c r="D2571" t="s">
        <v>23</v>
      </c>
      <c r="E2571" t="s">
        <v>29</v>
      </c>
      <c r="F2571">
        <v>29</v>
      </c>
      <c r="G2571">
        <v>26</v>
      </c>
      <c r="H2571">
        <v>21</v>
      </c>
      <c r="I2571">
        <v>34</v>
      </c>
      <c r="J2571">
        <v>50</v>
      </c>
      <c r="K2571">
        <v>26338</v>
      </c>
      <c r="L2571">
        <v>895492</v>
      </c>
      <c r="M2571">
        <f>Inventory_Data[[#This Row],[Opening Stock]]+Inventory_Data[[#This Row],[Purchase Qty]]-Inventory_Data[[#This Row],[Sales Qty]]-Inventory_Data[[#This Row],[Closing Stock]]</f>
        <v>0</v>
      </c>
      <c r="N2571">
        <f>Inventory_Data[[#This Row],[Purchase Qty]]*Inventory_Data[[#This Row],[Unit Cost]]</f>
        <v>684788</v>
      </c>
      <c r="O2571" t="str">
        <f>IF(Inventory_Data[[#This Row],[Closing Stock]]&lt;=Inventory_Data[[#This Row],[Reorder Level]],"Low Stock","In Stock")</f>
        <v>Low Stock</v>
      </c>
      <c r="P2571" t="str">
        <f>TEXT(Inventory_Data[[#This Row],[Date]],"MMM")</f>
        <v>Jun</v>
      </c>
      <c r="Q2571" t="str">
        <f>TEXT(Inventory_Data[[#This Row],[Date]],"YYYY")</f>
        <v>2026</v>
      </c>
    </row>
    <row r="2572" spans="1:17" x14ac:dyDescent="0.3">
      <c r="A2572" s="1">
        <v>46203</v>
      </c>
      <c r="B2572" t="s">
        <v>27</v>
      </c>
      <c r="C2572" t="s">
        <v>28</v>
      </c>
      <c r="D2572" t="s">
        <v>14</v>
      </c>
      <c r="E2572" t="s">
        <v>15</v>
      </c>
      <c r="F2572">
        <v>95</v>
      </c>
      <c r="G2572">
        <v>106</v>
      </c>
      <c r="H2572">
        <v>28</v>
      </c>
      <c r="I2572">
        <v>173</v>
      </c>
      <c r="J2572">
        <v>24</v>
      </c>
      <c r="K2572">
        <v>9907</v>
      </c>
      <c r="L2572">
        <v>1713911</v>
      </c>
      <c r="M2572">
        <f>Inventory_Data[[#This Row],[Opening Stock]]+Inventory_Data[[#This Row],[Purchase Qty]]-Inventory_Data[[#This Row],[Sales Qty]]-Inventory_Data[[#This Row],[Closing Stock]]</f>
        <v>0</v>
      </c>
      <c r="N2572">
        <f>Inventory_Data[[#This Row],[Purchase Qty]]*Inventory_Data[[#This Row],[Unit Cost]]</f>
        <v>1050142</v>
      </c>
      <c r="O2572" t="str">
        <f>IF(Inventory_Data[[#This Row],[Closing Stock]]&lt;=Inventory_Data[[#This Row],[Reorder Level]],"Low Stock","In Stock")</f>
        <v>In Stock</v>
      </c>
      <c r="P2572" t="str">
        <f>TEXT(Inventory_Data[[#This Row],[Date]],"MMM")</f>
        <v>Jun</v>
      </c>
      <c r="Q2572" t="str">
        <f>TEXT(Inventory_Data[[#This Row],[Date]],"YYYY")</f>
        <v>2026</v>
      </c>
    </row>
    <row r="2573" spans="1:17" x14ac:dyDescent="0.3">
      <c r="A2573" s="1">
        <v>46203</v>
      </c>
      <c r="B2573" t="s">
        <v>16</v>
      </c>
      <c r="C2573" t="s">
        <v>17</v>
      </c>
      <c r="D2573" t="s">
        <v>23</v>
      </c>
      <c r="E2573" t="s">
        <v>18</v>
      </c>
      <c r="F2573">
        <v>88</v>
      </c>
      <c r="G2573">
        <v>40</v>
      </c>
      <c r="H2573">
        <v>36</v>
      </c>
      <c r="I2573">
        <v>92</v>
      </c>
      <c r="J2573">
        <v>17</v>
      </c>
      <c r="K2573">
        <v>3977</v>
      </c>
      <c r="L2573">
        <v>365884</v>
      </c>
      <c r="M2573">
        <f>Inventory_Data[[#This Row],[Opening Stock]]+Inventory_Data[[#This Row],[Purchase Qty]]-Inventory_Data[[#This Row],[Sales Qty]]-Inventory_Data[[#This Row],[Closing Stock]]</f>
        <v>0</v>
      </c>
      <c r="N2573">
        <f>Inventory_Data[[#This Row],[Purchase Qty]]*Inventory_Data[[#This Row],[Unit Cost]]</f>
        <v>159080</v>
      </c>
      <c r="O2573" t="str">
        <f>IF(Inventory_Data[[#This Row],[Closing Stock]]&lt;=Inventory_Data[[#This Row],[Reorder Level]],"Low Stock","In Stock")</f>
        <v>In Stock</v>
      </c>
      <c r="P2573" t="str">
        <f>TEXT(Inventory_Data[[#This Row],[Date]],"MMM")</f>
        <v>Jun</v>
      </c>
      <c r="Q2573" t="str">
        <f>TEXT(Inventory_Data[[#This Row],[Date]],"YYYY")</f>
        <v>2026</v>
      </c>
    </row>
    <row r="2574" spans="1:17" x14ac:dyDescent="0.3">
      <c r="A2574" s="1">
        <v>46204</v>
      </c>
      <c r="B2574" t="s">
        <v>31</v>
      </c>
      <c r="C2574" t="s">
        <v>22</v>
      </c>
      <c r="D2574" t="s">
        <v>14</v>
      </c>
      <c r="E2574" t="s">
        <v>34</v>
      </c>
      <c r="F2574">
        <v>128</v>
      </c>
      <c r="G2574">
        <v>96</v>
      </c>
      <c r="H2574">
        <v>43</v>
      </c>
      <c r="I2574">
        <v>181</v>
      </c>
      <c r="J2574">
        <v>90</v>
      </c>
      <c r="K2574">
        <v>188</v>
      </c>
      <c r="L2574">
        <v>34028</v>
      </c>
      <c r="M2574">
        <f>Inventory_Data[[#This Row],[Opening Stock]]+Inventory_Data[[#This Row],[Purchase Qty]]-Inventory_Data[[#This Row],[Sales Qty]]-Inventory_Data[[#This Row],[Closing Stock]]</f>
        <v>0</v>
      </c>
      <c r="N2574">
        <f>Inventory_Data[[#This Row],[Purchase Qty]]*Inventory_Data[[#This Row],[Unit Cost]]</f>
        <v>18048</v>
      </c>
      <c r="O2574" t="str">
        <f>IF(Inventory_Data[[#This Row],[Closing Stock]]&lt;=Inventory_Data[[#This Row],[Reorder Level]],"Low Stock","In Stock")</f>
        <v>In Stock</v>
      </c>
      <c r="P2574" t="str">
        <f>TEXT(Inventory_Data[[#This Row],[Date]],"MMM")</f>
        <v>Jul</v>
      </c>
      <c r="Q2574" t="str">
        <f>TEXT(Inventory_Data[[#This Row],[Date]],"YYYY")</f>
        <v>2026</v>
      </c>
    </row>
    <row r="2575" spans="1:17" x14ac:dyDescent="0.3">
      <c r="A2575" s="1">
        <v>46204</v>
      </c>
      <c r="B2575" t="s">
        <v>44</v>
      </c>
      <c r="C2575" t="s">
        <v>28</v>
      </c>
      <c r="D2575" t="s">
        <v>14</v>
      </c>
      <c r="E2575" t="s">
        <v>34</v>
      </c>
      <c r="F2575">
        <v>102</v>
      </c>
      <c r="G2575">
        <v>62</v>
      </c>
      <c r="H2575">
        <v>56</v>
      </c>
      <c r="I2575">
        <v>108</v>
      </c>
      <c r="J2575">
        <v>31</v>
      </c>
      <c r="K2575">
        <v>9173</v>
      </c>
      <c r="L2575">
        <v>990684</v>
      </c>
      <c r="M2575">
        <f>Inventory_Data[[#This Row],[Opening Stock]]+Inventory_Data[[#This Row],[Purchase Qty]]-Inventory_Data[[#This Row],[Sales Qty]]-Inventory_Data[[#This Row],[Closing Stock]]</f>
        <v>0</v>
      </c>
      <c r="N2575">
        <f>Inventory_Data[[#This Row],[Purchase Qty]]*Inventory_Data[[#This Row],[Unit Cost]]</f>
        <v>568726</v>
      </c>
      <c r="O2575" t="str">
        <f>IF(Inventory_Data[[#This Row],[Closing Stock]]&lt;=Inventory_Data[[#This Row],[Reorder Level]],"Low Stock","In Stock")</f>
        <v>In Stock</v>
      </c>
      <c r="P2575" t="str">
        <f>TEXT(Inventory_Data[[#This Row],[Date]],"MMM")</f>
        <v>Jul</v>
      </c>
      <c r="Q2575" t="str">
        <f>TEXT(Inventory_Data[[#This Row],[Date]],"YYYY")</f>
        <v>2026</v>
      </c>
    </row>
    <row r="2576" spans="1:17" x14ac:dyDescent="0.3">
      <c r="A2576" s="1">
        <v>46204</v>
      </c>
      <c r="B2576" t="s">
        <v>35</v>
      </c>
      <c r="C2576" t="s">
        <v>22</v>
      </c>
      <c r="D2576" t="s">
        <v>14</v>
      </c>
      <c r="E2576" t="s">
        <v>15</v>
      </c>
      <c r="F2576">
        <v>232</v>
      </c>
      <c r="G2576">
        <v>299</v>
      </c>
      <c r="H2576">
        <v>109</v>
      </c>
      <c r="I2576">
        <v>422</v>
      </c>
      <c r="J2576">
        <v>98</v>
      </c>
      <c r="K2576">
        <v>486</v>
      </c>
      <c r="L2576">
        <v>205092</v>
      </c>
      <c r="M2576">
        <f>Inventory_Data[[#This Row],[Opening Stock]]+Inventory_Data[[#This Row],[Purchase Qty]]-Inventory_Data[[#This Row],[Sales Qty]]-Inventory_Data[[#This Row],[Closing Stock]]</f>
        <v>0</v>
      </c>
      <c r="N2576">
        <f>Inventory_Data[[#This Row],[Purchase Qty]]*Inventory_Data[[#This Row],[Unit Cost]]</f>
        <v>145314</v>
      </c>
      <c r="O2576" t="str">
        <f>IF(Inventory_Data[[#This Row],[Closing Stock]]&lt;=Inventory_Data[[#This Row],[Reorder Level]],"Low Stock","In Stock")</f>
        <v>In Stock</v>
      </c>
      <c r="P2576" t="str">
        <f>TEXT(Inventory_Data[[#This Row],[Date]],"MMM")</f>
        <v>Jul</v>
      </c>
      <c r="Q2576" t="str">
        <f>TEXT(Inventory_Data[[#This Row],[Date]],"YYYY")</f>
        <v>2026</v>
      </c>
    </row>
    <row r="2577" spans="1:17" x14ac:dyDescent="0.3">
      <c r="A2577" s="1">
        <v>46204</v>
      </c>
      <c r="B2577" t="s">
        <v>16</v>
      </c>
      <c r="C2577" t="s">
        <v>17</v>
      </c>
      <c r="D2577" t="s">
        <v>26</v>
      </c>
      <c r="E2577" t="s">
        <v>20</v>
      </c>
      <c r="F2577">
        <v>12</v>
      </c>
      <c r="G2577">
        <v>9</v>
      </c>
      <c r="H2577">
        <v>21</v>
      </c>
      <c r="I2577">
        <v>0</v>
      </c>
      <c r="J2577">
        <v>16</v>
      </c>
      <c r="K2577">
        <v>11609</v>
      </c>
      <c r="L2577">
        <v>0</v>
      </c>
      <c r="M2577">
        <f>Inventory_Data[[#This Row],[Opening Stock]]+Inventory_Data[[#This Row],[Purchase Qty]]-Inventory_Data[[#This Row],[Sales Qty]]-Inventory_Data[[#This Row],[Closing Stock]]</f>
        <v>0</v>
      </c>
      <c r="N2577">
        <f>Inventory_Data[[#This Row],[Purchase Qty]]*Inventory_Data[[#This Row],[Unit Cost]]</f>
        <v>104481</v>
      </c>
      <c r="O2577" t="str">
        <f>IF(Inventory_Data[[#This Row],[Closing Stock]]&lt;=Inventory_Data[[#This Row],[Reorder Level]],"Low Stock","In Stock")</f>
        <v>Low Stock</v>
      </c>
      <c r="P2577" t="str">
        <f>TEXT(Inventory_Data[[#This Row],[Date]],"MMM")</f>
        <v>Jul</v>
      </c>
      <c r="Q2577" t="str">
        <f>TEXT(Inventory_Data[[#This Row],[Date]],"YYYY")</f>
        <v>2026</v>
      </c>
    </row>
    <row r="2578" spans="1:17" x14ac:dyDescent="0.3">
      <c r="A2578" s="1">
        <v>46204</v>
      </c>
      <c r="B2578" t="s">
        <v>43</v>
      </c>
      <c r="C2578" t="s">
        <v>22</v>
      </c>
      <c r="D2578" t="s">
        <v>37</v>
      </c>
      <c r="E2578" t="s">
        <v>29</v>
      </c>
      <c r="F2578">
        <v>338</v>
      </c>
      <c r="G2578">
        <v>47</v>
      </c>
      <c r="H2578">
        <v>174</v>
      </c>
      <c r="I2578">
        <v>211</v>
      </c>
      <c r="J2578">
        <v>139</v>
      </c>
      <c r="K2578">
        <v>221</v>
      </c>
      <c r="L2578">
        <v>46631</v>
      </c>
      <c r="M2578">
        <f>Inventory_Data[[#This Row],[Opening Stock]]+Inventory_Data[[#This Row],[Purchase Qty]]-Inventory_Data[[#This Row],[Sales Qty]]-Inventory_Data[[#This Row],[Closing Stock]]</f>
        <v>0</v>
      </c>
      <c r="N2578">
        <f>Inventory_Data[[#This Row],[Purchase Qty]]*Inventory_Data[[#This Row],[Unit Cost]]</f>
        <v>10387</v>
      </c>
      <c r="O2578" t="str">
        <f>IF(Inventory_Data[[#This Row],[Closing Stock]]&lt;=Inventory_Data[[#This Row],[Reorder Level]],"Low Stock","In Stock")</f>
        <v>In Stock</v>
      </c>
      <c r="P2578" t="str">
        <f>TEXT(Inventory_Data[[#This Row],[Date]],"MMM")</f>
        <v>Jul</v>
      </c>
      <c r="Q2578" t="str">
        <f>TEXT(Inventory_Data[[#This Row],[Date]],"YYYY")</f>
        <v>2026</v>
      </c>
    </row>
    <row r="2579" spans="1:17" x14ac:dyDescent="0.3">
      <c r="A2579" s="1">
        <v>46204</v>
      </c>
      <c r="B2579" t="s">
        <v>30</v>
      </c>
      <c r="C2579" t="s">
        <v>28</v>
      </c>
      <c r="D2579" t="s">
        <v>23</v>
      </c>
      <c r="E2579" t="s">
        <v>29</v>
      </c>
      <c r="F2579">
        <v>120</v>
      </c>
      <c r="G2579">
        <v>56</v>
      </c>
      <c r="H2579">
        <v>82</v>
      </c>
      <c r="I2579">
        <v>94</v>
      </c>
      <c r="J2579">
        <v>20</v>
      </c>
      <c r="K2579">
        <v>28066</v>
      </c>
      <c r="L2579">
        <v>2638204</v>
      </c>
      <c r="M2579">
        <f>Inventory_Data[[#This Row],[Opening Stock]]+Inventory_Data[[#This Row],[Purchase Qty]]-Inventory_Data[[#This Row],[Sales Qty]]-Inventory_Data[[#This Row],[Closing Stock]]</f>
        <v>0</v>
      </c>
      <c r="N2579">
        <f>Inventory_Data[[#This Row],[Purchase Qty]]*Inventory_Data[[#This Row],[Unit Cost]]</f>
        <v>1571696</v>
      </c>
      <c r="O2579" t="str">
        <f>IF(Inventory_Data[[#This Row],[Closing Stock]]&lt;=Inventory_Data[[#This Row],[Reorder Level]],"Low Stock","In Stock")</f>
        <v>In Stock</v>
      </c>
      <c r="P2579" t="str">
        <f>TEXT(Inventory_Data[[#This Row],[Date]],"MMM")</f>
        <v>Jul</v>
      </c>
      <c r="Q2579" t="str">
        <f>TEXT(Inventory_Data[[#This Row],[Date]],"YYYY")</f>
        <v>2026</v>
      </c>
    </row>
    <row r="2580" spans="1:17" x14ac:dyDescent="0.3">
      <c r="A2580" s="1">
        <v>46204</v>
      </c>
      <c r="B2580" t="s">
        <v>32</v>
      </c>
      <c r="C2580" t="s">
        <v>28</v>
      </c>
      <c r="D2580" t="s">
        <v>26</v>
      </c>
      <c r="E2580" t="s">
        <v>18</v>
      </c>
      <c r="F2580">
        <v>151</v>
      </c>
      <c r="G2580">
        <v>89</v>
      </c>
      <c r="H2580">
        <v>84</v>
      </c>
      <c r="I2580">
        <v>156</v>
      </c>
      <c r="J2580">
        <v>45</v>
      </c>
      <c r="K2580">
        <v>25332</v>
      </c>
      <c r="L2580">
        <v>3951792</v>
      </c>
      <c r="M2580">
        <f>Inventory_Data[[#This Row],[Opening Stock]]+Inventory_Data[[#This Row],[Purchase Qty]]-Inventory_Data[[#This Row],[Sales Qty]]-Inventory_Data[[#This Row],[Closing Stock]]</f>
        <v>0</v>
      </c>
      <c r="N2580">
        <f>Inventory_Data[[#This Row],[Purchase Qty]]*Inventory_Data[[#This Row],[Unit Cost]]</f>
        <v>2254548</v>
      </c>
      <c r="O2580" t="str">
        <f>IF(Inventory_Data[[#This Row],[Closing Stock]]&lt;=Inventory_Data[[#This Row],[Reorder Level]],"Low Stock","In Stock")</f>
        <v>In Stock</v>
      </c>
      <c r="P2580" t="str">
        <f>TEXT(Inventory_Data[[#This Row],[Date]],"MMM")</f>
        <v>Jul</v>
      </c>
      <c r="Q2580" t="str">
        <f>TEXT(Inventory_Data[[#This Row],[Date]],"YYYY")</f>
        <v>2026</v>
      </c>
    </row>
    <row r="2581" spans="1:17" x14ac:dyDescent="0.3">
      <c r="A2581" s="1">
        <v>46204</v>
      </c>
      <c r="B2581" t="s">
        <v>25</v>
      </c>
      <c r="C2581" t="s">
        <v>17</v>
      </c>
      <c r="D2581" t="s">
        <v>23</v>
      </c>
      <c r="E2581" t="s">
        <v>20</v>
      </c>
      <c r="F2581">
        <v>23</v>
      </c>
      <c r="G2581">
        <v>59</v>
      </c>
      <c r="H2581">
        <v>15</v>
      </c>
      <c r="I2581">
        <v>67</v>
      </c>
      <c r="J2581">
        <v>21</v>
      </c>
      <c r="K2581">
        <v>12517</v>
      </c>
      <c r="L2581">
        <v>838639</v>
      </c>
      <c r="M2581">
        <f>Inventory_Data[[#This Row],[Opening Stock]]+Inventory_Data[[#This Row],[Purchase Qty]]-Inventory_Data[[#This Row],[Sales Qty]]-Inventory_Data[[#This Row],[Closing Stock]]</f>
        <v>0</v>
      </c>
      <c r="N2581">
        <f>Inventory_Data[[#This Row],[Purchase Qty]]*Inventory_Data[[#This Row],[Unit Cost]]</f>
        <v>738503</v>
      </c>
      <c r="O2581" t="str">
        <f>IF(Inventory_Data[[#This Row],[Closing Stock]]&lt;=Inventory_Data[[#This Row],[Reorder Level]],"Low Stock","In Stock")</f>
        <v>In Stock</v>
      </c>
      <c r="P2581" t="str">
        <f>TEXT(Inventory_Data[[#This Row],[Date]],"MMM")</f>
        <v>Jul</v>
      </c>
      <c r="Q2581" t="str">
        <f>TEXT(Inventory_Data[[#This Row],[Date]],"YYYY")</f>
        <v>2026</v>
      </c>
    </row>
    <row r="2582" spans="1:17" x14ac:dyDescent="0.3">
      <c r="A2582" s="1">
        <v>46205</v>
      </c>
      <c r="B2582" t="s">
        <v>12</v>
      </c>
      <c r="C2582" t="s">
        <v>13</v>
      </c>
      <c r="D2582" t="s">
        <v>26</v>
      </c>
      <c r="E2582" t="s">
        <v>34</v>
      </c>
      <c r="F2582">
        <v>57</v>
      </c>
      <c r="G2582">
        <v>47</v>
      </c>
      <c r="H2582">
        <v>37</v>
      </c>
      <c r="I2582">
        <v>67</v>
      </c>
      <c r="J2582">
        <v>15</v>
      </c>
      <c r="K2582">
        <v>16263</v>
      </c>
      <c r="L2582">
        <v>1089621</v>
      </c>
      <c r="M2582">
        <f>Inventory_Data[[#This Row],[Opening Stock]]+Inventory_Data[[#This Row],[Purchase Qty]]-Inventory_Data[[#This Row],[Sales Qty]]-Inventory_Data[[#This Row],[Closing Stock]]</f>
        <v>0</v>
      </c>
      <c r="N2582">
        <f>Inventory_Data[[#This Row],[Purchase Qty]]*Inventory_Data[[#This Row],[Unit Cost]]</f>
        <v>764361</v>
      </c>
      <c r="O2582" t="str">
        <f>IF(Inventory_Data[[#This Row],[Closing Stock]]&lt;=Inventory_Data[[#This Row],[Reorder Level]],"Low Stock","In Stock")</f>
        <v>In Stock</v>
      </c>
      <c r="P2582" t="str">
        <f>TEXT(Inventory_Data[[#This Row],[Date]],"MMM")</f>
        <v>Jul</v>
      </c>
      <c r="Q2582" t="str">
        <f>TEXT(Inventory_Data[[#This Row],[Date]],"YYYY")</f>
        <v>2026</v>
      </c>
    </row>
    <row r="2583" spans="1:17" x14ac:dyDescent="0.3">
      <c r="A2583" s="1">
        <v>46205</v>
      </c>
      <c r="B2583" t="s">
        <v>45</v>
      </c>
      <c r="C2583" t="s">
        <v>13</v>
      </c>
      <c r="D2583" t="s">
        <v>37</v>
      </c>
      <c r="E2583" t="s">
        <v>20</v>
      </c>
      <c r="F2583">
        <v>38</v>
      </c>
      <c r="G2583">
        <v>10</v>
      </c>
      <c r="H2583">
        <v>4</v>
      </c>
      <c r="I2583">
        <v>44</v>
      </c>
      <c r="J2583">
        <v>25</v>
      </c>
      <c r="K2583">
        <v>9359</v>
      </c>
      <c r="L2583">
        <v>411796</v>
      </c>
      <c r="M2583">
        <f>Inventory_Data[[#This Row],[Opening Stock]]+Inventory_Data[[#This Row],[Purchase Qty]]-Inventory_Data[[#This Row],[Sales Qty]]-Inventory_Data[[#This Row],[Closing Stock]]</f>
        <v>0</v>
      </c>
      <c r="N2583">
        <f>Inventory_Data[[#This Row],[Purchase Qty]]*Inventory_Data[[#This Row],[Unit Cost]]</f>
        <v>93590</v>
      </c>
      <c r="O2583" t="str">
        <f>IF(Inventory_Data[[#This Row],[Closing Stock]]&lt;=Inventory_Data[[#This Row],[Reorder Level]],"Low Stock","In Stock")</f>
        <v>In Stock</v>
      </c>
      <c r="P2583" t="str">
        <f>TEXT(Inventory_Data[[#This Row],[Date]],"MMM")</f>
        <v>Jul</v>
      </c>
      <c r="Q2583" t="str">
        <f>TEXT(Inventory_Data[[#This Row],[Date]],"YYYY")</f>
        <v>2026</v>
      </c>
    </row>
    <row r="2584" spans="1:17" x14ac:dyDescent="0.3">
      <c r="A2584" s="1">
        <v>46205</v>
      </c>
      <c r="B2584" t="s">
        <v>39</v>
      </c>
      <c r="C2584" t="s">
        <v>28</v>
      </c>
      <c r="D2584" t="s">
        <v>37</v>
      </c>
      <c r="E2584" t="s">
        <v>24</v>
      </c>
      <c r="F2584">
        <v>137</v>
      </c>
      <c r="G2584">
        <v>101</v>
      </c>
      <c r="H2584">
        <v>43</v>
      </c>
      <c r="I2584">
        <v>195</v>
      </c>
      <c r="J2584">
        <v>23</v>
      </c>
      <c r="K2584">
        <v>57867</v>
      </c>
      <c r="L2584">
        <v>11284065</v>
      </c>
      <c r="M2584">
        <f>Inventory_Data[[#This Row],[Opening Stock]]+Inventory_Data[[#This Row],[Purchase Qty]]-Inventory_Data[[#This Row],[Sales Qty]]-Inventory_Data[[#This Row],[Closing Stock]]</f>
        <v>0</v>
      </c>
      <c r="N2584">
        <f>Inventory_Data[[#This Row],[Purchase Qty]]*Inventory_Data[[#This Row],[Unit Cost]]</f>
        <v>5844567</v>
      </c>
      <c r="O2584" t="str">
        <f>IF(Inventory_Data[[#This Row],[Closing Stock]]&lt;=Inventory_Data[[#This Row],[Reorder Level]],"Low Stock","In Stock")</f>
        <v>In Stock</v>
      </c>
      <c r="P2584" t="str">
        <f>TEXT(Inventory_Data[[#This Row],[Date]],"MMM")</f>
        <v>Jul</v>
      </c>
      <c r="Q2584" t="str">
        <f>TEXT(Inventory_Data[[#This Row],[Date]],"YYYY")</f>
        <v>2026</v>
      </c>
    </row>
    <row r="2585" spans="1:17" x14ac:dyDescent="0.3">
      <c r="A2585" s="1">
        <v>46205</v>
      </c>
      <c r="B2585" t="s">
        <v>41</v>
      </c>
      <c r="C2585" t="s">
        <v>22</v>
      </c>
      <c r="D2585" t="s">
        <v>23</v>
      </c>
      <c r="E2585" t="s">
        <v>18</v>
      </c>
      <c r="F2585">
        <v>466</v>
      </c>
      <c r="G2585">
        <v>188</v>
      </c>
      <c r="H2585">
        <v>158</v>
      </c>
      <c r="I2585">
        <v>496</v>
      </c>
      <c r="J2585">
        <v>140</v>
      </c>
      <c r="K2585">
        <v>1070</v>
      </c>
      <c r="L2585">
        <v>530720</v>
      </c>
      <c r="M2585">
        <f>Inventory_Data[[#This Row],[Opening Stock]]+Inventory_Data[[#This Row],[Purchase Qty]]-Inventory_Data[[#This Row],[Sales Qty]]-Inventory_Data[[#This Row],[Closing Stock]]</f>
        <v>0</v>
      </c>
      <c r="N2585">
        <f>Inventory_Data[[#This Row],[Purchase Qty]]*Inventory_Data[[#This Row],[Unit Cost]]</f>
        <v>201160</v>
      </c>
      <c r="O2585" t="str">
        <f>IF(Inventory_Data[[#This Row],[Closing Stock]]&lt;=Inventory_Data[[#This Row],[Reorder Level]],"Low Stock","In Stock")</f>
        <v>In Stock</v>
      </c>
      <c r="P2585" t="str">
        <f>TEXT(Inventory_Data[[#This Row],[Date]],"MMM")</f>
        <v>Jul</v>
      </c>
      <c r="Q2585" t="str">
        <f>TEXT(Inventory_Data[[#This Row],[Date]],"YYYY")</f>
        <v>2026</v>
      </c>
    </row>
    <row r="2586" spans="1:17" x14ac:dyDescent="0.3">
      <c r="A2586" s="1">
        <v>46205</v>
      </c>
      <c r="B2586" t="s">
        <v>30</v>
      </c>
      <c r="C2586" t="s">
        <v>28</v>
      </c>
      <c r="D2586" t="s">
        <v>26</v>
      </c>
      <c r="E2586" t="s">
        <v>20</v>
      </c>
      <c r="F2586">
        <v>106</v>
      </c>
      <c r="G2586">
        <v>81</v>
      </c>
      <c r="H2586">
        <v>68</v>
      </c>
      <c r="I2586">
        <v>119</v>
      </c>
      <c r="J2586">
        <v>23</v>
      </c>
      <c r="K2586">
        <v>15829</v>
      </c>
      <c r="L2586">
        <v>1883651</v>
      </c>
      <c r="M2586">
        <f>Inventory_Data[[#This Row],[Opening Stock]]+Inventory_Data[[#This Row],[Purchase Qty]]-Inventory_Data[[#This Row],[Sales Qty]]-Inventory_Data[[#This Row],[Closing Stock]]</f>
        <v>0</v>
      </c>
      <c r="N2586">
        <f>Inventory_Data[[#This Row],[Purchase Qty]]*Inventory_Data[[#This Row],[Unit Cost]]</f>
        <v>1282149</v>
      </c>
      <c r="O2586" t="str">
        <f>IF(Inventory_Data[[#This Row],[Closing Stock]]&lt;=Inventory_Data[[#This Row],[Reorder Level]],"Low Stock","In Stock")</f>
        <v>In Stock</v>
      </c>
      <c r="P2586" t="str">
        <f>TEXT(Inventory_Data[[#This Row],[Date]],"MMM")</f>
        <v>Jul</v>
      </c>
      <c r="Q2586" t="str">
        <f>TEXT(Inventory_Data[[#This Row],[Date]],"YYYY")</f>
        <v>2026</v>
      </c>
    </row>
    <row r="2587" spans="1:17" x14ac:dyDescent="0.3">
      <c r="A2587" s="1">
        <v>46205</v>
      </c>
      <c r="B2587" t="s">
        <v>19</v>
      </c>
      <c r="C2587" t="s">
        <v>13</v>
      </c>
      <c r="D2587" t="s">
        <v>23</v>
      </c>
      <c r="E2587" t="s">
        <v>18</v>
      </c>
      <c r="F2587">
        <v>99</v>
      </c>
      <c r="G2587">
        <v>34</v>
      </c>
      <c r="H2587">
        <v>26</v>
      </c>
      <c r="I2587">
        <v>107</v>
      </c>
      <c r="J2587">
        <v>24</v>
      </c>
      <c r="K2587">
        <v>9767</v>
      </c>
      <c r="L2587">
        <v>1045069</v>
      </c>
      <c r="M2587">
        <f>Inventory_Data[[#This Row],[Opening Stock]]+Inventory_Data[[#This Row],[Purchase Qty]]-Inventory_Data[[#This Row],[Sales Qty]]-Inventory_Data[[#This Row],[Closing Stock]]</f>
        <v>0</v>
      </c>
      <c r="N2587">
        <f>Inventory_Data[[#This Row],[Purchase Qty]]*Inventory_Data[[#This Row],[Unit Cost]]</f>
        <v>332078</v>
      </c>
      <c r="O2587" t="str">
        <f>IF(Inventory_Data[[#This Row],[Closing Stock]]&lt;=Inventory_Data[[#This Row],[Reorder Level]],"Low Stock","In Stock")</f>
        <v>In Stock</v>
      </c>
      <c r="P2587" t="str">
        <f>TEXT(Inventory_Data[[#This Row],[Date]],"MMM")</f>
        <v>Jul</v>
      </c>
      <c r="Q2587" t="str">
        <f>TEXT(Inventory_Data[[#This Row],[Date]],"YYYY")</f>
        <v>2026</v>
      </c>
    </row>
    <row r="2588" spans="1:17" x14ac:dyDescent="0.3">
      <c r="A2588" s="1">
        <v>46206</v>
      </c>
      <c r="B2588" t="s">
        <v>44</v>
      </c>
      <c r="C2588" t="s">
        <v>28</v>
      </c>
      <c r="D2588" t="s">
        <v>23</v>
      </c>
      <c r="E2588" t="s">
        <v>18</v>
      </c>
      <c r="F2588">
        <v>20</v>
      </c>
      <c r="G2588">
        <v>24</v>
      </c>
      <c r="H2588">
        <v>41</v>
      </c>
      <c r="I2588">
        <v>3</v>
      </c>
      <c r="J2588">
        <v>59</v>
      </c>
      <c r="K2588">
        <v>21420</v>
      </c>
      <c r="L2588">
        <v>64260</v>
      </c>
      <c r="M2588">
        <f>Inventory_Data[[#This Row],[Opening Stock]]+Inventory_Data[[#This Row],[Purchase Qty]]-Inventory_Data[[#This Row],[Sales Qty]]-Inventory_Data[[#This Row],[Closing Stock]]</f>
        <v>0</v>
      </c>
      <c r="N2588">
        <f>Inventory_Data[[#This Row],[Purchase Qty]]*Inventory_Data[[#This Row],[Unit Cost]]</f>
        <v>514080</v>
      </c>
      <c r="O2588" t="str">
        <f>IF(Inventory_Data[[#This Row],[Closing Stock]]&lt;=Inventory_Data[[#This Row],[Reorder Level]],"Low Stock","In Stock")</f>
        <v>Low Stock</v>
      </c>
      <c r="P2588" t="str">
        <f>TEXT(Inventory_Data[[#This Row],[Date]],"MMM")</f>
        <v>Jul</v>
      </c>
      <c r="Q2588" t="str">
        <f>TEXT(Inventory_Data[[#This Row],[Date]],"YYYY")</f>
        <v>2026</v>
      </c>
    </row>
    <row r="2589" spans="1:17" x14ac:dyDescent="0.3">
      <c r="A2589" s="1">
        <v>46207</v>
      </c>
      <c r="B2589" t="s">
        <v>16</v>
      </c>
      <c r="C2589" t="s">
        <v>17</v>
      </c>
      <c r="D2589" t="s">
        <v>23</v>
      </c>
      <c r="E2589" t="s">
        <v>34</v>
      </c>
      <c r="F2589">
        <v>90</v>
      </c>
      <c r="G2589">
        <v>35</v>
      </c>
      <c r="H2589">
        <v>9</v>
      </c>
      <c r="I2589">
        <v>116</v>
      </c>
      <c r="J2589">
        <v>17</v>
      </c>
      <c r="K2589">
        <v>21723</v>
      </c>
      <c r="L2589">
        <v>2519868</v>
      </c>
      <c r="M2589">
        <f>Inventory_Data[[#This Row],[Opening Stock]]+Inventory_Data[[#This Row],[Purchase Qty]]-Inventory_Data[[#This Row],[Sales Qty]]-Inventory_Data[[#This Row],[Closing Stock]]</f>
        <v>0</v>
      </c>
      <c r="N2589">
        <f>Inventory_Data[[#This Row],[Purchase Qty]]*Inventory_Data[[#This Row],[Unit Cost]]</f>
        <v>760305</v>
      </c>
      <c r="O2589" t="str">
        <f>IF(Inventory_Data[[#This Row],[Closing Stock]]&lt;=Inventory_Data[[#This Row],[Reorder Level]],"Low Stock","In Stock")</f>
        <v>In Stock</v>
      </c>
      <c r="P2589" t="str">
        <f>TEXT(Inventory_Data[[#This Row],[Date]],"MMM")</f>
        <v>Jul</v>
      </c>
      <c r="Q2589" t="str">
        <f>TEXT(Inventory_Data[[#This Row],[Date]],"YYYY")</f>
        <v>2026</v>
      </c>
    </row>
    <row r="2590" spans="1:17" x14ac:dyDescent="0.3">
      <c r="A2590" s="1">
        <v>46207</v>
      </c>
      <c r="B2590" t="s">
        <v>33</v>
      </c>
      <c r="C2590" t="s">
        <v>13</v>
      </c>
      <c r="D2590" t="s">
        <v>26</v>
      </c>
      <c r="E2590" t="s">
        <v>20</v>
      </c>
      <c r="F2590">
        <v>28</v>
      </c>
      <c r="G2590">
        <v>12</v>
      </c>
      <c r="H2590">
        <v>29</v>
      </c>
      <c r="I2590">
        <v>11</v>
      </c>
      <c r="J2590">
        <v>16</v>
      </c>
      <c r="K2590">
        <v>15345</v>
      </c>
      <c r="L2590">
        <v>168795</v>
      </c>
      <c r="M2590">
        <f>Inventory_Data[[#This Row],[Opening Stock]]+Inventory_Data[[#This Row],[Purchase Qty]]-Inventory_Data[[#This Row],[Sales Qty]]-Inventory_Data[[#This Row],[Closing Stock]]</f>
        <v>0</v>
      </c>
      <c r="N2590">
        <f>Inventory_Data[[#This Row],[Purchase Qty]]*Inventory_Data[[#This Row],[Unit Cost]]</f>
        <v>184140</v>
      </c>
      <c r="O2590" t="str">
        <f>IF(Inventory_Data[[#This Row],[Closing Stock]]&lt;=Inventory_Data[[#This Row],[Reorder Level]],"Low Stock","In Stock")</f>
        <v>Low Stock</v>
      </c>
      <c r="P2590" t="str">
        <f>TEXT(Inventory_Data[[#This Row],[Date]],"MMM")</f>
        <v>Jul</v>
      </c>
      <c r="Q2590" t="str">
        <f>TEXT(Inventory_Data[[#This Row],[Date]],"YYYY")</f>
        <v>2026</v>
      </c>
    </row>
    <row r="2591" spans="1:17" x14ac:dyDescent="0.3">
      <c r="A2591" s="1">
        <v>46208</v>
      </c>
      <c r="B2591" t="s">
        <v>33</v>
      </c>
      <c r="C2591" t="s">
        <v>13</v>
      </c>
      <c r="D2591" t="s">
        <v>23</v>
      </c>
      <c r="E2591" t="s">
        <v>24</v>
      </c>
      <c r="F2591">
        <v>75</v>
      </c>
      <c r="G2591">
        <v>29</v>
      </c>
      <c r="H2591">
        <v>54</v>
      </c>
      <c r="I2591">
        <v>50</v>
      </c>
      <c r="J2591">
        <v>20</v>
      </c>
      <c r="K2591">
        <v>7578</v>
      </c>
      <c r="L2591">
        <v>378900</v>
      </c>
      <c r="M2591">
        <f>Inventory_Data[[#This Row],[Opening Stock]]+Inventory_Data[[#This Row],[Purchase Qty]]-Inventory_Data[[#This Row],[Sales Qty]]-Inventory_Data[[#This Row],[Closing Stock]]</f>
        <v>0</v>
      </c>
      <c r="N2591">
        <f>Inventory_Data[[#This Row],[Purchase Qty]]*Inventory_Data[[#This Row],[Unit Cost]]</f>
        <v>219762</v>
      </c>
      <c r="O2591" t="str">
        <f>IF(Inventory_Data[[#This Row],[Closing Stock]]&lt;=Inventory_Data[[#This Row],[Reorder Level]],"Low Stock","In Stock")</f>
        <v>In Stock</v>
      </c>
      <c r="P2591" t="str">
        <f>TEXT(Inventory_Data[[#This Row],[Date]],"MMM")</f>
        <v>Jul</v>
      </c>
      <c r="Q2591" t="str">
        <f>TEXT(Inventory_Data[[#This Row],[Date]],"YYYY")</f>
        <v>2026</v>
      </c>
    </row>
    <row r="2592" spans="1:17" x14ac:dyDescent="0.3">
      <c r="A2592" s="1">
        <v>46208</v>
      </c>
      <c r="B2592" t="s">
        <v>42</v>
      </c>
      <c r="C2592" t="s">
        <v>17</v>
      </c>
      <c r="D2592" t="s">
        <v>23</v>
      </c>
      <c r="E2592" t="s">
        <v>24</v>
      </c>
      <c r="F2592">
        <v>40</v>
      </c>
      <c r="G2592">
        <v>46</v>
      </c>
      <c r="H2592">
        <v>11</v>
      </c>
      <c r="I2592">
        <v>75</v>
      </c>
      <c r="J2592">
        <v>29</v>
      </c>
      <c r="K2592">
        <v>16377</v>
      </c>
      <c r="L2592">
        <v>1228275</v>
      </c>
      <c r="M2592">
        <f>Inventory_Data[[#This Row],[Opening Stock]]+Inventory_Data[[#This Row],[Purchase Qty]]-Inventory_Data[[#This Row],[Sales Qty]]-Inventory_Data[[#This Row],[Closing Stock]]</f>
        <v>0</v>
      </c>
      <c r="N2592">
        <f>Inventory_Data[[#This Row],[Purchase Qty]]*Inventory_Data[[#This Row],[Unit Cost]]</f>
        <v>753342</v>
      </c>
      <c r="O2592" t="str">
        <f>IF(Inventory_Data[[#This Row],[Closing Stock]]&lt;=Inventory_Data[[#This Row],[Reorder Level]],"Low Stock","In Stock")</f>
        <v>In Stock</v>
      </c>
      <c r="P2592" t="str">
        <f>TEXT(Inventory_Data[[#This Row],[Date]],"MMM")</f>
        <v>Jul</v>
      </c>
      <c r="Q2592" t="str">
        <f>TEXT(Inventory_Data[[#This Row],[Date]],"YYYY")</f>
        <v>2026</v>
      </c>
    </row>
    <row r="2593" spans="1:17" x14ac:dyDescent="0.3">
      <c r="A2593" s="1">
        <v>46208</v>
      </c>
      <c r="B2593" t="s">
        <v>40</v>
      </c>
      <c r="C2593" t="s">
        <v>28</v>
      </c>
      <c r="D2593" t="s">
        <v>26</v>
      </c>
      <c r="E2593" t="s">
        <v>20</v>
      </c>
      <c r="F2593">
        <v>77</v>
      </c>
      <c r="G2593">
        <v>28</v>
      </c>
      <c r="H2593">
        <v>92</v>
      </c>
      <c r="I2593">
        <v>13</v>
      </c>
      <c r="J2593">
        <v>32</v>
      </c>
      <c r="K2593">
        <v>31218</v>
      </c>
      <c r="L2593">
        <v>405834</v>
      </c>
      <c r="M2593">
        <f>Inventory_Data[[#This Row],[Opening Stock]]+Inventory_Data[[#This Row],[Purchase Qty]]-Inventory_Data[[#This Row],[Sales Qty]]-Inventory_Data[[#This Row],[Closing Stock]]</f>
        <v>0</v>
      </c>
      <c r="N2593">
        <f>Inventory_Data[[#This Row],[Purchase Qty]]*Inventory_Data[[#This Row],[Unit Cost]]</f>
        <v>874104</v>
      </c>
      <c r="O2593" t="str">
        <f>IF(Inventory_Data[[#This Row],[Closing Stock]]&lt;=Inventory_Data[[#This Row],[Reorder Level]],"Low Stock","In Stock")</f>
        <v>Low Stock</v>
      </c>
      <c r="P2593" t="str">
        <f>TEXT(Inventory_Data[[#This Row],[Date]],"MMM")</f>
        <v>Jul</v>
      </c>
      <c r="Q2593" t="str">
        <f>TEXT(Inventory_Data[[#This Row],[Date]],"YYYY")</f>
        <v>2026</v>
      </c>
    </row>
    <row r="2594" spans="1:17" x14ac:dyDescent="0.3">
      <c r="A2594" s="1">
        <v>46208</v>
      </c>
      <c r="B2594" t="s">
        <v>36</v>
      </c>
      <c r="C2594" t="s">
        <v>22</v>
      </c>
      <c r="D2594" t="s">
        <v>14</v>
      </c>
      <c r="E2594" t="s">
        <v>29</v>
      </c>
      <c r="F2594">
        <v>464</v>
      </c>
      <c r="G2594">
        <v>111</v>
      </c>
      <c r="H2594">
        <v>267</v>
      </c>
      <c r="I2594">
        <v>308</v>
      </c>
      <c r="J2594">
        <v>142</v>
      </c>
      <c r="K2594">
        <v>608</v>
      </c>
      <c r="L2594">
        <v>187264</v>
      </c>
      <c r="M2594">
        <f>Inventory_Data[[#This Row],[Opening Stock]]+Inventory_Data[[#This Row],[Purchase Qty]]-Inventory_Data[[#This Row],[Sales Qty]]-Inventory_Data[[#This Row],[Closing Stock]]</f>
        <v>0</v>
      </c>
      <c r="N2594">
        <f>Inventory_Data[[#This Row],[Purchase Qty]]*Inventory_Data[[#This Row],[Unit Cost]]</f>
        <v>67488</v>
      </c>
      <c r="O2594" t="str">
        <f>IF(Inventory_Data[[#This Row],[Closing Stock]]&lt;=Inventory_Data[[#This Row],[Reorder Level]],"Low Stock","In Stock")</f>
        <v>In Stock</v>
      </c>
      <c r="P2594" t="str">
        <f>TEXT(Inventory_Data[[#This Row],[Date]],"MMM")</f>
        <v>Jul</v>
      </c>
      <c r="Q2594" t="str">
        <f>TEXT(Inventory_Data[[#This Row],[Date]],"YYYY")</f>
        <v>2026</v>
      </c>
    </row>
    <row r="2595" spans="1:17" x14ac:dyDescent="0.3">
      <c r="A2595" s="1">
        <v>46208</v>
      </c>
      <c r="B2595" t="s">
        <v>27</v>
      </c>
      <c r="C2595" t="s">
        <v>28</v>
      </c>
      <c r="D2595" t="s">
        <v>23</v>
      </c>
      <c r="E2595" t="s">
        <v>18</v>
      </c>
      <c r="F2595">
        <v>156</v>
      </c>
      <c r="G2595">
        <v>108</v>
      </c>
      <c r="H2595">
        <v>81</v>
      </c>
      <c r="I2595">
        <v>183</v>
      </c>
      <c r="J2595">
        <v>37</v>
      </c>
      <c r="K2595">
        <v>57326</v>
      </c>
      <c r="L2595">
        <v>10490658</v>
      </c>
      <c r="M2595">
        <f>Inventory_Data[[#This Row],[Opening Stock]]+Inventory_Data[[#This Row],[Purchase Qty]]-Inventory_Data[[#This Row],[Sales Qty]]-Inventory_Data[[#This Row],[Closing Stock]]</f>
        <v>0</v>
      </c>
      <c r="N2595">
        <f>Inventory_Data[[#This Row],[Purchase Qty]]*Inventory_Data[[#This Row],[Unit Cost]]</f>
        <v>6191208</v>
      </c>
      <c r="O2595" t="str">
        <f>IF(Inventory_Data[[#This Row],[Closing Stock]]&lt;=Inventory_Data[[#This Row],[Reorder Level]],"Low Stock","In Stock")</f>
        <v>In Stock</v>
      </c>
      <c r="P2595" t="str">
        <f>TEXT(Inventory_Data[[#This Row],[Date]],"MMM")</f>
        <v>Jul</v>
      </c>
      <c r="Q2595" t="str">
        <f>TEXT(Inventory_Data[[#This Row],[Date]],"YYYY")</f>
        <v>2026</v>
      </c>
    </row>
    <row r="2596" spans="1:17" x14ac:dyDescent="0.3">
      <c r="A2596" s="1">
        <v>46208</v>
      </c>
      <c r="B2596" t="s">
        <v>16</v>
      </c>
      <c r="C2596" t="s">
        <v>17</v>
      </c>
      <c r="D2596" t="s">
        <v>14</v>
      </c>
      <c r="E2596" t="s">
        <v>34</v>
      </c>
      <c r="F2596">
        <v>12</v>
      </c>
      <c r="G2596">
        <v>14</v>
      </c>
      <c r="H2596">
        <v>4</v>
      </c>
      <c r="I2596">
        <v>22</v>
      </c>
      <c r="J2596">
        <v>12</v>
      </c>
      <c r="K2596">
        <v>6257</v>
      </c>
      <c r="L2596">
        <v>137654</v>
      </c>
      <c r="M2596">
        <f>Inventory_Data[[#This Row],[Opening Stock]]+Inventory_Data[[#This Row],[Purchase Qty]]-Inventory_Data[[#This Row],[Sales Qty]]-Inventory_Data[[#This Row],[Closing Stock]]</f>
        <v>0</v>
      </c>
      <c r="N2596">
        <f>Inventory_Data[[#This Row],[Purchase Qty]]*Inventory_Data[[#This Row],[Unit Cost]]</f>
        <v>87598</v>
      </c>
      <c r="O2596" t="str">
        <f>IF(Inventory_Data[[#This Row],[Closing Stock]]&lt;=Inventory_Data[[#This Row],[Reorder Level]],"Low Stock","In Stock")</f>
        <v>In Stock</v>
      </c>
      <c r="P2596" t="str">
        <f>TEXT(Inventory_Data[[#This Row],[Date]],"MMM")</f>
        <v>Jul</v>
      </c>
      <c r="Q2596" t="str">
        <f>TEXT(Inventory_Data[[#This Row],[Date]],"YYYY")</f>
        <v>2026</v>
      </c>
    </row>
    <row r="2597" spans="1:17" x14ac:dyDescent="0.3">
      <c r="A2597" s="1">
        <v>46208</v>
      </c>
      <c r="B2597" t="s">
        <v>19</v>
      </c>
      <c r="C2597" t="s">
        <v>13</v>
      </c>
      <c r="D2597" t="s">
        <v>14</v>
      </c>
      <c r="E2597" t="s">
        <v>18</v>
      </c>
      <c r="F2597">
        <v>96</v>
      </c>
      <c r="G2597">
        <v>5</v>
      </c>
      <c r="H2597">
        <v>13</v>
      </c>
      <c r="I2597">
        <v>88</v>
      </c>
      <c r="J2597">
        <v>39</v>
      </c>
      <c r="K2597">
        <v>8855</v>
      </c>
      <c r="L2597">
        <v>779240</v>
      </c>
      <c r="M2597">
        <f>Inventory_Data[[#This Row],[Opening Stock]]+Inventory_Data[[#This Row],[Purchase Qty]]-Inventory_Data[[#This Row],[Sales Qty]]-Inventory_Data[[#This Row],[Closing Stock]]</f>
        <v>0</v>
      </c>
      <c r="N2597">
        <f>Inventory_Data[[#This Row],[Purchase Qty]]*Inventory_Data[[#This Row],[Unit Cost]]</f>
        <v>44275</v>
      </c>
      <c r="O2597" t="str">
        <f>IF(Inventory_Data[[#This Row],[Closing Stock]]&lt;=Inventory_Data[[#This Row],[Reorder Level]],"Low Stock","In Stock")</f>
        <v>In Stock</v>
      </c>
      <c r="P2597" t="str">
        <f>TEXT(Inventory_Data[[#This Row],[Date]],"MMM")</f>
        <v>Jul</v>
      </c>
      <c r="Q2597" t="str">
        <f>TEXT(Inventory_Data[[#This Row],[Date]],"YYYY")</f>
        <v>2026</v>
      </c>
    </row>
    <row r="2598" spans="1:17" x14ac:dyDescent="0.3">
      <c r="A2598" s="1">
        <v>46209</v>
      </c>
      <c r="B2598" t="s">
        <v>25</v>
      </c>
      <c r="C2598" t="s">
        <v>17</v>
      </c>
      <c r="D2598" t="s">
        <v>14</v>
      </c>
      <c r="E2598" t="s">
        <v>24</v>
      </c>
      <c r="F2598">
        <v>76</v>
      </c>
      <c r="G2598">
        <v>29</v>
      </c>
      <c r="H2598">
        <v>39</v>
      </c>
      <c r="I2598">
        <v>66</v>
      </c>
      <c r="J2598">
        <v>29</v>
      </c>
      <c r="K2598">
        <v>21960</v>
      </c>
      <c r="L2598">
        <v>1449360</v>
      </c>
      <c r="M2598">
        <f>Inventory_Data[[#This Row],[Opening Stock]]+Inventory_Data[[#This Row],[Purchase Qty]]-Inventory_Data[[#This Row],[Sales Qty]]-Inventory_Data[[#This Row],[Closing Stock]]</f>
        <v>0</v>
      </c>
      <c r="N2598">
        <f>Inventory_Data[[#This Row],[Purchase Qty]]*Inventory_Data[[#This Row],[Unit Cost]]</f>
        <v>636840</v>
      </c>
      <c r="O2598" t="str">
        <f>IF(Inventory_Data[[#This Row],[Closing Stock]]&lt;=Inventory_Data[[#This Row],[Reorder Level]],"Low Stock","In Stock")</f>
        <v>In Stock</v>
      </c>
      <c r="P2598" t="str">
        <f>TEXT(Inventory_Data[[#This Row],[Date]],"MMM")</f>
        <v>Jul</v>
      </c>
      <c r="Q2598" t="str">
        <f>TEXT(Inventory_Data[[#This Row],[Date]],"YYYY")</f>
        <v>2026</v>
      </c>
    </row>
    <row r="2599" spans="1:17" x14ac:dyDescent="0.3">
      <c r="A2599" s="1">
        <v>46209</v>
      </c>
      <c r="B2599" t="s">
        <v>43</v>
      </c>
      <c r="C2599" t="s">
        <v>22</v>
      </c>
      <c r="D2599" t="s">
        <v>14</v>
      </c>
      <c r="E2599" t="s">
        <v>34</v>
      </c>
      <c r="F2599">
        <v>87</v>
      </c>
      <c r="G2599">
        <v>77</v>
      </c>
      <c r="H2599">
        <v>164</v>
      </c>
      <c r="I2599">
        <v>0</v>
      </c>
      <c r="J2599">
        <v>130</v>
      </c>
      <c r="K2599">
        <v>606</v>
      </c>
      <c r="L2599">
        <v>0</v>
      </c>
      <c r="M2599">
        <f>Inventory_Data[[#This Row],[Opening Stock]]+Inventory_Data[[#This Row],[Purchase Qty]]-Inventory_Data[[#This Row],[Sales Qty]]-Inventory_Data[[#This Row],[Closing Stock]]</f>
        <v>0</v>
      </c>
      <c r="N2599">
        <f>Inventory_Data[[#This Row],[Purchase Qty]]*Inventory_Data[[#This Row],[Unit Cost]]</f>
        <v>46662</v>
      </c>
      <c r="O2599" t="str">
        <f>IF(Inventory_Data[[#This Row],[Closing Stock]]&lt;=Inventory_Data[[#This Row],[Reorder Level]],"Low Stock","In Stock")</f>
        <v>Low Stock</v>
      </c>
      <c r="P2599" t="str">
        <f>TEXT(Inventory_Data[[#This Row],[Date]],"MMM")</f>
        <v>Jul</v>
      </c>
      <c r="Q2599" t="str">
        <f>TEXT(Inventory_Data[[#This Row],[Date]],"YYYY")</f>
        <v>2026</v>
      </c>
    </row>
    <row r="2600" spans="1:17" x14ac:dyDescent="0.3">
      <c r="A2600" s="1">
        <v>46209</v>
      </c>
      <c r="B2600" t="s">
        <v>33</v>
      </c>
      <c r="C2600" t="s">
        <v>13</v>
      </c>
      <c r="D2600" t="s">
        <v>26</v>
      </c>
      <c r="E2600" t="s">
        <v>15</v>
      </c>
      <c r="F2600">
        <v>79</v>
      </c>
      <c r="G2600">
        <v>46</v>
      </c>
      <c r="H2600">
        <v>32</v>
      </c>
      <c r="I2600">
        <v>93</v>
      </c>
      <c r="J2600">
        <v>19</v>
      </c>
      <c r="K2600">
        <v>3494</v>
      </c>
      <c r="L2600">
        <v>324942</v>
      </c>
      <c r="M2600">
        <f>Inventory_Data[[#This Row],[Opening Stock]]+Inventory_Data[[#This Row],[Purchase Qty]]-Inventory_Data[[#This Row],[Sales Qty]]-Inventory_Data[[#This Row],[Closing Stock]]</f>
        <v>0</v>
      </c>
      <c r="N2600">
        <f>Inventory_Data[[#This Row],[Purchase Qty]]*Inventory_Data[[#This Row],[Unit Cost]]</f>
        <v>160724</v>
      </c>
      <c r="O2600" t="str">
        <f>IF(Inventory_Data[[#This Row],[Closing Stock]]&lt;=Inventory_Data[[#This Row],[Reorder Level]],"Low Stock","In Stock")</f>
        <v>In Stock</v>
      </c>
      <c r="P2600" t="str">
        <f>TEXT(Inventory_Data[[#This Row],[Date]],"MMM")</f>
        <v>Jul</v>
      </c>
      <c r="Q2600" t="str">
        <f>TEXT(Inventory_Data[[#This Row],[Date]],"YYYY")</f>
        <v>2026</v>
      </c>
    </row>
    <row r="2601" spans="1:17" x14ac:dyDescent="0.3">
      <c r="A2601" s="1">
        <v>46209</v>
      </c>
      <c r="B2601" t="s">
        <v>30</v>
      </c>
      <c r="C2601" t="s">
        <v>28</v>
      </c>
      <c r="D2601" t="s">
        <v>14</v>
      </c>
      <c r="E2601" t="s">
        <v>34</v>
      </c>
      <c r="F2601">
        <v>40</v>
      </c>
      <c r="G2601">
        <v>24</v>
      </c>
      <c r="H2601">
        <v>30</v>
      </c>
      <c r="I2601">
        <v>34</v>
      </c>
      <c r="J2601">
        <v>55</v>
      </c>
      <c r="K2601">
        <v>20775</v>
      </c>
      <c r="L2601">
        <v>706350</v>
      </c>
      <c r="M2601">
        <f>Inventory_Data[[#This Row],[Opening Stock]]+Inventory_Data[[#This Row],[Purchase Qty]]-Inventory_Data[[#This Row],[Sales Qty]]-Inventory_Data[[#This Row],[Closing Stock]]</f>
        <v>0</v>
      </c>
      <c r="N2601">
        <f>Inventory_Data[[#This Row],[Purchase Qty]]*Inventory_Data[[#This Row],[Unit Cost]]</f>
        <v>498600</v>
      </c>
      <c r="O2601" t="str">
        <f>IF(Inventory_Data[[#This Row],[Closing Stock]]&lt;=Inventory_Data[[#This Row],[Reorder Level]],"Low Stock","In Stock")</f>
        <v>Low Stock</v>
      </c>
      <c r="P2601" t="str">
        <f>TEXT(Inventory_Data[[#This Row],[Date]],"MMM")</f>
        <v>Jul</v>
      </c>
      <c r="Q2601" t="str">
        <f>TEXT(Inventory_Data[[#This Row],[Date]],"YYYY")</f>
        <v>2026</v>
      </c>
    </row>
    <row r="2602" spans="1:17" x14ac:dyDescent="0.3">
      <c r="A2602" s="1">
        <v>46209</v>
      </c>
      <c r="B2602" t="s">
        <v>19</v>
      </c>
      <c r="C2602" t="s">
        <v>13</v>
      </c>
      <c r="D2602" t="s">
        <v>23</v>
      </c>
      <c r="E2602" t="s">
        <v>24</v>
      </c>
      <c r="F2602">
        <v>116</v>
      </c>
      <c r="G2602">
        <v>34</v>
      </c>
      <c r="H2602">
        <v>12</v>
      </c>
      <c r="I2602">
        <v>138</v>
      </c>
      <c r="J2602">
        <v>21</v>
      </c>
      <c r="K2602">
        <v>4249</v>
      </c>
      <c r="L2602">
        <v>586362</v>
      </c>
      <c r="M2602">
        <f>Inventory_Data[[#This Row],[Opening Stock]]+Inventory_Data[[#This Row],[Purchase Qty]]-Inventory_Data[[#This Row],[Sales Qty]]-Inventory_Data[[#This Row],[Closing Stock]]</f>
        <v>0</v>
      </c>
      <c r="N2602">
        <f>Inventory_Data[[#This Row],[Purchase Qty]]*Inventory_Data[[#This Row],[Unit Cost]]</f>
        <v>144466</v>
      </c>
      <c r="O2602" t="str">
        <f>IF(Inventory_Data[[#This Row],[Closing Stock]]&lt;=Inventory_Data[[#This Row],[Reorder Level]],"Low Stock","In Stock")</f>
        <v>In Stock</v>
      </c>
      <c r="P2602" t="str">
        <f>TEXT(Inventory_Data[[#This Row],[Date]],"MMM")</f>
        <v>Jul</v>
      </c>
      <c r="Q2602" t="str">
        <f>TEXT(Inventory_Data[[#This Row],[Date]],"YYYY")</f>
        <v>2026</v>
      </c>
    </row>
    <row r="2603" spans="1:17" x14ac:dyDescent="0.3">
      <c r="A2603" s="1">
        <v>46210</v>
      </c>
      <c r="B2603" t="s">
        <v>39</v>
      </c>
      <c r="C2603" t="s">
        <v>28</v>
      </c>
      <c r="D2603" t="s">
        <v>37</v>
      </c>
      <c r="E2603" t="s">
        <v>18</v>
      </c>
      <c r="F2603">
        <v>67</v>
      </c>
      <c r="G2603">
        <v>40</v>
      </c>
      <c r="H2603">
        <v>40</v>
      </c>
      <c r="I2603">
        <v>67</v>
      </c>
      <c r="J2603">
        <v>52</v>
      </c>
      <c r="K2603">
        <v>63883</v>
      </c>
      <c r="L2603">
        <v>4280161</v>
      </c>
      <c r="M2603">
        <f>Inventory_Data[[#This Row],[Opening Stock]]+Inventory_Data[[#This Row],[Purchase Qty]]-Inventory_Data[[#This Row],[Sales Qty]]-Inventory_Data[[#This Row],[Closing Stock]]</f>
        <v>0</v>
      </c>
      <c r="N2603">
        <f>Inventory_Data[[#This Row],[Purchase Qty]]*Inventory_Data[[#This Row],[Unit Cost]]</f>
        <v>2555320</v>
      </c>
      <c r="O2603" t="str">
        <f>IF(Inventory_Data[[#This Row],[Closing Stock]]&lt;=Inventory_Data[[#This Row],[Reorder Level]],"Low Stock","In Stock")</f>
        <v>In Stock</v>
      </c>
      <c r="P2603" t="str">
        <f>TEXT(Inventory_Data[[#This Row],[Date]],"MMM")</f>
        <v>Jul</v>
      </c>
      <c r="Q2603" t="str">
        <f>TEXT(Inventory_Data[[#This Row],[Date]],"YYYY")</f>
        <v>2026</v>
      </c>
    </row>
    <row r="2604" spans="1:17" x14ac:dyDescent="0.3">
      <c r="A2604" s="1">
        <v>46210</v>
      </c>
      <c r="B2604" t="s">
        <v>31</v>
      </c>
      <c r="C2604" t="s">
        <v>22</v>
      </c>
      <c r="D2604" t="s">
        <v>23</v>
      </c>
      <c r="E2604" t="s">
        <v>15</v>
      </c>
      <c r="F2604">
        <v>448</v>
      </c>
      <c r="G2604">
        <v>201</v>
      </c>
      <c r="H2604">
        <v>195</v>
      </c>
      <c r="I2604">
        <v>454</v>
      </c>
      <c r="J2604">
        <v>99</v>
      </c>
      <c r="K2604">
        <v>745</v>
      </c>
      <c r="L2604">
        <v>338230</v>
      </c>
      <c r="M2604">
        <f>Inventory_Data[[#This Row],[Opening Stock]]+Inventory_Data[[#This Row],[Purchase Qty]]-Inventory_Data[[#This Row],[Sales Qty]]-Inventory_Data[[#This Row],[Closing Stock]]</f>
        <v>0</v>
      </c>
      <c r="N2604">
        <f>Inventory_Data[[#This Row],[Purchase Qty]]*Inventory_Data[[#This Row],[Unit Cost]]</f>
        <v>149745</v>
      </c>
      <c r="O2604" t="str">
        <f>IF(Inventory_Data[[#This Row],[Closing Stock]]&lt;=Inventory_Data[[#This Row],[Reorder Level]],"Low Stock","In Stock")</f>
        <v>In Stock</v>
      </c>
      <c r="P2604" t="str">
        <f>TEXT(Inventory_Data[[#This Row],[Date]],"MMM")</f>
        <v>Jul</v>
      </c>
      <c r="Q2604" t="str">
        <f>TEXT(Inventory_Data[[#This Row],[Date]],"YYYY")</f>
        <v>2026</v>
      </c>
    </row>
    <row r="2605" spans="1:17" x14ac:dyDescent="0.3">
      <c r="A2605" s="1">
        <v>46210</v>
      </c>
      <c r="B2605" t="s">
        <v>25</v>
      </c>
      <c r="C2605" t="s">
        <v>17</v>
      </c>
      <c r="D2605" t="s">
        <v>14</v>
      </c>
      <c r="E2605" t="s">
        <v>20</v>
      </c>
      <c r="F2605">
        <v>64</v>
      </c>
      <c r="G2605">
        <v>41</v>
      </c>
      <c r="H2605">
        <v>23</v>
      </c>
      <c r="I2605">
        <v>82</v>
      </c>
      <c r="J2605">
        <v>26</v>
      </c>
      <c r="K2605">
        <v>14555</v>
      </c>
      <c r="L2605">
        <v>1193510</v>
      </c>
      <c r="M2605">
        <f>Inventory_Data[[#This Row],[Opening Stock]]+Inventory_Data[[#This Row],[Purchase Qty]]-Inventory_Data[[#This Row],[Sales Qty]]-Inventory_Data[[#This Row],[Closing Stock]]</f>
        <v>0</v>
      </c>
      <c r="N2605">
        <f>Inventory_Data[[#This Row],[Purchase Qty]]*Inventory_Data[[#This Row],[Unit Cost]]</f>
        <v>596755</v>
      </c>
      <c r="O2605" t="str">
        <f>IF(Inventory_Data[[#This Row],[Closing Stock]]&lt;=Inventory_Data[[#This Row],[Reorder Level]],"Low Stock","In Stock")</f>
        <v>In Stock</v>
      </c>
      <c r="P2605" t="str">
        <f>TEXT(Inventory_Data[[#This Row],[Date]],"MMM")</f>
        <v>Jul</v>
      </c>
      <c r="Q2605" t="str">
        <f>TEXT(Inventory_Data[[#This Row],[Date]],"YYYY")</f>
        <v>2026</v>
      </c>
    </row>
    <row r="2606" spans="1:17" x14ac:dyDescent="0.3">
      <c r="A2606" s="1">
        <v>46210</v>
      </c>
      <c r="B2606" t="s">
        <v>40</v>
      </c>
      <c r="C2606" t="s">
        <v>28</v>
      </c>
      <c r="D2606" t="s">
        <v>23</v>
      </c>
      <c r="E2606" t="s">
        <v>24</v>
      </c>
      <c r="F2606">
        <v>55</v>
      </c>
      <c r="G2606">
        <v>112</v>
      </c>
      <c r="H2606">
        <v>40</v>
      </c>
      <c r="I2606">
        <v>127</v>
      </c>
      <c r="J2606">
        <v>42</v>
      </c>
      <c r="K2606">
        <v>2442</v>
      </c>
      <c r="L2606">
        <v>310134</v>
      </c>
      <c r="M2606">
        <f>Inventory_Data[[#This Row],[Opening Stock]]+Inventory_Data[[#This Row],[Purchase Qty]]-Inventory_Data[[#This Row],[Sales Qty]]-Inventory_Data[[#This Row],[Closing Stock]]</f>
        <v>0</v>
      </c>
      <c r="N2606">
        <f>Inventory_Data[[#This Row],[Purchase Qty]]*Inventory_Data[[#This Row],[Unit Cost]]</f>
        <v>273504</v>
      </c>
      <c r="O2606" t="str">
        <f>IF(Inventory_Data[[#This Row],[Closing Stock]]&lt;=Inventory_Data[[#This Row],[Reorder Level]],"Low Stock","In Stock")</f>
        <v>In Stock</v>
      </c>
      <c r="P2606" t="str">
        <f>TEXT(Inventory_Data[[#This Row],[Date]],"MMM")</f>
        <v>Jul</v>
      </c>
      <c r="Q2606" t="str">
        <f>TEXT(Inventory_Data[[#This Row],[Date]],"YYYY")</f>
        <v>2026</v>
      </c>
    </row>
    <row r="2607" spans="1:17" x14ac:dyDescent="0.3">
      <c r="A2607" s="1">
        <v>46210</v>
      </c>
      <c r="B2607" t="s">
        <v>44</v>
      </c>
      <c r="C2607" t="s">
        <v>28</v>
      </c>
      <c r="D2607" t="s">
        <v>37</v>
      </c>
      <c r="E2607" t="s">
        <v>20</v>
      </c>
      <c r="F2607">
        <v>152</v>
      </c>
      <c r="G2607">
        <v>75</v>
      </c>
      <c r="H2607">
        <v>17</v>
      </c>
      <c r="I2607">
        <v>210</v>
      </c>
      <c r="J2607">
        <v>37</v>
      </c>
      <c r="K2607">
        <v>41694</v>
      </c>
      <c r="L2607">
        <v>8755740</v>
      </c>
      <c r="M2607">
        <f>Inventory_Data[[#This Row],[Opening Stock]]+Inventory_Data[[#This Row],[Purchase Qty]]-Inventory_Data[[#This Row],[Sales Qty]]-Inventory_Data[[#This Row],[Closing Stock]]</f>
        <v>0</v>
      </c>
      <c r="N2607">
        <f>Inventory_Data[[#This Row],[Purchase Qty]]*Inventory_Data[[#This Row],[Unit Cost]]</f>
        <v>3127050</v>
      </c>
      <c r="O2607" t="str">
        <f>IF(Inventory_Data[[#This Row],[Closing Stock]]&lt;=Inventory_Data[[#This Row],[Reorder Level]],"Low Stock","In Stock")</f>
        <v>In Stock</v>
      </c>
      <c r="P2607" t="str">
        <f>TEXT(Inventory_Data[[#This Row],[Date]],"MMM")</f>
        <v>Jul</v>
      </c>
      <c r="Q2607" t="str">
        <f>TEXT(Inventory_Data[[#This Row],[Date]],"YYYY")</f>
        <v>2026</v>
      </c>
    </row>
    <row r="2608" spans="1:17" x14ac:dyDescent="0.3">
      <c r="A2608" s="1">
        <v>46211</v>
      </c>
      <c r="B2608" t="s">
        <v>40</v>
      </c>
      <c r="C2608" t="s">
        <v>28</v>
      </c>
      <c r="D2608" t="s">
        <v>37</v>
      </c>
      <c r="E2608" t="s">
        <v>24</v>
      </c>
      <c r="F2608">
        <v>34</v>
      </c>
      <c r="G2608">
        <v>38</v>
      </c>
      <c r="H2608">
        <v>37</v>
      </c>
      <c r="I2608">
        <v>35</v>
      </c>
      <c r="J2608">
        <v>49</v>
      </c>
      <c r="K2608">
        <v>60179</v>
      </c>
      <c r="L2608">
        <v>2106265</v>
      </c>
      <c r="M2608">
        <f>Inventory_Data[[#This Row],[Opening Stock]]+Inventory_Data[[#This Row],[Purchase Qty]]-Inventory_Data[[#This Row],[Sales Qty]]-Inventory_Data[[#This Row],[Closing Stock]]</f>
        <v>0</v>
      </c>
      <c r="N2608">
        <f>Inventory_Data[[#This Row],[Purchase Qty]]*Inventory_Data[[#This Row],[Unit Cost]]</f>
        <v>2286802</v>
      </c>
      <c r="O2608" t="str">
        <f>IF(Inventory_Data[[#This Row],[Closing Stock]]&lt;=Inventory_Data[[#This Row],[Reorder Level]],"Low Stock","In Stock")</f>
        <v>Low Stock</v>
      </c>
      <c r="P2608" t="str">
        <f>TEXT(Inventory_Data[[#This Row],[Date]],"MMM")</f>
        <v>Jul</v>
      </c>
      <c r="Q2608" t="str">
        <f>TEXT(Inventory_Data[[#This Row],[Date]],"YYYY")</f>
        <v>2026</v>
      </c>
    </row>
    <row r="2609" spans="1:17" x14ac:dyDescent="0.3">
      <c r="A2609" s="1">
        <v>46211</v>
      </c>
      <c r="B2609" t="s">
        <v>36</v>
      </c>
      <c r="C2609" t="s">
        <v>22</v>
      </c>
      <c r="D2609" t="s">
        <v>37</v>
      </c>
      <c r="E2609" t="s">
        <v>15</v>
      </c>
      <c r="F2609">
        <v>415</v>
      </c>
      <c r="G2609">
        <v>257</v>
      </c>
      <c r="H2609">
        <v>203</v>
      </c>
      <c r="I2609">
        <v>469</v>
      </c>
      <c r="J2609">
        <v>126</v>
      </c>
      <c r="K2609">
        <v>549</v>
      </c>
      <c r="L2609">
        <v>257481</v>
      </c>
      <c r="M2609">
        <f>Inventory_Data[[#This Row],[Opening Stock]]+Inventory_Data[[#This Row],[Purchase Qty]]-Inventory_Data[[#This Row],[Sales Qty]]-Inventory_Data[[#This Row],[Closing Stock]]</f>
        <v>0</v>
      </c>
      <c r="N2609">
        <f>Inventory_Data[[#This Row],[Purchase Qty]]*Inventory_Data[[#This Row],[Unit Cost]]</f>
        <v>141093</v>
      </c>
      <c r="O2609" t="str">
        <f>IF(Inventory_Data[[#This Row],[Closing Stock]]&lt;=Inventory_Data[[#This Row],[Reorder Level]],"Low Stock","In Stock")</f>
        <v>In Stock</v>
      </c>
      <c r="P2609" t="str">
        <f>TEXT(Inventory_Data[[#This Row],[Date]],"MMM")</f>
        <v>Jul</v>
      </c>
      <c r="Q2609" t="str">
        <f>TEXT(Inventory_Data[[#This Row],[Date]],"YYYY")</f>
        <v>2026</v>
      </c>
    </row>
    <row r="2610" spans="1:17" x14ac:dyDescent="0.3">
      <c r="A2610" s="1">
        <v>46211</v>
      </c>
      <c r="B2610" t="s">
        <v>41</v>
      </c>
      <c r="C2610" t="s">
        <v>22</v>
      </c>
      <c r="D2610" t="s">
        <v>26</v>
      </c>
      <c r="E2610" t="s">
        <v>15</v>
      </c>
      <c r="F2610">
        <v>168</v>
      </c>
      <c r="G2610">
        <v>198</v>
      </c>
      <c r="H2610">
        <v>117</v>
      </c>
      <c r="I2610">
        <v>249</v>
      </c>
      <c r="J2610">
        <v>97</v>
      </c>
      <c r="K2610">
        <v>166</v>
      </c>
      <c r="L2610">
        <v>41334</v>
      </c>
      <c r="M2610">
        <f>Inventory_Data[[#This Row],[Opening Stock]]+Inventory_Data[[#This Row],[Purchase Qty]]-Inventory_Data[[#This Row],[Sales Qty]]-Inventory_Data[[#This Row],[Closing Stock]]</f>
        <v>0</v>
      </c>
      <c r="N2610">
        <f>Inventory_Data[[#This Row],[Purchase Qty]]*Inventory_Data[[#This Row],[Unit Cost]]</f>
        <v>32868</v>
      </c>
      <c r="O2610" t="str">
        <f>IF(Inventory_Data[[#This Row],[Closing Stock]]&lt;=Inventory_Data[[#This Row],[Reorder Level]],"Low Stock","In Stock")</f>
        <v>In Stock</v>
      </c>
      <c r="P2610" t="str">
        <f>TEXT(Inventory_Data[[#This Row],[Date]],"MMM")</f>
        <v>Jul</v>
      </c>
      <c r="Q2610" t="str">
        <f>TEXT(Inventory_Data[[#This Row],[Date]],"YYYY")</f>
        <v>2026</v>
      </c>
    </row>
    <row r="2611" spans="1:17" x14ac:dyDescent="0.3">
      <c r="A2611" s="1">
        <v>46211</v>
      </c>
      <c r="B2611" t="s">
        <v>44</v>
      </c>
      <c r="C2611" t="s">
        <v>28</v>
      </c>
      <c r="D2611" t="s">
        <v>26</v>
      </c>
      <c r="E2611" t="s">
        <v>18</v>
      </c>
      <c r="F2611">
        <v>113</v>
      </c>
      <c r="G2611">
        <v>81</v>
      </c>
      <c r="H2611">
        <v>44</v>
      </c>
      <c r="I2611">
        <v>150</v>
      </c>
      <c r="J2611">
        <v>25</v>
      </c>
      <c r="K2611">
        <v>40678</v>
      </c>
      <c r="L2611">
        <v>6101700</v>
      </c>
      <c r="M2611">
        <f>Inventory_Data[[#This Row],[Opening Stock]]+Inventory_Data[[#This Row],[Purchase Qty]]-Inventory_Data[[#This Row],[Sales Qty]]-Inventory_Data[[#This Row],[Closing Stock]]</f>
        <v>0</v>
      </c>
      <c r="N2611">
        <f>Inventory_Data[[#This Row],[Purchase Qty]]*Inventory_Data[[#This Row],[Unit Cost]]</f>
        <v>3294918</v>
      </c>
      <c r="O2611" t="str">
        <f>IF(Inventory_Data[[#This Row],[Closing Stock]]&lt;=Inventory_Data[[#This Row],[Reorder Level]],"Low Stock","In Stock")</f>
        <v>In Stock</v>
      </c>
      <c r="P2611" t="str">
        <f>TEXT(Inventory_Data[[#This Row],[Date]],"MMM")</f>
        <v>Jul</v>
      </c>
      <c r="Q2611" t="str">
        <f>TEXT(Inventory_Data[[#This Row],[Date]],"YYYY")</f>
        <v>2026</v>
      </c>
    </row>
    <row r="2612" spans="1:17" x14ac:dyDescent="0.3">
      <c r="A2612" s="1">
        <v>46211</v>
      </c>
      <c r="B2612" t="s">
        <v>21</v>
      </c>
      <c r="C2612" t="s">
        <v>22</v>
      </c>
      <c r="D2612" t="s">
        <v>26</v>
      </c>
      <c r="E2612" t="s">
        <v>18</v>
      </c>
      <c r="F2612">
        <v>346</v>
      </c>
      <c r="G2612">
        <v>118</v>
      </c>
      <c r="H2612">
        <v>227</v>
      </c>
      <c r="I2612">
        <v>237</v>
      </c>
      <c r="J2612">
        <v>107</v>
      </c>
      <c r="K2612">
        <v>1040</v>
      </c>
      <c r="L2612">
        <v>246480</v>
      </c>
      <c r="M2612">
        <f>Inventory_Data[[#This Row],[Opening Stock]]+Inventory_Data[[#This Row],[Purchase Qty]]-Inventory_Data[[#This Row],[Sales Qty]]-Inventory_Data[[#This Row],[Closing Stock]]</f>
        <v>0</v>
      </c>
      <c r="N2612">
        <f>Inventory_Data[[#This Row],[Purchase Qty]]*Inventory_Data[[#This Row],[Unit Cost]]</f>
        <v>122720</v>
      </c>
      <c r="O2612" t="str">
        <f>IF(Inventory_Data[[#This Row],[Closing Stock]]&lt;=Inventory_Data[[#This Row],[Reorder Level]],"Low Stock","In Stock")</f>
        <v>In Stock</v>
      </c>
      <c r="P2612" t="str">
        <f>TEXT(Inventory_Data[[#This Row],[Date]],"MMM")</f>
        <v>Jul</v>
      </c>
      <c r="Q2612" t="str">
        <f>TEXT(Inventory_Data[[#This Row],[Date]],"YYYY")</f>
        <v>2026</v>
      </c>
    </row>
    <row r="2613" spans="1:17" x14ac:dyDescent="0.3">
      <c r="A2613" s="1">
        <v>46211</v>
      </c>
      <c r="B2613" t="s">
        <v>40</v>
      </c>
      <c r="C2613" t="s">
        <v>28</v>
      </c>
      <c r="D2613" t="s">
        <v>26</v>
      </c>
      <c r="E2613" t="s">
        <v>20</v>
      </c>
      <c r="F2613">
        <v>160</v>
      </c>
      <c r="G2613">
        <v>114</v>
      </c>
      <c r="H2613">
        <v>68</v>
      </c>
      <c r="I2613">
        <v>206</v>
      </c>
      <c r="J2613">
        <v>28</v>
      </c>
      <c r="K2613">
        <v>33584</v>
      </c>
      <c r="L2613">
        <v>6918304</v>
      </c>
      <c r="M2613">
        <f>Inventory_Data[[#This Row],[Opening Stock]]+Inventory_Data[[#This Row],[Purchase Qty]]-Inventory_Data[[#This Row],[Sales Qty]]-Inventory_Data[[#This Row],[Closing Stock]]</f>
        <v>0</v>
      </c>
      <c r="N2613">
        <f>Inventory_Data[[#This Row],[Purchase Qty]]*Inventory_Data[[#This Row],[Unit Cost]]</f>
        <v>3828576</v>
      </c>
      <c r="O2613" t="str">
        <f>IF(Inventory_Data[[#This Row],[Closing Stock]]&lt;=Inventory_Data[[#This Row],[Reorder Level]],"Low Stock","In Stock")</f>
        <v>In Stock</v>
      </c>
      <c r="P2613" t="str">
        <f>TEXT(Inventory_Data[[#This Row],[Date]],"MMM")</f>
        <v>Jul</v>
      </c>
      <c r="Q2613" t="str">
        <f>TEXT(Inventory_Data[[#This Row],[Date]],"YYYY")</f>
        <v>2026</v>
      </c>
    </row>
    <row r="2614" spans="1:17" x14ac:dyDescent="0.3">
      <c r="A2614" s="1">
        <v>46211</v>
      </c>
      <c r="B2614" t="s">
        <v>12</v>
      </c>
      <c r="C2614" t="s">
        <v>13</v>
      </c>
      <c r="D2614" t="s">
        <v>23</v>
      </c>
      <c r="E2614" t="s">
        <v>24</v>
      </c>
      <c r="F2614">
        <v>55</v>
      </c>
      <c r="G2614">
        <v>10</v>
      </c>
      <c r="H2614">
        <v>54</v>
      </c>
      <c r="I2614">
        <v>11</v>
      </c>
      <c r="J2614">
        <v>16</v>
      </c>
      <c r="K2614">
        <v>16379</v>
      </c>
      <c r="L2614">
        <v>180169</v>
      </c>
      <c r="M2614">
        <f>Inventory_Data[[#This Row],[Opening Stock]]+Inventory_Data[[#This Row],[Purchase Qty]]-Inventory_Data[[#This Row],[Sales Qty]]-Inventory_Data[[#This Row],[Closing Stock]]</f>
        <v>0</v>
      </c>
      <c r="N2614">
        <f>Inventory_Data[[#This Row],[Purchase Qty]]*Inventory_Data[[#This Row],[Unit Cost]]</f>
        <v>163790</v>
      </c>
      <c r="O2614" t="str">
        <f>IF(Inventory_Data[[#This Row],[Closing Stock]]&lt;=Inventory_Data[[#This Row],[Reorder Level]],"Low Stock","In Stock")</f>
        <v>Low Stock</v>
      </c>
      <c r="P2614" t="str">
        <f>TEXT(Inventory_Data[[#This Row],[Date]],"MMM")</f>
        <v>Jul</v>
      </c>
      <c r="Q2614" t="str">
        <f>TEXT(Inventory_Data[[#This Row],[Date]],"YYYY")</f>
        <v>2026</v>
      </c>
    </row>
    <row r="2615" spans="1:17" x14ac:dyDescent="0.3">
      <c r="A2615" s="1">
        <v>46212</v>
      </c>
      <c r="B2615" t="s">
        <v>25</v>
      </c>
      <c r="C2615" t="s">
        <v>17</v>
      </c>
      <c r="D2615" t="s">
        <v>14</v>
      </c>
      <c r="E2615" t="s">
        <v>15</v>
      </c>
      <c r="F2615">
        <v>26</v>
      </c>
      <c r="G2615">
        <v>8</v>
      </c>
      <c r="H2615">
        <v>30</v>
      </c>
      <c r="I2615">
        <v>4</v>
      </c>
      <c r="J2615">
        <v>16</v>
      </c>
      <c r="K2615">
        <v>12946</v>
      </c>
      <c r="L2615">
        <v>51784</v>
      </c>
      <c r="M2615">
        <f>Inventory_Data[[#This Row],[Opening Stock]]+Inventory_Data[[#This Row],[Purchase Qty]]-Inventory_Data[[#This Row],[Sales Qty]]-Inventory_Data[[#This Row],[Closing Stock]]</f>
        <v>0</v>
      </c>
      <c r="N2615">
        <f>Inventory_Data[[#This Row],[Purchase Qty]]*Inventory_Data[[#This Row],[Unit Cost]]</f>
        <v>103568</v>
      </c>
      <c r="O2615" t="str">
        <f>IF(Inventory_Data[[#This Row],[Closing Stock]]&lt;=Inventory_Data[[#This Row],[Reorder Level]],"Low Stock","In Stock")</f>
        <v>Low Stock</v>
      </c>
      <c r="P2615" t="str">
        <f>TEXT(Inventory_Data[[#This Row],[Date]],"MMM")</f>
        <v>Jul</v>
      </c>
      <c r="Q2615" t="str">
        <f>TEXT(Inventory_Data[[#This Row],[Date]],"YYYY")</f>
        <v>2026</v>
      </c>
    </row>
    <row r="2616" spans="1:17" x14ac:dyDescent="0.3">
      <c r="A2616" s="1">
        <v>46212</v>
      </c>
      <c r="B2616" t="s">
        <v>12</v>
      </c>
      <c r="C2616" t="s">
        <v>13</v>
      </c>
      <c r="D2616" t="s">
        <v>26</v>
      </c>
      <c r="E2616" t="s">
        <v>34</v>
      </c>
      <c r="F2616">
        <v>94</v>
      </c>
      <c r="G2616">
        <v>37</v>
      </c>
      <c r="H2616">
        <v>31</v>
      </c>
      <c r="I2616">
        <v>100</v>
      </c>
      <c r="J2616">
        <v>24</v>
      </c>
      <c r="K2616">
        <v>12578</v>
      </c>
      <c r="L2616">
        <v>1257800</v>
      </c>
      <c r="M2616">
        <f>Inventory_Data[[#This Row],[Opening Stock]]+Inventory_Data[[#This Row],[Purchase Qty]]-Inventory_Data[[#This Row],[Sales Qty]]-Inventory_Data[[#This Row],[Closing Stock]]</f>
        <v>0</v>
      </c>
      <c r="N2616">
        <f>Inventory_Data[[#This Row],[Purchase Qty]]*Inventory_Data[[#This Row],[Unit Cost]]</f>
        <v>465386</v>
      </c>
      <c r="O2616" t="str">
        <f>IF(Inventory_Data[[#This Row],[Closing Stock]]&lt;=Inventory_Data[[#This Row],[Reorder Level]],"Low Stock","In Stock")</f>
        <v>In Stock</v>
      </c>
      <c r="P2616" t="str">
        <f>TEXT(Inventory_Data[[#This Row],[Date]],"MMM")</f>
        <v>Jul</v>
      </c>
      <c r="Q2616" t="str">
        <f>TEXT(Inventory_Data[[#This Row],[Date]],"YYYY")</f>
        <v>2026</v>
      </c>
    </row>
    <row r="2617" spans="1:17" x14ac:dyDescent="0.3">
      <c r="A2617" s="1">
        <v>46212</v>
      </c>
      <c r="B2617" t="s">
        <v>33</v>
      </c>
      <c r="C2617" t="s">
        <v>13</v>
      </c>
      <c r="D2617" t="s">
        <v>26</v>
      </c>
      <c r="E2617" t="s">
        <v>20</v>
      </c>
      <c r="F2617">
        <v>92</v>
      </c>
      <c r="G2617">
        <v>32</v>
      </c>
      <c r="H2617">
        <v>20</v>
      </c>
      <c r="I2617">
        <v>104</v>
      </c>
      <c r="J2617">
        <v>39</v>
      </c>
      <c r="K2617">
        <v>16374</v>
      </c>
      <c r="L2617">
        <v>1702896</v>
      </c>
      <c r="M2617">
        <f>Inventory_Data[[#This Row],[Opening Stock]]+Inventory_Data[[#This Row],[Purchase Qty]]-Inventory_Data[[#This Row],[Sales Qty]]-Inventory_Data[[#This Row],[Closing Stock]]</f>
        <v>0</v>
      </c>
      <c r="N2617">
        <f>Inventory_Data[[#This Row],[Purchase Qty]]*Inventory_Data[[#This Row],[Unit Cost]]</f>
        <v>523968</v>
      </c>
      <c r="O2617" t="str">
        <f>IF(Inventory_Data[[#This Row],[Closing Stock]]&lt;=Inventory_Data[[#This Row],[Reorder Level]],"Low Stock","In Stock")</f>
        <v>In Stock</v>
      </c>
      <c r="P2617" t="str">
        <f>TEXT(Inventory_Data[[#This Row],[Date]],"MMM")</f>
        <v>Jul</v>
      </c>
      <c r="Q2617" t="str">
        <f>TEXT(Inventory_Data[[#This Row],[Date]],"YYYY")</f>
        <v>2026</v>
      </c>
    </row>
    <row r="2618" spans="1:17" x14ac:dyDescent="0.3">
      <c r="A2618" s="1">
        <v>46212</v>
      </c>
      <c r="B2618" t="s">
        <v>27</v>
      </c>
      <c r="C2618" t="s">
        <v>28</v>
      </c>
      <c r="D2618" t="s">
        <v>26</v>
      </c>
      <c r="E2618" t="s">
        <v>15</v>
      </c>
      <c r="F2618">
        <v>104</v>
      </c>
      <c r="G2618">
        <v>36</v>
      </c>
      <c r="H2618">
        <v>23</v>
      </c>
      <c r="I2618">
        <v>117</v>
      </c>
      <c r="J2618">
        <v>54</v>
      </c>
      <c r="K2618">
        <v>53558</v>
      </c>
      <c r="L2618">
        <v>6266286</v>
      </c>
      <c r="M2618">
        <f>Inventory_Data[[#This Row],[Opening Stock]]+Inventory_Data[[#This Row],[Purchase Qty]]-Inventory_Data[[#This Row],[Sales Qty]]-Inventory_Data[[#This Row],[Closing Stock]]</f>
        <v>0</v>
      </c>
      <c r="N2618">
        <f>Inventory_Data[[#This Row],[Purchase Qty]]*Inventory_Data[[#This Row],[Unit Cost]]</f>
        <v>1928088</v>
      </c>
      <c r="O2618" t="str">
        <f>IF(Inventory_Data[[#This Row],[Closing Stock]]&lt;=Inventory_Data[[#This Row],[Reorder Level]],"Low Stock","In Stock")</f>
        <v>In Stock</v>
      </c>
      <c r="P2618" t="str">
        <f>TEXT(Inventory_Data[[#This Row],[Date]],"MMM")</f>
        <v>Jul</v>
      </c>
      <c r="Q2618" t="str">
        <f>TEXT(Inventory_Data[[#This Row],[Date]],"YYYY")</f>
        <v>2026</v>
      </c>
    </row>
    <row r="2619" spans="1:17" x14ac:dyDescent="0.3">
      <c r="A2619" s="1">
        <v>46212</v>
      </c>
      <c r="B2619" t="s">
        <v>35</v>
      </c>
      <c r="C2619" t="s">
        <v>22</v>
      </c>
      <c r="D2619" t="s">
        <v>14</v>
      </c>
      <c r="E2619" t="s">
        <v>20</v>
      </c>
      <c r="F2619">
        <v>165</v>
      </c>
      <c r="G2619">
        <v>113</v>
      </c>
      <c r="H2619">
        <v>268</v>
      </c>
      <c r="I2619">
        <v>10</v>
      </c>
      <c r="J2619">
        <v>136</v>
      </c>
      <c r="K2619">
        <v>379</v>
      </c>
      <c r="L2619">
        <v>3790</v>
      </c>
      <c r="M2619">
        <f>Inventory_Data[[#This Row],[Opening Stock]]+Inventory_Data[[#This Row],[Purchase Qty]]-Inventory_Data[[#This Row],[Sales Qty]]-Inventory_Data[[#This Row],[Closing Stock]]</f>
        <v>0</v>
      </c>
      <c r="N2619">
        <f>Inventory_Data[[#This Row],[Purchase Qty]]*Inventory_Data[[#This Row],[Unit Cost]]</f>
        <v>42827</v>
      </c>
      <c r="O2619" t="str">
        <f>IF(Inventory_Data[[#This Row],[Closing Stock]]&lt;=Inventory_Data[[#This Row],[Reorder Level]],"Low Stock","In Stock")</f>
        <v>Low Stock</v>
      </c>
      <c r="P2619" t="str">
        <f>TEXT(Inventory_Data[[#This Row],[Date]],"MMM")</f>
        <v>Jul</v>
      </c>
      <c r="Q2619" t="str">
        <f>TEXT(Inventory_Data[[#This Row],[Date]],"YYYY")</f>
        <v>2026</v>
      </c>
    </row>
    <row r="2620" spans="1:17" x14ac:dyDescent="0.3">
      <c r="A2620" s="1">
        <v>46212</v>
      </c>
      <c r="B2620" t="s">
        <v>16</v>
      </c>
      <c r="C2620" t="s">
        <v>17</v>
      </c>
      <c r="D2620" t="s">
        <v>14</v>
      </c>
      <c r="E2620" t="s">
        <v>20</v>
      </c>
      <c r="F2620">
        <v>50</v>
      </c>
      <c r="G2620">
        <v>41</v>
      </c>
      <c r="H2620">
        <v>43</v>
      </c>
      <c r="I2620">
        <v>48</v>
      </c>
      <c r="J2620">
        <v>23</v>
      </c>
      <c r="K2620">
        <v>22410</v>
      </c>
      <c r="L2620">
        <v>1075680</v>
      </c>
      <c r="M2620">
        <f>Inventory_Data[[#This Row],[Opening Stock]]+Inventory_Data[[#This Row],[Purchase Qty]]-Inventory_Data[[#This Row],[Sales Qty]]-Inventory_Data[[#This Row],[Closing Stock]]</f>
        <v>0</v>
      </c>
      <c r="N2620">
        <f>Inventory_Data[[#This Row],[Purchase Qty]]*Inventory_Data[[#This Row],[Unit Cost]]</f>
        <v>918810</v>
      </c>
      <c r="O2620" t="str">
        <f>IF(Inventory_Data[[#This Row],[Closing Stock]]&lt;=Inventory_Data[[#This Row],[Reorder Level]],"Low Stock","In Stock")</f>
        <v>In Stock</v>
      </c>
      <c r="P2620" t="str">
        <f>TEXT(Inventory_Data[[#This Row],[Date]],"MMM")</f>
        <v>Jul</v>
      </c>
      <c r="Q2620" t="str">
        <f>TEXT(Inventory_Data[[#This Row],[Date]],"YYYY")</f>
        <v>2026</v>
      </c>
    </row>
    <row r="2621" spans="1:17" x14ac:dyDescent="0.3">
      <c r="A2621" s="1">
        <v>46213</v>
      </c>
      <c r="B2621" t="s">
        <v>25</v>
      </c>
      <c r="C2621" t="s">
        <v>17</v>
      </c>
      <c r="D2621" t="s">
        <v>37</v>
      </c>
      <c r="E2621" t="s">
        <v>29</v>
      </c>
      <c r="F2621">
        <v>37</v>
      </c>
      <c r="G2621">
        <v>49</v>
      </c>
      <c r="H2621">
        <v>18</v>
      </c>
      <c r="I2621">
        <v>68</v>
      </c>
      <c r="J2621">
        <v>17</v>
      </c>
      <c r="K2621">
        <v>4186</v>
      </c>
      <c r="L2621">
        <v>284648</v>
      </c>
      <c r="M2621">
        <f>Inventory_Data[[#This Row],[Opening Stock]]+Inventory_Data[[#This Row],[Purchase Qty]]-Inventory_Data[[#This Row],[Sales Qty]]-Inventory_Data[[#This Row],[Closing Stock]]</f>
        <v>0</v>
      </c>
      <c r="N2621">
        <f>Inventory_Data[[#This Row],[Purchase Qty]]*Inventory_Data[[#This Row],[Unit Cost]]</f>
        <v>205114</v>
      </c>
      <c r="O2621" t="str">
        <f>IF(Inventory_Data[[#This Row],[Closing Stock]]&lt;=Inventory_Data[[#This Row],[Reorder Level]],"Low Stock","In Stock")</f>
        <v>In Stock</v>
      </c>
      <c r="P2621" t="str">
        <f>TEXT(Inventory_Data[[#This Row],[Date]],"MMM")</f>
        <v>Jul</v>
      </c>
      <c r="Q2621" t="str">
        <f>TEXT(Inventory_Data[[#This Row],[Date]],"YYYY")</f>
        <v>2026</v>
      </c>
    </row>
    <row r="2622" spans="1:17" x14ac:dyDescent="0.3">
      <c r="A2622" s="1">
        <v>46213</v>
      </c>
      <c r="B2622" t="s">
        <v>45</v>
      </c>
      <c r="C2622" t="s">
        <v>13</v>
      </c>
      <c r="D2622" t="s">
        <v>26</v>
      </c>
      <c r="E2622" t="s">
        <v>34</v>
      </c>
      <c r="F2622">
        <v>29</v>
      </c>
      <c r="G2622">
        <v>74</v>
      </c>
      <c r="H2622">
        <v>52</v>
      </c>
      <c r="I2622">
        <v>51</v>
      </c>
      <c r="J2622">
        <v>32</v>
      </c>
      <c r="K2622">
        <v>12320</v>
      </c>
      <c r="L2622">
        <v>628320</v>
      </c>
      <c r="M2622">
        <f>Inventory_Data[[#This Row],[Opening Stock]]+Inventory_Data[[#This Row],[Purchase Qty]]-Inventory_Data[[#This Row],[Sales Qty]]-Inventory_Data[[#This Row],[Closing Stock]]</f>
        <v>0</v>
      </c>
      <c r="N2622">
        <f>Inventory_Data[[#This Row],[Purchase Qty]]*Inventory_Data[[#This Row],[Unit Cost]]</f>
        <v>911680</v>
      </c>
      <c r="O2622" t="str">
        <f>IF(Inventory_Data[[#This Row],[Closing Stock]]&lt;=Inventory_Data[[#This Row],[Reorder Level]],"Low Stock","In Stock")</f>
        <v>In Stock</v>
      </c>
      <c r="P2622" t="str">
        <f>TEXT(Inventory_Data[[#This Row],[Date]],"MMM")</f>
        <v>Jul</v>
      </c>
      <c r="Q2622" t="str">
        <f>TEXT(Inventory_Data[[#This Row],[Date]],"YYYY")</f>
        <v>2026</v>
      </c>
    </row>
    <row r="2623" spans="1:17" x14ac:dyDescent="0.3">
      <c r="A2623" s="1">
        <v>46213</v>
      </c>
      <c r="B2623" t="s">
        <v>40</v>
      </c>
      <c r="C2623" t="s">
        <v>28</v>
      </c>
      <c r="D2623" t="s">
        <v>26</v>
      </c>
      <c r="E2623" t="s">
        <v>20</v>
      </c>
      <c r="F2623">
        <v>105</v>
      </c>
      <c r="G2623">
        <v>53</v>
      </c>
      <c r="H2623">
        <v>78</v>
      </c>
      <c r="I2623">
        <v>80</v>
      </c>
      <c r="J2623">
        <v>25</v>
      </c>
      <c r="K2623">
        <v>16534</v>
      </c>
      <c r="L2623">
        <v>1322720</v>
      </c>
      <c r="M2623">
        <f>Inventory_Data[[#This Row],[Opening Stock]]+Inventory_Data[[#This Row],[Purchase Qty]]-Inventory_Data[[#This Row],[Sales Qty]]-Inventory_Data[[#This Row],[Closing Stock]]</f>
        <v>0</v>
      </c>
      <c r="N2623">
        <f>Inventory_Data[[#This Row],[Purchase Qty]]*Inventory_Data[[#This Row],[Unit Cost]]</f>
        <v>876302</v>
      </c>
      <c r="O2623" t="str">
        <f>IF(Inventory_Data[[#This Row],[Closing Stock]]&lt;=Inventory_Data[[#This Row],[Reorder Level]],"Low Stock","In Stock")</f>
        <v>In Stock</v>
      </c>
      <c r="P2623" t="str">
        <f>TEXT(Inventory_Data[[#This Row],[Date]],"MMM")</f>
        <v>Jul</v>
      </c>
      <c r="Q2623" t="str">
        <f>TEXT(Inventory_Data[[#This Row],[Date]],"YYYY")</f>
        <v>2026</v>
      </c>
    </row>
    <row r="2624" spans="1:17" x14ac:dyDescent="0.3">
      <c r="A2624" s="1">
        <v>46213</v>
      </c>
      <c r="B2624" t="s">
        <v>16</v>
      </c>
      <c r="C2624" t="s">
        <v>17</v>
      </c>
      <c r="D2624" t="s">
        <v>26</v>
      </c>
      <c r="E2624" t="s">
        <v>24</v>
      </c>
      <c r="F2624">
        <v>38</v>
      </c>
      <c r="G2624">
        <v>17</v>
      </c>
      <c r="H2624">
        <v>13</v>
      </c>
      <c r="I2624">
        <v>42</v>
      </c>
      <c r="J2624">
        <v>23</v>
      </c>
      <c r="K2624">
        <v>7226</v>
      </c>
      <c r="L2624">
        <v>303492</v>
      </c>
      <c r="M2624">
        <f>Inventory_Data[[#This Row],[Opening Stock]]+Inventory_Data[[#This Row],[Purchase Qty]]-Inventory_Data[[#This Row],[Sales Qty]]-Inventory_Data[[#This Row],[Closing Stock]]</f>
        <v>0</v>
      </c>
      <c r="N2624">
        <f>Inventory_Data[[#This Row],[Purchase Qty]]*Inventory_Data[[#This Row],[Unit Cost]]</f>
        <v>122842</v>
      </c>
      <c r="O2624" t="str">
        <f>IF(Inventory_Data[[#This Row],[Closing Stock]]&lt;=Inventory_Data[[#This Row],[Reorder Level]],"Low Stock","In Stock")</f>
        <v>In Stock</v>
      </c>
      <c r="P2624" t="str">
        <f>TEXT(Inventory_Data[[#This Row],[Date]],"MMM")</f>
        <v>Jul</v>
      </c>
      <c r="Q2624" t="str">
        <f>TEXT(Inventory_Data[[#This Row],[Date]],"YYYY")</f>
        <v>2026</v>
      </c>
    </row>
    <row r="2625" spans="1:17" x14ac:dyDescent="0.3">
      <c r="A2625" s="1">
        <v>46214</v>
      </c>
      <c r="B2625" t="s">
        <v>31</v>
      </c>
      <c r="C2625" t="s">
        <v>22</v>
      </c>
      <c r="D2625" t="s">
        <v>26</v>
      </c>
      <c r="E2625" t="s">
        <v>15</v>
      </c>
      <c r="F2625">
        <v>450</v>
      </c>
      <c r="G2625">
        <v>192</v>
      </c>
      <c r="H2625">
        <v>262</v>
      </c>
      <c r="I2625">
        <v>380</v>
      </c>
      <c r="J2625">
        <v>63</v>
      </c>
      <c r="K2625">
        <v>39</v>
      </c>
      <c r="L2625">
        <v>14820</v>
      </c>
      <c r="M2625">
        <f>Inventory_Data[[#This Row],[Opening Stock]]+Inventory_Data[[#This Row],[Purchase Qty]]-Inventory_Data[[#This Row],[Sales Qty]]-Inventory_Data[[#This Row],[Closing Stock]]</f>
        <v>0</v>
      </c>
      <c r="N2625">
        <f>Inventory_Data[[#This Row],[Purchase Qty]]*Inventory_Data[[#This Row],[Unit Cost]]</f>
        <v>7488</v>
      </c>
      <c r="O2625" t="str">
        <f>IF(Inventory_Data[[#This Row],[Closing Stock]]&lt;=Inventory_Data[[#This Row],[Reorder Level]],"Low Stock","In Stock")</f>
        <v>In Stock</v>
      </c>
      <c r="P2625" t="str">
        <f>TEXT(Inventory_Data[[#This Row],[Date]],"MMM")</f>
        <v>Jul</v>
      </c>
      <c r="Q2625" t="str">
        <f>TEXT(Inventory_Data[[#This Row],[Date]],"YYYY")</f>
        <v>2026</v>
      </c>
    </row>
    <row r="2626" spans="1:17" x14ac:dyDescent="0.3">
      <c r="A2626" s="1">
        <v>46214</v>
      </c>
      <c r="B2626" t="s">
        <v>19</v>
      </c>
      <c r="C2626" t="s">
        <v>13</v>
      </c>
      <c r="D2626" t="s">
        <v>37</v>
      </c>
      <c r="E2626" t="s">
        <v>29</v>
      </c>
      <c r="F2626">
        <v>119</v>
      </c>
      <c r="G2626">
        <v>29</v>
      </c>
      <c r="H2626">
        <v>44</v>
      </c>
      <c r="I2626">
        <v>104</v>
      </c>
      <c r="J2626">
        <v>26</v>
      </c>
      <c r="K2626">
        <v>10616</v>
      </c>
      <c r="L2626">
        <v>1104064</v>
      </c>
      <c r="M2626">
        <f>Inventory_Data[[#This Row],[Opening Stock]]+Inventory_Data[[#This Row],[Purchase Qty]]-Inventory_Data[[#This Row],[Sales Qty]]-Inventory_Data[[#This Row],[Closing Stock]]</f>
        <v>0</v>
      </c>
      <c r="N2626">
        <f>Inventory_Data[[#This Row],[Purchase Qty]]*Inventory_Data[[#This Row],[Unit Cost]]</f>
        <v>307864</v>
      </c>
      <c r="O2626" t="str">
        <f>IF(Inventory_Data[[#This Row],[Closing Stock]]&lt;=Inventory_Data[[#This Row],[Reorder Level]],"Low Stock","In Stock")</f>
        <v>In Stock</v>
      </c>
      <c r="P2626" t="str">
        <f>TEXT(Inventory_Data[[#This Row],[Date]],"MMM")</f>
        <v>Jul</v>
      </c>
      <c r="Q2626" t="str">
        <f>TEXT(Inventory_Data[[#This Row],[Date]],"YYYY")</f>
        <v>2026</v>
      </c>
    </row>
    <row r="2627" spans="1:17" x14ac:dyDescent="0.3">
      <c r="A2627" s="1">
        <v>46214</v>
      </c>
      <c r="B2627" t="s">
        <v>21</v>
      </c>
      <c r="C2627" t="s">
        <v>22</v>
      </c>
      <c r="D2627" t="s">
        <v>23</v>
      </c>
      <c r="E2627" t="s">
        <v>34</v>
      </c>
      <c r="F2627">
        <v>67</v>
      </c>
      <c r="G2627">
        <v>234</v>
      </c>
      <c r="H2627">
        <v>92</v>
      </c>
      <c r="I2627">
        <v>209</v>
      </c>
      <c r="J2627">
        <v>74</v>
      </c>
      <c r="K2627">
        <v>581</v>
      </c>
      <c r="L2627">
        <v>121429</v>
      </c>
      <c r="M2627">
        <f>Inventory_Data[[#This Row],[Opening Stock]]+Inventory_Data[[#This Row],[Purchase Qty]]-Inventory_Data[[#This Row],[Sales Qty]]-Inventory_Data[[#This Row],[Closing Stock]]</f>
        <v>0</v>
      </c>
      <c r="N2627">
        <f>Inventory_Data[[#This Row],[Purchase Qty]]*Inventory_Data[[#This Row],[Unit Cost]]</f>
        <v>135954</v>
      </c>
      <c r="O2627" t="str">
        <f>IF(Inventory_Data[[#This Row],[Closing Stock]]&lt;=Inventory_Data[[#This Row],[Reorder Level]],"Low Stock","In Stock")</f>
        <v>In Stock</v>
      </c>
      <c r="P2627" t="str">
        <f>TEXT(Inventory_Data[[#This Row],[Date]],"MMM")</f>
        <v>Jul</v>
      </c>
      <c r="Q2627" t="str">
        <f>TEXT(Inventory_Data[[#This Row],[Date]],"YYYY")</f>
        <v>2026</v>
      </c>
    </row>
    <row r="2628" spans="1:17" x14ac:dyDescent="0.3">
      <c r="A2628" s="1">
        <v>46214</v>
      </c>
      <c r="B2628" t="s">
        <v>32</v>
      </c>
      <c r="C2628" t="s">
        <v>28</v>
      </c>
      <c r="D2628" t="s">
        <v>26</v>
      </c>
      <c r="E2628" t="s">
        <v>34</v>
      </c>
      <c r="F2628">
        <v>106</v>
      </c>
      <c r="G2628">
        <v>83</v>
      </c>
      <c r="H2628">
        <v>71</v>
      </c>
      <c r="I2628">
        <v>118</v>
      </c>
      <c r="J2628">
        <v>22</v>
      </c>
      <c r="K2628">
        <v>56548</v>
      </c>
      <c r="L2628">
        <v>6672664</v>
      </c>
      <c r="M2628">
        <f>Inventory_Data[[#This Row],[Opening Stock]]+Inventory_Data[[#This Row],[Purchase Qty]]-Inventory_Data[[#This Row],[Sales Qty]]-Inventory_Data[[#This Row],[Closing Stock]]</f>
        <v>0</v>
      </c>
      <c r="N2628">
        <f>Inventory_Data[[#This Row],[Purchase Qty]]*Inventory_Data[[#This Row],[Unit Cost]]</f>
        <v>4693484</v>
      </c>
      <c r="O2628" t="str">
        <f>IF(Inventory_Data[[#This Row],[Closing Stock]]&lt;=Inventory_Data[[#This Row],[Reorder Level]],"Low Stock","In Stock")</f>
        <v>In Stock</v>
      </c>
      <c r="P2628" t="str">
        <f>TEXT(Inventory_Data[[#This Row],[Date]],"MMM")</f>
        <v>Jul</v>
      </c>
      <c r="Q2628" t="str">
        <f>TEXT(Inventory_Data[[#This Row],[Date]],"YYYY")</f>
        <v>2026</v>
      </c>
    </row>
    <row r="2629" spans="1:17" x14ac:dyDescent="0.3">
      <c r="A2629" s="1">
        <v>46214</v>
      </c>
      <c r="B2629" t="s">
        <v>40</v>
      </c>
      <c r="C2629" t="s">
        <v>28</v>
      </c>
      <c r="D2629" t="s">
        <v>23</v>
      </c>
      <c r="E2629" t="s">
        <v>20</v>
      </c>
      <c r="F2629">
        <v>77</v>
      </c>
      <c r="G2629">
        <v>40</v>
      </c>
      <c r="H2629">
        <v>27</v>
      </c>
      <c r="I2629">
        <v>90</v>
      </c>
      <c r="J2629">
        <v>29</v>
      </c>
      <c r="K2629">
        <v>13513</v>
      </c>
      <c r="L2629">
        <v>1216170</v>
      </c>
      <c r="M2629">
        <f>Inventory_Data[[#This Row],[Opening Stock]]+Inventory_Data[[#This Row],[Purchase Qty]]-Inventory_Data[[#This Row],[Sales Qty]]-Inventory_Data[[#This Row],[Closing Stock]]</f>
        <v>0</v>
      </c>
      <c r="N2629">
        <f>Inventory_Data[[#This Row],[Purchase Qty]]*Inventory_Data[[#This Row],[Unit Cost]]</f>
        <v>540520</v>
      </c>
      <c r="O2629" t="str">
        <f>IF(Inventory_Data[[#This Row],[Closing Stock]]&lt;=Inventory_Data[[#This Row],[Reorder Level]],"Low Stock","In Stock")</f>
        <v>In Stock</v>
      </c>
      <c r="P2629" t="str">
        <f>TEXT(Inventory_Data[[#This Row],[Date]],"MMM")</f>
        <v>Jul</v>
      </c>
      <c r="Q2629" t="str">
        <f>TEXT(Inventory_Data[[#This Row],[Date]],"YYYY")</f>
        <v>2026</v>
      </c>
    </row>
    <row r="2630" spans="1:17" x14ac:dyDescent="0.3">
      <c r="A2630" s="1">
        <v>46214</v>
      </c>
      <c r="B2630" t="s">
        <v>40</v>
      </c>
      <c r="C2630" t="s">
        <v>28</v>
      </c>
      <c r="D2630" t="s">
        <v>23</v>
      </c>
      <c r="E2630" t="s">
        <v>20</v>
      </c>
      <c r="F2630">
        <v>119</v>
      </c>
      <c r="G2630">
        <v>97</v>
      </c>
      <c r="H2630">
        <v>49</v>
      </c>
      <c r="I2630">
        <v>167</v>
      </c>
      <c r="J2630">
        <v>48</v>
      </c>
      <c r="K2630">
        <v>46430</v>
      </c>
      <c r="L2630">
        <v>7753810</v>
      </c>
      <c r="M2630">
        <f>Inventory_Data[[#This Row],[Opening Stock]]+Inventory_Data[[#This Row],[Purchase Qty]]-Inventory_Data[[#This Row],[Sales Qty]]-Inventory_Data[[#This Row],[Closing Stock]]</f>
        <v>0</v>
      </c>
      <c r="N2630">
        <f>Inventory_Data[[#This Row],[Purchase Qty]]*Inventory_Data[[#This Row],[Unit Cost]]</f>
        <v>4503710</v>
      </c>
      <c r="O2630" t="str">
        <f>IF(Inventory_Data[[#This Row],[Closing Stock]]&lt;=Inventory_Data[[#This Row],[Reorder Level]],"Low Stock","In Stock")</f>
        <v>In Stock</v>
      </c>
      <c r="P2630" t="str">
        <f>TEXT(Inventory_Data[[#This Row],[Date]],"MMM")</f>
        <v>Jul</v>
      </c>
      <c r="Q2630" t="str">
        <f>TEXT(Inventory_Data[[#This Row],[Date]],"YYYY")</f>
        <v>2026</v>
      </c>
    </row>
    <row r="2631" spans="1:17" x14ac:dyDescent="0.3">
      <c r="A2631" s="1">
        <v>46215</v>
      </c>
      <c r="B2631" t="s">
        <v>25</v>
      </c>
      <c r="C2631" t="s">
        <v>17</v>
      </c>
      <c r="D2631" t="s">
        <v>26</v>
      </c>
      <c r="E2631" t="s">
        <v>29</v>
      </c>
      <c r="F2631">
        <v>22</v>
      </c>
      <c r="G2631">
        <v>37</v>
      </c>
      <c r="H2631">
        <v>6</v>
      </c>
      <c r="I2631">
        <v>53</v>
      </c>
      <c r="J2631">
        <v>23</v>
      </c>
      <c r="K2631">
        <v>10280</v>
      </c>
      <c r="L2631">
        <v>544840</v>
      </c>
      <c r="M2631">
        <f>Inventory_Data[[#This Row],[Opening Stock]]+Inventory_Data[[#This Row],[Purchase Qty]]-Inventory_Data[[#This Row],[Sales Qty]]-Inventory_Data[[#This Row],[Closing Stock]]</f>
        <v>0</v>
      </c>
      <c r="N2631">
        <f>Inventory_Data[[#This Row],[Purchase Qty]]*Inventory_Data[[#This Row],[Unit Cost]]</f>
        <v>380360</v>
      </c>
      <c r="O2631" t="str">
        <f>IF(Inventory_Data[[#This Row],[Closing Stock]]&lt;=Inventory_Data[[#This Row],[Reorder Level]],"Low Stock","In Stock")</f>
        <v>In Stock</v>
      </c>
      <c r="P2631" t="str">
        <f>TEXT(Inventory_Data[[#This Row],[Date]],"MMM")</f>
        <v>Jul</v>
      </c>
      <c r="Q2631" t="str">
        <f>TEXT(Inventory_Data[[#This Row],[Date]],"YYYY")</f>
        <v>2026</v>
      </c>
    </row>
    <row r="2632" spans="1:17" x14ac:dyDescent="0.3">
      <c r="A2632" s="1">
        <v>46215</v>
      </c>
      <c r="B2632" t="s">
        <v>35</v>
      </c>
      <c r="C2632" t="s">
        <v>22</v>
      </c>
      <c r="D2632" t="s">
        <v>14</v>
      </c>
      <c r="E2632" t="s">
        <v>20</v>
      </c>
      <c r="F2632">
        <v>421</v>
      </c>
      <c r="G2632">
        <v>141</v>
      </c>
      <c r="H2632">
        <v>54</v>
      </c>
      <c r="I2632">
        <v>508</v>
      </c>
      <c r="J2632">
        <v>115</v>
      </c>
      <c r="K2632">
        <v>616</v>
      </c>
      <c r="L2632">
        <v>312928</v>
      </c>
      <c r="M2632">
        <f>Inventory_Data[[#This Row],[Opening Stock]]+Inventory_Data[[#This Row],[Purchase Qty]]-Inventory_Data[[#This Row],[Sales Qty]]-Inventory_Data[[#This Row],[Closing Stock]]</f>
        <v>0</v>
      </c>
      <c r="N2632">
        <f>Inventory_Data[[#This Row],[Purchase Qty]]*Inventory_Data[[#This Row],[Unit Cost]]</f>
        <v>86856</v>
      </c>
      <c r="O2632" t="str">
        <f>IF(Inventory_Data[[#This Row],[Closing Stock]]&lt;=Inventory_Data[[#This Row],[Reorder Level]],"Low Stock","In Stock")</f>
        <v>In Stock</v>
      </c>
      <c r="P2632" t="str">
        <f>TEXT(Inventory_Data[[#This Row],[Date]],"MMM")</f>
        <v>Jul</v>
      </c>
      <c r="Q2632" t="str">
        <f>TEXT(Inventory_Data[[#This Row],[Date]],"YYYY")</f>
        <v>2026</v>
      </c>
    </row>
    <row r="2633" spans="1:17" x14ac:dyDescent="0.3">
      <c r="A2633" s="1">
        <v>46215</v>
      </c>
      <c r="B2633" t="s">
        <v>35</v>
      </c>
      <c r="C2633" t="s">
        <v>22</v>
      </c>
      <c r="D2633" t="s">
        <v>26</v>
      </c>
      <c r="E2633" t="s">
        <v>18</v>
      </c>
      <c r="F2633">
        <v>291</v>
      </c>
      <c r="G2633">
        <v>32</v>
      </c>
      <c r="H2633">
        <v>151</v>
      </c>
      <c r="I2633">
        <v>172</v>
      </c>
      <c r="J2633">
        <v>110</v>
      </c>
      <c r="K2633">
        <v>917</v>
      </c>
      <c r="L2633">
        <v>157724</v>
      </c>
      <c r="M2633">
        <f>Inventory_Data[[#This Row],[Opening Stock]]+Inventory_Data[[#This Row],[Purchase Qty]]-Inventory_Data[[#This Row],[Sales Qty]]-Inventory_Data[[#This Row],[Closing Stock]]</f>
        <v>0</v>
      </c>
      <c r="N2633">
        <f>Inventory_Data[[#This Row],[Purchase Qty]]*Inventory_Data[[#This Row],[Unit Cost]]</f>
        <v>29344</v>
      </c>
      <c r="O2633" t="str">
        <f>IF(Inventory_Data[[#This Row],[Closing Stock]]&lt;=Inventory_Data[[#This Row],[Reorder Level]],"Low Stock","In Stock")</f>
        <v>In Stock</v>
      </c>
      <c r="P2633" t="str">
        <f>TEXT(Inventory_Data[[#This Row],[Date]],"MMM")</f>
        <v>Jul</v>
      </c>
      <c r="Q2633" t="str">
        <f>TEXT(Inventory_Data[[#This Row],[Date]],"YYYY")</f>
        <v>2026</v>
      </c>
    </row>
    <row r="2634" spans="1:17" x14ac:dyDescent="0.3">
      <c r="A2634" s="1">
        <v>46215</v>
      </c>
      <c r="B2634" t="s">
        <v>27</v>
      </c>
      <c r="C2634" t="s">
        <v>28</v>
      </c>
      <c r="D2634" t="s">
        <v>23</v>
      </c>
      <c r="E2634" t="s">
        <v>15</v>
      </c>
      <c r="F2634">
        <v>63</v>
      </c>
      <c r="G2634">
        <v>31</v>
      </c>
      <c r="H2634">
        <v>57</v>
      </c>
      <c r="I2634">
        <v>37</v>
      </c>
      <c r="J2634">
        <v>49</v>
      </c>
      <c r="K2634">
        <v>41434</v>
      </c>
      <c r="L2634">
        <v>1533058</v>
      </c>
      <c r="M2634">
        <f>Inventory_Data[[#This Row],[Opening Stock]]+Inventory_Data[[#This Row],[Purchase Qty]]-Inventory_Data[[#This Row],[Sales Qty]]-Inventory_Data[[#This Row],[Closing Stock]]</f>
        <v>0</v>
      </c>
      <c r="N2634">
        <f>Inventory_Data[[#This Row],[Purchase Qty]]*Inventory_Data[[#This Row],[Unit Cost]]</f>
        <v>1284454</v>
      </c>
      <c r="O2634" t="str">
        <f>IF(Inventory_Data[[#This Row],[Closing Stock]]&lt;=Inventory_Data[[#This Row],[Reorder Level]],"Low Stock","In Stock")</f>
        <v>Low Stock</v>
      </c>
      <c r="P2634" t="str">
        <f>TEXT(Inventory_Data[[#This Row],[Date]],"MMM")</f>
        <v>Jul</v>
      </c>
      <c r="Q2634" t="str">
        <f>TEXT(Inventory_Data[[#This Row],[Date]],"YYYY")</f>
        <v>2026</v>
      </c>
    </row>
    <row r="2635" spans="1:17" x14ac:dyDescent="0.3">
      <c r="A2635" s="1">
        <v>46215</v>
      </c>
      <c r="B2635" t="s">
        <v>38</v>
      </c>
      <c r="C2635" t="s">
        <v>17</v>
      </c>
      <c r="D2635" t="s">
        <v>37</v>
      </c>
      <c r="E2635" t="s">
        <v>15</v>
      </c>
      <c r="F2635">
        <v>73</v>
      </c>
      <c r="G2635">
        <v>42</v>
      </c>
      <c r="H2635">
        <v>12</v>
      </c>
      <c r="I2635">
        <v>103</v>
      </c>
      <c r="J2635">
        <v>29</v>
      </c>
      <c r="K2635">
        <v>24184</v>
      </c>
      <c r="L2635">
        <v>2490952</v>
      </c>
      <c r="M2635">
        <f>Inventory_Data[[#This Row],[Opening Stock]]+Inventory_Data[[#This Row],[Purchase Qty]]-Inventory_Data[[#This Row],[Sales Qty]]-Inventory_Data[[#This Row],[Closing Stock]]</f>
        <v>0</v>
      </c>
      <c r="N2635">
        <f>Inventory_Data[[#This Row],[Purchase Qty]]*Inventory_Data[[#This Row],[Unit Cost]]</f>
        <v>1015728</v>
      </c>
      <c r="O2635" t="str">
        <f>IF(Inventory_Data[[#This Row],[Closing Stock]]&lt;=Inventory_Data[[#This Row],[Reorder Level]],"Low Stock","In Stock")</f>
        <v>In Stock</v>
      </c>
      <c r="P2635" t="str">
        <f>TEXT(Inventory_Data[[#This Row],[Date]],"MMM")</f>
        <v>Jul</v>
      </c>
      <c r="Q2635" t="str">
        <f>TEXT(Inventory_Data[[#This Row],[Date]],"YYYY")</f>
        <v>2026</v>
      </c>
    </row>
    <row r="2636" spans="1:17" x14ac:dyDescent="0.3">
      <c r="A2636" s="1">
        <v>46216</v>
      </c>
      <c r="B2636" t="s">
        <v>36</v>
      </c>
      <c r="C2636" t="s">
        <v>22</v>
      </c>
      <c r="D2636" t="s">
        <v>26</v>
      </c>
      <c r="E2636" t="s">
        <v>20</v>
      </c>
      <c r="F2636">
        <v>52</v>
      </c>
      <c r="G2636">
        <v>132</v>
      </c>
      <c r="H2636">
        <v>31</v>
      </c>
      <c r="I2636">
        <v>153</v>
      </c>
      <c r="J2636">
        <v>140</v>
      </c>
      <c r="K2636">
        <v>135</v>
      </c>
      <c r="L2636">
        <v>20655</v>
      </c>
      <c r="M2636">
        <f>Inventory_Data[[#This Row],[Opening Stock]]+Inventory_Data[[#This Row],[Purchase Qty]]-Inventory_Data[[#This Row],[Sales Qty]]-Inventory_Data[[#This Row],[Closing Stock]]</f>
        <v>0</v>
      </c>
      <c r="N2636">
        <f>Inventory_Data[[#This Row],[Purchase Qty]]*Inventory_Data[[#This Row],[Unit Cost]]</f>
        <v>17820</v>
      </c>
      <c r="O2636" t="str">
        <f>IF(Inventory_Data[[#This Row],[Closing Stock]]&lt;=Inventory_Data[[#This Row],[Reorder Level]],"Low Stock","In Stock")</f>
        <v>In Stock</v>
      </c>
      <c r="P2636" t="str">
        <f>TEXT(Inventory_Data[[#This Row],[Date]],"MMM")</f>
        <v>Jul</v>
      </c>
      <c r="Q2636" t="str">
        <f>TEXT(Inventory_Data[[#This Row],[Date]],"YYYY")</f>
        <v>2026</v>
      </c>
    </row>
    <row r="2637" spans="1:17" x14ac:dyDescent="0.3">
      <c r="A2637" s="1">
        <v>46216</v>
      </c>
      <c r="B2637" t="s">
        <v>21</v>
      </c>
      <c r="C2637" t="s">
        <v>22</v>
      </c>
      <c r="D2637" t="s">
        <v>23</v>
      </c>
      <c r="E2637" t="s">
        <v>24</v>
      </c>
      <c r="F2637">
        <v>310</v>
      </c>
      <c r="G2637">
        <v>246</v>
      </c>
      <c r="H2637">
        <v>133</v>
      </c>
      <c r="I2637">
        <v>423</v>
      </c>
      <c r="J2637">
        <v>83</v>
      </c>
      <c r="K2637">
        <v>824</v>
      </c>
      <c r="L2637">
        <v>348552</v>
      </c>
      <c r="M2637">
        <f>Inventory_Data[[#This Row],[Opening Stock]]+Inventory_Data[[#This Row],[Purchase Qty]]-Inventory_Data[[#This Row],[Sales Qty]]-Inventory_Data[[#This Row],[Closing Stock]]</f>
        <v>0</v>
      </c>
      <c r="N2637">
        <f>Inventory_Data[[#This Row],[Purchase Qty]]*Inventory_Data[[#This Row],[Unit Cost]]</f>
        <v>202704</v>
      </c>
      <c r="O2637" t="str">
        <f>IF(Inventory_Data[[#This Row],[Closing Stock]]&lt;=Inventory_Data[[#This Row],[Reorder Level]],"Low Stock","In Stock")</f>
        <v>In Stock</v>
      </c>
      <c r="P2637" t="str">
        <f>TEXT(Inventory_Data[[#This Row],[Date]],"MMM")</f>
        <v>Jul</v>
      </c>
      <c r="Q2637" t="str">
        <f>TEXT(Inventory_Data[[#This Row],[Date]],"YYYY")</f>
        <v>2026</v>
      </c>
    </row>
    <row r="2638" spans="1:17" x14ac:dyDescent="0.3">
      <c r="A2638" s="1">
        <v>46216</v>
      </c>
      <c r="B2638" t="s">
        <v>43</v>
      </c>
      <c r="C2638" t="s">
        <v>22</v>
      </c>
      <c r="D2638" t="s">
        <v>37</v>
      </c>
      <c r="E2638" t="s">
        <v>29</v>
      </c>
      <c r="F2638">
        <v>305</v>
      </c>
      <c r="G2638">
        <v>203</v>
      </c>
      <c r="H2638">
        <v>112</v>
      </c>
      <c r="I2638">
        <v>396</v>
      </c>
      <c r="J2638">
        <v>84</v>
      </c>
      <c r="K2638">
        <v>140</v>
      </c>
      <c r="L2638">
        <v>55440</v>
      </c>
      <c r="M2638">
        <f>Inventory_Data[[#This Row],[Opening Stock]]+Inventory_Data[[#This Row],[Purchase Qty]]-Inventory_Data[[#This Row],[Sales Qty]]-Inventory_Data[[#This Row],[Closing Stock]]</f>
        <v>0</v>
      </c>
      <c r="N2638">
        <f>Inventory_Data[[#This Row],[Purchase Qty]]*Inventory_Data[[#This Row],[Unit Cost]]</f>
        <v>28420</v>
      </c>
      <c r="O2638" t="str">
        <f>IF(Inventory_Data[[#This Row],[Closing Stock]]&lt;=Inventory_Data[[#This Row],[Reorder Level]],"Low Stock","In Stock")</f>
        <v>In Stock</v>
      </c>
      <c r="P2638" t="str">
        <f>TEXT(Inventory_Data[[#This Row],[Date]],"MMM")</f>
        <v>Jul</v>
      </c>
      <c r="Q2638" t="str">
        <f>TEXT(Inventory_Data[[#This Row],[Date]],"YYYY")</f>
        <v>2026</v>
      </c>
    </row>
    <row r="2639" spans="1:17" x14ac:dyDescent="0.3">
      <c r="A2639" s="1">
        <v>46216</v>
      </c>
      <c r="B2639" t="s">
        <v>27</v>
      </c>
      <c r="C2639" t="s">
        <v>28</v>
      </c>
      <c r="D2639" t="s">
        <v>37</v>
      </c>
      <c r="E2639" t="s">
        <v>24</v>
      </c>
      <c r="F2639">
        <v>124</v>
      </c>
      <c r="G2639">
        <v>107</v>
      </c>
      <c r="H2639">
        <v>92</v>
      </c>
      <c r="I2639">
        <v>139</v>
      </c>
      <c r="J2639">
        <v>51</v>
      </c>
      <c r="K2639">
        <v>22791</v>
      </c>
      <c r="L2639">
        <v>3167949</v>
      </c>
      <c r="M2639">
        <f>Inventory_Data[[#This Row],[Opening Stock]]+Inventory_Data[[#This Row],[Purchase Qty]]-Inventory_Data[[#This Row],[Sales Qty]]-Inventory_Data[[#This Row],[Closing Stock]]</f>
        <v>0</v>
      </c>
      <c r="N2639">
        <f>Inventory_Data[[#This Row],[Purchase Qty]]*Inventory_Data[[#This Row],[Unit Cost]]</f>
        <v>2438637</v>
      </c>
      <c r="O2639" t="str">
        <f>IF(Inventory_Data[[#This Row],[Closing Stock]]&lt;=Inventory_Data[[#This Row],[Reorder Level]],"Low Stock","In Stock")</f>
        <v>In Stock</v>
      </c>
      <c r="P2639" t="str">
        <f>TEXT(Inventory_Data[[#This Row],[Date]],"MMM")</f>
        <v>Jul</v>
      </c>
      <c r="Q2639" t="str">
        <f>TEXT(Inventory_Data[[#This Row],[Date]],"YYYY")</f>
        <v>2026</v>
      </c>
    </row>
    <row r="2640" spans="1:17" x14ac:dyDescent="0.3">
      <c r="A2640" s="1">
        <v>46216</v>
      </c>
      <c r="B2640" t="s">
        <v>41</v>
      </c>
      <c r="C2640" t="s">
        <v>22</v>
      </c>
      <c r="D2640" t="s">
        <v>37</v>
      </c>
      <c r="E2640" t="s">
        <v>24</v>
      </c>
      <c r="F2640">
        <v>148</v>
      </c>
      <c r="G2640">
        <v>43</v>
      </c>
      <c r="H2640">
        <v>191</v>
      </c>
      <c r="I2640">
        <v>0</v>
      </c>
      <c r="J2640">
        <v>61</v>
      </c>
      <c r="K2640">
        <v>1158</v>
      </c>
      <c r="L2640">
        <v>0</v>
      </c>
      <c r="M2640">
        <f>Inventory_Data[[#This Row],[Opening Stock]]+Inventory_Data[[#This Row],[Purchase Qty]]-Inventory_Data[[#This Row],[Sales Qty]]-Inventory_Data[[#This Row],[Closing Stock]]</f>
        <v>0</v>
      </c>
      <c r="N2640">
        <f>Inventory_Data[[#This Row],[Purchase Qty]]*Inventory_Data[[#This Row],[Unit Cost]]</f>
        <v>49794</v>
      </c>
      <c r="O2640" t="str">
        <f>IF(Inventory_Data[[#This Row],[Closing Stock]]&lt;=Inventory_Data[[#This Row],[Reorder Level]],"Low Stock","In Stock")</f>
        <v>Low Stock</v>
      </c>
      <c r="P2640" t="str">
        <f>TEXT(Inventory_Data[[#This Row],[Date]],"MMM")</f>
        <v>Jul</v>
      </c>
      <c r="Q2640" t="str">
        <f>TEXT(Inventory_Data[[#This Row],[Date]],"YYYY")</f>
        <v>2026</v>
      </c>
    </row>
    <row r="2641" spans="1:17" x14ac:dyDescent="0.3">
      <c r="A2641" s="1">
        <v>46217</v>
      </c>
      <c r="B2641" t="s">
        <v>25</v>
      </c>
      <c r="C2641" t="s">
        <v>17</v>
      </c>
      <c r="D2641" t="s">
        <v>26</v>
      </c>
      <c r="E2641" t="s">
        <v>18</v>
      </c>
      <c r="F2641">
        <v>61</v>
      </c>
      <c r="G2641">
        <v>51</v>
      </c>
      <c r="H2641">
        <v>26</v>
      </c>
      <c r="I2641">
        <v>86</v>
      </c>
      <c r="J2641">
        <v>14</v>
      </c>
      <c r="K2641">
        <v>23638</v>
      </c>
      <c r="L2641">
        <v>2032868</v>
      </c>
      <c r="M2641">
        <f>Inventory_Data[[#This Row],[Opening Stock]]+Inventory_Data[[#This Row],[Purchase Qty]]-Inventory_Data[[#This Row],[Sales Qty]]-Inventory_Data[[#This Row],[Closing Stock]]</f>
        <v>0</v>
      </c>
      <c r="N2641">
        <f>Inventory_Data[[#This Row],[Purchase Qty]]*Inventory_Data[[#This Row],[Unit Cost]]</f>
        <v>1205538</v>
      </c>
      <c r="O2641" t="str">
        <f>IF(Inventory_Data[[#This Row],[Closing Stock]]&lt;=Inventory_Data[[#This Row],[Reorder Level]],"Low Stock","In Stock")</f>
        <v>In Stock</v>
      </c>
      <c r="P2641" t="str">
        <f>TEXT(Inventory_Data[[#This Row],[Date]],"MMM")</f>
        <v>Jul</v>
      </c>
      <c r="Q2641" t="str">
        <f>TEXT(Inventory_Data[[#This Row],[Date]],"YYYY")</f>
        <v>2026</v>
      </c>
    </row>
    <row r="2642" spans="1:17" x14ac:dyDescent="0.3">
      <c r="A2642" s="1">
        <v>46217</v>
      </c>
      <c r="B2642" t="s">
        <v>39</v>
      </c>
      <c r="C2642" t="s">
        <v>28</v>
      </c>
      <c r="D2642" t="s">
        <v>23</v>
      </c>
      <c r="E2642" t="s">
        <v>34</v>
      </c>
      <c r="F2642">
        <v>100</v>
      </c>
      <c r="G2642">
        <v>39</v>
      </c>
      <c r="H2642">
        <v>25</v>
      </c>
      <c r="I2642">
        <v>114</v>
      </c>
      <c r="J2642">
        <v>32</v>
      </c>
      <c r="K2642">
        <v>56155</v>
      </c>
      <c r="L2642">
        <v>6401670</v>
      </c>
      <c r="M2642">
        <f>Inventory_Data[[#This Row],[Opening Stock]]+Inventory_Data[[#This Row],[Purchase Qty]]-Inventory_Data[[#This Row],[Sales Qty]]-Inventory_Data[[#This Row],[Closing Stock]]</f>
        <v>0</v>
      </c>
      <c r="N2642">
        <f>Inventory_Data[[#This Row],[Purchase Qty]]*Inventory_Data[[#This Row],[Unit Cost]]</f>
        <v>2190045</v>
      </c>
      <c r="O2642" t="str">
        <f>IF(Inventory_Data[[#This Row],[Closing Stock]]&lt;=Inventory_Data[[#This Row],[Reorder Level]],"Low Stock","In Stock")</f>
        <v>In Stock</v>
      </c>
      <c r="P2642" t="str">
        <f>TEXT(Inventory_Data[[#This Row],[Date]],"MMM")</f>
        <v>Jul</v>
      </c>
      <c r="Q2642" t="str">
        <f>TEXT(Inventory_Data[[#This Row],[Date]],"YYYY")</f>
        <v>2026</v>
      </c>
    </row>
    <row r="2643" spans="1:17" x14ac:dyDescent="0.3">
      <c r="A2643" s="1">
        <v>46217</v>
      </c>
      <c r="B2643" t="s">
        <v>12</v>
      </c>
      <c r="C2643" t="s">
        <v>13</v>
      </c>
      <c r="D2643" t="s">
        <v>26</v>
      </c>
      <c r="E2643" t="s">
        <v>15</v>
      </c>
      <c r="F2643">
        <v>110</v>
      </c>
      <c r="G2643">
        <v>41</v>
      </c>
      <c r="H2643">
        <v>12</v>
      </c>
      <c r="I2643">
        <v>139</v>
      </c>
      <c r="J2643">
        <v>23</v>
      </c>
      <c r="K2643">
        <v>14187</v>
      </c>
      <c r="L2643">
        <v>1971993</v>
      </c>
      <c r="M2643">
        <f>Inventory_Data[[#This Row],[Opening Stock]]+Inventory_Data[[#This Row],[Purchase Qty]]-Inventory_Data[[#This Row],[Sales Qty]]-Inventory_Data[[#This Row],[Closing Stock]]</f>
        <v>0</v>
      </c>
      <c r="N2643">
        <f>Inventory_Data[[#This Row],[Purchase Qty]]*Inventory_Data[[#This Row],[Unit Cost]]</f>
        <v>581667</v>
      </c>
      <c r="O2643" t="str">
        <f>IF(Inventory_Data[[#This Row],[Closing Stock]]&lt;=Inventory_Data[[#This Row],[Reorder Level]],"Low Stock","In Stock")</f>
        <v>In Stock</v>
      </c>
      <c r="P2643" t="str">
        <f>TEXT(Inventory_Data[[#This Row],[Date]],"MMM")</f>
        <v>Jul</v>
      </c>
      <c r="Q2643" t="str">
        <f>TEXT(Inventory_Data[[#This Row],[Date]],"YYYY")</f>
        <v>2026</v>
      </c>
    </row>
    <row r="2644" spans="1:17" x14ac:dyDescent="0.3">
      <c r="A2644" s="1">
        <v>46218</v>
      </c>
      <c r="B2644" t="s">
        <v>35</v>
      </c>
      <c r="C2644" t="s">
        <v>22</v>
      </c>
      <c r="D2644" t="s">
        <v>14</v>
      </c>
      <c r="E2644" t="s">
        <v>18</v>
      </c>
      <c r="F2644">
        <v>145</v>
      </c>
      <c r="G2644">
        <v>230</v>
      </c>
      <c r="H2644">
        <v>35</v>
      </c>
      <c r="I2644">
        <v>340</v>
      </c>
      <c r="J2644">
        <v>142</v>
      </c>
      <c r="K2644">
        <v>448</v>
      </c>
      <c r="L2644">
        <v>152320</v>
      </c>
      <c r="M2644">
        <f>Inventory_Data[[#This Row],[Opening Stock]]+Inventory_Data[[#This Row],[Purchase Qty]]-Inventory_Data[[#This Row],[Sales Qty]]-Inventory_Data[[#This Row],[Closing Stock]]</f>
        <v>0</v>
      </c>
      <c r="N2644">
        <f>Inventory_Data[[#This Row],[Purchase Qty]]*Inventory_Data[[#This Row],[Unit Cost]]</f>
        <v>103040</v>
      </c>
      <c r="O2644" t="str">
        <f>IF(Inventory_Data[[#This Row],[Closing Stock]]&lt;=Inventory_Data[[#This Row],[Reorder Level]],"Low Stock","In Stock")</f>
        <v>In Stock</v>
      </c>
      <c r="P2644" t="str">
        <f>TEXT(Inventory_Data[[#This Row],[Date]],"MMM")</f>
        <v>Jul</v>
      </c>
      <c r="Q2644" t="str">
        <f>TEXT(Inventory_Data[[#This Row],[Date]],"YYYY")</f>
        <v>2026</v>
      </c>
    </row>
    <row r="2645" spans="1:17" x14ac:dyDescent="0.3">
      <c r="A2645" s="1">
        <v>46218</v>
      </c>
      <c r="B2645" t="s">
        <v>31</v>
      </c>
      <c r="C2645" t="s">
        <v>22</v>
      </c>
      <c r="D2645" t="s">
        <v>23</v>
      </c>
      <c r="E2645" t="s">
        <v>20</v>
      </c>
      <c r="F2645">
        <v>381</v>
      </c>
      <c r="G2645">
        <v>160</v>
      </c>
      <c r="H2645">
        <v>52</v>
      </c>
      <c r="I2645">
        <v>489</v>
      </c>
      <c r="J2645">
        <v>99</v>
      </c>
      <c r="K2645">
        <v>76</v>
      </c>
      <c r="L2645">
        <v>37164</v>
      </c>
      <c r="M2645">
        <f>Inventory_Data[[#This Row],[Opening Stock]]+Inventory_Data[[#This Row],[Purchase Qty]]-Inventory_Data[[#This Row],[Sales Qty]]-Inventory_Data[[#This Row],[Closing Stock]]</f>
        <v>0</v>
      </c>
      <c r="N2645">
        <f>Inventory_Data[[#This Row],[Purchase Qty]]*Inventory_Data[[#This Row],[Unit Cost]]</f>
        <v>12160</v>
      </c>
      <c r="O2645" t="str">
        <f>IF(Inventory_Data[[#This Row],[Closing Stock]]&lt;=Inventory_Data[[#This Row],[Reorder Level]],"Low Stock","In Stock")</f>
        <v>In Stock</v>
      </c>
      <c r="P2645" t="str">
        <f>TEXT(Inventory_Data[[#This Row],[Date]],"MMM")</f>
        <v>Jul</v>
      </c>
      <c r="Q2645" t="str">
        <f>TEXT(Inventory_Data[[#This Row],[Date]],"YYYY")</f>
        <v>2026</v>
      </c>
    </row>
    <row r="2646" spans="1:17" x14ac:dyDescent="0.3">
      <c r="A2646" s="1">
        <v>46218</v>
      </c>
      <c r="B2646" t="s">
        <v>32</v>
      </c>
      <c r="C2646" t="s">
        <v>28</v>
      </c>
      <c r="D2646" t="s">
        <v>26</v>
      </c>
      <c r="E2646" t="s">
        <v>34</v>
      </c>
      <c r="F2646">
        <v>94</v>
      </c>
      <c r="G2646">
        <v>45</v>
      </c>
      <c r="H2646">
        <v>79</v>
      </c>
      <c r="I2646">
        <v>60</v>
      </c>
      <c r="J2646">
        <v>25</v>
      </c>
      <c r="K2646">
        <v>25576</v>
      </c>
      <c r="L2646">
        <v>1534560</v>
      </c>
      <c r="M2646">
        <f>Inventory_Data[[#This Row],[Opening Stock]]+Inventory_Data[[#This Row],[Purchase Qty]]-Inventory_Data[[#This Row],[Sales Qty]]-Inventory_Data[[#This Row],[Closing Stock]]</f>
        <v>0</v>
      </c>
      <c r="N2646">
        <f>Inventory_Data[[#This Row],[Purchase Qty]]*Inventory_Data[[#This Row],[Unit Cost]]</f>
        <v>1150920</v>
      </c>
      <c r="O2646" t="str">
        <f>IF(Inventory_Data[[#This Row],[Closing Stock]]&lt;=Inventory_Data[[#This Row],[Reorder Level]],"Low Stock","In Stock")</f>
        <v>In Stock</v>
      </c>
      <c r="P2646" t="str">
        <f>TEXT(Inventory_Data[[#This Row],[Date]],"MMM")</f>
        <v>Jul</v>
      </c>
      <c r="Q2646" t="str">
        <f>TEXT(Inventory_Data[[#This Row],[Date]],"YYYY")</f>
        <v>2026</v>
      </c>
    </row>
    <row r="2647" spans="1:17" x14ac:dyDescent="0.3">
      <c r="A2647" s="1">
        <v>46218</v>
      </c>
      <c r="B2647" t="s">
        <v>42</v>
      </c>
      <c r="C2647" t="s">
        <v>17</v>
      </c>
      <c r="D2647" t="s">
        <v>37</v>
      </c>
      <c r="E2647" t="s">
        <v>15</v>
      </c>
      <c r="F2647">
        <v>69</v>
      </c>
      <c r="G2647">
        <v>6</v>
      </c>
      <c r="H2647">
        <v>6</v>
      </c>
      <c r="I2647">
        <v>69</v>
      </c>
      <c r="J2647">
        <v>17</v>
      </c>
      <c r="K2647">
        <v>3975</v>
      </c>
      <c r="L2647">
        <v>274275</v>
      </c>
      <c r="M2647">
        <f>Inventory_Data[[#This Row],[Opening Stock]]+Inventory_Data[[#This Row],[Purchase Qty]]-Inventory_Data[[#This Row],[Sales Qty]]-Inventory_Data[[#This Row],[Closing Stock]]</f>
        <v>0</v>
      </c>
      <c r="N2647">
        <f>Inventory_Data[[#This Row],[Purchase Qty]]*Inventory_Data[[#This Row],[Unit Cost]]</f>
        <v>23850</v>
      </c>
      <c r="O2647" t="str">
        <f>IF(Inventory_Data[[#This Row],[Closing Stock]]&lt;=Inventory_Data[[#This Row],[Reorder Level]],"Low Stock","In Stock")</f>
        <v>In Stock</v>
      </c>
      <c r="P2647" t="str">
        <f>TEXT(Inventory_Data[[#This Row],[Date]],"MMM")</f>
        <v>Jul</v>
      </c>
      <c r="Q2647" t="str">
        <f>TEXT(Inventory_Data[[#This Row],[Date]],"YYYY")</f>
        <v>2026</v>
      </c>
    </row>
    <row r="2648" spans="1:17" x14ac:dyDescent="0.3">
      <c r="A2648" s="1">
        <v>46218</v>
      </c>
      <c r="B2648" t="s">
        <v>12</v>
      </c>
      <c r="C2648" t="s">
        <v>13</v>
      </c>
      <c r="D2648" t="s">
        <v>14</v>
      </c>
      <c r="E2648" t="s">
        <v>34</v>
      </c>
      <c r="F2648">
        <v>37</v>
      </c>
      <c r="G2648">
        <v>66</v>
      </c>
      <c r="H2648">
        <v>13</v>
      </c>
      <c r="I2648">
        <v>90</v>
      </c>
      <c r="J2648">
        <v>39</v>
      </c>
      <c r="K2648">
        <v>6419</v>
      </c>
      <c r="L2648">
        <v>577710</v>
      </c>
      <c r="M2648">
        <f>Inventory_Data[[#This Row],[Opening Stock]]+Inventory_Data[[#This Row],[Purchase Qty]]-Inventory_Data[[#This Row],[Sales Qty]]-Inventory_Data[[#This Row],[Closing Stock]]</f>
        <v>0</v>
      </c>
      <c r="N2648">
        <f>Inventory_Data[[#This Row],[Purchase Qty]]*Inventory_Data[[#This Row],[Unit Cost]]</f>
        <v>423654</v>
      </c>
      <c r="O2648" t="str">
        <f>IF(Inventory_Data[[#This Row],[Closing Stock]]&lt;=Inventory_Data[[#This Row],[Reorder Level]],"Low Stock","In Stock")</f>
        <v>In Stock</v>
      </c>
      <c r="P2648" t="str">
        <f>TEXT(Inventory_Data[[#This Row],[Date]],"MMM")</f>
        <v>Jul</v>
      </c>
      <c r="Q2648" t="str">
        <f>TEXT(Inventory_Data[[#This Row],[Date]],"YYYY")</f>
        <v>2026</v>
      </c>
    </row>
    <row r="2649" spans="1:17" x14ac:dyDescent="0.3">
      <c r="A2649" s="1">
        <v>46218</v>
      </c>
      <c r="B2649" t="s">
        <v>42</v>
      </c>
      <c r="C2649" t="s">
        <v>17</v>
      </c>
      <c r="D2649" t="s">
        <v>26</v>
      </c>
      <c r="E2649" t="s">
        <v>34</v>
      </c>
      <c r="F2649">
        <v>45</v>
      </c>
      <c r="G2649">
        <v>8</v>
      </c>
      <c r="H2649">
        <v>15</v>
      </c>
      <c r="I2649">
        <v>38</v>
      </c>
      <c r="J2649">
        <v>18</v>
      </c>
      <c r="K2649">
        <v>11332</v>
      </c>
      <c r="L2649">
        <v>430616</v>
      </c>
      <c r="M2649">
        <f>Inventory_Data[[#This Row],[Opening Stock]]+Inventory_Data[[#This Row],[Purchase Qty]]-Inventory_Data[[#This Row],[Sales Qty]]-Inventory_Data[[#This Row],[Closing Stock]]</f>
        <v>0</v>
      </c>
      <c r="N2649">
        <f>Inventory_Data[[#This Row],[Purchase Qty]]*Inventory_Data[[#This Row],[Unit Cost]]</f>
        <v>90656</v>
      </c>
      <c r="O2649" t="str">
        <f>IF(Inventory_Data[[#This Row],[Closing Stock]]&lt;=Inventory_Data[[#This Row],[Reorder Level]],"Low Stock","In Stock")</f>
        <v>In Stock</v>
      </c>
      <c r="P2649" t="str">
        <f>TEXT(Inventory_Data[[#This Row],[Date]],"MMM")</f>
        <v>Jul</v>
      </c>
      <c r="Q2649" t="str">
        <f>TEXT(Inventory_Data[[#This Row],[Date]],"YYYY")</f>
        <v>2026</v>
      </c>
    </row>
    <row r="2650" spans="1:17" x14ac:dyDescent="0.3">
      <c r="A2650" s="1">
        <v>46218</v>
      </c>
      <c r="B2650" t="s">
        <v>21</v>
      </c>
      <c r="C2650" t="s">
        <v>22</v>
      </c>
      <c r="D2650" t="s">
        <v>37</v>
      </c>
      <c r="E2650" t="s">
        <v>15</v>
      </c>
      <c r="F2650">
        <v>276</v>
      </c>
      <c r="G2650">
        <v>98</v>
      </c>
      <c r="H2650">
        <v>135</v>
      </c>
      <c r="I2650">
        <v>239</v>
      </c>
      <c r="J2650">
        <v>134</v>
      </c>
      <c r="K2650">
        <v>968</v>
      </c>
      <c r="L2650">
        <v>231352</v>
      </c>
      <c r="M2650">
        <f>Inventory_Data[[#This Row],[Opening Stock]]+Inventory_Data[[#This Row],[Purchase Qty]]-Inventory_Data[[#This Row],[Sales Qty]]-Inventory_Data[[#This Row],[Closing Stock]]</f>
        <v>0</v>
      </c>
      <c r="N2650">
        <f>Inventory_Data[[#This Row],[Purchase Qty]]*Inventory_Data[[#This Row],[Unit Cost]]</f>
        <v>94864</v>
      </c>
      <c r="O2650" t="str">
        <f>IF(Inventory_Data[[#This Row],[Closing Stock]]&lt;=Inventory_Data[[#This Row],[Reorder Level]],"Low Stock","In Stock")</f>
        <v>In Stock</v>
      </c>
      <c r="P2650" t="str">
        <f>TEXT(Inventory_Data[[#This Row],[Date]],"MMM")</f>
        <v>Jul</v>
      </c>
      <c r="Q2650" t="str">
        <f>TEXT(Inventory_Data[[#This Row],[Date]],"YYYY")</f>
        <v>2026</v>
      </c>
    </row>
    <row r="2651" spans="1:17" x14ac:dyDescent="0.3">
      <c r="A2651" s="1">
        <v>46218</v>
      </c>
      <c r="B2651" t="s">
        <v>16</v>
      </c>
      <c r="C2651" t="s">
        <v>17</v>
      </c>
      <c r="D2651" t="s">
        <v>37</v>
      </c>
      <c r="E2651" t="s">
        <v>24</v>
      </c>
      <c r="F2651">
        <v>55</v>
      </c>
      <c r="G2651">
        <v>42</v>
      </c>
      <c r="H2651">
        <v>9</v>
      </c>
      <c r="I2651">
        <v>88</v>
      </c>
      <c r="J2651">
        <v>14</v>
      </c>
      <c r="K2651">
        <v>20753</v>
      </c>
      <c r="L2651">
        <v>1826264</v>
      </c>
      <c r="M2651">
        <f>Inventory_Data[[#This Row],[Opening Stock]]+Inventory_Data[[#This Row],[Purchase Qty]]-Inventory_Data[[#This Row],[Sales Qty]]-Inventory_Data[[#This Row],[Closing Stock]]</f>
        <v>0</v>
      </c>
      <c r="N2651">
        <f>Inventory_Data[[#This Row],[Purchase Qty]]*Inventory_Data[[#This Row],[Unit Cost]]</f>
        <v>871626</v>
      </c>
      <c r="O2651" t="str">
        <f>IF(Inventory_Data[[#This Row],[Closing Stock]]&lt;=Inventory_Data[[#This Row],[Reorder Level]],"Low Stock","In Stock")</f>
        <v>In Stock</v>
      </c>
      <c r="P2651" t="str">
        <f>TEXT(Inventory_Data[[#This Row],[Date]],"MMM")</f>
        <v>Jul</v>
      </c>
      <c r="Q2651" t="str">
        <f>TEXT(Inventory_Data[[#This Row],[Date]],"YYYY")</f>
        <v>2026</v>
      </c>
    </row>
    <row r="2652" spans="1:17" x14ac:dyDescent="0.3">
      <c r="A2652" s="1">
        <v>46219</v>
      </c>
      <c r="B2652" t="s">
        <v>42</v>
      </c>
      <c r="C2652" t="s">
        <v>17</v>
      </c>
      <c r="D2652" t="s">
        <v>23</v>
      </c>
      <c r="E2652" t="s">
        <v>20</v>
      </c>
      <c r="F2652">
        <v>78</v>
      </c>
      <c r="G2652">
        <v>28</v>
      </c>
      <c r="H2652">
        <v>30</v>
      </c>
      <c r="I2652">
        <v>76</v>
      </c>
      <c r="J2652">
        <v>17</v>
      </c>
      <c r="K2652">
        <v>20311</v>
      </c>
      <c r="L2652">
        <v>1543636</v>
      </c>
      <c r="M2652">
        <f>Inventory_Data[[#This Row],[Opening Stock]]+Inventory_Data[[#This Row],[Purchase Qty]]-Inventory_Data[[#This Row],[Sales Qty]]-Inventory_Data[[#This Row],[Closing Stock]]</f>
        <v>0</v>
      </c>
      <c r="N2652">
        <f>Inventory_Data[[#This Row],[Purchase Qty]]*Inventory_Data[[#This Row],[Unit Cost]]</f>
        <v>568708</v>
      </c>
      <c r="O2652" t="str">
        <f>IF(Inventory_Data[[#This Row],[Closing Stock]]&lt;=Inventory_Data[[#This Row],[Reorder Level]],"Low Stock","In Stock")</f>
        <v>In Stock</v>
      </c>
      <c r="P2652" t="str">
        <f>TEXT(Inventory_Data[[#This Row],[Date]],"MMM")</f>
        <v>Jul</v>
      </c>
      <c r="Q2652" t="str">
        <f>TEXT(Inventory_Data[[#This Row],[Date]],"YYYY")</f>
        <v>2026</v>
      </c>
    </row>
    <row r="2653" spans="1:17" x14ac:dyDescent="0.3">
      <c r="A2653" s="1">
        <v>46219</v>
      </c>
      <c r="B2653" t="s">
        <v>45</v>
      </c>
      <c r="C2653" t="s">
        <v>13</v>
      </c>
      <c r="D2653" t="s">
        <v>26</v>
      </c>
      <c r="E2653" t="s">
        <v>29</v>
      </c>
      <c r="F2653">
        <v>61</v>
      </c>
      <c r="G2653">
        <v>50</v>
      </c>
      <c r="H2653">
        <v>58</v>
      </c>
      <c r="I2653">
        <v>53</v>
      </c>
      <c r="J2653">
        <v>33</v>
      </c>
      <c r="K2653">
        <v>8206</v>
      </c>
      <c r="L2653">
        <v>434918</v>
      </c>
      <c r="M2653">
        <f>Inventory_Data[[#This Row],[Opening Stock]]+Inventory_Data[[#This Row],[Purchase Qty]]-Inventory_Data[[#This Row],[Sales Qty]]-Inventory_Data[[#This Row],[Closing Stock]]</f>
        <v>0</v>
      </c>
      <c r="N2653">
        <f>Inventory_Data[[#This Row],[Purchase Qty]]*Inventory_Data[[#This Row],[Unit Cost]]</f>
        <v>410300</v>
      </c>
      <c r="O2653" t="str">
        <f>IF(Inventory_Data[[#This Row],[Closing Stock]]&lt;=Inventory_Data[[#This Row],[Reorder Level]],"Low Stock","In Stock")</f>
        <v>In Stock</v>
      </c>
      <c r="P2653" t="str">
        <f>TEXT(Inventory_Data[[#This Row],[Date]],"MMM")</f>
        <v>Jul</v>
      </c>
      <c r="Q2653" t="str">
        <f>TEXT(Inventory_Data[[#This Row],[Date]],"YYYY")</f>
        <v>2026</v>
      </c>
    </row>
    <row r="2654" spans="1:17" x14ac:dyDescent="0.3">
      <c r="A2654" s="1">
        <v>46219</v>
      </c>
      <c r="B2654" t="s">
        <v>45</v>
      </c>
      <c r="C2654" t="s">
        <v>13</v>
      </c>
      <c r="D2654" t="s">
        <v>14</v>
      </c>
      <c r="E2654" t="s">
        <v>15</v>
      </c>
      <c r="F2654">
        <v>18</v>
      </c>
      <c r="G2654">
        <v>46</v>
      </c>
      <c r="H2654">
        <v>22</v>
      </c>
      <c r="I2654">
        <v>42</v>
      </c>
      <c r="J2654">
        <v>28</v>
      </c>
      <c r="K2654">
        <v>14932</v>
      </c>
      <c r="L2654">
        <v>627144</v>
      </c>
      <c r="M2654">
        <f>Inventory_Data[[#This Row],[Opening Stock]]+Inventory_Data[[#This Row],[Purchase Qty]]-Inventory_Data[[#This Row],[Sales Qty]]-Inventory_Data[[#This Row],[Closing Stock]]</f>
        <v>0</v>
      </c>
      <c r="N2654">
        <f>Inventory_Data[[#This Row],[Purchase Qty]]*Inventory_Data[[#This Row],[Unit Cost]]</f>
        <v>686872</v>
      </c>
      <c r="O2654" t="str">
        <f>IF(Inventory_Data[[#This Row],[Closing Stock]]&lt;=Inventory_Data[[#This Row],[Reorder Level]],"Low Stock","In Stock")</f>
        <v>In Stock</v>
      </c>
      <c r="P2654" t="str">
        <f>TEXT(Inventory_Data[[#This Row],[Date]],"MMM")</f>
        <v>Jul</v>
      </c>
      <c r="Q2654" t="str">
        <f>TEXT(Inventory_Data[[#This Row],[Date]],"YYYY")</f>
        <v>2026</v>
      </c>
    </row>
    <row r="2655" spans="1:17" x14ac:dyDescent="0.3">
      <c r="A2655" s="1">
        <v>46219</v>
      </c>
      <c r="B2655" t="s">
        <v>35</v>
      </c>
      <c r="C2655" t="s">
        <v>22</v>
      </c>
      <c r="D2655" t="s">
        <v>23</v>
      </c>
      <c r="E2655" t="s">
        <v>24</v>
      </c>
      <c r="F2655">
        <v>144</v>
      </c>
      <c r="G2655">
        <v>117</v>
      </c>
      <c r="H2655">
        <v>53</v>
      </c>
      <c r="I2655">
        <v>208</v>
      </c>
      <c r="J2655">
        <v>71</v>
      </c>
      <c r="K2655">
        <v>480</v>
      </c>
      <c r="L2655">
        <v>99840</v>
      </c>
      <c r="M2655">
        <f>Inventory_Data[[#This Row],[Opening Stock]]+Inventory_Data[[#This Row],[Purchase Qty]]-Inventory_Data[[#This Row],[Sales Qty]]-Inventory_Data[[#This Row],[Closing Stock]]</f>
        <v>0</v>
      </c>
      <c r="N2655">
        <f>Inventory_Data[[#This Row],[Purchase Qty]]*Inventory_Data[[#This Row],[Unit Cost]]</f>
        <v>56160</v>
      </c>
      <c r="O2655" t="str">
        <f>IF(Inventory_Data[[#This Row],[Closing Stock]]&lt;=Inventory_Data[[#This Row],[Reorder Level]],"Low Stock","In Stock")</f>
        <v>In Stock</v>
      </c>
      <c r="P2655" t="str">
        <f>TEXT(Inventory_Data[[#This Row],[Date]],"MMM")</f>
        <v>Jul</v>
      </c>
      <c r="Q2655" t="str">
        <f>TEXT(Inventory_Data[[#This Row],[Date]],"YYYY")</f>
        <v>2026</v>
      </c>
    </row>
    <row r="2656" spans="1:17" x14ac:dyDescent="0.3">
      <c r="A2656" s="1">
        <v>46219</v>
      </c>
      <c r="B2656" t="s">
        <v>30</v>
      </c>
      <c r="C2656" t="s">
        <v>28</v>
      </c>
      <c r="D2656" t="s">
        <v>26</v>
      </c>
      <c r="E2656" t="s">
        <v>20</v>
      </c>
      <c r="F2656">
        <v>31</v>
      </c>
      <c r="G2656">
        <v>78</v>
      </c>
      <c r="H2656">
        <v>77</v>
      </c>
      <c r="I2656">
        <v>32</v>
      </c>
      <c r="J2656">
        <v>28</v>
      </c>
      <c r="K2656">
        <v>44619</v>
      </c>
      <c r="L2656">
        <v>1427808</v>
      </c>
      <c r="M2656">
        <f>Inventory_Data[[#This Row],[Opening Stock]]+Inventory_Data[[#This Row],[Purchase Qty]]-Inventory_Data[[#This Row],[Sales Qty]]-Inventory_Data[[#This Row],[Closing Stock]]</f>
        <v>0</v>
      </c>
      <c r="N2656">
        <f>Inventory_Data[[#This Row],[Purchase Qty]]*Inventory_Data[[#This Row],[Unit Cost]]</f>
        <v>3480282</v>
      </c>
      <c r="O2656" t="str">
        <f>IF(Inventory_Data[[#This Row],[Closing Stock]]&lt;=Inventory_Data[[#This Row],[Reorder Level]],"Low Stock","In Stock")</f>
        <v>In Stock</v>
      </c>
      <c r="P2656" t="str">
        <f>TEXT(Inventory_Data[[#This Row],[Date]],"MMM")</f>
        <v>Jul</v>
      </c>
      <c r="Q2656" t="str">
        <f>TEXT(Inventory_Data[[#This Row],[Date]],"YYYY")</f>
        <v>2026</v>
      </c>
    </row>
    <row r="2657" spans="1:17" x14ac:dyDescent="0.3">
      <c r="A2657" s="1">
        <v>46219</v>
      </c>
      <c r="B2657" t="s">
        <v>21</v>
      </c>
      <c r="C2657" t="s">
        <v>22</v>
      </c>
      <c r="D2657" t="s">
        <v>14</v>
      </c>
      <c r="E2657" t="s">
        <v>15</v>
      </c>
      <c r="F2657">
        <v>362</v>
      </c>
      <c r="G2657">
        <v>278</v>
      </c>
      <c r="H2657">
        <v>128</v>
      </c>
      <c r="I2657">
        <v>512</v>
      </c>
      <c r="J2657">
        <v>103</v>
      </c>
      <c r="K2657">
        <v>588</v>
      </c>
      <c r="L2657">
        <v>301056</v>
      </c>
      <c r="M2657">
        <f>Inventory_Data[[#This Row],[Opening Stock]]+Inventory_Data[[#This Row],[Purchase Qty]]-Inventory_Data[[#This Row],[Sales Qty]]-Inventory_Data[[#This Row],[Closing Stock]]</f>
        <v>0</v>
      </c>
      <c r="N2657">
        <f>Inventory_Data[[#This Row],[Purchase Qty]]*Inventory_Data[[#This Row],[Unit Cost]]</f>
        <v>163464</v>
      </c>
      <c r="O2657" t="str">
        <f>IF(Inventory_Data[[#This Row],[Closing Stock]]&lt;=Inventory_Data[[#This Row],[Reorder Level]],"Low Stock","In Stock")</f>
        <v>In Stock</v>
      </c>
      <c r="P2657" t="str">
        <f>TEXT(Inventory_Data[[#This Row],[Date]],"MMM")</f>
        <v>Jul</v>
      </c>
      <c r="Q2657" t="str">
        <f>TEXT(Inventory_Data[[#This Row],[Date]],"YYYY")</f>
        <v>2026</v>
      </c>
    </row>
    <row r="2658" spans="1:17" x14ac:dyDescent="0.3">
      <c r="A2658" s="1">
        <v>46220</v>
      </c>
      <c r="B2658" t="s">
        <v>41</v>
      </c>
      <c r="C2658" t="s">
        <v>22</v>
      </c>
      <c r="D2658" t="s">
        <v>23</v>
      </c>
      <c r="E2658" t="s">
        <v>18</v>
      </c>
      <c r="F2658">
        <v>476</v>
      </c>
      <c r="G2658">
        <v>243</v>
      </c>
      <c r="H2658">
        <v>160</v>
      </c>
      <c r="I2658">
        <v>559</v>
      </c>
      <c r="J2658">
        <v>104</v>
      </c>
      <c r="K2658">
        <v>95</v>
      </c>
      <c r="L2658">
        <v>53105</v>
      </c>
      <c r="M2658">
        <f>Inventory_Data[[#This Row],[Opening Stock]]+Inventory_Data[[#This Row],[Purchase Qty]]-Inventory_Data[[#This Row],[Sales Qty]]-Inventory_Data[[#This Row],[Closing Stock]]</f>
        <v>0</v>
      </c>
      <c r="N2658">
        <f>Inventory_Data[[#This Row],[Purchase Qty]]*Inventory_Data[[#This Row],[Unit Cost]]</f>
        <v>23085</v>
      </c>
      <c r="O2658" t="str">
        <f>IF(Inventory_Data[[#This Row],[Closing Stock]]&lt;=Inventory_Data[[#This Row],[Reorder Level]],"Low Stock","In Stock")</f>
        <v>In Stock</v>
      </c>
      <c r="P2658" t="str">
        <f>TEXT(Inventory_Data[[#This Row],[Date]],"MMM")</f>
        <v>Jul</v>
      </c>
      <c r="Q2658" t="str">
        <f>TEXT(Inventory_Data[[#This Row],[Date]],"YYYY")</f>
        <v>2026</v>
      </c>
    </row>
    <row r="2659" spans="1:17" x14ac:dyDescent="0.3">
      <c r="A2659" s="1">
        <v>46220</v>
      </c>
      <c r="B2659" t="s">
        <v>43</v>
      </c>
      <c r="C2659" t="s">
        <v>22</v>
      </c>
      <c r="D2659" t="s">
        <v>37</v>
      </c>
      <c r="E2659" t="s">
        <v>24</v>
      </c>
      <c r="F2659">
        <v>124</v>
      </c>
      <c r="G2659">
        <v>173</v>
      </c>
      <c r="H2659">
        <v>197</v>
      </c>
      <c r="I2659">
        <v>100</v>
      </c>
      <c r="J2659">
        <v>125</v>
      </c>
      <c r="K2659">
        <v>654</v>
      </c>
      <c r="L2659">
        <v>65400</v>
      </c>
      <c r="M2659">
        <f>Inventory_Data[[#This Row],[Opening Stock]]+Inventory_Data[[#This Row],[Purchase Qty]]-Inventory_Data[[#This Row],[Sales Qty]]-Inventory_Data[[#This Row],[Closing Stock]]</f>
        <v>0</v>
      </c>
      <c r="N2659">
        <f>Inventory_Data[[#This Row],[Purchase Qty]]*Inventory_Data[[#This Row],[Unit Cost]]</f>
        <v>113142</v>
      </c>
      <c r="O2659" t="str">
        <f>IF(Inventory_Data[[#This Row],[Closing Stock]]&lt;=Inventory_Data[[#This Row],[Reorder Level]],"Low Stock","In Stock")</f>
        <v>Low Stock</v>
      </c>
      <c r="P2659" t="str">
        <f>TEXT(Inventory_Data[[#This Row],[Date]],"MMM")</f>
        <v>Jul</v>
      </c>
      <c r="Q2659" t="str">
        <f>TEXT(Inventory_Data[[#This Row],[Date]],"YYYY")</f>
        <v>2026</v>
      </c>
    </row>
    <row r="2660" spans="1:17" x14ac:dyDescent="0.3">
      <c r="A2660" s="1">
        <v>46220</v>
      </c>
      <c r="B2660" t="s">
        <v>19</v>
      </c>
      <c r="C2660" t="s">
        <v>13</v>
      </c>
      <c r="D2660" t="s">
        <v>37</v>
      </c>
      <c r="E2660" t="s">
        <v>18</v>
      </c>
      <c r="F2660">
        <v>59</v>
      </c>
      <c r="G2660">
        <v>67</v>
      </c>
      <c r="H2660">
        <v>60</v>
      </c>
      <c r="I2660">
        <v>66</v>
      </c>
      <c r="J2660">
        <v>36</v>
      </c>
      <c r="K2660">
        <v>10102</v>
      </c>
      <c r="L2660">
        <v>666732</v>
      </c>
      <c r="M2660">
        <f>Inventory_Data[[#This Row],[Opening Stock]]+Inventory_Data[[#This Row],[Purchase Qty]]-Inventory_Data[[#This Row],[Sales Qty]]-Inventory_Data[[#This Row],[Closing Stock]]</f>
        <v>0</v>
      </c>
      <c r="N2660">
        <f>Inventory_Data[[#This Row],[Purchase Qty]]*Inventory_Data[[#This Row],[Unit Cost]]</f>
        <v>676834</v>
      </c>
      <c r="O2660" t="str">
        <f>IF(Inventory_Data[[#This Row],[Closing Stock]]&lt;=Inventory_Data[[#This Row],[Reorder Level]],"Low Stock","In Stock")</f>
        <v>In Stock</v>
      </c>
      <c r="P2660" t="str">
        <f>TEXT(Inventory_Data[[#This Row],[Date]],"MMM")</f>
        <v>Jul</v>
      </c>
      <c r="Q2660" t="str">
        <f>TEXT(Inventory_Data[[#This Row],[Date]],"YYYY")</f>
        <v>2026</v>
      </c>
    </row>
    <row r="2661" spans="1:17" x14ac:dyDescent="0.3">
      <c r="A2661" s="1">
        <v>46220</v>
      </c>
      <c r="B2661" t="s">
        <v>40</v>
      </c>
      <c r="C2661" t="s">
        <v>28</v>
      </c>
      <c r="D2661" t="s">
        <v>14</v>
      </c>
      <c r="E2661" t="s">
        <v>18</v>
      </c>
      <c r="F2661">
        <v>104</v>
      </c>
      <c r="G2661">
        <v>97</v>
      </c>
      <c r="H2661">
        <v>29</v>
      </c>
      <c r="I2661">
        <v>172</v>
      </c>
      <c r="J2661">
        <v>38</v>
      </c>
      <c r="K2661">
        <v>47566</v>
      </c>
      <c r="L2661">
        <v>8181352</v>
      </c>
      <c r="M2661">
        <f>Inventory_Data[[#This Row],[Opening Stock]]+Inventory_Data[[#This Row],[Purchase Qty]]-Inventory_Data[[#This Row],[Sales Qty]]-Inventory_Data[[#This Row],[Closing Stock]]</f>
        <v>0</v>
      </c>
      <c r="N2661">
        <f>Inventory_Data[[#This Row],[Purchase Qty]]*Inventory_Data[[#This Row],[Unit Cost]]</f>
        <v>4613902</v>
      </c>
      <c r="O2661" t="str">
        <f>IF(Inventory_Data[[#This Row],[Closing Stock]]&lt;=Inventory_Data[[#This Row],[Reorder Level]],"Low Stock","In Stock")</f>
        <v>In Stock</v>
      </c>
      <c r="P2661" t="str">
        <f>TEXT(Inventory_Data[[#This Row],[Date]],"MMM")</f>
        <v>Jul</v>
      </c>
      <c r="Q2661" t="str">
        <f>TEXT(Inventory_Data[[#This Row],[Date]],"YYYY")</f>
        <v>2026</v>
      </c>
    </row>
    <row r="2662" spans="1:17" x14ac:dyDescent="0.3">
      <c r="A2662" s="1">
        <v>46220</v>
      </c>
      <c r="B2662" t="s">
        <v>31</v>
      </c>
      <c r="C2662" t="s">
        <v>22</v>
      </c>
      <c r="D2662" t="s">
        <v>23</v>
      </c>
      <c r="E2662" t="s">
        <v>24</v>
      </c>
      <c r="F2662">
        <v>166</v>
      </c>
      <c r="G2662">
        <v>75</v>
      </c>
      <c r="H2662">
        <v>97</v>
      </c>
      <c r="I2662">
        <v>144</v>
      </c>
      <c r="J2662">
        <v>62</v>
      </c>
      <c r="K2662">
        <v>739</v>
      </c>
      <c r="L2662">
        <v>106416</v>
      </c>
      <c r="M2662">
        <f>Inventory_Data[[#This Row],[Opening Stock]]+Inventory_Data[[#This Row],[Purchase Qty]]-Inventory_Data[[#This Row],[Sales Qty]]-Inventory_Data[[#This Row],[Closing Stock]]</f>
        <v>0</v>
      </c>
      <c r="N2662">
        <f>Inventory_Data[[#This Row],[Purchase Qty]]*Inventory_Data[[#This Row],[Unit Cost]]</f>
        <v>55425</v>
      </c>
      <c r="O2662" t="str">
        <f>IF(Inventory_Data[[#This Row],[Closing Stock]]&lt;=Inventory_Data[[#This Row],[Reorder Level]],"Low Stock","In Stock")</f>
        <v>In Stock</v>
      </c>
      <c r="P2662" t="str">
        <f>TEXT(Inventory_Data[[#This Row],[Date]],"MMM")</f>
        <v>Jul</v>
      </c>
      <c r="Q2662" t="str">
        <f>TEXT(Inventory_Data[[#This Row],[Date]],"YYYY")</f>
        <v>2026</v>
      </c>
    </row>
    <row r="2663" spans="1:17" x14ac:dyDescent="0.3">
      <c r="A2663" s="1">
        <v>46220</v>
      </c>
      <c r="B2663" t="s">
        <v>25</v>
      </c>
      <c r="C2663" t="s">
        <v>17</v>
      </c>
      <c r="D2663" t="s">
        <v>26</v>
      </c>
      <c r="E2663" t="s">
        <v>18</v>
      </c>
      <c r="F2663">
        <v>38</v>
      </c>
      <c r="G2663">
        <v>53</v>
      </c>
      <c r="H2663">
        <v>16</v>
      </c>
      <c r="I2663">
        <v>75</v>
      </c>
      <c r="J2663">
        <v>21</v>
      </c>
      <c r="K2663">
        <v>16731</v>
      </c>
      <c r="L2663">
        <v>1254825</v>
      </c>
      <c r="M2663">
        <f>Inventory_Data[[#This Row],[Opening Stock]]+Inventory_Data[[#This Row],[Purchase Qty]]-Inventory_Data[[#This Row],[Sales Qty]]-Inventory_Data[[#This Row],[Closing Stock]]</f>
        <v>0</v>
      </c>
      <c r="N2663">
        <f>Inventory_Data[[#This Row],[Purchase Qty]]*Inventory_Data[[#This Row],[Unit Cost]]</f>
        <v>886743</v>
      </c>
      <c r="O2663" t="str">
        <f>IF(Inventory_Data[[#This Row],[Closing Stock]]&lt;=Inventory_Data[[#This Row],[Reorder Level]],"Low Stock","In Stock")</f>
        <v>In Stock</v>
      </c>
      <c r="P2663" t="str">
        <f>TEXT(Inventory_Data[[#This Row],[Date]],"MMM")</f>
        <v>Jul</v>
      </c>
      <c r="Q2663" t="str">
        <f>TEXT(Inventory_Data[[#This Row],[Date]],"YYYY")</f>
        <v>2026</v>
      </c>
    </row>
    <row r="2664" spans="1:17" x14ac:dyDescent="0.3">
      <c r="A2664" s="1">
        <v>46221</v>
      </c>
      <c r="B2664" t="s">
        <v>43</v>
      </c>
      <c r="C2664" t="s">
        <v>22</v>
      </c>
      <c r="D2664" t="s">
        <v>26</v>
      </c>
      <c r="E2664" t="s">
        <v>18</v>
      </c>
      <c r="F2664">
        <v>187</v>
      </c>
      <c r="G2664">
        <v>103</v>
      </c>
      <c r="H2664">
        <v>50</v>
      </c>
      <c r="I2664">
        <v>240</v>
      </c>
      <c r="J2664">
        <v>52</v>
      </c>
      <c r="K2664">
        <v>608</v>
      </c>
      <c r="L2664">
        <v>145920</v>
      </c>
      <c r="M2664">
        <f>Inventory_Data[[#This Row],[Opening Stock]]+Inventory_Data[[#This Row],[Purchase Qty]]-Inventory_Data[[#This Row],[Sales Qty]]-Inventory_Data[[#This Row],[Closing Stock]]</f>
        <v>0</v>
      </c>
      <c r="N2664">
        <f>Inventory_Data[[#This Row],[Purchase Qty]]*Inventory_Data[[#This Row],[Unit Cost]]</f>
        <v>62624</v>
      </c>
      <c r="O2664" t="str">
        <f>IF(Inventory_Data[[#This Row],[Closing Stock]]&lt;=Inventory_Data[[#This Row],[Reorder Level]],"Low Stock","In Stock")</f>
        <v>In Stock</v>
      </c>
      <c r="P2664" t="str">
        <f>TEXT(Inventory_Data[[#This Row],[Date]],"MMM")</f>
        <v>Jul</v>
      </c>
      <c r="Q2664" t="str">
        <f>TEXT(Inventory_Data[[#This Row],[Date]],"YYYY")</f>
        <v>2026</v>
      </c>
    </row>
    <row r="2665" spans="1:17" x14ac:dyDescent="0.3">
      <c r="A2665" s="1">
        <v>46221</v>
      </c>
      <c r="B2665" t="s">
        <v>36</v>
      </c>
      <c r="C2665" t="s">
        <v>22</v>
      </c>
      <c r="D2665" t="s">
        <v>23</v>
      </c>
      <c r="E2665" t="s">
        <v>18</v>
      </c>
      <c r="F2665">
        <v>109</v>
      </c>
      <c r="G2665">
        <v>63</v>
      </c>
      <c r="H2665">
        <v>105</v>
      </c>
      <c r="I2665">
        <v>67</v>
      </c>
      <c r="J2665">
        <v>138</v>
      </c>
      <c r="K2665">
        <v>1008</v>
      </c>
      <c r="L2665">
        <v>67536</v>
      </c>
      <c r="M2665">
        <f>Inventory_Data[[#This Row],[Opening Stock]]+Inventory_Data[[#This Row],[Purchase Qty]]-Inventory_Data[[#This Row],[Sales Qty]]-Inventory_Data[[#This Row],[Closing Stock]]</f>
        <v>0</v>
      </c>
      <c r="N2665">
        <f>Inventory_Data[[#This Row],[Purchase Qty]]*Inventory_Data[[#This Row],[Unit Cost]]</f>
        <v>63504</v>
      </c>
      <c r="O2665" t="str">
        <f>IF(Inventory_Data[[#This Row],[Closing Stock]]&lt;=Inventory_Data[[#This Row],[Reorder Level]],"Low Stock","In Stock")</f>
        <v>Low Stock</v>
      </c>
      <c r="P2665" t="str">
        <f>TEXT(Inventory_Data[[#This Row],[Date]],"MMM")</f>
        <v>Jul</v>
      </c>
      <c r="Q2665" t="str">
        <f>TEXT(Inventory_Data[[#This Row],[Date]],"YYYY")</f>
        <v>2026</v>
      </c>
    </row>
    <row r="2666" spans="1:17" x14ac:dyDescent="0.3">
      <c r="A2666" s="1">
        <v>46221</v>
      </c>
      <c r="B2666" t="s">
        <v>25</v>
      </c>
      <c r="C2666" t="s">
        <v>17</v>
      </c>
      <c r="D2666" t="s">
        <v>23</v>
      </c>
      <c r="E2666" t="s">
        <v>29</v>
      </c>
      <c r="F2666">
        <v>29</v>
      </c>
      <c r="G2666">
        <v>36</v>
      </c>
      <c r="H2666">
        <v>15</v>
      </c>
      <c r="I2666">
        <v>50</v>
      </c>
      <c r="J2666">
        <v>23</v>
      </c>
      <c r="K2666">
        <v>8055</v>
      </c>
      <c r="L2666">
        <v>402750</v>
      </c>
      <c r="M2666">
        <f>Inventory_Data[[#This Row],[Opening Stock]]+Inventory_Data[[#This Row],[Purchase Qty]]-Inventory_Data[[#This Row],[Sales Qty]]-Inventory_Data[[#This Row],[Closing Stock]]</f>
        <v>0</v>
      </c>
      <c r="N2666">
        <f>Inventory_Data[[#This Row],[Purchase Qty]]*Inventory_Data[[#This Row],[Unit Cost]]</f>
        <v>289980</v>
      </c>
      <c r="O2666" t="str">
        <f>IF(Inventory_Data[[#This Row],[Closing Stock]]&lt;=Inventory_Data[[#This Row],[Reorder Level]],"Low Stock","In Stock")</f>
        <v>In Stock</v>
      </c>
      <c r="P2666" t="str">
        <f>TEXT(Inventory_Data[[#This Row],[Date]],"MMM")</f>
        <v>Jul</v>
      </c>
      <c r="Q2666" t="str">
        <f>TEXT(Inventory_Data[[#This Row],[Date]],"YYYY")</f>
        <v>2026</v>
      </c>
    </row>
    <row r="2667" spans="1:17" x14ac:dyDescent="0.3">
      <c r="A2667" s="1">
        <v>46221</v>
      </c>
      <c r="B2667" t="s">
        <v>33</v>
      </c>
      <c r="C2667" t="s">
        <v>13</v>
      </c>
      <c r="D2667" t="s">
        <v>26</v>
      </c>
      <c r="E2667" t="s">
        <v>34</v>
      </c>
      <c r="F2667">
        <v>29</v>
      </c>
      <c r="G2667">
        <v>7</v>
      </c>
      <c r="H2667">
        <v>36</v>
      </c>
      <c r="I2667">
        <v>0</v>
      </c>
      <c r="J2667">
        <v>22</v>
      </c>
      <c r="K2667">
        <v>14819</v>
      </c>
      <c r="L2667">
        <v>0</v>
      </c>
      <c r="M2667">
        <f>Inventory_Data[[#This Row],[Opening Stock]]+Inventory_Data[[#This Row],[Purchase Qty]]-Inventory_Data[[#This Row],[Sales Qty]]-Inventory_Data[[#This Row],[Closing Stock]]</f>
        <v>0</v>
      </c>
      <c r="N2667">
        <f>Inventory_Data[[#This Row],[Purchase Qty]]*Inventory_Data[[#This Row],[Unit Cost]]</f>
        <v>103733</v>
      </c>
      <c r="O2667" t="str">
        <f>IF(Inventory_Data[[#This Row],[Closing Stock]]&lt;=Inventory_Data[[#This Row],[Reorder Level]],"Low Stock","In Stock")</f>
        <v>Low Stock</v>
      </c>
      <c r="P2667" t="str">
        <f>TEXT(Inventory_Data[[#This Row],[Date]],"MMM")</f>
        <v>Jul</v>
      </c>
      <c r="Q2667" t="str">
        <f>TEXT(Inventory_Data[[#This Row],[Date]],"YYYY")</f>
        <v>2026</v>
      </c>
    </row>
    <row r="2668" spans="1:17" x14ac:dyDescent="0.3">
      <c r="A2668" s="1">
        <v>46221</v>
      </c>
      <c r="B2668" t="s">
        <v>45</v>
      </c>
      <c r="C2668" t="s">
        <v>13</v>
      </c>
      <c r="D2668" t="s">
        <v>37</v>
      </c>
      <c r="E2668" t="s">
        <v>18</v>
      </c>
      <c r="F2668">
        <v>110</v>
      </c>
      <c r="G2668">
        <v>8</v>
      </c>
      <c r="H2668">
        <v>32</v>
      </c>
      <c r="I2668">
        <v>86</v>
      </c>
      <c r="J2668">
        <v>37</v>
      </c>
      <c r="K2668">
        <v>15520</v>
      </c>
      <c r="L2668">
        <v>1334720</v>
      </c>
      <c r="M2668">
        <f>Inventory_Data[[#This Row],[Opening Stock]]+Inventory_Data[[#This Row],[Purchase Qty]]-Inventory_Data[[#This Row],[Sales Qty]]-Inventory_Data[[#This Row],[Closing Stock]]</f>
        <v>0</v>
      </c>
      <c r="N2668">
        <f>Inventory_Data[[#This Row],[Purchase Qty]]*Inventory_Data[[#This Row],[Unit Cost]]</f>
        <v>124160</v>
      </c>
      <c r="O2668" t="str">
        <f>IF(Inventory_Data[[#This Row],[Closing Stock]]&lt;=Inventory_Data[[#This Row],[Reorder Level]],"Low Stock","In Stock")</f>
        <v>In Stock</v>
      </c>
      <c r="P2668" t="str">
        <f>TEXT(Inventory_Data[[#This Row],[Date]],"MMM")</f>
        <v>Jul</v>
      </c>
      <c r="Q2668" t="str">
        <f>TEXT(Inventory_Data[[#This Row],[Date]],"YYYY")</f>
        <v>2026</v>
      </c>
    </row>
    <row r="2669" spans="1:17" x14ac:dyDescent="0.3">
      <c r="A2669" s="1">
        <v>46222</v>
      </c>
      <c r="B2669" t="s">
        <v>33</v>
      </c>
      <c r="C2669" t="s">
        <v>13</v>
      </c>
      <c r="D2669" t="s">
        <v>37</v>
      </c>
      <c r="E2669" t="s">
        <v>34</v>
      </c>
      <c r="F2669">
        <v>46</v>
      </c>
      <c r="G2669">
        <v>52</v>
      </c>
      <c r="H2669">
        <v>41</v>
      </c>
      <c r="I2669">
        <v>57</v>
      </c>
      <c r="J2669">
        <v>24</v>
      </c>
      <c r="K2669">
        <v>4963</v>
      </c>
      <c r="L2669">
        <v>282891</v>
      </c>
      <c r="M2669">
        <f>Inventory_Data[[#This Row],[Opening Stock]]+Inventory_Data[[#This Row],[Purchase Qty]]-Inventory_Data[[#This Row],[Sales Qty]]-Inventory_Data[[#This Row],[Closing Stock]]</f>
        <v>0</v>
      </c>
      <c r="N2669">
        <f>Inventory_Data[[#This Row],[Purchase Qty]]*Inventory_Data[[#This Row],[Unit Cost]]</f>
        <v>258076</v>
      </c>
      <c r="O2669" t="str">
        <f>IF(Inventory_Data[[#This Row],[Closing Stock]]&lt;=Inventory_Data[[#This Row],[Reorder Level]],"Low Stock","In Stock")</f>
        <v>In Stock</v>
      </c>
      <c r="P2669" t="str">
        <f>TEXT(Inventory_Data[[#This Row],[Date]],"MMM")</f>
        <v>Jul</v>
      </c>
      <c r="Q2669" t="str">
        <f>TEXT(Inventory_Data[[#This Row],[Date]],"YYYY")</f>
        <v>2026</v>
      </c>
    </row>
    <row r="2670" spans="1:17" x14ac:dyDescent="0.3">
      <c r="A2670" s="1">
        <v>46222</v>
      </c>
      <c r="B2670" t="s">
        <v>44</v>
      </c>
      <c r="C2670" t="s">
        <v>28</v>
      </c>
      <c r="D2670" t="s">
        <v>14</v>
      </c>
      <c r="E2670" t="s">
        <v>20</v>
      </c>
      <c r="F2670">
        <v>59</v>
      </c>
      <c r="G2670">
        <v>83</v>
      </c>
      <c r="H2670">
        <v>22</v>
      </c>
      <c r="I2670">
        <v>120</v>
      </c>
      <c r="J2670">
        <v>32</v>
      </c>
      <c r="K2670">
        <v>59342</v>
      </c>
      <c r="L2670">
        <v>7121040</v>
      </c>
      <c r="M2670">
        <f>Inventory_Data[[#This Row],[Opening Stock]]+Inventory_Data[[#This Row],[Purchase Qty]]-Inventory_Data[[#This Row],[Sales Qty]]-Inventory_Data[[#This Row],[Closing Stock]]</f>
        <v>0</v>
      </c>
      <c r="N2670">
        <f>Inventory_Data[[#This Row],[Purchase Qty]]*Inventory_Data[[#This Row],[Unit Cost]]</f>
        <v>4925386</v>
      </c>
      <c r="O2670" t="str">
        <f>IF(Inventory_Data[[#This Row],[Closing Stock]]&lt;=Inventory_Data[[#This Row],[Reorder Level]],"Low Stock","In Stock")</f>
        <v>In Stock</v>
      </c>
      <c r="P2670" t="str">
        <f>TEXT(Inventory_Data[[#This Row],[Date]],"MMM")</f>
        <v>Jul</v>
      </c>
      <c r="Q2670" t="str">
        <f>TEXT(Inventory_Data[[#This Row],[Date]],"YYYY")</f>
        <v>2026</v>
      </c>
    </row>
    <row r="2671" spans="1:17" x14ac:dyDescent="0.3">
      <c r="A2671" s="1">
        <v>46223</v>
      </c>
      <c r="B2671" t="s">
        <v>38</v>
      </c>
      <c r="C2671" t="s">
        <v>17</v>
      </c>
      <c r="D2671" t="s">
        <v>37</v>
      </c>
      <c r="E2671" t="s">
        <v>34</v>
      </c>
      <c r="F2671">
        <v>85</v>
      </c>
      <c r="G2671">
        <v>39</v>
      </c>
      <c r="H2671">
        <v>12</v>
      </c>
      <c r="I2671">
        <v>112</v>
      </c>
      <c r="J2671">
        <v>21</v>
      </c>
      <c r="K2671">
        <v>5912</v>
      </c>
      <c r="L2671">
        <v>662144</v>
      </c>
      <c r="M2671">
        <f>Inventory_Data[[#This Row],[Opening Stock]]+Inventory_Data[[#This Row],[Purchase Qty]]-Inventory_Data[[#This Row],[Sales Qty]]-Inventory_Data[[#This Row],[Closing Stock]]</f>
        <v>0</v>
      </c>
      <c r="N2671">
        <f>Inventory_Data[[#This Row],[Purchase Qty]]*Inventory_Data[[#This Row],[Unit Cost]]</f>
        <v>230568</v>
      </c>
      <c r="O2671" t="str">
        <f>IF(Inventory_Data[[#This Row],[Closing Stock]]&lt;=Inventory_Data[[#This Row],[Reorder Level]],"Low Stock","In Stock")</f>
        <v>In Stock</v>
      </c>
      <c r="P2671" t="str">
        <f>TEXT(Inventory_Data[[#This Row],[Date]],"MMM")</f>
        <v>Jul</v>
      </c>
      <c r="Q2671" t="str">
        <f>TEXT(Inventory_Data[[#This Row],[Date]],"YYYY")</f>
        <v>2026</v>
      </c>
    </row>
    <row r="2672" spans="1:17" x14ac:dyDescent="0.3">
      <c r="A2672" s="1">
        <v>46223</v>
      </c>
      <c r="B2672" t="s">
        <v>38</v>
      </c>
      <c r="C2672" t="s">
        <v>17</v>
      </c>
      <c r="D2672" t="s">
        <v>14</v>
      </c>
      <c r="E2672" t="s">
        <v>24</v>
      </c>
      <c r="F2672">
        <v>95</v>
      </c>
      <c r="G2672">
        <v>22</v>
      </c>
      <c r="H2672">
        <v>24</v>
      </c>
      <c r="I2672">
        <v>93</v>
      </c>
      <c r="J2672">
        <v>27</v>
      </c>
      <c r="K2672">
        <v>6365</v>
      </c>
      <c r="L2672">
        <v>591945</v>
      </c>
      <c r="M2672">
        <f>Inventory_Data[[#This Row],[Opening Stock]]+Inventory_Data[[#This Row],[Purchase Qty]]-Inventory_Data[[#This Row],[Sales Qty]]-Inventory_Data[[#This Row],[Closing Stock]]</f>
        <v>0</v>
      </c>
      <c r="N2672">
        <f>Inventory_Data[[#This Row],[Purchase Qty]]*Inventory_Data[[#This Row],[Unit Cost]]</f>
        <v>140030</v>
      </c>
      <c r="O2672" t="str">
        <f>IF(Inventory_Data[[#This Row],[Closing Stock]]&lt;=Inventory_Data[[#This Row],[Reorder Level]],"Low Stock","In Stock")</f>
        <v>In Stock</v>
      </c>
      <c r="P2672" t="str">
        <f>TEXT(Inventory_Data[[#This Row],[Date]],"MMM")</f>
        <v>Jul</v>
      </c>
      <c r="Q2672" t="str">
        <f>TEXT(Inventory_Data[[#This Row],[Date]],"YYYY")</f>
        <v>2026</v>
      </c>
    </row>
    <row r="2673" spans="1:17" x14ac:dyDescent="0.3">
      <c r="A2673" s="1">
        <v>46223</v>
      </c>
      <c r="B2673" t="s">
        <v>19</v>
      </c>
      <c r="C2673" t="s">
        <v>13</v>
      </c>
      <c r="D2673" t="s">
        <v>26</v>
      </c>
      <c r="E2673" t="s">
        <v>15</v>
      </c>
      <c r="F2673">
        <v>41</v>
      </c>
      <c r="G2673">
        <v>63</v>
      </c>
      <c r="H2673">
        <v>9</v>
      </c>
      <c r="I2673">
        <v>95</v>
      </c>
      <c r="J2673">
        <v>22</v>
      </c>
      <c r="K2673">
        <v>3619</v>
      </c>
      <c r="L2673">
        <v>343805</v>
      </c>
      <c r="M2673">
        <f>Inventory_Data[[#This Row],[Opening Stock]]+Inventory_Data[[#This Row],[Purchase Qty]]-Inventory_Data[[#This Row],[Sales Qty]]-Inventory_Data[[#This Row],[Closing Stock]]</f>
        <v>0</v>
      </c>
      <c r="N2673">
        <f>Inventory_Data[[#This Row],[Purchase Qty]]*Inventory_Data[[#This Row],[Unit Cost]]</f>
        <v>227997</v>
      </c>
      <c r="O2673" t="str">
        <f>IF(Inventory_Data[[#This Row],[Closing Stock]]&lt;=Inventory_Data[[#This Row],[Reorder Level]],"Low Stock","In Stock")</f>
        <v>In Stock</v>
      </c>
      <c r="P2673" t="str">
        <f>TEXT(Inventory_Data[[#This Row],[Date]],"MMM")</f>
        <v>Jul</v>
      </c>
      <c r="Q2673" t="str">
        <f>TEXT(Inventory_Data[[#This Row],[Date]],"YYYY")</f>
        <v>2026</v>
      </c>
    </row>
    <row r="2674" spans="1:17" x14ac:dyDescent="0.3">
      <c r="A2674" s="1">
        <v>46223</v>
      </c>
      <c r="B2674" t="s">
        <v>38</v>
      </c>
      <c r="C2674" t="s">
        <v>17</v>
      </c>
      <c r="D2674" t="s">
        <v>23</v>
      </c>
      <c r="E2674" t="s">
        <v>24</v>
      </c>
      <c r="F2674">
        <v>13</v>
      </c>
      <c r="G2674">
        <v>34</v>
      </c>
      <c r="H2674">
        <v>20</v>
      </c>
      <c r="I2674">
        <v>27</v>
      </c>
      <c r="J2674">
        <v>18</v>
      </c>
      <c r="K2674">
        <v>14010</v>
      </c>
      <c r="L2674">
        <v>378270</v>
      </c>
      <c r="M2674">
        <f>Inventory_Data[[#This Row],[Opening Stock]]+Inventory_Data[[#This Row],[Purchase Qty]]-Inventory_Data[[#This Row],[Sales Qty]]-Inventory_Data[[#This Row],[Closing Stock]]</f>
        <v>0</v>
      </c>
      <c r="N2674">
        <f>Inventory_Data[[#This Row],[Purchase Qty]]*Inventory_Data[[#This Row],[Unit Cost]]</f>
        <v>476340</v>
      </c>
      <c r="O2674" t="str">
        <f>IF(Inventory_Data[[#This Row],[Closing Stock]]&lt;=Inventory_Data[[#This Row],[Reorder Level]],"Low Stock","In Stock")</f>
        <v>In Stock</v>
      </c>
      <c r="P2674" t="str">
        <f>TEXT(Inventory_Data[[#This Row],[Date]],"MMM")</f>
        <v>Jul</v>
      </c>
      <c r="Q2674" t="str">
        <f>TEXT(Inventory_Data[[#This Row],[Date]],"YYYY")</f>
        <v>2026</v>
      </c>
    </row>
    <row r="2675" spans="1:17" x14ac:dyDescent="0.3">
      <c r="A2675" s="1">
        <v>46223</v>
      </c>
      <c r="B2675" t="s">
        <v>25</v>
      </c>
      <c r="C2675" t="s">
        <v>17</v>
      </c>
      <c r="D2675" t="s">
        <v>26</v>
      </c>
      <c r="E2675" t="s">
        <v>34</v>
      </c>
      <c r="F2675">
        <v>21</v>
      </c>
      <c r="G2675">
        <v>21</v>
      </c>
      <c r="H2675">
        <v>15</v>
      </c>
      <c r="I2675">
        <v>27</v>
      </c>
      <c r="J2675">
        <v>11</v>
      </c>
      <c r="K2675">
        <v>18921</v>
      </c>
      <c r="L2675">
        <v>510867</v>
      </c>
      <c r="M2675">
        <f>Inventory_Data[[#This Row],[Opening Stock]]+Inventory_Data[[#This Row],[Purchase Qty]]-Inventory_Data[[#This Row],[Sales Qty]]-Inventory_Data[[#This Row],[Closing Stock]]</f>
        <v>0</v>
      </c>
      <c r="N2675">
        <f>Inventory_Data[[#This Row],[Purchase Qty]]*Inventory_Data[[#This Row],[Unit Cost]]</f>
        <v>397341</v>
      </c>
      <c r="O2675" t="str">
        <f>IF(Inventory_Data[[#This Row],[Closing Stock]]&lt;=Inventory_Data[[#This Row],[Reorder Level]],"Low Stock","In Stock")</f>
        <v>In Stock</v>
      </c>
      <c r="P2675" t="str">
        <f>TEXT(Inventory_Data[[#This Row],[Date]],"MMM")</f>
        <v>Jul</v>
      </c>
      <c r="Q2675" t="str">
        <f>TEXT(Inventory_Data[[#This Row],[Date]],"YYYY")</f>
        <v>2026</v>
      </c>
    </row>
    <row r="2676" spans="1:17" x14ac:dyDescent="0.3">
      <c r="A2676" s="1">
        <v>46224</v>
      </c>
      <c r="B2676" t="s">
        <v>43</v>
      </c>
      <c r="C2676" t="s">
        <v>22</v>
      </c>
      <c r="D2676" t="s">
        <v>37</v>
      </c>
      <c r="E2676" t="s">
        <v>34</v>
      </c>
      <c r="F2676">
        <v>453</v>
      </c>
      <c r="G2676">
        <v>238</v>
      </c>
      <c r="H2676">
        <v>26</v>
      </c>
      <c r="I2676">
        <v>665</v>
      </c>
      <c r="J2676">
        <v>54</v>
      </c>
      <c r="K2676">
        <v>87</v>
      </c>
      <c r="L2676">
        <v>57855</v>
      </c>
      <c r="M2676">
        <f>Inventory_Data[[#This Row],[Opening Stock]]+Inventory_Data[[#This Row],[Purchase Qty]]-Inventory_Data[[#This Row],[Sales Qty]]-Inventory_Data[[#This Row],[Closing Stock]]</f>
        <v>0</v>
      </c>
      <c r="N2676">
        <f>Inventory_Data[[#This Row],[Purchase Qty]]*Inventory_Data[[#This Row],[Unit Cost]]</f>
        <v>20706</v>
      </c>
      <c r="O2676" t="str">
        <f>IF(Inventory_Data[[#This Row],[Closing Stock]]&lt;=Inventory_Data[[#This Row],[Reorder Level]],"Low Stock","In Stock")</f>
        <v>In Stock</v>
      </c>
      <c r="P2676" t="str">
        <f>TEXT(Inventory_Data[[#This Row],[Date]],"MMM")</f>
        <v>Jul</v>
      </c>
      <c r="Q2676" t="str">
        <f>TEXT(Inventory_Data[[#This Row],[Date]],"YYYY")</f>
        <v>2026</v>
      </c>
    </row>
    <row r="2677" spans="1:17" x14ac:dyDescent="0.3">
      <c r="A2677" s="1">
        <v>46224</v>
      </c>
      <c r="B2677" t="s">
        <v>42</v>
      </c>
      <c r="C2677" t="s">
        <v>17</v>
      </c>
      <c r="D2677" t="s">
        <v>23</v>
      </c>
      <c r="E2677" t="s">
        <v>20</v>
      </c>
      <c r="F2677">
        <v>89</v>
      </c>
      <c r="G2677">
        <v>59</v>
      </c>
      <c r="H2677">
        <v>26</v>
      </c>
      <c r="I2677">
        <v>122</v>
      </c>
      <c r="J2677">
        <v>26</v>
      </c>
      <c r="K2677">
        <v>19445</v>
      </c>
      <c r="L2677">
        <v>2372290</v>
      </c>
      <c r="M2677">
        <f>Inventory_Data[[#This Row],[Opening Stock]]+Inventory_Data[[#This Row],[Purchase Qty]]-Inventory_Data[[#This Row],[Sales Qty]]-Inventory_Data[[#This Row],[Closing Stock]]</f>
        <v>0</v>
      </c>
      <c r="N2677">
        <f>Inventory_Data[[#This Row],[Purchase Qty]]*Inventory_Data[[#This Row],[Unit Cost]]</f>
        <v>1147255</v>
      </c>
      <c r="O2677" t="str">
        <f>IF(Inventory_Data[[#This Row],[Closing Stock]]&lt;=Inventory_Data[[#This Row],[Reorder Level]],"Low Stock","In Stock")</f>
        <v>In Stock</v>
      </c>
      <c r="P2677" t="str">
        <f>TEXT(Inventory_Data[[#This Row],[Date]],"MMM")</f>
        <v>Jul</v>
      </c>
      <c r="Q2677" t="str">
        <f>TEXT(Inventory_Data[[#This Row],[Date]],"YYYY")</f>
        <v>2026</v>
      </c>
    </row>
    <row r="2678" spans="1:17" x14ac:dyDescent="0.3">
      <c r="A2678" s="1">
        <v>46224</v>
      </c>
      <c r="B2678" t="s">
        <v>35</v>
      </c>
      <c r="C2678" t="s">
        <v>22</v>
      </c>
      <c r="D2678" t="s">
        <v>26</v>
      </c>
      <c r="E2678" t="s">
        <v>15</v>
      </c>
      <c r="F2678">
        <v>353</v>
      </c>
      <c r="G2678">
        <v>257</v>
      </c>
      <c r="H2678">
        <v>97</v>
      </c>
      <c r="I2678">
        <v>513</v>
      </c>
      <c r="J2678">
        <v>101</v>
      </c>
      <c r="K2678">
        <v>1053</v>
      </c>
      <c r="L2678">
        <v>540189</v>
      </c>
      <c r="M2678">
        <f>Inventory_Data[[#This Row],[Opening Stock]]+Inventory_Data[[#This Row],[Purchase Qty]]-Inventory_Data[[#This Row],[Sales Qty]]-Inventory_Data[[#This Row],[Closing Stock]]</f>
        <v>0</v>
      </c>
      <c r="N2678">
        <f>Inventory_Data[[#This Row],[Purchase Qty]]*Inventory_Data[[#This Row],[Unit Cost]]</f>
        <v>270621</v>
      </c>
      <c r="O2678" t="str">
        <f>IF(Inventory_Data[[#This Row],[Closing Stock]]&lt;=Inventory_Data[[#This Row],[Reorder Level]],"Low Stock","In Stock")</f>
        <v>In Stock</v>
      </c>
      <c r="P2678" t="str">
        <f>TEXT(Inventory_Data[[#This Row],[Date]],"MMM")</f>
        <v>Jul</v>
      </c>
      <c r="Q2678" t="str">
        <f>TEXT(Inventory_Data[[#This Row],[Date]],"YYYY")</f>
        <v>2026</v>
      </c>
    </row>
    <row r="2679" spans="1:17" x14ac:dyDescent="0.3">
      <c r="A2679" s="1">
        <v>46224</v>
      </c>
      <c r="B2679" t="s">
        <v>44</v>
      </c>
      <c r="C2679" t="s">
        <v>28</v>
      </c>
      <c r="D2679" t="s">
        <v>37</v>
      </c>
      <c r="E2679" t="s">
        <v>29</v>
      </c>
      <c r="F2679">
        <v>134</v>
      </c>
      <c r="G2679">
        <v>49</v>
      </c>
      <c r="H2679">
        <v>19</v>
      </c>
      <c r="I2679">
        <v>164</v>
      </c>
      <c r="J2679">
        <v>28</v>
      </c>
      <c r="K2679">
        <v>3508</v>
      </c>
      <c r="L2679">
        <v>575312</v>
      </c>
      <c r="M2679">
        <f>Inventory_Data[[#This Row],[Opening Stock]]+Inventory_Data[[#This Row],[Purchase Qty]]-Inventory_Data[[#This Row],[Sales Qty]]-Inventory_Data[[#This Row],[Closing Stock]]</f>
        <v>0</v>
      </c>
      <c r="N2679">
        <f>Inventory_Data[[#This Row],[Purchase Qty]]*Inventory_Data[[#This Row],[Unit Cost]]</f>
        <v>171892</v>
      </c>
      <c r="O2679" t="str">
        <f>IF(Inventory_Data[[#This Row],[Closing Stock]]&lt;=Inventory_Data[[#This Row],[Reorder Level]],"Low Stock","In Stock")</f>
        <v>In Stock</v>
      </c>
      <c r="P2679" t="str">
        <f>TEXT(Inventory_Data[[#This Row],[Date]],"MMM")</f>
        <v>Jul</v>
      </c>
      <c r="Q2679" t="str">
        <f>TEXT(Inventory_Data[[#This Row],[Date]],"YYYY")</f>
        <v>2026</v>
      </c>
    </row>
    <row r="2680" spans="1:17" x14ac:dyDescent="0.3">
      <c r="A2680" s="1">
        <v>46224</v>
      </c>
      <c r="B2680" t="s">
        <v>33</v>
      </c>
      <c r="C2680" t="s">
        <v>13</v>
      </c>
      <c r="D2680" t="s">
        <v>23</v>
      </c>
      <c r="E2680" t="s">
        <v>34</v>
      </c>
      <c r="F2680">
        <v>88</v>
      </c>
      <c r="G2680">
        <v>5</v>
      </c>
      <c r="H2680">
        <v>40</v>
      </c>
      <c r="I2680">
        <v>53</v>
      </c>
      <c r="J2680">
        <v>21</v>
      </c>
      <c r="K2680">
        <v>14148</v>
      </c>
      <c r="L2680">
        <v>749844</v>
      </c>
      <c r="M2680">
        <f>Inventory_Data[[#This Row],[Opening Stock]]+Inventory_Data[[#This Row],[Purchase Qty]]-Inventory_Data[[#This Row],[Sales Qty]]-Inventory_Data[[#This Row],[Closing Stock]]</f>
        <v>0</v>
      </c>
      <c r="N2680">
        <f>Inventory_Data[[#This Row],[Purchase Qty]]*Inventory_Data[[#This Row],[Unit Cost]]</f>
        <v>70740</v>
      </c>
      <c r="O2680" t="str">
        <f>IF(Inventory_Data[[#This Row],[Closing Stock]]&lt;=Inventory_Data[[#This Row],[Reorder Level]],"Low Stock","In Stock")</f>
        <v>In Stock</v>
      </c>
      <c r="P2680" t="str">
        <f>TEXT(Inventory_Data[[#This Row],[Date]],"MMM")</f>
        <v>Jul</v>
      </c>
      <c r="Q2680" t="str">
        <f>TEXT(Inventory_Data[[#This Row],[Date]],"YYYY")</f>
        <v>2026</v>
      </c>
    </row>
    <row r="2681" spans="1:17" x14ac:dyDescent="0.3">
      <c r="A2681" s="1">
        <v>46225</v>
      </c>
      <c r="B2681" t="s">
        <v>32</v>
      </c>
      <c r="C2681" t="s">
        <v>28</v>
      </c>
      <c r="D2681" t="s">
        <v>37</v>
      </c>
      <c r="E2681" t="s">
        <v>34</v>
      </c>
      <c r="F2681">
        <v>94</v>
      </c>
      <c r="G2681">
        <v>105</v>
      </c>
      <c r="H2681">
        <v>95</v>
      </c>
      <c r="I2681">
        <v>104</v>
      </c>
      <c r="J2681">
        <v>56</v>
      </c>
      <c r="K2681">
        <v>15097</v>
      </c>
      <c r="L2681">
        <v>1570088</v>
      </c>
      <c r="M2681">
        <f>Inventory_Data[[#This Row],[Opening Stock]]+Inventory_Data[[#This Row],[Purchase Qty]]-Inventory_Data[[#This Row],[Sales Qty]]-Inventory_Data[[#This Row],[Closing Stock]]</f>
        <v>0</v>
      </c>
      <c r="N2681">
        <f>Inventory_Data[[#This Row],[Purchase Qty]]*Inventory_Data[[#This Row],[Unit Cost]]</f>
        <v>1585185</v>
      </c>
      <c r="O2681" t="str">
        <f>IF(Inventory_Data[[#This Row],[Closing Stock]]&lt;=Inventory_Data[[#This Row],[Reorder Level]],"Low Stock","In Stock")</f>
        <v>In Stock</v>
      </c>
      <c r="P2681" t="str">
        <f>TEXT(Inventory_Data[[#This Row],[Date]],"MMM")</f>
        <v>Jul</v>
      </c>
      <c r="Q2681" t="str">
        <f>TEXT(Inventory_Data[[#This Row],[Date]],"YYYY")</f>
        <v>2026</v>
      </c>
    </row>
    <row r="2682" spans="1:17" x14ac:dyDescent="0.3">
      <c r="A2682" s="1">
        <v>46225</v>
      </c>
      <c r="B2682" t="s">
        <v>43</v>
      </c>
      <c r="C2682" t="s">
        <v>22</v>
      </c>
      <c r="D2682" t="s">
        <v>37</v>
      </c>
      <c r="E2682" t="s">
        <v>29</v>
      </c>
      <c r="F2682">
        <v>154</v>
      </c>
      <c r="G2682">
        <v>161</v>
      </c>
      <c r="H2682">
        <v>57</v>
      </c>
      <c r="I2682">
        <v>258</v>
      </c>
      <c r="J2682">
        <v>85</v>
      </c>
      <c r="K2682">
        <v>292</v>
      </c>
      <c r="L2682">
        <v>75336</v>
      </c>
      <c r="M2682">
        <f>Inventory_Data[[#This Row],[Opening Stock]]+Inventory_Data[[#This Row],[Purchase Qty]]-Inventory_Data[[#This Row],[Sales Qty]]-Inventory_Data[[#This Row],[Closing Stock]]</f>
        <v>0</v>
      </c>
      <c r="N2682">
        <f>Inventory_Data[[#This Row],[Purchase Qty]]*Inventory_Data[[#This Row],[Unit Cost]]</f>
        <v>47012</v>
      </c>
      <c r="O2682" t="str">
        <f>IF(Inventory_Data[[#This Row],[Closing Stock]]&lt;=Inventory_Data[[#This Row],[Reorder Level]],"Low Stock","In Stock")</f>
        <v>In Stock</v>
      </c>
      <c r="P2682" t="str">
        <f>TEXT(Inventory_Data[[#This Row],[Date]],"MMM")</f>
        <v>Jul</v>
      </c>
      <c r="Q2682" t="str">
        <f>TEXT(Inventory_Data[[#This Row],[Date]],"YYYY")</f>
        <v>2026</v>
      </c>
    </row>
    <row r="2683" spans="1:17" x14ac:dyDescent="0.3">
      <c r="A2683" s="1">
        <v>46225</v>
      </c>
      <c r="B2683" t="s">
        <v>35</v>
      </c>
      <c r="C2683" t="s">
        <v>22</v>
      </c>
      <c r="D2683" t="s">
        <v>26</v>
      </c>
      <c r="E2683" t="s">
        <v>29</v>
      </c>
      <c r="F2683">
        <v>424</v>
      </c>
      <c r="G2683">
        <v>86</v>
      </c>
      <c r="H2683">
        <v>123</v>
      </c>
      <c r="I2683">
        <v>387</v>
      </c>
      <c r="J2683">
        <v>101</v>
      </c>
      <c r="K2683">
        <v>916</v>
      </c>
      <c r="L2683">
        <v>354492</v>
      </c>
      <c r="M2683">
        <f>Inventory_Data[[#This Row],[Opening Stock]]+Inventory_Data[[#This Row],[Purchase Qty]]-Inventory_Data[[#This Row],[Sales Qty]]-Inventory_Data[[#This Row],[Closing Stock]]</f>
        <v>0</v>
      </c>
      <c r="N2683">
        <f>Inventory_Data[[#This Row],[Purchase Qty]]*Inventory_Data[[#This Row],[Unit Cost]]</f>
        <v>78776</v>
      </c>
      <c r="O2683" t="str">
        <f>IF(Inventory_Data[[#This Row],[Closing Stock]]&lt;=Inventory_Data[[#This Row],[Reorder Level]],"Low Stock","In Stock")</f>
        <v>In Stock</v>
      </c>
      <c r="P2683" t="str">
        <f>TEXT(Inventory_Data[[#This Row],[Date]],"MMM")</f>
        <v>Jul</v>
      </c>
      <c r="Q2683" t="str">
        <f>TEXT(Inventory_Data[[#This Row],[Date]],"YYYY")</f>
        <v>2026</v>
      </c>
    </row>
    <row r="2684" spans="1:17" x14ac:dyDescent="0.3">
      <c r="A2684" s="1">
        <v>46225</v>
      </c>
      <c r="B2684" t="s">
        <v>30</v>
      </c>
      <c r="C2684" t="s">
        <v>28</v>
      </c>
      <c r="D2684" t="s">
        <v>37</v>
      </c>
      <c r="E2684" t="s">
        <v>24</v>
      </c>
      <c r="F2684">
        <v>92</v>
      </c>
      <c r="G2684">
        <v>19</v>
      </c>
      <c r="H2684">
        <v>65</v>
      </c>
      <c r="I2684">
        <v>46</v>
      </c>
      <c r="J2684">
        <v>45</v>
      </c>
      <c r="K2684">
        <v>49933</v>
      </c>
      <c r="L2684">
        <v>2296918</v>
      </c>
      <c r="M2684">
        <f>Inventory_Data[[#This Row],[Opening Stock]]+Inventory_Data[[#This Row],[Purchase Qty]]-Inventory_Data[[#This Row],[Sales Qty]]-Inventory_Data[[#This Row],[Closing Stock]]</f>
        <v>0</v>
      </c>
      <c r="N2684">
        <f>Inventory_Data[[#This Row],[Purchase Qty]]*Inventory_Data[[#This Row],[Unit Cost]]</f>
        <v>948727</v>
      </c>
      <c r="O2684" t="str">
        <f>IF(Inventory_Data[[#This Row],[Closing Stock]]&lt;=Inventory_Data[[#This Row],[Reorder Level]],"Low Stock","In Stock")</f>
        <v>In Stock</v>
      </c>
      <c r="P2684" t="str">
        <f>TEXT(Inventory_Data[[#This Row],[Date]],"MMM")</f>
        <v>Jul</v>
      </c>
      <c r="Q2684" t="str">
        <f>TEXT(Inventory_Data[[#This Row],[Date]],"YYYY")</f>
        <v>2026</v>
      </c>
    </row>
    <row r="2685" spans="1:17" x14ac:dyDescent="0.3">
      <c r="A2685" s="1">
        <v>46225</v>
      </c>
      <c r="B2685" t="s">
        <v>44</v>
      </c>
      <c r="C2685" t="s">
        <v>28</v>
      </c>
      <c r="D2685" t="s">
        <v>14</v>
      </c>
      <c r="E2685" t="s">
        <v>29</v>
      </c>
      <c r="F2685">
        <v>176</v>
      </c>
      <c r="G2685">
        <v>40</v>
      </c>
      <c r="H2685">
        <v>69</v>
      </c>
      <c r="I2685">
        <v>147</v>
      </c>
      <c r="J2685">
        <v>37</v>
      </c>
      <c r="K2685">
        <v>46465</v>
      </c>
      <c r="L2685">
        <v>6830355</v>
      </c>
      <c r="M2685">
        <f>Inventory_Data[[#This Row],[Opening Stock]]+Inventory_Data[[#This Row],[Purchase Qty]]-Inventory_Data[[#This Row],[Sales Qty]]-Inventory_Data[[#This Row],[Closing Stock]]</f>
        <v>0</v>
      </c>
      <c r="N2685">
        <f>Inventory_Data[[#This Row],[Purchase Qty]]*Inventory_Data[[#This Row],[Unit Cost]]</f>
        <v>1858600</v>
      </c>
      <c r="O2685" t="str">
        <f>IF(Inventory_Data[[#This Row],[Closing Stock]]&lt;=Inventory_Data[[#This Row],[Reorder Level]],"Low Stock","In Stock")</f>
        <v>In Stock</v>
      </c>
      <c r="P2685" t="str">
        <f>TEXT(Inventory_Data[[#This Row],[Date]],"MMM")</f>
        <v>Jul</v>
      </c>
      <c r="Q2685" t="str">
        <f>TEXT(Inventory_Data[[#This Row],[Date]],"YYYY")</f>
        <v>2026</v>
      </c>
    </row>
    <row r="2686" spans="1:17" x14ac:dyDescent="0.3">
      <c r="A2686" s="1">
        <v>46225</v>
      </c>
      <c r="B2686" t="s">
        <v>44</v>
      </c>
      <c r="C2686" t="s">
        <v>28</v>
      </c>
      <c r="D2686" t="s">
        <v>26</v>
      </c>
      <c r="E2686" t="s">
        <v>20</v>
      </c>
      <c r="F2686">
        <v>104</v>
      </c>
      <c r="G2686">
        <v>11</v>
      </c>
      <c r="H2686">
        <v>65</v>
      </c>
      <c r="I2686">
        <v>50</v>
      </c>
      <c r="J2686">
        <v>57</v>
      </c>
      <c r="K2686">
        <v>20825</v>
      </c>
      <c r="L2686">
        <v>1041250</v>
      </c>
      <c r="M2686">
        <f>Inventory_Data[[#This Row],[Opening Stock]]+Inventory_Data[[#This Row],[Purchase Qty]]-Inventory_Data[[#This Row],[Sales Qty]]-Inventory_Data[[#This Row],[Closing Stock]]</f>
        <v>0</v>
      </c>
      <c r="N2686">
        <f>Inventory_Data[[#This Row],[Purchase Qty]]*Inventory_Data[[#This Row],[Unit Cost]]</f>
        <v>229075</v>
      </c>
      <c r="O2686" t="str">
        <f>IF(Inventory_Data[[#This Row],[Closing Stock]]&lt;=Inventory_Data[[#This Row],[Reorder Level]],"Low Stock","In Stock")</f>
        <v>Low Stock</v>
      </c>
      <c r="P2686" t="str">
        <f>TEXT(Inventory_Data[[#This Row],[Date]],"MMM")</f>
        <v>Jul</v>
      </c>
      <c r="Q2686" t="str">
        <f>TEXT(Inventory_Data[[#This Row],[Date]],"YYYY")</f>
        <v>2026</v>
      </c>
    </row>
    <row r="2687" spans="1:17" x14ac:dyDescent="0.3">
      <c r="A2687" s="1">
        <v>46225</v>
      </c>
      <c r="B2687" t="s">
        <v>21</v>
      </c>
      <c r="C2687" t="s">
        <v>22</v>
      </c>
      <c r="D2687" t="s">
        <v>14</v>
      </c>
      <c r="E2687" t="s">
        <v>24</v>
      </c>
      <c r="F2687">
        <v>323</v>
      </c>
      <c r="G2687">
        <v>205</v>
      </c>
      <c r="H2687">
        <v>125</v>
      </c>
      <c r="I2687">
        <v>403</v>
      </c>
      <c r="J2687">
        <v>80</v>
      </c>
      <c r="K2687">
        <v>103</v>
      </c>
      <c r="L2687">
        <v>41509</v>
      </c>
      <c r="M2687">
        <f>Inventory_Data[[#This Row],[Opening Stock]]+Inventory_Data[[#This Row],[Purchase Qty]]-Inventory_Data[[#This Row],[Sales Qty]]-Inventory_Data[[#This Row],[Closing Stock]]</f>
        <v>0</v>
      </c>
      <c r="N2687">
        <f>Inventory_Data[[#This Row],[Purchase Qty]]*Inventory_Data[[#This Row],[Unit Cost]]</f>
        <v>21115</v>
      </c>
      <c r="O2687" t="str">
        <f>IF(Inventory_Data[[#This Row],[Closing Stock]]&lt;=Inventory_Data[[#This Row],[Reorder Level]],"Low Stock","In Stock")</f>
        <v>In Stock</v>
      </c>
      <c r="P2687" t="str">
        <f>TEXT(Inventory_Data[[#This Row],[Date]],"MMM")</f>
        <v>Jul</v>
      </c>
      <c r="Q2687" t="str">
        <f>TEXT(Inventory_Data[[#This Row],[Date]],"YYYY")</f>
        <v>2026</v>
      </c>
    </row>
    <row r="2688" spans="1:17" x14ac:dyDescent="0.3">
      <c r="A2688" s="1">
        <v>46226</v>
      </c>
      <c r="B2688" t="s">
        <v>39</v>
      </c>
      <c r="C2688" t="s">
        <v>28</v>
      </c>
      <c r="D2688" t="s">
        <v>14</v>
      </c>
      <c r="E2688" t="s">
        <v>18</v>
      </c>
      <c r="F2688">
        <v>53</v>
      </c>
      <c r="G2688">
        <v>96</v>
      </c>
      <c r="H2688">
        <v>62</v>
      </c>
      <c r="I2688">
        <v>87</v>
      </c>
      <c r="J2688">
        <v>48</v>
      </c>
      <c r="K2688">
        <v>12317</v>
      </c>
      <c r="L2688">
        <v>1071579</v>
      </c>
      <c r="M2688">
        <f>Inventory_Data[[#This Row],[Opening Stock]]+Inventory_Data[[#This Row],[Purchase Qty]]-Inventory_Data[[#This Row],[Sales Qty]]-Inventory_Data[[#This Row],[Closing Stock]]</f>
        <v>0</v>
      </c>
      <c r="N2688">
        <f>Inventory_Data[[#This Row],[Purchase Qty]]*Inventory_Data[[#This Row],[Unit Cost]]</f>
        <v>1182432</v>
      </c>
      <c r="O2688" t="str">
        <f>IF(Inventory_Data[[#This Row],[Closing Stock]]&lt;=Inventory_Data[[#This Row],[Reorder Level]],"Low Stock","In Stock")</f>
        <v>In Stock</v>
      </c>
      <c r="P2688" t="str">
        <f>TEXT(Inventory_Data[[#This Row],[Date]],"MMM")</f>
        <v>Jul</v>
      </c>
      <c r="Q2688" t="str">
        <f>TEXT(Inventory_Data[[#This Row],[Date]],"YYYY")</f>
        <v>2026</v>
      </c>
    </row>
    <row r="2689" spans="1:17" x14ac:dyDescent="0.3">
      <c r="A2689" s="1">
        <v>46226</v>
      </c>
      <c r="B2689" t="s">
        <v>36</v>
      </c>
      <c r="C2689" t="s">
        <v>22</v>
      </c>
      <c r="D2689" t="s">
        <v>23</v>
      </c>
      <c r="E2689" t="s">
        <v>20</v>
      </c>
      <c r="F2689">
        <v>248</v>
      </c>
      <c r="G2689">
        <v>46</v>
      </c>
      <c r="H2689">
        <v>64</v>
      </c>
      <c r="I2689">
        <v>230</v>
      </c>
      <c r="J2689">
        <v>106</v>
      </c>
      <c r="K2689">
        <v>518</v>
      </c>
      <c r="L2689">
        <v>119140</v>
      </c>
      <c r="M2689">
        <f>Inventory_Data[[#This Row],[Opening Stock]]+Inventory_Data[[#This Row],[Purchase Qty]]-Inventory_Data[[#This Row],[Sales Qty]]-Inventory_Data[[#This Row],[Closing Stock]]</f>
        <v>0</v>
      </c>
      <c r="N2689">
        <f>Inventory_Data[[#This Row],[Purchase Qty]]*Inventory_Data[[#This Row],[Unit Cost]]</f>
        <v>23828</v>
      </c>
      <c r="O2689" t="str">
        <f>IF(Inventory_Data[[#This Row],[Closing Stock]]&lt;=Inventory_Data[[#This Row],[Reorder Level]],"Low Stock","In Stock")</f>
        <v>In Stock</v>
      </c>
      <c r="P2689" t="str">
        <f>TEXT(Inventory_Data[[#This Row],[Date]],"MMM")</f>
        <v>Jul</v>
      </c>
      <c r="Q2689" t="str">
        <f>TEXT(Inventory_Data[[#This Row],[Date]],"YYYY")</f>
        <v>2026</v>
      </c>
    </row>
    <row r="2690" spans="1:17" x14ac:dyDescent="0.3">
      <c r="A2690" s="1">
        <v>46226</v>
      </c>
      <c r="B2690" t="s">
        <v>40</v>
      </c>
      <c r="C2690" t="s">
        <v>28</v>
      </c>
      <c r="D2690" t="s">
        <v>14</v>
      </c>
      <c r="E2690" t="s">
        <v>20</v>
      </c>
      <c r="F2690">
        <v>175</v>
      </c>
      <c r="G2690">
        <v>87</v>
      </c>
      <c r="H2690">
        <v>73</v>
      </c>
      <c r="I2690">
        <v>189</v>
      </c>
      <c r="J2690">
        <v>52</v>
      </c>
      <c r="K2690">
        <v>39829</v>
      </c>
      <c r="L2690">
        <v>7527681</v>
      </c>
      <c r="M2690">
        <f>Inventory_Data[[#This Row],[Opening Stock]]+Inventory_Data[[#This Row],[Purchase Qty]]-Inventory_Data[[#This Row],[Sales Qty]]-Inventory_Data[[#This Row],[Closing Stock]]</f>
        <v>0</v>
      </c>
      <c r="N2690">
        <f>Inventory_Data[[#This Row],[Purchase Qty]]*Inventory_Data[[#This Row],[Unit Cost]]</f>
        <v>3465123</v>
      </c>
      <c r="O2690" t="str">
        <f>IF(Inventory_Data[[#This Row],[Closing Stock]]&lt;=Inventory_Data[[#This Row],[Reorder Level]],"Low Stock","In Stock")</f>
        <v>In Stock</v>
      </c>
      <c r="P2690" t="str">
        <f>TEXT(Inventory_Data[[#This Row],[Date]],"MMM")</f>
        <v>Jul</v>
      </c>
      <c r="Q2690" t="str">
        <f>TEXT(Inventory_Data[[#This Row],[Date]],"YYYY")</f>
        <v>2026</v>
      </c>
    </row>
    <row r="2691" spans="1:17" x14ac:dyDescent="0.3">
      <c r="A2691" s="1">
        <v>46226</v>
      </c>
      <c r="B2691" t="s">
        <v>43</v>
      </c>
      <c r="C2691" t="s">
        <v>22</v>
      </c>
      <c r="D2691" t="s">
        <v>26</v>
      </c>
      <c r="E2691" t="s">
        <v>18</v>
      </c>
      <c r="F2691">
        <v>111</v>
      </c>
      <c r="G2691">
        <v>271</v>
      </c>
      <c r="H2691">
        <v>99</v>
      </c>
      <c r="I2691">
        <v>283</v>
      </c>
      <c r="J2691">
        <v>79</v>
      </c>
      <c r="K2691">
        <v>857</v>
      </c>
      <c r="L2691">
        <v>242531</v>
      </c>
      <c r="M2691">
        <f>Inventory_Data[[#This Row],[Opening Stock]]+Inventory_Data[[#This Row],[Purchase Qty]]-Inventory_Data[[#This Row],[Sales Qty]]-Inventory_Data[[#This Row],[Closing Stock]]</f>
        <v>0</v>
      </c>
      <c r="N2691">
        <f>Inventory_Data[[#This Row],[Purchase Qty]]*Inventory_Data[[#This Row],[Unit Cost]]</f>
        <v>232247</v>
      </c>
      <c r="O2691" t="str">
        <f>IF(Inventory_Data[[#This Row],[Closing Stock]]&lt;=Inventory_Data[[#This Row],[Reorder Level]],"Low Stock","In Stock")</f>
        <v>In Stock</v>
      </c>
      <c r="P2691" t="str">
        <f>TEXT(Inventory_Data[[#This Row],[Date]],"MMM")</f>
        <v>Jul</v>
      </c>
      <c r="Q2691" t="str">
        <f>TEXT(Inventory_Data[[#This Row],[Date]],"YYYY")</f>
        <v>2026</v>
      </c>
    </row>
    <row r="2692" spans="1:17" x14ac:dyDescent="0.3">
      <c r="A2692" s="1">
        <v>46227</v>
      </c>
      <c r="B2692" t="s">
        <v>30</v>
      </c>
      <c r="C2692" t="s">
        <v>28</v>
      </c>
      <c r="D2692" t="s">
        <v>14</v>
      </c>
      <c r="E2692" t="s">
        <v>20</v>
      </c>
      <c r="F2692">
        <v>44</v>
      </c>
      <c r="G2692">
        <v>32</v>
      </c>
      <c r="H2692">
        <v>63</v>
      </c>
      <c r="I2692">
        <v>13</v>
      </c>
      <c r="J2692">
        <v>52</v>
      </c>
      <c r="K2692">
        <v>36512</v>
      </c>
      <c r="L2692">
        <v>474656</v>
      </c>
      <c r="M2692">
        <f>Inventory_Data[[#This Row],[Opening Stock]]+Inventory_Data[[#This Row],[Purchase Qty]]-Inventory_Data[[#This Row],[Sales Qty]]-Inventory_Data[[#This Row],[Closing Stock]]</f>
        <v>0</v>
      </c>
      <c r="N2692">
        <f>Inventory_Data[[#This Row],[Purchase Qty]]*Inventory_Data[[#This Row],[Unit Cost]]</f>
        <v>1168384</v>
      </c>
      <c r="O2692" t="str">
        <f>IF(Inventory_Data[[#This Row],[Closing Stock]]&lt;=Inventory_Data[[#This Row],[Reorder Level]],"Low Stock","In Stock")</f>
        <v>Low Stock</v>
      </c>
      <c r="P2692" t="str">
        <f>TEXT(Inventory_Data[[#This Row],[Date]],"MMM")</f>
        <v>Jul</v>
      </c>
      <c r="Q2692" t="str">
        <f>TEXT(Inventory_Data[[#This Row],[Date]],"YYYY")</f>
        <v>2026</v>
      </c>
    </row>
    <row r="2693" spans="1:17" x14ac:dyDescent="0.3">
      <c r="A2693" s="1">
        <v>46227</v>
      </c>
      <c r="B2693" t="s">
        <v>45</v>
      </c>
      <c r="C2693" t="s">
        <v>13</v>
      </c>
      <c r="D2693" t="s">
        <v>23</v>
      </c>
      <c r="E2693" t="s">
        <v>15</v>
      </c>
      <c r="F2693">
        <v>29</v>
      </c>
      <c r="G2693">
        <v>20</v>
      </c>
      <c r="H2693">
        <v>35</v>
      </c>
      <c r="I2693">
        <v>14</v>
      </c>
      <c r="J2693">
        <v>25</v>
      </c>
      <c r="K2693">
        <v>8098</v>
      </c>
      <c r="L2693">
        <v>113372</v>
      </c>
      <c r="M2693">
        <f>Inventory_Data[[#This Row],[Opening Stock]]+Inventory_Data[[#This Row],[Purchase Qty]]-Inventory_Data[[#This Row],[Sales Qty]]-Inventory_Data[[#This Row],[Closing Stock]]</f>
        <v>0</v>
      </c>
      <c r="N2693">
        <f>Inventory_Data[[#This Row],[Purchase Qty]]*Inventory_Data[[#This Row],[Unit Cost]]</f>
        <v>161960</v>
      </c>
      <c r="O2693" t="str">
        <f>IF(Inventory_Data[[#This Row],[Closing Stock]]&lt;=Inventory_Data[[#This Row],[Reorder Level]],"Low Stock","In Stock")</f>
        <v>Low Stock</v>
      </c>
      <c r="P2693" t="str">
        <f>TEXT(Inventory_Data[[#This Row],[Date]],"MMM")</f>
        <v>Jul</v>
      </c>
      <c r="Q2693" t="str">
        <f>TEXT(Inventory_Data[[#This Row],[Date]],"YYYY")</f>
        <v>2026</v>
      </c>
    </row>
    <row r="2694" spans="1:17" x14ac:dyDescent="0.3">
      <c r="A2694" s="1">
        <v>46227</v>
      </c>
      <c r="B2694" t="s">
        <v>40</v>
      </c>
      <c r="C2694" t="s">
        <v>28</v>
      </c>
      <c r="D2694" t="s">
        <v>14</v>
      </c>
      <c r="E2694" t="s">
        <v>34</v>
      </c>
      <c r="F2694">
        <v>167</v>
      </c>
      <c r="G2694">
        <v>91</v>
      </c>
      <c r="H2694">
        <v>54</v>
      </c>
      <c r="I2694">
        <v>204</v>
      </c>
      <c r="J2694">
        <v>41</v>
      </c>
      <c r="K2694">
        <v>59374</v>
      </c>
      <c r="L2694">
        <v>12112296</v>
      </c>
      <c r="M2694">
        <f>Inventory_Data[[#This Row],[Opening Stock]]+Inventory_Data[[#This Row],[Purchase Qty]]-Inventory_Data[[#This Row],[Sales Qty]]-Inventory_Data[[#This Row],[Closing Stock]]</f>
        <v>0</v>
      </c>
      <c r="N2694">
        <f>Inventory_Data[[#This Row],[Purchase Qty]]*Inventory_Data[[#This Row],[Unit Cost]]</f>
        <v>5403034</v>
      </c>
      <c r="O2694" t="str">
        <f>IF(Inventory_Data[[#This Row],[Closing Stock]]&lt;=Inventory_Data[[#This Row],[Reorder Level]],"Low Stock","In Stock")</f>
        <v>In Stock</v>
      </c>
      <c r="P2694" t="str">
        <f>TEXT(Inventory_Data[[#This Row],[Date]],"MMM")</f>
        <v>Jul</v>
      </c>
      <c r="Q2694" t="str">
        <f>TEXT(Inventory_Data[[#This Row],[Date]],"YYYY")</f>
        <v>2026</v>
      </c>
    </row>
    <row r="2695" spans="1:17" x14ac:dyDescent="0.3">
      <c r="A2695" s="1">
        <v>46227</v>
      </c>
      <c r="B2695" t="s">
        <v>45</v>
      </c>
      <c r="C2695" t="s">
        <v>13</v>
      </c>
      <c r="D2695" t="s">
        <v>26</v>
      </c>
      <c r="E2695" t="s">
        <v>18</v>
      </c>
      <c r="F2695">
        <v>62</v>
      </c>
      <c r="G2695">
        <v>58</v>
      </c>
      <c r="H2695">
        <v>20</v>
      </c>
      <c r="I2695">
        <v>100</v>
      </c>
      <c r="J2695">
        <v>38</v>
      </c>
      <c r="K2695">
        <v>15806</v>
      </c>
      <c r="L2695">
        <v>1580600</v>
      </c>
      <c r="M2695">
        <f>Inventory_Data[[#This Row],[Opening Stock]]+Inventory_Data[[#This Row],[Purchase Qty]]-Inventory_Data[[#This Row],[Sales Qty]]-Inventory_Data[[#This Row],[Closing Stock]]</f>
        <v>0</v>
      </c>
      <c r="N2695">
        <f>Inventory_Data[[#This Row],[Purchase Qty]]*Inventory_Data[[#This Row],[Unit Cost]]</f>
        <v>916748</v>
      </c>
      <c r="O2695" t="str">
        <f>IF(Inventory_Data[[#This Row],[Closing Stock]]&lt;=Inventory_Data[[#This Row],[Reorder Level]],"Low Stock","In Stock")</f>
        <v>In Stock</v>
      </c>
      <c r="P2695" t="str">
        <f>TEXT(Inventory_Data[[#This Row],[Date]],"MMM")</f>
        <v>Jul</v>
      </c>
      <c r="Q2695" t="str">
        <f>TEXT(Inventory_Data[[#This Row],[Date]],"YYYY")</f>
        <v>2026</v>
      </c>
    </row>
    <row r="2696" spans="1:17" x14ac:dyDescent="0.3">
      <c r="A2696" s="1">
        <v>46227</v>
      </c>
      <c r="B2696" t="s">
        <v>35</v>
      </c>
      <c r="C2696" t="s">
        <v>22</v>
      </c>
      <c r="D2696" t="s">
        <v>23</v>
      </c>
      <c r="E2696" t="s">
        <v>29</v>
      </c>
      <c r="F2696">
        <v>135</v>
      </c>
      <c r="G2696">
        <v>84</v>
      </c>
      <c r="H2696">
        <v>210</v>
      </c>
      <c r="I2696">
        <v>9</v>
      </c>
      <c r="J2696">
        <v>97</v>
      </c>
      <c r="K2696">
        <v>465</v>
      </c>
      <c r="L2696">
        <v>4185</v>
      </c>
      <c r="M2696">
        <f>Inventory_Data[[#This Row],[Opening Stock]]+Inventory_Data[[#This Row],[Purchase Qty]]-Inventory_Data[[#This Row],[Sales Qty]]-Inventory_Data[[#This Row],[Closing Stock]]</f>
        <v>0</v>
      </c>
      <c r="N2696">
        <f>Inventory_Data[[#This Row],[Purchase Qty]]*Inventory_Data[[#This Row],[Unit Cost]]</f>
        <v>39060</v>
      </c>
      <c r="O2696" t="str">
        <f>IF(Inventory_Data[[#This Row],[Closing Stock]]&lt;=Inventory_Data[[#This Row],[Reorder Level]],"Low Stock","In Stock")</f>
        <v>Low Stock</v>
      </c>
      <c r="P2696" t="str">
        <f>TEXT(Inventory_Data[[#This Row],[Date]],"MMM")</f>
        <v>Jul</v>
      </c>
      <c r="Q2696" t="str">
        <f>TEXT(Inventory_Data[[#This Row],[Date]],"YYYY")</f>
        <v>2026</v>
      </c>
    </row>
    <row r="2697" spans="1:17" x14ac:dyDescent="0.3">
      <c r="A2697" s="1">
        <v>46227</v>
      </c>
      <c r="B2697" t="s">
        <v>39</v>
      </c>
      <c r="C2697" t="s">
        <v>28</v>
      </c>
      <c r="D2697" t="s">
        <v>23</v>
      </c>
      <c r="E2697" t="s">
        <v>18</v>
      </c>
      <c r="F2697">
        <v>47</v>
      </c>
      <c r="G2697">
        <v>44</v>
      </c>
      <c r="H2697">
        <v>14</v>
      </c>
      <c r="I2697">
        <v>77</v>
      </c>
      <c r="J2697">
        <v>40</v>
      </c>
      <c r="K2697">
        <v>50784</v>
      </c>
      <c r="L2697">
        <v>3910368</v>
      </c>
      <c r="M2697">
        <f>Inventory_Data[[#This Row],[Opening Stock]]+Inventory_Data[[#This Row],[Purchase Qty]]-Inventory_Data[[#This Row],[Sales Qty]]-Inventory_Data[[#This Row],[Closing Stock]]</f>
        <v>0</v>
      </c>
      <c r="N2697">
        <f>Inventory_Data[[#This Row],[Purchase Qty]]*Inventory_Data[[#This Row],[Unit Cost]]</f>
        <v>2234496</v>
      </c>
      <c r="O2697" t="str">
        <f>IF(Inventory_Data[[#This Row],[Closing Stock]]&lt;=Inventory_Data[[#This Row],[Reorder Level]],"Low Stock","In Stock")</f>
        <v>In Stock</v>
      </c>
      <c r="P2697" t="str">
        <f>TEXT(Inventory_Data[[#This Row],[Date]],"MMM")</f>
        <v>Jul</v>
      </c>
      <c r="Q2697" t="str">
        <f>TEXT(Inventory_Data[[#This Row],[Date]],"YYYY")</f>
        <v>2026</v>
      </c>
    </row>
    <row r="2698" spans="1:17" x14ac:dyDescent="0.3">
      <c r="A2698" s="1">
        <v>46228</v>
      </c>
      <c r="B2698" t="s">
        <v>31</v>
      </c>
      <c r="C2698" t="s">
        <v>22</v>
      </c>
      <c r="D2698" t="s">
        <v>26</v>
      </c>
      <c r="E2698" t="s">
        <v>34</v>
      </c>
      <c r="F2698">
        <v>358</v>
      </c>
      <c r="G2698">
        <v>188</v>
      </c>
      <c r="H2698">
        <v>130</v>
      </c>
      <c r="I2698">
        <v>416</v>
      </c>
      <c r="J2698">
        <v>69</v>
      </c>
      <c r="K2698">
        <v>785</v>
      </c>
      <c r="L2698">
        <v>326560</v>
      </c>
      <c r="M2698">
        <f>Inventory_Data[[#This Row],[Opening Stock]]+Inventory_Data[[#This Row],[Purchase Qty]]-Inventory_Data[[#This Row],[Sales Qty]]-Inventory_Data[[#This Row],[Closing Stock]]</f>
        <v>0</v>
      </c>
      <c r="N2698">
        <f>Inventory_Data[[#This Row],[Purchase Qty]]*Inventory_Data[[#This Row],[Unit Cost]]</f>
        <v>147580</v>
      </c>
      <c r="O2698" t="str">
        <f>IF(Inventory_Data[[#This Row],[Closing Stock]]&lt;=Inventory_Data[[#This Row],[Reorder Level]],"Low Stock","In Stock")</f>
        <v>In Stock</v>
      </c>
      <c r="P2698" t="str">
        <f>TEXT(Inventory_Data[[#This Row],[Date]],"MMM")</f>
        <v>Jul</v>
      </c>
      <c r="Q2698" t="str">
        <f>TEXT(Inventory_Data[[#This Row],[Date]],"YYYY")</f>
        <v>2026</v>
      </c>
    </row>
    <row r="2699" spans="1:17" x14ac:dyDescent="0.3">
      <c r="A2699" s="1">
        <v>46228</v>
      </c>
      <c r="B2699" t="s">
        <v>41</v>
      </c>
      <c r="C2699" t="s">
        <v>22</v>
      </c>
      <c r="D2699" t="s">
        <v>26</v>
      </c>
      <c r="E2699" t="s">
        <v>20</v>
      </c>
      <c r="F2699">
        <v>233</v>
      </c>
      <c r="G2699">
        <v>209</v>
      </c>
      <c r="H2699">
        <v>21</v>
      </c>
      <c r="I2699">
        <v>421</v>
      </c>
      <c r="J2699">
        <v>92</v>
      </c>
      <c r="K2699">
        <v>1111</v>
      </c>
      <c r="L2699">
        <v>467731</v>
      </c>
      <c r="M2699">
        <f>Inventory_Data[[#This Row],[Opening Stock]]+Inventory_Data[[#This Row],[Purchase Qty]]-Inventory_Data[[#This Row],[Sales Qty]]-Inventory_Data[[#This Row],[Closing Stock]]</f>
        <v>0</v>
      </c>
      <c r="N2699">
        <f>Inventory_Data[[#This Row],[Purchase Qty]]*Inventory_Data[[#This Row],[Unit Cost]]</f>
        <v>232199</v>
      </c>
      <c r="O2699" t="str">
        <f>IF(Inventory_Data[[#This Row],[Closing Stock]]&lt;=Inventory_Data[[#This Row],[Reorder Level]],"Low Stock","In Stock")</f>
        <v>In Stock</v>
      </c>
      <c r="P2699" t="str">
        <f>TEXT(Inventory_Data[[#This Row],[Date]],"MMM")</f>
        <v>Jul</v>
      </c>
      <c r="Q2699" t="str">
        <f>TEXT(Inventory_Data[[#This Row],[Date]],"YYYY")</f>
        <v>2026</v>
      </c>
    </row>
    <row r="2700" spans="1:17" x14ac:dyDescent="0.3">
      <c r="A2700" s="1">
        <v>46228</v>
      </c>
      <c r="B2700" t="s">
        <v>16</v>
      </c>
      <c r="C2700" t="s">
        <v>17</v>
      </c>
      <c r="D2700" t="s">
        <v>23</v>
      </c>
      <c r="E2700" t="s">
        <v>29</v>
      </c>
      <c r="F2700">
        <v>76</v>
      </c>
      <c r="G2700">
        <v>31</v>
      </c>
      <c r="H2700">
        <v>24</v>
      </c>
      <c r="I2700">
        <v>83</v>
      </c>
      <c r="J2700">
        <v>10</v>
      </c>
      <c r="K2700">
        <v>17155</v>
      </c>
      <c r="L2700">
        <v>1423865</v>
      </c>
      <c r="M2700">
        <f>Inventory_Data[[#This Row],[Opening Stock]]+Inventory_Data[[#This Row],[Purchase Qty]]-Inventory_Data[[#This Row],[Sales Qty]]-Inventory_Data[[#This Row],[Closing Stock]]</f>
        <v>0</v>
      </c>
      <c r="N2700">
        <f>Inventory_Data[[#This Row],[Purchase Qty]]*Inventory_Data[[#This Row],[Unit Cost]]</f>
        <v>531805</v>
      </c>
      <c r="O2700" t="str">
        <f>IF(Inventory_Data[[#This Row],[Closing Stock]]&lt;=Inventory_Data[[#This Row],[Reorder Level]],"Low Stock","In Stock")</f>
        <v>In Stock</v>
      </c>
      <c r="P2700" t="str">
        <f>TEXT(Inventory_Data[[#This Row],[Date]],"MMM")</f>
        <v>Jul</v>
      </c>
      <c r="Q2700" t="str">
        <f>TEXT(Inventory_Data[[#This Row],[Date]],"YYYY")</f>
        <v>2026</v>
      </c>
    </row>
    <row r="2701" spans="1:17" x14ac:dyDescent="0.3">
      <c r="A2701" s="1">
        <v>46228</v>
      </c>
      <c r="B2701" t="s">
        <v>38</v>
      </c>
      <c r="C2701" t="s">
        <v>17</v>
      </c>
      <c r="D2701" t="s">
        <v>23</v>
      </c>
      <c r="E2701" t="s">
        <v>15</v>
      </c>
      <c r="F2701">
        <v>81</v>
      </c>
      <c r="G2701">
        <v>24</v>
      </c>
      <c r="H2701">
        <v>30</v>
      </c>
      <c r="I2701">
        <v>75</v>
      </c>
      <c r="J2701">
        <v>28</v>
      </c>
      <c r="K2701">
        <v>17434</v>
      </c>
      <c r="L2701">
        <v>1307550</v>
      </c>
      <c r="M2701">
        <f>Inventory_Data[[#This Row],[Opening Stock]]+Inventory_Data[[#This Row],[Purchase Qty]]-Inventory_Data[[#This Row],[Sales Qty]]-Inventory_Data[[#This Row],[Closing Stock]]</f>
        <v>0</v>
      </c>
      <c r="N2701">
        <f>Inventory_Data[[#This Row],[Purchase Qty]]*Inventory_Data[[#This Row],[Unit Cost]]</f>
        <v>418416</v>
      </c>
      <c r="O2701" t="str">
        <f>IF(Inventory_Data[[#This Row],[Closing Stock]]&lt;=Inventory_Data[[#This Row],[Reorder Level]],"Low Stock","In Stock")</f>
        <v>In Stock</v>
      </c>
      <c r="P2701" t="str">
        <f>TEXT(Inventory_Data[[#This Row],[Date]],"MMM")</f>
        <v>Jul</v>
      </c>
      <c r="Q2701" t="str">
        <f>TEXT(Inventory_Data[[#This Row],[Date]],"YYYY")</f>
        <v>2026</v>
      </c>
    </row>
    <row r="2702" spans="1:17" x14ac:dyDescent="0.3">
      <c r="A2702" s="1">
        <v>46228</v>
      </c>
      <c r="B2702" t="s">
        <v>12</v>
      </c>
      <c r="C2702" t="s">
        <v>13</v>
      </c>
      <c r="D2702" t="s">
        <v>26</v>
      </c>
      <c r="E2702" t="s">
        <v>24</v>
      </c>
      <c r="F2702">
        <v>23</v>
      </c>
      <c r="G2702">
        <v>64</v>
      </c>
      <c r="H2702">
        <v>54</v>
      </c>
      <c r="I2702">
        <v>33</v>
      </c>
      <c r="J2702">
        <v>25</v>
      </c>
      <c r="K2702">
        <v>10194</v>
      </c>
      <c r="L2702">
        <v>336402</v>
      </c>
      <c r="M2702">
        <f>Inventory_Data[[#This Row],[Opening Stock]]+Inventory_Data[[#This Row],[Purchase Qty]]-Inventory_Data[[#This Row],[Sales Qty]]-Inventory_Data[[#This Row],[Closing Stock]]</f>
        <v>0</v>
      </c>
      <c r="N2702">
        <f>Inventory_Data[[#This Row],[Purchase Qty]]*Inventory_Data[[#This Row],[Unit Cost]]</f>
        <v>652416</v>
      </c>
      <c r="O2702" t="str">
        <f>IF(Inventory_Data[[#This Row],[Closing Stock]]&lt;=Inventory_Data[[#This Row],[Reorder Level]],"Low Stock","In Stock")</f>
        <v>In Stock</v>
      </c>
      <c r="P2702" t="str">
        <f>TEXT(Inventory_Data[[#This Row],[Date]],"MMM")</f>
        <v>Jul</v>
      </c>
      <c r="Q2702" t="str">
        <f>TEXT(Inventory_Data[[#This Row],[Date]],"YYYY")</f>
        <v>2026</v>
      </c>
    </row>
    <row r="2703" spans="1:17" x14ac:dyDescent="0.3">
      <c r="A2703" s="1">
        <v>46228</v>
      </c>
      <c r="B2703" t="s">
        <v>12</v>
      </c>
      <c r="C2703" t="s">
        <v>13</v>
      </c>
      <c r="D2703" t="s">
        <v>14</v>
      </c>
      <c r="E2703" t="s">
        <v>18</v>
      </c>
      <c r="F2703">
        <v>53</v>
      </c>
      <c r="G2703">
        <v>59</v>
      </c>
      <c r="H2703">
        <v>43</v>
      </c>
      <c r="I2703">
        <v>69</v>
      </c>
      <c r="J2703">
        <v>25</v>
      </c>
      <c r="K2703">
        <v>5192</v>
      </c>
      <c r="L2703">
        <v>358248</v>
      </c>
      <c r="M2703">
        <f>Inventory_Data[[#This Row],[Opening Stock]]+Inventory_Data[[#This Row],[Purchase Qty]]-Inventory_Data[[#This Row],[Sales Qty]]-Inventory_Data[[#This Row],[Closing Stock]]</f>
        <v>0</v>
      </c>
      <c r="N2703">
        <f>Inventory_Data[[#This Row],[Purchase Qty]]*Inventory_Data[[#This Row],[Unit Cost]]</f>
        <v>306328</v>
      </c>
      <c r="O2703" t="str">
        <f>IF(Inventory_Data[[#This Row],[Closing Stock]]&lt;=Inventory_Data[[#This Row],[Reorder Level]],"Low Stock","In Stock")</f>
        <v>In Stock</v>
      </c>
      <c r="P2703" t="str">
        <f>TEXT(Inventory_Data[[#This Row],[Date]],"MMM")</f>
        <v>Jul</v>
      </c>
      <c r="Q2703" t="str">
        <f>TEXT(Inventory_Data[[#This Row],[Date]],"YYYY")</f>
        <v>2026</v>
      </c>
    </row>
    <row r="2704" spans="1:17" x14ac:dyDescent="0.3">
      <c r="A2704" s="1">
        <v>46229</v>
      </c>
      <c r="B2704" t="s">
        <v>42</v>
      </c>
      <c r="C2704" t="s">
        <v>17</v>
      </c>
      <c r="D2704" t="s">
        <v>14</v>
      </c>
      <c r="E2704" t="s">
        <v>34</v>
      </c>
      <c r="F2704">
        <v>57</v>
      </c>
      <c r="G2704">
        <v>33</v>
      </c>
      <c r="H2704">
        <v>34</v>
      </c>
      <c r="I2704">
        <v>56</v>
      </c>
      <c r="J2704">
        <v>17</v>
      </c>
      <c r="K2704">
        <v>21781</v>
      </c>
      <c r="L2704">
        <v>1219736</v>
      </c>
      <c r="M2704">
        <f>Inventory_Data[[#This Row],[Opening Stock]]+Inventory_Data[[#This Row],[Purchase Qty]]-Inventory_Data[[#This Row],[Sales Qty]]-Inventory_Data[[#This Row],[Closing Stock]]</f>
        <v>0</v>
      </c>
      <c r="N2704">
        <f>Inventory_Data[[#This Row],[Purchase Qty]]*Inventory_Data[[#This Row],[Unit Cost]]</f>
        <v>718773</v>
      </c>
      <c r="O2704" t="str">
        <f>IF(Inventory_Data[[#This Row],[Closing Stock]]&lt;=Inventory_Data[[#This Row],[Reorder Level]],"Low Stock","In Stock")</f>
        <v>In Stock</v>
      </c>
      <c r="P2704" t="str">
        <f>TEXT(Inventory_Data[[#This Row],[Date]],"MMM")</f>
        <v>Jul</v>
      </c>
      <c r="Q2704" t="str">
        <f>TEXT(Inventory_Data[[#This Row],[Date]],"YYYY")</f>
        <v>2026</v>
      </c>
    </row>
    <row r="2705" spans="1:17" x14ac:dyDescent="0.3">
      <c r="A2705" s="1">
        <v>46229</v>
      </c>
      <c r="B2705" t="s">
        <v>27</v>
      </c>
      <c r="C2705" t="s">
        <v>28</v>
      </c>
      <c r="D2705" t="s">
        <v>23</v>
      </c>
      <c r="E2705" t="s">
        <v>18</v>
      </c>
      <c r="F2705">
        <v>167</v>
      </c>
      <c r="G2705">
        <v>31</v>
      </c>
      <c r="H2705">
        <v>8</v>
      </c>
      <c r="I2705">
        <v>190</v>
      </c>
      <c r="J2705">
        <v>48</v>
      </c>
      <c r="K2705">
        <v>53975</v>
      </c>
      <c r="L2705">
        <v>10255250</v>
      </c>
      <c r="M2705">
        <f>Inventory_Data[[#This Row],[Opening Stock]]+Inventory_Data[[#This Row],[Purchase Qty]]-Inventory_Data[[#This Row],[Sales Qty]]-Inventory_Data[[#This Row],[Closing Stock]]</f>
        <v>0</v>
      </c>
      <c r="N2705">
        <f>Inventory_Data[[#This Row],[Purchase Qty]]*Inventory_Data[[#This Row],[Unit Cost]]</f>
        <v>1673225</v>
      </c>
      <c r="O2705" t="str">
        <f>IF(Inventory_Data[[#This Row],[Closing Stock]]&lt;=Inventory_Data[[#This Row],[Reorder Level]],"Low Stock","In Stock")</f>
        <v>In Stock</v>
      </c>
      <c r="P2705" t="str">
        <f>TEXT(Inventory_Data[[#This Row],[Date]],"MMM")</f>
        <v>Jul</v>
      </c>
      <c r="Q2705" t="str">
        <f>TEXT(Inventory_Data[[#This Row],[Date]],"YYYY")</f>
        <v>2026</v>
      </c>
    </row>
    <row r="2706" spans="1:17" x14ac:dyDescent="0.3">
      <c r="A2706" s="1">
        <v>46230</v>
      </c>
      <c r="B2706" t="s">
        <v>33</v>
      </c>
      <c r="C2706" t="s">
        <v>13</v>
      </c>
      <c r="D2706" t="s">
        <v>37</v>
      </c>
      <c r="E2706" t="s">
        <v>24</v>
      </c>
      <c r="F2706">
        <v>56</v>
      </c>
      <c r="G2706">
        <v>17</v>
      </c>
      <c r="H2706">
        <v>14</v>
      </c>
      <c r="I2706">
        <v>59</v>
      </c>
      <c r="J2706">
        <v>35</v>
      </c>
      <c r="K2706">
        <v>7098</v>
      </c>
      <c r="L2706">
        <v>418782</v>
      </c>
      <c r="M2706">
        <f>Inventory_Data[[#This Row],[Opening Stock]]+Inventory_Data[[#This Row],[Purchase Qty]]-Inventory_Data[[#This Row],[Sales Qty]]-Inventory_Data[[#This Row],[Closing Stock]]</f>
        <v>0</v>
      </c>
      <c r="N2706">
        <f>Inventory_Data[[#This Row],[Purchase Qty]]*Inventory_Data[[#This Row],[Unit Cost]]</f>
        <v>120666</v>
      </c>
      <c r="O2706" t="str">
        <f>IF(Inventory_Data[[#This Row],[Closing Stock]]&lt;=Inventory_Data[[#This Row],[Reorder Level]],"Low Stock","In Stock")</f>
        <v>In Stock</v>
      </c>
      <c r="P2706" t="str">
        <f>TEXT(Inventory_Data[[#This Row],[Date]],"MMM")</f>
        <v>Jul</v>
      </c>
      <c r="Q2706" t="str">
        <f>TEXT(Inventory_Data[[#This Row],[Date]],"YYYY")</f>
        <v>2026</v>
      </c>
    </row>
    <row r="2707" spans="1:17" x14ac:dyDescent="0.3">
      <c r="A2707" s="1">
        <v>46230</v>
      </c>
      <c r="B2707" t="s">
        <v>33</v>
      </c>
      <c r="C2707" t="s">
        <v>13</v>
      </c>
      <c r="D2707" t="s">
        <v>23</v>
      </c>
      <c r="E2707" t="s">
        <v>15</v>
      </c>
      <c r="F2707">
        <v>54</v>
      </c>
      <c r="G2707">
        <v>7</v>
      </c>
      <c r="H2707">
        <v>20</v>
      </c>
      <c r="I2707">
        <v>41</v>
      </c>
      <c r="J2707">
        <v>36</v>
      </c>
      <c r="K2707">
        <v>9212</v>
      </c>
      <c r="L2707">
        <v>377692</v>
      </c>
      <c r="M2707">
        <f>Inventory_Data[[#This Row],[Opening Stock]]+Inventory_Data[[#This Row],[Purchase Qty]]-Inventory_Data[[#This Row],[Sales Qty]]-Inventory_Data[[#This Row],[Closing Stock]]</f>
        <v>0</v>
      </c>
      <c r="N2707">
        <f>Inventory_Data[[#This Row],[Purchase Qty]]*Inventory_Data[[#This Row],[Unit Cost]]</f>
        <v>64484</v>
      </c>
      <c r="O2707" t="str">
        <f>IF(Inventory_Data[[#This Row],[Closing Stock]]&lt;=Inventory_Data[[#This Row],[Reorder Level]],"Low Stock","In Stock")</f>
        <v>In Stock</v>
      </c>
      <c r="P2707" t="str">
        <f>TEXT(Inventory_Data[[#This Row],[Date]],"MMM")</f>
        <v>Jul</v>
      </c>
      <c r="Q2707" t="str">
        <f>TEXT(Inventory_Data[[#This Row],[Date]],"YYYY")</f>
        <v>2026</v>
      </c>
    </row>
    <row r="2708" spans="1:17" x14ac:dyDescent="0.3">
      <c r="A2708" s="1">
        <v>46230</v>
      </c>
      <c r="B2708" t="s">
        <v>42</v>
      </c>
      <c r="C2708" t="s">
        <v>17</v>
      </c>
      <c r="D2708" t="s">
        <v>14</v>
      </c>
      <c r="E2708" t="s">
        <v>15</v>
      </c>
      <c r="F2708">
        <v>49</v>
      </c>
      <c r="G2708">
        <v>8</v>
      </c>
      <c r="H2708">
        <v>32</v>
      </c>
      <c r="I2708">
        <v>25</v>
      </c>
      <c r="J2708">
        <v>15</v>
      </c>
      <c r="K2708">
        <v>12832</v>
      </c>
      <c r="L2708">
        <v>320800</v>
      </c>
      <c r="M2708">
        <f>Inventory_Data[[#This Row],[Opening Stock]]+Inventory_Data[[#This Row],[Purchase Qty]]-Inventory_Data[[#This Row],[Sales Qty]]-Inventory_Data[[#This Row],[Closing Stock]]</f>
        <v>0</v>
      </c>
      <c r="N2708">
        <f>Inventory_Data[[#This Row],[Purchase Qty]]*Inventory_Data[[#This Row],[Unit Cost]]</f>
        <v>102656</v>
      </c>
      <c r="O2708" t="str">
        <f>IF(Inventory_Data[[#This Row],[Closing Stock]]&lt;=Inventory_Data[[#This Row],[Reorder Level]],"Low Stock","In Stock")</f>
        <v>In Stock</v>
      </c>
      <c r="P2708" t="str">
        <f>TEXT(Inventory_Data[[#This Row],[Date]],"MMM")</f>
        <v>Jul</v>
      </c>
      <c r="Q2708" t="str">
        <f>TEXT(Inventory_Data[[#This Row],[Date]],"YYYY")</f>
        <v>2026</v>
      </c>
    </row>
    <row r="2709" spans="1:17" x14ac:dyDescent="0.3">
      <c r="A2709" s="1">
        <v>46230</v>
      </c>
      <c r="B2709" t="s">
        <v>31</v>
      </c>
      <c r="C2709" t="s">
        <v>22</v>
      </c>
      <c r="D2709" t="s">
        <v>14</v>
      </c>
      <c r="E2709" t="s">
        <v>18</v>
      </c>
      <c r="F2709">
        <v>154</v>
      </c>
      <c r="G2709">
        <v>43</v>
      </c>
      <c r="H2709">
        <v>86</v>
      </c>
      <c r="I2709">
        <v>111</v>
      </c>
      <c r="J2709">
        <v>81</v>
      </c>
      <c r="K2709">
        <v>597</v>
      </c>
      <c r="L2709">
        <v>66267</v>
      </c>
      <c r="M2709">
        <f>Inventory_Data[[#This Row],[Opening Stock]]+Inventory_Data[[#This Row],[Purchase Qty]]-Inventory_Data[[#This Row],[Sales Qty]]-Inventory_Data[[#This Row],[Closing Stock]]</f>
        <v>0</v>
      </c>
      <c r="N2709">
        <f>Inventory_Data[[#This Row],[Purchase Qty]]*Inventory_Data[[#This Row],[Unit Cost]]</f>
        <v>25671</v>
      </c>
      <c r="O2709" t="str">
        <f>IF(Inventory_Data[[#This Row],[Closing Stock]]&lt;=Inventory_Data[[#This Row],[Reorder Level]],"Low Stock","In Stock")</f>
        <v>In Stock</v>
      </c>
      <c r="P2709" t="str">
        <f>TEXT(Inventory_Data[[#This Row],[Date]],"MMM")</f>
        <v>Jul</v>
      </c>
      <c r="Q2709" t="str">
        <f>TEXT(Inventory_Data[[#This Row],[Date]],"YYYY")</f>
        <v>2026</v>
      </c>
    </row>
    <row r="2710" spans="1:17" x14ac:dyDescent="0.3">
      <c r="A2710" s="1">
        <v>46230</v>
      </c>
      <c r="B2710" t="s">
        <v>31</v>
      </c>
      <c r="C2710" t="s">
        <v>22</v>
      </c>
      <c r="D2710" t="s">
        <v>26</v>
      </c>
      <c r="E2710" t="s">
        <v>34</v>
      </c>
      <c r="F2710">
        <v>164</v>
      </c>
      <c r="G2710">
        <v>96</v>
      </c>
      <c r="H2710">
        <v>258</v>
      </c>
      <c r="I2710">
        <v>2</v>
      </c>
      <c r="J2710">
        <v>51</v>
      </c>
      <c r="K2710">
        <v>870</v>
      </c>
      <c r="L2710">
        <v>1740</v>
      </c>
      <c r="M2710">
        <f>Inventory_Data[[#This Row],[Opening Stock]]+Inventory_Data[[#This Row],[Purchase Qty]]-Inventory_Data[[#This Row],[Sales Qty]]-Inventory_Data[[#This Row],[Closing Stock]]</f>
        <v>0</v>
      </c>
      <c r="N2710">
        <f>Inventory_Data[[#This Row],[Purchase Qty]]*Inventory_Data[[#This Row],[Unit Cost]]</f>
        <v>83520</v>
      </c>
      <c r="O2710" t="str">
        <f>IF(Inventory_Data[[#This Row],[Closing Stock]]&lt;=Inventory_Data[[#This Row],[Reorder Level]],"Low Stock","In Stock")</f>
        <v>Low Stock</v>
      </c>
      <c r="P2710" t="str">
        <f>TEXT(Inventory_Data[[#This Row],[Date]],"MMM")</f>
        <v>Jul</v>
      </c>
      <c r="Q2710" t="str">
        <f>TEXT(Inventory_Data[[#This Row],[Date]],"YYYY")</f>
        <v>2026</v>
      </c>
    </row>
    <row r="2711" spans="1:17" x14ac:dyDescent="0.3">
      <c r="A2711" s="1">
        <v>46230</v>
      </c>
      <c r="B2711" t="s">
        <v>19</v>
      </c>
      <c r="C2711" t="s">
        <v>13</v>
      </c>
      <c r="D2711" t="s">
        <v>26</v>
      </c>
      <c r="E2711" t="s">
        <v>18</v>
      </c>
      <c r="F2711">
        <v>49</v>
      </c>
      <c r="G2711">
        <v>54</v>
      </c>
      <c r="H2711">
        <v>20</v>
      </c>
      <c r="I2711">
        <v>83</v>
      </c>
      <c r="J2711">
        <v>17</v>
      </c>
      <c r="K2711">
        <v>15251</v>
      </c>
      <c r="L2711">
        <v>1265833</v>
      </c>
      <c r="M2711">
        <f>Inventory_Data[[#This Row],[Opening Stock]]+Inventory_Data[[#This Row],[Purchase Qty]]-Inventory_Data[[#This Row],[Sales Qty]]-Inventory_Data[[#This Row],[Closing Stock]]</f>
        <v>0</v>
      </c>
      <c r="N2711">
        <f>Inventory_Data[[#This Row],[Purchase Qty]]*Inventory_Data[[#This Row],[Unit Cost]]</f>
        <v>823554</v>
      </c>
      <c r="O2711" t="str">
        <f>IF(Inventory_Data[[#This Row],[Closing Stock]]&lt;=Inventory_Data[[#This Row],[Reorder Level]],"Low Stock","In Stock")</f>
        <v>In Stock</v>
      </c>
      <c r="P2711" t="str">
        <f>TEXT(Inventory_Data[[#This Row],[Date]],"MMM")</f>
        <v>Jul</v>
      </c>
      <c r="Q2711" t="str">
        <f>TEXT(Inventory_Data[[#This Row],[Date]],"YYYY")</f>
        <v>2026</v>
      </c>
    </row>
    <row r="2712" spans="1:17" x14ac:dyDescent="0.3">
      <c r="A2712" s="1">
        <v>46230</v>
      </c>
      <c r="B2712" t="s">
        <v>30</v>
      </c>
      <c r="C2712" t="s">
        <v>28</v>
      </c>
      <c r="D2712" t="s">
        <v>14</v>
      </c>
      <c r="E2712" t="s">
        <v>18</v>
      </c>
      <c r="F2712">
        <v>37</v>
      </c>
      <c r="G2712">
        <v>67</v>
      </c>
      <c r="H2712">
        <v>80</v>
      </c>
      <c r="I2712">
        <v>24</v>
      </c>
      <c r="J2712">
        <v>52</v>
      </c>
      <c r="K2712">
        <v>41624</v>
      </c>
      <c r="L2712">
        <v>998976</v>
      </c>
      <c r="M2712">
        <f>Inventory_Data[[#This Row],[Opening Stock]]+Inventory_Data[[#This Row],[Purchase Qty]]-Inventory_Data[[#This Row],[Sales Qty]]-Inventory_Data[[#This Row],[Closing Stock]]</f>
        <v>0</v>
      </c>
      <c r="N2712">
        <f>Inventory_Data[[#This Row],[Purchase Qty]]*Inventory_Data[[#This Row],[Unit Cost]]</f>
        <v>2788808</v>
      </c>
      <c r="O2712" t="str">
        <f>IF(Inventory_Data[[#This Row],[Closing Stock]]&lt;=Inventory_Data[[#This Row],[Reorder Level]],"Low Stock","In Stock")</f>
        <v>Low Stock</v>
      </c>
      <c r="P2712" t="str">
        <f>TEXT(Inventory_Data[[#This Row],[Date]],"MMM")</f>
        <v>Jul</v>
      </c>
      <c r="Q2712" t="str">
        <f>TEXT(Inventory_Data[[#This Row],[Date]],"YYYY")</f>
        <v>2026</v>
      </c>
    </row>
    <row r="2713" spans="1:17" x14ac:dyDescent="0.3">
      <c r="A2713" s="1">
        <v>46230</v>
      </c>
      <c r="B2713" t="s">
        <v>25</v>
      </c>
      <c r="C2713" t="s">
        <v>17</v>
      </c>
      <c r="D2713" t="s">
        <v>23</v>
      </c>
      <c r="E2713" t="s">
        <v>34</v>
      </c>
      <c r="F2713">
        <v>60</v>
      </c>
      <c r="G2713">
        <v>14</v>
      </c>
      <c r="H2713">
        <v>7</v>
      </c>
      <c r="I2713">
        <v>67</v>
      </c>
      <c r="J2713">
        <v>26</v>
      </c>
      <c r="K2713">
        <v>7961</v>
      </c>
      <c r="L2713">
        <v>533387</v>
      </c>
      <c r="M2713">
        <f>Inventory_Data[[#This Row],[Opening Stock]]+Inventory_Data[[#This Row],[Purchase Qty]]-Inventory_Data[[#This Row],[Sales Qty]]-Inventory_Data[[#This Row],[Closing Stock]]</f>
        <v>0</v>
      </c>
      <c r="N2713">
        <f>Inventory_Data[[#This Row],[Purchase Qty]]*Inventory_Data[[#This Row],[Unit Cost]]</f>
        <v>111454</v>
      </c>
      <c r="O2713" t="str">
        <f>IF(Inventory_Data[[#This Row],[Closing Stock]]&lt;=Inventory_Data[[#This Row],[Reorder Level]],"Low Stock","In Stock")</f>
        <v>In Stock</v>
      </c>
      <c r="P2713" t="str">
        <f>TEXT(Inventory_Data[[#This Row],[Date]],"MMM")</f>
        <v>Jul</v>
      </c>
      <c r="Q2713" t="str">
        <f>TEXT(Inventory_Data[[#This Row],[Date]],"YYYY")</f>
        <v>2026</v>
      </c>
    </row>
    <row r="2714" spans="1:17" x14ac:dyDescent="0.3">
      <c r="A2714" s="1">
        <v>46230</v>
      </c>
      <c r="B2714" t="s">
        <v>19</v>
      </c>
      <c r="C2714" t="s">
        <v>13</v>
      </c>
      <c r="D2714" t="s">
        <v>14</v>
      </c>
      <c r="E2714" t="s">
        <v>24</v>
      </c>
      <c r="F2714">
        <v>78</v>
      </c>
      <c r="G2714">
        <v>9</v>
      </c>
      <c r="H2714">
        <v>60</v>
      </c>
      <c r="I2714">
        <v>27</v>
      </c>
      <c r="J2714">
        <v>37</v>
      </c>
      <c r="K2714">
        <v>2416</v>
      </c>
      <c r="L2714">
        <v>65232</v>
      </c>
      <c r="M2714">
        <f>Inventory_Data[[#This Row],[Opening Stock]]+Inventory_Data[[#This Row],[Purchase Qty]]-Inventory_Data[[#This Row],[Sales Qty]]-Inventory_Data[[#This Row],[Closing Stock]]</f>
        <v>0</v>
      </c>
      <c r="N2714">
        <f>Inventory_Data[[#This Row],[Purchase Qty]]*Inventory_Data[[#This Row],[Unit Cost]]</f>
        <v>21744</v>
      </c>
      <c r="O2714" t="str">
        <f>IF(Inventory_Data[[#This Row],[Closing Stock]]&lt;=Inventory_Data[[#This Row],[Reorder Level]],"Low Stock","In Stock")</f>
        <v>Low Stock</v>
      </c>
      <c r="P2714" t="str">
        <f>TEXT(Inventory_Data[[#This Row],[Date]],"MMM")</f>
        <v>Jul</v>
      </c>
      <c r="Q2714" t="str">
        <f>TEXT(Inventory_Data[[#This Row],[Date]],"YYYY")</f>
        <v>2026</v>
      </c>
    </row>
    <row r="2715" spans="1:17" x14ac:dyDescent="0.3">
      <c r="A2715" s="1">
        <v>46231</v>
      </c>
      <c r="B2715" t="s">
        <v>12</v>
      </c>
      <c r="C2715" t="s">
        <v>13</v>
      </c>
      <c r="D2715" t="s">
        <v>14</v>
      </c>
      <c r="E2715" t="s">
        <v>34</v>
      </c>
      <c r="F2715">
        <v>109</v>
      </c>
      <c r="G2715">
        <v>56</v>
      </c>
      <c r="H2715">
        <v>63</v>
      </c>
      <c r="I2715">
        <v>102</v>
      </c>
      <c r="J2715">
        <v>18</v>
      </c>
      <c r="K2715">
        <v>11086</v>
      </c>
      <c r="L2715">
        <v>1130772</v>
      </c>
      <c r="M2715">
        <f>Inventory_Data[[#This Row],[Opening Stock]]+Inventory_Data[[#This Row],[Purchase Qty]]-Inventory_Data[[#This Row],[Sales Qty]]-Inventory_Data[[#This Row],[Closing Stock]]</f>
        <v>0</v>
      </c>
      <c r="N2715">
        <f>Inventory_Data[[#This Row],[Purchase Qty]]*Inventory_Data[[#This Row],[Unit Cost]]</f>
        <v>620816</v>
      </c>
      <c r="O2715" t="str">
        <f>IF(Inventory_Data[[#This Row],[Closing Stock]]&lt;=Inventory_Data[[#This Row],[Reorder Level]],"Low Stock","In Stock")</f>
        <v>In Stock</v>
      </c>
      <c r="P2715" t="str">
        <f>TEXT(Inventory_Data[[#This Row],[Date]],"MMM")</f>
        <v>Jul</v>
      </c>
      <c r="Q2715" t="str">
        <f>TEXT(Inventory_Data[[#This Row],[Date]],"YYYY")</f>
        <v>2026</v>
      </c>
    </row>
    <row r="2716" spans="1:17" x14ac:dyDescent="0.3">
      <c r="A2716" s="1">
        <v>46231</v>
      </c>
      <c r="B2716" t="s">
        <v>39</v>
      </c>
      <c r="C2716" t="s">
        <v>28</v>
      </c>
      <c r="D2716" t="s">
        <v>26</v>
      </c>
      <c r="E2716" t="s">
        <v>20</v>
      </c>
      <c r="F2716">
        <v>153</v>
      </c>
      <c r="G2716">
        <v>37</v>
      </c>
      <c r="H2716">
        <v>32</v>
      </c>
      <c r="I2716">
        <v>158</v>
      </c>
      <c r="J2716">
        <v>39</v>
      </c>
      <c r="K2716">
        <v>47499</v>
      </c>
      <c r="L2716">
        <v>7504842</v>
      </c>
      <c r="M2716">
        <f>Inventory_Data[[#This Row],[Opening Stock]]+Inventory_Data[[#This Row],[Purchase Qty]]-Inventory_Data[[#This Row],[Sales Qty]]-Inventory_Data[[#This Row],[Closing Stock]]</f>
        <v>0</v>
      </c>
      <c r="N2716">
        <f>Inventory_Data[[#This Row],[Purchase Qty]]*Inventory_Data[[#This Row],[Unit Cost]]</f>
        <v>1757463</v>
      </c>
      <c r="O2716" t="str">
        <f>IF(Inventory_Data[[#This Row],[Closing Stock]]&lt;=Inventory_Data[[#This Row],[Reorder Level]],"Low Stock","In Stock")</f>
        <v>In Stock</v>
      </c>
      <c r="P2716" t="str">
        <f>TEXT(Inventory_Data[[#This Row],[Date]],"MMM")</f>
        <v>Jul</v>
      </c>
      <c r="Q2716" t="str">
        <f>TEXT(Inventory_Data[[#This Row],[Date]],"YYYY")</f>
        <v>2026</v>
      </c>
    </row>
    <row r="2717" spans="1:17" x14ac:dyDescent="0.3">
      <c r="A2717" s="1">
        <v>46231</v>
      </c>
      <c r="B2717" t="s">
        <v>42</v>
      </c>
      <c r="C2717" t="s">
        <v>17</v>
      </c>
      <c r="D2717" t="s">
        <v>14</v>
      </c>
      <c r="E2717" t="s">
        <v>34</v>
      </c>
      <c r="F2717">
        <v>38</v>
      </c>
      <c r="G2717">
        <v>14</v>
      </c>
      <c r="H2717">
        <v>18</v>
      </c>
      <c r="I2717">
        <v>34</v>
      </c>
      <c r="J2717">
        <v>15</v>
      </c>
      <c r="K2717">
        <v>12061</v>
      </c>
      <c r="L2717">
        <v>410074</v>
      </c>
      <c r="M2717">
        <f>Inventory_Data[[#This Row],[Opening Stock]]+Inventory_Data[[#This Row],[Purchase Qty]]-Inventory_Data[[#This Row],[Sales Qty]]-Inventory_Data[[#This Row],[Closing Stock]]</f>
        <v>0</v>
      </c>
      <c r="N2717">
        <f>Inventory_Data[[#This Row],[Purchase Qty]]*Inventory_Data[[#This Row],[Unit Cost]]</f>
        <v>168854</v>
      </c>
      <c r="O2717" t="str">
        <f>IF(Inventory_Data[[#This Row],[Closing Stock]]&lt;=Inventory_Data[[#This Row],[Reorder Level]],"Low Stock","In Stock")</f>
        <v>In Stock</v>
      </c>
      <c r="P2717" t="str">
        <f>TEXT(Inventory_Data[[#This Row],[Date]],"MMM")</f>
        <v>Jul</v>
      </c>
      <c r="Q2717" t="str">
        <f>TEXT(Inventory_Data[[#This Row],[Date]],"YYYY")</f>
        <v>2026</v>
      </c>
    </row>
    <row r="2718" spans="1:17" x14ac:dyDescent="0.3">
      <c r="A2718" s="1">
        <v>46231</v>
      </c>
      <c r="B2718" t="s">
        <v>45</v>
      </c>
      <c r="C2718" t="s">
        <v>13</v>
      </c>
      <c r="D2718" t="s">
        <v>14</v>
      </c>
      <c r="E2718" t="s">
        <v>20</v>
      </c>
      <c r="F2718">
        <v>34</v>
      </c>
      <c r="G2718">
        <v>7</v>
      </c>
      <c r="H2718">
        <v>18</v>
      </c>
      <c r="I2718">
        <v>23</v>
      </c>
      <c r="J2718">
        <v>26</v>
      </c>
      <c r="K2718">
        <v>802</v>
      </c>
      <c r="L2718">
        <v>18446</v>
      </c>
      <c r="M2718">
        <f>Inventory_Data[[#This Row],[Opening Stock]]+Inventory_Data[[#This Row],[Purchase Qty]]-Inventory_Data[[#This Row],[Sales Qty]]-Inventory_Data[[#This Row],[Closing Stock]]</f>
        <v>0</v>
      </c>
      <c r="N2718">
        <f>Inventory_Data[[#This Row],[Purchase Qty]]*Inventory_Data[[#This Row],[Unit Cost]]</f>
        <v>5614</v>
      </c>
      <c r="O2718" t="str">
        <f>IF(Inventory_Data[[#This Row],[Closing Stock]]&lt;=Inventory_Data[[#This Row],[Reorder Level]],"Low Stock","In Stock")</f>
        <v>Low Stock</v>
      </c>
      <c r="P2718" t="str">
        <f>TEXT(Inventory_Data[[#This Row],[Date]],"MMM")</f>
        <v>Jul</v>
      </c>
      <c r="Q2718" t="str">
        <f>TEXT(Inventory_Data[[#This Row],[Date]],"YYYY")</f>
        <v>2026</v>
      </c>
    </row>
    <row r="2719" spans="1:17" x14ac:dyDescent="0.3">
      <c r="A2719" s="1">
        <v>46231</v>
      </c>
      <c r="B2719" t="s">
        <v>30</v>
      </c>
      <c r="C2719" t="s">
        <v>28</v>
      </c>
      <c r="D2719" t="s">
        <v>14</v>
      </c>
      <c r="E2719" t="s">
        <v>29</v>
      </c>
      <c r="F2719">
        <v>83</v>
      </c>
      <c r="G2719">
        <v>26</v>
      </c>
      <c r="H2719">
        <v>82</v>
      </c>
      <c r="I2719">
        <v>27</v>
      </c>
      <c r="J2719">
        <v>54</v>
      </c>
      <c r="K2719">
        <v>4488</v>
      </c>
      <c r="L2719">
        <v>121176</v>
      </c>
      <c r="M2719">
        <f>Inventory_Data[[#This Row],[Opening Stock]]+Inventory_Data[[#This Row],[Purchase Qty]]-Inventory_Data[[#This Row],[Sales Qty]]-Inventory_Data[[#This Row],[Closing Stock]]</f>
        <v>0</v>
      </c>
      <c r="N2719">
        <f>Inventory_Data[[#This Row],[Purchase Qty]]*Inventory_Data[[#This Row],[Unit Cost]]</f>
        <v>116688</v>
      </c>
      <c r="O2719" t="str">
        <f>IF(Inventory_Data[[#This Row],[Closing Stock]]&lt;=Inventory_Data[[#This Row],[Reorder Level]],"Low Stock","In Stock")</f>
        <v>Low Stock</v>
      </c>
      <c r="P2719" t="str">
        <f>TEXT(Inventory_Data[[#This Row],[Date]],"MMM")</f>
        <v>Jul</v>
      </c>
      <c r="Q2719" t="str">
        <f>TEXT(Inventory_Data[[#This Row],[Date]],"YYYY")</f>
        <v>2026</v>
      </c>
    </row>
    <row r="2720" spans="1:17" x14ac:dyDescent="0.3">
      <c r="A2720" s="1">
        <v>46231</v>
      </c>
      <c r="B2720" t="s">
        <v>25</v>
      </c>
      <c r="C2720" t="s">
        <v>17</v>
      </c>
      <c r="D2720" t="s">
        <v>37</v>
      </c>
      <c r="E2720" t="s">
        <v>34</v>
      </c>
      <c r="F2720">
        <v>94</v>
      </c>
      <c r="G2720">
        <v>20</v>
      </c>
      <c r="H2720">
        <v>7</v>
      </c>
      <c r="I2720">
        <v>107</v>
      </c>
      <c r="J2720">
        <v>18</v>
      </c>
      <c r="K2720">
        <v>4382</v>
      </c>
      <c r="L2720">
        <v>468874</v>
      </c>
      <c r="M2720">
        <f>Inventory_Data[[#This Row],[Opening Stock]]+Inventory_Data[[#This Row],[Purchase Qty]]-Inventory_Data[[#This Row],[Sales Qty]]-Inventory_Data[[#This Row],[Closing Stock]]</f>
        <v>0</v>
      </c>
      <c r="N2720">
        <f>Inventory_Data[[#This Row],[Purchase Qty]]*Inventory_Data[[#This Row],[Unit Cost]]</f>
        <v>87640</v>
      </c>
      <c r="O2720" t="str">
        <f>IF(Inventory_Data[[#This Row],[Closing Stock]]&lt;=Inventory_Data[[#This Row],[Reorder Level]],"Low Stock","In Stock")</f>
        <v>In Stock</v>
      </c>
      <c r="P2720" t="str">
        <f>TEXT(Inventory_Data[[#This Row],[Date]],"MMM")</f>
        <v>Jul</v>
      </c>
      <c r="Q2720" t="str">
        <f>TEXT(Inventory_Data[[#This Row],[Date]],"YYYY")</f>
        <v>2026</v>
      </c>
    </row>
    <row r="2721" spans="1:17" x14ac:dyDescent="0.3">
      <c r="A2721" s="1">
        <v>46231</v>
      </c>
      <c r="B2721" t="s">
        <v>36</v>
      </c>
      <c r="C2721" t="s">
        <v>22</v>
      </c>
      <c r="D2721" t="s">
        <v>14</v>
      </c>
      <c r="E2721" t="s">
        <v>29</v>
      </c>
      <c r="F2721">
        <v>256</v>
      </c>
      <c r="G2721">
        <v>183</v>
      </c>
      <c r="H2721">
        <v>57</v>
      </c>
      <c r="I2721">
        <v>382</v>
      </c>
      <c r="J2721">
        <v>58</v>
      </c>
      <c r="K2721">
        <v>1044</v>
      </c>
      <c r="L2721">
        <v>398808</v>
      </c>
      <c r="M2721">
        <f>Inventory_Data[[#This Row],[Opening Stock]]+Inventory_Data[[#This Row],[Purchase Qty]]-Inventory_Data[[#This Row],[Sales Qty]]-Inventory_Data[[#This Row],[Closing Stock]]</f>
        <v>0</v>
      </c>
      <c r="N2721">
        <f>Inventory_Data[[#This Row],[Purchase Qty]]*Inventory_Data[[#This Row],[Unit Cost]]</f>
        <v>191052</v>
      </c>
      <c r="O2721" t="str">
        <f>IF(Inventory_Data[[#This Row],[Closing Stock]]&lt;=Inventory_Data[[#This Row],[Reorder Level]],"Low Stock","In Stock")</f>
        <v>In Stock</v>
      </c>
      <c r="P2721" t="str">
        <f>TEXT(Inventory_Data[[#This Row],[Date]],"MMM")</f>
        <v>Jul</v>
      </c>
      <c r="Q2721" t="str">
        <f>TEXT(Inventory_Data[[#This Row],[Date]],"YYYY")</f>
        <v>2026</v>
      </c>
    </row>
    <row r="2722" spans="1:17" x14ac:dyDescent="0.3">
      <c r="A2722" s="1">
        <v>46232</v>
      </c>
      <c r="B2722" t="s">
        <v>21</v>
      </c>
      <c r="C2722" t="s">
        <v>22</v>
      </c>
      <c r="D2722" t="s">
        <v>14</v>
      </c>
      <c r="E2722" t="s">
        <v>34</v>
      </c>
      <c r="F2722">
        <v>356</v>
      </c>
      <c r="G2722">
        <v>145</v>
      </c>
      <c r="H2722">
        <v>122</v>
      </c>
      <c r="I2722">
        <v>379</v>
      </c>
      <c r="J2722">
        <v>56</v>
      </c>
      <c r="K2722">
        <v>562</v>
      </c>
      <c r="L2722">
        <v>212998</v>
      </c>
      <c r="M2722">
        <f>Inventory_Data[[#This Row],[Opening Stock]]+Inventory_Data[[#This Row],[Purchase Qty]]-Inventory_Data[[#This Row],[Sales Qty]]-Inventory_Data[[#This Row],[Closing Stock]]</f>
        <v>0</v>
      </c>
      <c r="N2722">
        <f>Inventory_Data[[#This Row],[Purchase Qty]]*Inventory_Data[[#This Row],[Unit Cost]]</f>
        <v>81490</v>
      </c>
      <c r="O2722" t="str">
        <f>IF(Inventory_Data[[#This Row],[Closing Stock]]&lt;=Inventory_Data[[#This Row],[Reorder Level]],"Low Stock","In Stock")</f>
        <v>In Stock</v>
      </c>
      <c r="P2722" t="str">
        <f>TEXT(Inventory_Data[[#This Row],[Date]],"MMM")</f>
        <v>Jul</v>
      </c>
      <c r="Q2722" t="str">
        <f>TEXT(Inventory_Data[[#This Row],[Date]],"YYYY")</f>
        <v>2026</v>
      </c>
    </row>
    <row r="2723" spans="1:17" x14ac:dyDescent="0.3">
      <c r="A2723" s="1">
        <v>46232</v>
      </c>
      <c r="B2723" t="s">
        <v>35</v>
      </c>
      <c r="C2723" t="s">
        <v>22</v>
      </c>
      <c r="D2723" t="s">
        <v>37</v>
      </c>
      <c r="E2723" t="s">
        <v>29</v>
      </c>
      <c r="F2723">
        <v>429</v>
      </c>
      <c r="G2723">
        <v>41</v>
      </c>
      <c r="H2723">
        <v>150</v>
      </c>
      <c r="I2723">
        <v>320</v>
      </c>
      <c r="J2723">
        <v>112</v>
      </c>
      <c r="K2723">
        <v>36</v>
      </c>
      <c r="L2723">
        <v>11520</v>
      </c>
      <c r="M2723">
        <f>Inventory_Data[[#This Row],[Opening Stock]]+Inventory_Data[[#This Row],[Purchase Qty]]-Inventory_Data[[#This Row],[Sales Qty]]-Inventory_Data[[#This Row],[Closing Stock]]</f>
        <v>0</v>
      </c>
      <c r="N2723">
        <f>Inventory_Data[[#This Row],[Purchase Qty]]*Inventory_Data[[#This Row],[Unit Cost]]</f>
        <v>1476</v>
      </c>
      <c r="O2723" t="str">
        <f>IF(Inventory_Data[[#This Row],[Closing Stock]]&lt;=Inventory_Data[[#This Row],[Reorder Level]],"Low Stock","In Stock")</f>
        <v>In Stock</v>
      </c>
      <c r="P2723" t="str">
        <f>TEXT(Inventory_Data[[#This Row],[Date]],"MMM")</f>
        <v>Jul</v>
      </c>
      <c r="Q2723" t="str">
        <f>TEXT(Inventory_Data[[#This Row],[Date]],"YYYY")</f>
        <v>2026</v>
      </c>
    </row>
    <row r="2724" spans="1:17" x14ac:dyDescent="0.3">
      <c r="A2724" s="1">
        <v>46232</v>
      </c>
      <c r="B2724" t="s">
        <v>12</v>
      </c>
      <c r="C2724" t="s">
        <v>13</v>
      </c>
      <c r="D2724" t="s">
        <v>37</v>
      </c>
      <c r="E2724" t="s">
        <v>18</v>
      </c>
      <c r="F2724">
        <v>25</v>
      </c>
      <c r="G2724">
        <v>68</v>
      </c>
      <c r="H2724">
        <v>57</v>
      </c>
      <c r="I2724">
        <v>36</v>
      </c>
      <c r="J2724">
        <v>16</v>
      </c>
      <c r="K2724">
        <v>14050</v>
      </c>
      <c r="L2724">
        <v>505800</v>
      </c>
      <c r="M2724">
        <f>Inventory_Data[[#This Row],[Opening Stock]]+Inventory_Data[[#This Row],[Purchase Qty]]-Inventory_Data[[#This Row],[Sales Qty]]-Inventory_Data[[#This Row],[Closing Stock]]</f>
        <v>0</v>
      </c>
      <c r="N2724">
        <f>Inventory_Data[[#This Row],[Purchase Qty]]*Inventory_Data[[#This Row],[Unit Cost]]</f>
        <v>955400</v>
      </c>
      <c r="O2724" t="str">
        <f>IF(Inventory_Data[[#This Row],[Closing Stock]]&lt;=Inventory_Data[[#This Row],[Reorder Level]],"Low Stock","In Stock")</f>
        <v>In Stock</v>
      </c>
      <c r="P2724" t="str">
        <f>TEXT(Inventory_Data[[#This Row],[Date]],"MMM")</f>
        <v>Jul</v>
      </c>
      <c r="Q2724" t="str">
        <f>TEXT(Inventory_Data[[#This Row],[Date]],"YYYY")</f>
        <v>2026</v>
      </c>
    </row>
    <row r="2725" spans="1:17" x14ac:dyDescent="0.3">
      <c r="A2725" s="1">
        <v>46232</v>
      </c>
      <c r="B2725" t="s">
        <v>21</v>
      </c>
      <c r="C2725" t="s">
        <v>22</v>
      </c>
      <c r="D2725" t="s">
        <v>23</v>
      </c>
      <c r="E2725" t="s">
        <v>34</v>
      </c>
      <c r="F2725">
        <v>343</v>
      </c>
      <c r="G2725">
        <v>283</v>
      </c>
      <c r="H2725">
        <v>189</v>
      </c>
      <c r="I2725">
        <v>437</v>
      </c>
      <c r="J2725">
        <v>57</v>
      </c>
      <c r="K2725">
        <v>59</v>
      </c>
      <c r="L2725">
        <v>25783</v>
      </c>
      <c r="M2725">
        <f>Inventory_Data[[#This Row],[Opening Stock]]+Inventory_Data[[#This Row],[Purchase Qty]]-Inventory_Data[[#This Row],[Sales Qty]]-Inventory_Data[[#This Row],[Closing Stock]]</f>
        <v>0</v>
      </c>
      <c r="N2725">
        <f>Inventory_Data[[#This Row],[Purchase Qty]]*Inventory_Data[[#This Row],[Unit Cost]]</f>
        <v>16697</v>
      </c>
      <c r="O2725" t="str">
        <f>IF(Inventory_Data[[#This Row],[Closing Stock]]&lt;=Inventory_Data[[#This Row],[Reorder Level]],"Low Stock","In Stock")</f>
        <v>In Stock</v>
      </c>
      <c r="P2725" t="str">
        <f>TEXT(Inventory_Data[[#This Row],[Date]],"MMM")</f>
        <v>Jul</v>
      </c>
      <c r="Q2725" t="str">
        <f>TEXT(Inventory_Data[[#This Row],[Date]],"YYYY")</f>
        <v>2026</v>
      </c>
    </row>
    <row r="2726" spans="1:17" x14ac:dyDescent="0.3">
      <c r="A2726" s="1">
        <v>46232</v>
      </c>
      <c r="B2726" t="s">
        <v>16</v>
      </c>
      <c r="C2726" t="s">
        <v>17</v>
      </c>
      <c r="D2726" t="s">
        <v>14</v>
      </c>
      <c r="E2726" t="s">
        <v>20</v>
      </c>
      <c r="F2726">
        <v>31</v>
      </c>
      <c r="G2726">
        <v>10</v>
      </c>
      <c r="H2726">
        <v>22</v>
      </c>
      <c r="I2726">
        <v>19</v>
      </c>
      <c r="J2726">
        <v>24</v>
      </c>
      <c r="K2726">
        <v>17534</v>
      </c>
      <c r="L2726">
        <v>333146</v>
      </c>
      <c r="M2726">
        <f>Inventory_Data[[#This Row],[Opening Stock]]+Inventory_Data[[#This Row],[Purchase Qty]]-Inventory_Data[[#This Row],[Sales Qty]]-Inventory_Data[[#This Row],[Closing Stock]]</f>
        <v>0</v>
      </c>
      <c r="N2726">
        <f>Inventory_Data[[#This Row],[Purchase Qty]]*Inventory_Data[[#This Row],[Unit Cost]]</f>
        <v>175340</v>
      </c>
      <c r="O2726" t="str">
        <f>IF(Inventory_Data[[#This Row],[Closing Stock]]&lt;=Inventory_Data[[#This Row],[Reorder Level]],"Low Stock","In Stock")</f>
        <v>Low Stock</v>
      </c>
      <c r="P2726" t="str">
        <f>TEXT(Inventory_Data[[#This Row],[Date]],"MMM")</f>
        <v>Jul</v>
      </c>
      <c r="Q2726" t="str">
        <f>TEXT(Inventory_Data[[#This Row],[Date]],"YYYY")</f>
        <v>2026</v>
      </c>
    </row>
    <row r="2727" spans="1:17" x14ac:dyDescent="0.3">
      <c r="A2727" s="1">
        <v>46232</v>
      </c>
      <c r="B2727" t="s">
        <v>36</v>
      </c>
      <c r="C2727" t="s">
        <v>22</v>
      </c>
      <c r="D2727" t="s">
        <v>26</v>
      </c>
      <c r="E2727" t="s">
        <v>20</v>
      </c>
      <c r="F2727">
        <v>214</v>
      </c>
      <c r="G2727">
        <v>216</v>
      </c>
      <c r="H2727">
        <v>218</v>
      </c>
      <c r="I2727">
        <v>212</v>
      </c>
      <c r="J2727">
        <v>52</v>
      </c>
      <c r="K2727">
        <v>243</v>
      </c>
      <c r="L2727">
        <v>51516</v>
      </c>
      <c r="M2727">
        <f>Inventory_Data[[#This Row],[Opening Stock]]+Inventory_Data[[#This Row],[Purchase Qty]]-Inventory_Data[[#This Row],[Sales Qty]]-Inventory_Data[[#This Row],[Closing Stock]]</f>
        <v>0</v>
      </c>
      <c r="N2727">
        <f>Inventory_Data[[#This Row],[Purchase Qty]]*Inventory_Data[[#This Row],[Unit Cost]]</f>
        <v>52488</v>
      </c>
      <c r="O2727" t="str">
        <f>IF(Inventory_Data[[#This Row],[Closing Stock]]&lt;=Inventory_Data[[#This Row],[Reorder Level]],"Low Stock","In Stock")</f>
        <v>In Stock</v>
      </c>
      <c r="P2727" t="str">
        <f>TEXT(Inventory_Data[[#This Row],[Date]],"MMM")</f>
        <v>Jul</v>
      </c>
      <c r="Q2727" t="str">
        <f>TEXT(Inventory_Data[[#This Row],[Date]],"YYYY")</f>
        <v>2026</v>
      </c>
    </row>
    <row r="2728" spans="1:17" x14ac:dyDescent="0.3">
      <c r="A2728" s="1">
        <v>46233</v>
      </c>
      <c r="B2728" t="s">
        <v>16</v>
      </c>
      <c r="C2728" t="s">
        <v>17</v>
      </c>
      <c r="D2728" t="s">
        <v>23</v>
      </c>
      <c r="E2728" t="s">
        <v>29</v>
      </c>
      <c r="F2728">
        <v>39</v>
      </c>
      <c r="G2728">
        <v>13</v>
      </c>
      <c r="H2728">
        <v>33</v>
      </c>
      <c r="I2728">
        <v>19</v>
      </c>
      <c r="J2728">
        <v>11</v>
      </c>
      <c r="K2728">
        <v>14310</v>
      </c>
      <c r="L2728">
        <v>271890</v>
      </c>
      <c r="M2728">
        <f>Inventory_Data[[#This Row],[Opening Stock]]+Inventory_Data[[#This Row],[Purchase Qty]]-Inventory_Data[[#This Row],[Sales Qty]]-Inventory_Data[[#This Row],[Closing Stock]]</f>
        <v>0</v>
      </c>
      <c r="N2728">
        <f>Inventory_Data[[#This Row],[Purchase Qty]]*Inventory_Data[[#This Row],[Unit Cost]]</f>
        <v>186030</v>
      </c>
      <c r="O2728" t="str">
        <f>IF(Inventory_Data[[#This Row],[Closing Stock]]&lt;=Inventory_Data[[#This Row],[Reorder Level]],"Low Stock","In Stock")</f>
        <v>In Stock</v>
      </c>
      <c r="P2728" t="str">
        <f>TEXT(Inventory_Data[[#This Row],[Date]],"MMM")</f>
        <v>Jul</v>
      </c>
      <c r="Q2728" t="str">
        <f>TEXT(Inventory_Data[[#This Row],[Date]],"YYYY")</f>
        <v>2026</v>
      </c>
    </row>
    <row r="2729" spans="1:17" x14ac:dyDescent="0.3">
      <c r="A2729" s="1">
        <v>46233</v>
      </c>
      <c r="B2729" t="s">
        <v>12</v>
      </c>
      <c r="C2729" t="s">
        <v>13</v>
      </c>
      <c r="D2729" t="s">
        <v>23</v>
      </c>
      <c r="E2729" t="s">
        <v>29</v>
      </c>
      <c r="F2729">
        <v>16</v>
      </c>
      <c r="G2729">
        <v>46</v>
      </c>
      <c r="H2729">
        <v>20</v>
      </c>
      <c r="I2729">
        <v>42</v>
      </c>
      <c r="J2729">
        <v>25</v>
      </c>
      <c r="K2729">
        <v>6897</v>
      </c>
      <c r="L2729">
        <v>289674</v>
      </c>
      <c r="M2729">
        <f>Inventory_Data[[#This Row],[Opening Stock]]+Inventory_Data[[#This Row],[Purchase Qty]]-Inventory_Data[[#This Row],[Sales Qty]]-Inventory_Data[[#This Row],[Closing Stock]]</f>
        <v>0</v>
      </c>
      <c r="N2729">
        <f>Inventory_Data[[#This Row],[Purchase Qty]]*Inventory_Data[[#This Row],[Unit Cost]]</f>
        <v>317262</v>
      </c>
      <c r="O2729" t="str">
        <f>IF(Inventory_Data[[#This Row],[Closing Stock]]&lt;=Inventory_Data[[#This Row],[Reorder Level]],"Low Stock","In Stock")</f>
        <v>In Stock</v>
      </c>
      <c r="P2729" t="str">
        <f>TEXT(Inventory_Data[[#This Row],[Date]],"MMM")</f>
        <v>Jul</v>
      </c>
      <c r="Q2729" t="str">
        <f>TEXT(Inventory_Data[[#This Row],[Date]],"YYYY")</f>
        <v>2026</v>
      </c>
    </row>
    <row r="2730" spans="1:17" x14ac:dyDescent="0.3">
      <c r="A2730" s="1">
        <v>46233</v>
      </c>
      <c r="B2730" t="s">
        <v>27</v>
      </c>
      <c r="C2730" t="s">
        <v>28</v>
      </c>
      <c r="D2730" t="s">
        <v>14</v>
      </c>
      <c r="E2730" t="s">
        <v>15</v>
      </c>
      <c r="F2730">
        <v>130</v>
      </c>
      <c r="G2730">
        <v>75</v>
      </c>
      <c r="H2730">
        <v>63</v>
      </c>
      <c r="I2730">
        <v>142</v>
      </c>
      <c r="J2730">
        <v>54</v>
      </c>
      <c r="K2730">
        <v>31885</v>
      </c>
      <c r="L2730">
        <v>4527670</v>
      </c>
      <c r="M2730">
        <f>Inventory_Data[[#This Row],[Opening Stock]]+Inventory_Data[[#This Row],[Purchase Qty]]-Inventory_Data[[#This Row],[Sales Qty]]-Inventory_Data[[#This Row],[Closing Stock]]</f>
        <v>0</v>
      </c>
      <c r="N2730">
        <f>Inventory_Data[[#This Row],[Purchase Qty]]*Inventory_Data[[#This Row],[Unit Cost]]</f>
        <v>2391375</v>
      </c>
      <c r="O2730" t="str">
        <f>IF(Inventory_Data[[#This Row],[Closing Stock]]&lt;=Inventory_Data[[#This Row],[Reorder Level]],"Low Stock","In Stock")</f>
        <v>In Stock</v>
      </c>
      <c r="P2730" t="str">
        <f>TEXT(Inventory_Data[[#This Row],[Date]],"MMM")</f>
        <v>Jul</v>
      </c>
      <c r="Q2730" t="str">
        <f>TEXT(Inventory_Data[[#This Row],[Date]],"YYYY")</f>
        <v>2026</v>
      </c>
    </row>
    <row r="2731" spans="1:17" x14ac:dyDescent="0.3">
      <c r="A2731" s="1">
        <v>46233</v>
      </c>
      <c r="B2731" t="s">
        <v>43</v>
      </c>
      <c r="C2731" t="s">
        <v>22</v>
      </c>
      <c r="D2731" t="s">
        <v>37</v>
      </c>
      <c r="E2731" t="s">
        <v>24</v>
      </c>
      <c r="F2731">
        <v>398</v>
      </c>
      <c r="G2731">
        <v>211</v>
      </c>
      <c r="H2731">
        <v>134</v>
      </c>
      <c r="I2731">
        <v>475</v>
      </c>
      <c r="J2731">
        <v>100</v>
      </c>
      <c r="K2731">
        <v>1037</v>
      </c>
      <c r="L2731">
        <v>492575</v>
      </c>
      <c r="M2731">
        <f>Inventory_Data[[#This Row],[Opening Stock]]+Inventory_Data[[#This Row],[Purchase Qty]]-Inventory_Data[[#This Row],[Sales Qty]]-Inventory_Data[[#This Row],[Closing Stock]]</f>
        <v>0</v>
      </c>
      <c r="N2731">
        <f>Inventory_Data[[#This Row],[Purchase Qty]]*Inventory_Data[[#This Row],[Unit Cost]]</f>
        <v>218807</v>
      </c>
      <c r="O2731" t="str">
        <f>IF(Inventory_Data[[#This Row],[Closing Stock]]&lt;=Inventory_Data[[#This Row],[Reorder Level]],"Low Stock","In Stock")</f>
        <v>In Stock</v>
      </c>
      <c r="P2731" t="str">
        <f>TEXT(Inventory_Data[[#This Row],[Date]],"MMM")</f>
        <v>Jul</v>
      </c>
      <c r="Q2731" t="str">
        <f>TEXT(Inventory_Data[[#This Row],[Date]],"YYYY")</f>
        <v>2026</v>
      </c>
    </row>
    <row r="2732" spans="1:17" x14ac:dyDescent="0.3">
      <c r="A2732" s="1">
        <v>46233</v>
      </c>
      <c r="B2732" t="s">
        <v>36</v>
      </c>
      <c r="C2732" t="s">
        <v>22</v>
      </c>
      <c r="D2732" t="s">
        <v>14</v>
      </c>
      <c r="E2732" t="s">
        <v>18</v>
      </c>
      <c r="F2732">
        <v>374</v>
      </c>
      <c r="G2732">
        <v>205</v>
      </c>
      <c r="H2732">
        <v>125</v>
      </c>
      <c r="I2732">
        <v>454</v>
      </c>
      <c r="J2732">
        <v>80</v>
      </c>
      <c r="K2732">
        <v>852</v>
      </c>
      <c r="L2732">
        <v>386808</v>
      </c>
      <c r="M2732">
        <f>Inventory_Data[[#This Row],[Opening Stock]]+Inventory_Data[[#This Row],[Purchase Qty]]-Inventory_Data[[#This Row],[Sales Qty]]-Inventory_Data[[#This Row],[Closing Stock]]</f>
        <v>0</v>
      </c>
      <c r="N2732">
        <f>Inventory_Data[[#This Row],[Purchase Qty]]*Inventory_Data[[#This Row],[Unit Cost]]</f>
        <v>174660</v>
      </c>
      <c r="O2732" t="str">
        <f>IF(Inventory_Data[[#This Row],[Closing Stock]]&lt;=Inventory_Data[[#This Row],[Reorder Level]],"Low Stock","In Stock")</f>
        <v>In Stock</v>
      </c>
      <c r="P2732" t="str">
        <f>TEXT(Inventory_Data[[#This Row],[Date]],"MMM")</f>
        <v>Jul</v>
      </c>
      <c r="Q2732" t="str">
        <f>TEXT(Inventory_Data[[#This Row],[Date]],"YYYY")</f>
        <v>2026</v>
      </c>
    </row>
    <row r="2733" spans="1:17" x14ac:dyDescent="0.3">
      <c r="A2733" s="1">
        <v>46233</v>
      </c>
      <c r="B2733" t="s">
        <v>25</v>
      </c>
      <c r="C2733" t="s">
        <v>17</v>
      </c>
      <c r="D2733" t="s">
        <v>14</v>
      </c>
      <c r="E2733" t="s">
        <v>18</v>
      </c>
      <c r="F2733">
        <v>29</v>
      </c>
      <c r="G2733">
        <v>20</v>
      </c>
      <c r="H2733">
        <v>18</v>
      </c>
      <c r="I2733">
        <v>31</v>
      </c>
      <c r="J2733">
        <v>28</v>
      </c>
      <c r="K2733">
        <v>19115</v>
      </c>
      <c r="L2733">
        <v>592565</v>
      </c>
      <c r="M2733">
        <f>Inventory_Data[[#This Row],[Opening Stock]]+Inventory_Data[[#This Row],[Purchase Qty]]-Inventory_Data[[#This Row],[Sales Qty]]-Inventory_Data[[#This Row],[Closing Stock]]</f>
        <v>0</v>
      </c>
      <c r="N2733">
        <f>Inventory_Data[[#This Row],[Purchase Qty]]*Inventory_Data[[#This Row],[Unit Cost]]</f>
        <v>382300</v>
      </c>
      <c r="O2733" t="str">
        <f>IF(Inventory_Data[[#This Row],[Closing Stock]]&lt;=Inventory_Data[[#This Row],[Reorder Level]],"Low Stock","In Stock")</f>
        <v>In Stock</v>
      </c>
      <c r="P2733" t="str">
        <f>TEXT(Inventory_Data[[#This Row],[Date]],"MMM")</f>
        <v>Jul</v>
      </c>
      <c r="Q2733" t="str">
        <f>TEXT(Inventory_Data[[#This Row],[Date]],"YYYY")</f>
        <v>2026</v>
      </c>
    </row>
    <row r="2734" spans="1:17" x14ac:dyDescent="0.3">
      <c r="A2734" s="1">
        <v>46233</v>
      </c>
      <c r="B2734" t="s">
        <v>43</v>
      </c>
      <c r="C2734" t="s">
        <v>22</v>
      </c>
      <c r="D2734" t="s">
        <v>26</v>
      </c>
      <c r="E2734" t="s">
        <v>15</v>
      </c>
      <c r="F2734">
        <v>338</v>
      </c>
      <c r="G2734">
        <v>110</v>
      </c>
      <c r="H2734">
        <v>206</v>
      </c>
      <c r="I2734">
        <v>242</v>
      </c>
      <c r="J2734">
        <v>118</v>
      </c>
      <c r="K2734">
        <v>401</v>
      </c>
      <c r="L2734">
        <v>97042</v>
      </c>
      <c r="M2734">
        <f>Inventory_Data[[#This Row],[Opening Stock]]+Inventory_Data[[#This Row],[Purchase Qty]]-Inventory_Data[[#This Row],[Sales Qty]]-Inventory_Data[[#This Row],[Closing Stock]]</f>
        <v>0</v>
      </c>
      <c r="N2734">
        <f>Inventory_Data[[#This Row],[Purchase Qty]]*Inventory_Data[[#This Row],[Unit Cost]]</f>
        <v>44110</v>
      </c>
      <c r="O2734" t="str">
        <f>IF(Inventory_Data[[#This Row],[Closing Stock]]&lt;=Inventory_Data[[#This Row],[Reorder Level]],"Low Stock","In Stock")</f>
        <v>In Stock</v>
      </c>
      <c r="P2734" t="str">
        <f>TEXT(Inventory_Data[[#This Row],[Date]],"MMM")</f>
        <v>Jul</v>
      </c>
      <c r="Q2734" t="str">
        <f>TEXT(Inventory_Data[[#This Row],[Date]],"YYYY")</f>
        <v>2026</v>
      </c>
    </row>
    <row r="2735" spans="1:17" x14ac:dyDescent="0.3">
      <c r="A2735" s="1">
        <v>46233</v>
      </c>
      <c r="B2735" t="s">
        <v>43</v>
      </c>
      <c r="C2735" t="s">
        <v>22</v>
      </c>
      <c r="D2735" t="s">
        <v>23</v>
      </c>
      <c r="E2735" t="s">
        <v>18</v>
      </c>
      <c r="F2735">
        <v>396</v>
      </c>
      <c r="G2735">
        <v>298</v>
      </c>
      <c r="H2735">
        <v>193</v>
      </c>
      <c r="I2735">
        <v>501</v>
      </c>
      <c r="J2735">
        <v>90</v>
      </c>
      <c r="K2735">
        <v>287</v>
      </c>
      <c r="L2735">
        <v>143787</v>
      </c>
      <c r="M2735">
        <f>Inventory_Data[[#This Row],[Opening Stock]]+Inventory_Data[[#This Row],[Purchase Qty]]-Inventory_Data[[#This Row],[Sales Qty]]-Inventory_Data[[#This Row],[Closing Stock]]</f>
        <v>0</v>
      </c>
      <c r="N2735">
        <f>Inventory_Data[[#This Row],[Purchase Qty]]*Inventory_Data[[#This Row],[Unit Cost]]</f>
        <v>85526</v>
      </c>
      <c r="O2735" t="str">
        <f>IF(Inventory_Data[[#This Row],[Closing Stock]]&lt;=Inventory_Data[[#This Row],[Reorder Level]],"Low Stock","In Stock")</f>
        <v>In Stock</v>
      </c>
      <c r="P2735" t="str">
        <f>TEXT(Inventory_Data[[#This Row],[Date]],"MMM")</f>
        <v>Jul</v>
      </c>
      <c r="Q2735" t="str">
        <f>TEXT(Inventory_Data[[#This Row],[Date]],"YYYY")</f>
        <v>2026</v>
      </c>
    </row>
    <row r="2736" spans="1:17" x14ac:dyDescent="0.3">
      <c r="A2736" s="1">
        <v>46233</v>
      </c>
      <c r="B2736" t="s">
        <v>39</v>
      </c>
      <c r="C2736" t="s">
        <v>28</v>
      </c>
      <c r="D2736" t="s">
        <v>37</v>
      </c>
      <c r="E2736" t="s">
        <v>29</v>
      </c>
      <c r="F2736">
        <v>84</v>
      </c>
      <c r="G2736">
        <v>23</v>
      </c>
      <c r="H2736">
        <v>29</v>
      </c>
      <c r="I2736">
        <v>78</v>
      </c>
      <c r="J2736">
        <v>55</v>
      </c>
      <c r="K2736">
        <v>23299</v>
      </c>
      <c r="L2736">
        <v>1817322</v>
      </c>
      <c r="M2736">
        <f>Inventory_Data[[#This Row],[Opening Stock]]+Inventory_Data[[#This Row],[Purchase Qty]]-Inventory_Data[[#This Row],[Sales Qty]]-Inventory_Data[[#This Row],[Closing Stock]]</f>
        <v>0</v>
      </c>
      <c r="N2736">
        <f>Inventory_Data[[#This Row],[Purchase Qty]]*Inventory_Data[[#This Row],[Unit Cost]]</f>
        <v>535877</v>
      </c>
      <c r="O2736" t="str">
        <f>IF(Inventory_Data[[#This Row],[Closing Stock]]&lt;=Inventory_Data[[#This Row],[Reorder Level]],"Low Stock","In Stock")</f>
        <v>In Stock</v>
      </c>
      <c r="P2736" t="str">
        <f>TEXT(Inventory_Data[[#This Row],[Date]],"MMM")</f>
        <v>Jul</v>
      </c>
      <c r="Q2736" t="str">
        <f>TEXT(Inventory_Data[[#This Row],[Date]],"YYYY")</f>
        <v>2026</v>
      </c>
    </row>
    <row r="2737" spans="1:17" x14ac:dyDescent="0.3">
      <c r="A2737" s="1">
        <v>46234</v>
      </c>
      <c r="B2737" t="s">
        <v>21</v>
      </c>
      <c r="C2737" t="s">
        <v>22</v>
      </c>
      <c r="D2737" t="s">
        <v>14</v>
      </c>
      <c r="E2737" t="s">
        <v>18</v>
      </c>
      <c r="F2737">
        <v>118</v>
      </c>
      <c r="G2737">
        <v>38</v>
      </c>
      <c r="H2737">
        <v>156</v>
      </c>
      <c r="I2737">
        <v>0</v>
      </c>
      <c r="J2737">
        <v>77</v>
      </c>
      <c r="K2737">
        <v>729</v>
      </c>
      <c r="L2737">
        <v>0</v>
      </c>
      <c r="M2737">
        <f>Inventory_Data[[#This Row],[Opening Stock]]+Inventory_Data[[#This Row],[Purchase Qty]]-Inventory_Data[[#This Row],[Sales Qty]]-Inventory_Data[[#This Row],[Closing Stock]]</f>
        <v>0</v>
      </c>
      <c r="N2737">
        <f>Inventory_Data[[#This Row],[Purchase Qty]]*Inventory_Data[[#This Row],[Unit Cost]]</f>
        <v>27702</v>
      </c>
      <c r="O2737" t="str">
        <f>IF(Inventory_Data[[#This Row],[Closing Stock]]&lt;=Inventory_Data[[#This Row],[Reorder Level]],"Low Stock","In Stock")</f>
        <v>Low Stock</v>
      </c>
      <c r="P2737" t="str">
        <f>TEXT(Inventory_Data[[#This Row],[Date]],"MMM")</f>
        <v>Jul</v>
      </c>
      <c r="Q2737" t="str">
        <f>TEXT(Inventory_Data[[#This Row],[Date]],"YYYY")</f>
        <v>2026</v>
      </c>
    </row>
    <row r="2738" spans="1:17" x14ac:dyDescent="0.3">
      <c r="A2738" s="1">
        <v>46234</v>
      </c>
      <c r="B2738" t="s">
        <v>19</v>
      </c>
      <c r="C2738" t="s">
        <v>13</v>
      </c>
      <c r="D2738" t="s">
        <v>37</v>
      </c>
      <c r="E2738" t="s">
        <v>15</v>
      </c>
      <c r="F2738">
        <v>79</v>
      </c>
      <c r="G2738">
        <v>5</v>
      </c>
      <c r="H2738">
        <v>55</v>
      </c>
      <c r="I2738">
        <v>29</v>
      </c>
      <c r="J2738">
        <v>23</v>
      </c>
      <c r="K2738">
        <v>13736</v>
      </c>
      <c r="L2738">
        <v>398344</v>
      </c>
      <c r="M2738">
        <f>Inventory_Data[[#This Row],[Opening Stock]]+Inventory_Data[[#This Row],[Purchase Qty]]-Inventory_Data[[#This Row],[Sales Qty]]-Inventory_Data[[#This Row],[Closing Stock]]</f>
        <v>0</v>
      </c>
      <c r="N2738">
        <f>Inventory_Data[[#This Row],[Purchase Qty]]*Inventory_Data[[#This Row],[Unit Cost]]</f>
        <v>68680</v>
      </c>
      <c r="O2738" t="str">
        <f>IF(Inventory_Data[[#This Row],[Closing Stock]]&lt;=Inventory_Data[[#This Row],[Reorder Level]],"Low Stock","In Stock")</f>
        <v>In Stock</v>
      </c>
      <c r="P2738" t="str">
        <f>TEXT(Inventory_Data[[#This Row],[Date]],"MMM")</f>
        <v>Jul</v>
      </c>
      <c r="Q2738" t="str">
        <f>TEXT(Inventory_Data[[#This Row],[Date]],"YYYY")</f>
        <v>2026</v>
      </c>
    </row>
    <row r="2739" spans="1:17" x14ac:dyDescent="0.3">
      <c r="A2739" s="1">
        <v>46234</v>
      </c>
      <c r="B2739" t="s">
        <v>44</v>
      </c>
      <c r="C2739" t="s">
        <v>28</v>
      </c>
      <c r="D2739" t="s">
        <v>23</v>
      </c>
      <c r="E2739" t="s">
        <v>24</v>
      </c>
      <c r="F2739">
        <v>144</v>
      </c>
      <c r="G2739">
        <v>16</v>
      </c>
      <c r="H2739">
        <v>70</v>
      </c>
      <c r="I2739">
        <v>90</v>
      </c>
      <c r="J2739">
        <v>27</v>
      </c>
      <c r="K2739">
        <v>43950</v>
      </c>
      <c r="L2739">
        <v>3955500</v>
      </c>
      <c r="M2739">
        <f>Inventory_Data[[#This Row],[Opening Stock]]+Inventory_Data[[#This Row],[Purchase Qty]]-Inventory_Data[[#This Row],[Sales Qty]]-Inventory_Data[[#This Row],[Closing Stock]]</f>
        <v>0</v>
      </c>
      <c r="N2739">
        <f>Inventory_Data[[#This Row],[Purchase Qty]]*Inventory_Data[[#This Row],[Unit Cost]]</f>
        <v>703200</v>
      </c>
      <c r="O2739" t="str">
        <f>IF(Inventory_Data[[#This Row],[Closing Stock]]&lt;=Inventory_Data[[#This Row],[Reorder Level]],"Low Stock","In Stock")</f>
        <v>In Stock</v>
      </c>
      <c r="P2739" t="str">
        <f>TEXT(Inventory_Data[[#This Row],[Date]],"MMM")</f>
        <v>Jul</v>
      </c>
      <c r="Q2739" t="str">
        <f>TEXT(Inventory_Data[[#This Row],[Date]],"YYYY")</f>
        <v>2026</v>
      </c>
    </row>
    <row r="2740" spans="1:17" x14ac:dyDescent="0.3">
      <c r="A2740" s="1">
        <v>46234</v>
      </c>
      <c r="B2740" t="s">
        <v>43</v>
      </c>
      <c r="C2740" t="s">
        <v>22</v>
      </c>
      <c r="D2740" t="s">
        <v>26</v>
      </c>
      <c r="E2740" t="s">
        <v>24</v>
      </c>
      <c r="F2740">
        <v>374</v>
      </c>
      <c r="G2740">
        <v>157</v>
      </c>
      <c r="H2740">
        <v>31</v>
      </c>
      <c r="I2740">
        <v>500</v>
      </c>
      <c r="J2740">
        <v>102</v>
      </c>
      <c r="K2740">
        <v>638</v>
      </c>
      <c r="L2740">
        <v>319000</v>
      </c>
      <c r="M2740">
        <f>Inventory_Data[[#This Row],[Opening Stock]]+Inventory_Data[[#This Row],[Purchase Qty]]-Inventory_Data[[#This Row],[Sales Qty]]-Inventory_Data[[#This Row],[Closing Stock]]</f>
        <v>0</v>
      </c>
      <c r="N2740">
        <f>Inventory_Data[[#This Row],[Purchase Qty]]*Inventory_Data[[#This Row],[Unit Cost]]</f>
        <v>100166</v>
      </c>
      <c r="O2740" t="str">
        <f>IF(Inventory_Data[[#This Row],[Closing Stock]]&lt;=Inventory_Data[[#This Row],[Reorder Level]],"Low Stock","In Stock")</f>
        <v>In Stock</v>
      </c>
      <c r="P2740" t="str">
        <f>TEXT(Inventory_Data[[#This Row],[Date]],"MMM")</f>
        <v>Jul</v>
      </c>
      <c r="Q2740" t="str">
        <f>TEXT(Inventory_Data[[#This Row],[Date]],"YYYY")</f>
        <v>2026</v>
      </c>
    </row>
    <row r="2741" spans="1:17" x14ac:dyDescent="0.3">
      <c r="A2741" s="1">
        <v>46234</v>
      </c>
      <c r="B2741" t="s">
        <v>36</v>
      </c>
      <c r="C2741" t="s">
        <v>22</v>
      </c>
      <c r="D2741" t="s">
        <v>14</v>
      </c>
      <c r="E2741" t="s">
        <v>20</v>
      </c>
      <c r="F2741">
        <v>183</v>
      </c>
      <c r="G2741">
        <v>228</v>
      </c>
      <c r="H2741">
        <v>164</v>
      </c>
      <c r="I2741">
        <v>247</v>
      </c>
      <c r="J2741">
        <v>101</v>
      </c>
      <c r="K2741">
        <v>98</v>
      </c>
      <c r="L2741">
        <v>24206</v>
      </c>
      <c r="M2741">
        <f>Inventory_Data[[#This Row],[Opening Stock]]+Inventory_Data[[#This Row],[Purchase Qty]]-Inventory_Data[[#This Row],[Sales Qty]]-Inventory_Data[[#This Row],[Closing Stock]]</f>
        <v>0</v>
      </c>
      <c r="N2741">
        <f>Inventory_Data[[#This Row],[Purchase Qty]]*Inventory_Data[[#This Row],[Unit Cost]]</f>
        <v>22344</v>
      </c>
      <c r="O2741" t="str">
        <f>IF(Inventory_Data[[#This Row],[Closing Stock]]&lt;=Inventory_Data[[#This Row],[Reorder Level]],"Low Stock","In Stock")</f>
        <v>In Stock</v>
      </c>
      <c r="P2741" t="str">
        <f>TEXT(Inventory_Data[[#This Row],[Date]],"MMM")</f>
        <v>Jul</v>
      </c>
      <c r="Q2741" t="str">
        <f>TEXT(Inventory_Data[[#This Row],[Date]],"YYYY")</f>
        <v>2026</v>
      </c>
    </row>
    <row r="2742" spans="1:17" x14ac:dyDescent="0.3">
      <c r="A2742" s="1">
        <v>46235</v>
      </c>
      <c r="B2742" t="s">
        <v>12</v>
      </c>
      <c r="C2742" t="s">
        <v>13</v>
      </c>
      <c r="D2742" t="s">
        <v>23</v>
      </c>
      <c r="E2742" t="s">
        <v>20</v>
      </c>
      <c r="F2742">
        <v>89</v>
      </c>
      <c r="G2742">
        <v>55</v>
      </c>
      <c r="H2742">
        <v>41</v>
      </c>
      <c r="I2742">
        <v>103</v>
      </c>
      <c r="J2742">
        <v>16</v>
      </c>
      <c r="K2742">
        <v>16481</v>
      </c>
      <c r="L2742">
        <v>1697543</v>
      </c>
      <c r="M2742">
        <f>Inventory_Data[[#This Row],[Opening Stock]]+Inventory_Data[[#This Row],[Purchase Qty]]-Inventory_Data[[#This Row],[Sales Qty]]-Inventory_Data[[#This Row],[Closing Stock]]</f>
        <v>0</v>
      </c>
      <c r="N2742">
        <f>Inventory_Data[[#This Row],[Purchase Qty]]*Inventory_Data[[#This Row],[Unit Cost]]</f>
        <v>906455</v>
      </c>
      <c r="O2742" t="str">
        <f>IF(Inventory_Data[[#This Row],[Closing Stock]]&lt;=Inventory_Data[[#This Row],[Reorder Level]],"Low Stock","In Stock")</f>
        <v>In Stock</v>
      </c>
      <c r="P2742" t="str">
        <f>TEXT(Inventory_Data[[#This Row],[Date]],"MMM")</f>
        <v>Aug</v>
      </c>
      <c r="Q2742" t="str">
        <f>TEXT(Inventory_Data[[#This Row],[Date]],"YYYY")</f>
        <v>2026</v>
      </c>
    </row>
    <row r="2743" spans="1:17" x14ac:dyDescent="0.3">
      <c r="A2743" s="1">
        <v>46235</v>
      </c>
      <c r="B2743" t="s">
        <v>16</v>
      </c>
      <c r="C2743" t="s">
        <v>17</v>
      </c>
      <c r="D2743" t="s">
        <v>14</v>
      </c>
      <c r="E2743" t="s">
        <v>20</v>
      </c>
      <c r="F2743">
        <v>39</v>
      </c>
      <c r="G2743">
        <v>51</v>
      </c>
      <c r="H2743">
        <v>21</v>
      </c>
      <c r="I2743">
        <v>69</v>
      </c>
      <c r="J2743">
        <v>27</v>
      </c>
      <c r="K2743">
        <v>8343</v>
      </c>
      <c r="L2743">
        <v>575667</v>
      </c>
      <c r="M2743">
        <f>Inventory_Data[[#This Row],[Opening Stock]]+Inventory_Data[[#This Row],[Purchase Qty]]-Inventory_Data[[#This Row],[Sales Qty]]-Inventory_Data[[#This Row],[Closing Stock]]</f>
        <v>0</v>
      </c>
      <c r="N2743">
        <f>Inventory_Data[[#This Row],[Purchase Qty]]*Inventory_Data[[#This Row],[Unit Cost]]</f>
        <v>425493</v>
      </c>
      <c r="O2743" t="str">
        <f>IF(Inventory_Data[[#This Row],[Closing Stock]]&lt;=Inventory_Data[[#This Row],[Reorder Level]],"Low Stock","In Stock")</f>
        <v>In Stock</v>
      </c>
      <c r="P2743" t="str">
        <f>TEXT(Inventory_Data[[#This Row],[Date]],"MMM")</f>
        <v>Aug</v>
      </c>
      <c r="Q2743" t="str">
        <f>TEXT(Inventory_Data[[#This Row],[Date]],"YYYY")</f>
        <v>2026</v>
      </c>
    </row>
    <row r="2744" spans="1:17" x14ac:dyDescent="0.3">
      <c r="A2744" s="1">
        <v>46235</v>
      </c>
      <c r="B2744" t="s">
        <v>27</v>
      </c>
      <c r="C2744" t="s">
        <v>28</v>
      </c>
      <c r="D2744" t="s">
        <v>14</v>
      </c>
      <c r="E2744" t="s">
        <v>34</v>
      </c>
      <c r="F2744">
        <v>27</v>
      </c>
      <c r="G2744">
        <v>106</v>
      </c>
      <c r="H2744">
        <v>42</v>
      </c>
      <c r="I2744">
        <v>91</v>
      </c>
      <c r="J2744">
        <v>47</v>
      </c>
      <c r="K2744">
        <v>1802</v>
      </c>
      <c r="L2744">
        <v>163982</v>
      </c>
      <c r="M2744">
        <f>Inventory_Data[[#This Row],[Opening Stock]]+Inventory_Data[[#This Row],[Purchase Qty]]-Inventory_Data[[#This Row],[Sales Qty]]-Inventory_Data[[#This Row],[Closing Stock]]</f>
        <v>0</v>
      </c>
      <c r="N2744">
        <f>Inventory_Data[[#This Row],[Purchase Qty]]*Inventory_Data[[#This Row],[Unit Cost]]</f>
        <v>191012</v>
      </c>
      <c r="O2744" t="str">
        <f>IF(Inventory_Data[[#This Row],[Closing Stock]]&lt;=Inventory_Data[[#This Row],[Reorder Level]],"Low Stock","In Stock")</f>
        <v>In Stock</v>
      </c>
      <c r="P2744" t="str">
        <f>TEXT(Inventory_Data[[#This Row],[Date]],"MMM")</f>
        <v>Aug</v>
      </c>
      <c r="Q2744" t="str">
        <f>TEXT(Inventory_Data[[#This Row],[Date]],"YYYY")</f>
        <v>2026</v>
      </c>
    </row>
    <row r="2745" spans="1:17" x14ac:dyDescent="0.3">
      <c r="A2745" s="1">
        <v>46235</v>
      </c>
      <c r="B2745" t="s">
        <v>35</v>
      </c>
      <c r="C2745" t="s">
        <v>22</v>
      </c>
      <c r="D2745" t="s">
        <v>14</v>
      </c>
      <c r="E2745" t="s">
        <v>24</v>
      </c>
      <c r="F2745">
        <v>396</v>
      </c>
      <c r="G2745">
        <v>159</v>
      </c>
      <c r="H2745">
        <v>215</v>
      </c>
      <c r="I2745">
        <v>340</v>
      </c>
      <c r="J2745">
        <v>74</v>
      </c>
      <c r="K2745">
        <v>285</v>
      </c>
      <c r="L2745">
        <v>96900</v>
      </c>
      <c r="M2745">
        <f>Inventory_Data[[#This Row],[Opening Stock]]+Inventory_Data[[#This Row],[Purchase Qty]]-Inventory_Data[[#This Row],[Sales Qty]]-Inventory_Data[[#This Row],[Closing Stock]]</f>
        <v>0</v>
      </c>
      <c r="N2745">
        <f>Inventory_Data[[#This Row],[Purchase Qty]]*Inventory_Data[[#This Row],[Unit Cost]]</f>
        <v>45315</v>
      </c>
      <c r="O2745" t="str">
        <f>IF(Inventory_Data[[#This Row],[Closing Stock]]&lt;=Inventory_Data[[#This Row],[Reorder Level]],"Low Stock","In Stock")</f>
        <v>In Stock</v>
      </c>
      <c r="P2745" t="str">
        <f>TEXT(Inventory_Data[[#This Row],[Date]],"MMM")</f>
        <v>Aug</v>
      </c>
      <c r="Q2745" t="str">
        <f>TEXT(Inventory_Data[[#This Row],[Date]],"YYYY")</f>
        <v>2026</v>
      </c>
    </row>
    <row r="2746" spans="1:17" x14ac:dyDescent="0.3">
      <c r="A2746" s="1">
        <v>46235</v>
      </c>
      <c r="B2746" t="s">
        <v>16</v>
      </c>
      <c r="C2746" t="s">
        <v>17</v>
      </c>
      <c r="D2746" t="s">
        <v>14</v>
      </c>
      <c r="E2746" t="s">
        <v>34</v>
      </c>
      <c r="F2746">
        <v>49</v>
      </c>
      <c r="G2746">
        <v>10</v>
      </c>
      <c r="H2746">
        <v>19</v>
      </c>
      <c r="I2746">
        <v>40</v>
      </c>
      <c r="J2746">
        <v>23</v>
      </c>
      <c r="K2746">
        <v>1736</v>
      </c>
      <c r="L2746">
        <v>69440</v>
      </c>
      <c r="M2746">
        <f>Inventory_Data[[#This Row],[Opening Stock]]+Inventory_Data[[#This Row],[Purchase Qty]]-Inventory_Data[[#This Row],[Sales Qty]]-Inventory_Data[[#This Row],[Closing Stock]]</f>
        <v>0</v>
      </c>
      <c r="N2746">
        <f>Inventory_Data[[#This Row],[Purchase Qty]]*Inventory_Data[[#This Row],[Unit Cost]]</f>
        <v>17360</v>
      </c>
      <c r="O2746" t="str">
        <f>IF(Inventory_Data[[#This Row],[Closing Stock]]&lt;=Inventory_Data[[#This Row],[Reorder Level]],"Low Stock","In Stock")</f>
        <v>In Stock</v>
      </c>
      <c r="P2746" t="str">
        <f>TEXT(Inventory_Data[[#This Row],[Date]],"MMM")</f>
        <v>Aug</v>
      </c>
      <c r="Q2746" t="str">
        <f>TEXT(Inventory_Data[[#This Row],[Date]],"YYYY")</f>
        <v>2026</v>
      </c>
    </row>
    <row r="2747" spans="1:17" x14ac:dyDescent="0.3">
      <c r="A2747" s="1">
        <v>46235</v>
      </c>
      <c r="B2747" t="s">
        <v>41</v>
      </c>
      <c r="C2747" t="s">
        <v>22</v>
      </c>
      <c r="D2747" t="s">
        <v>26</v>
      </c>
      <c r="E2747" t="s">
        <v>20</v>
      </c>
      <c r="F2747">
        <v>283</v>
      </c>
      <c r="G2747">
        <v>116</v>
      </c>
      <c r="H2747">
        <v>88</v>
      </c>
      <c r="I2747">
        <v>311</v>
      </c>
      <c r="J2747">
        <v>130</v>
      </c>
      <c r="K2747">
        <v>810</v>
      </c>
      <c r="L2747">
        <v>251910</v>
      </c>
      <c r="M2747">
        <f>Inventory_Data[[#This Row],[Opening Stock]]+Inventory_Data[[#This Row],[Purchase Qty]]-Inventory_Data[[#This Row],[Sales Qty]]-Inventory_Data[[#This Row],[Closing Stock]]</f>
        <v>0</v>
      </c>
      <c r="N2747">
        <f>Inventory_Data[[#This Row],[Purchase Qty]]*Inventory_Data[[#This Row],[Unit Cost]]</f>
        <v>93960</v>
      </c>
      <c r="O2747" t="str">
        <f>IF(Inventory_Data[[#This Row],[Closing Stock]]&lt;=Inventory_Data[[#This Row],[Reorder Level]],"Low Stock","In Stock")</f>
        <v>In Stock</v>
      </c>
      <c r="P2747" t="str">
        <f>TEXT(Inventory_Data[[#This Row],[Date]],"MMM")</f>
        <v>Aug</v>
      </c>
      <c r="Q2747" t="str">
        <f>TEXT(Inventory_Data[[#This Row],[Date]],"YYYY")</f>
        <v>2026</v>
      </c>
    </row>
    <row r="2748" spans="1:17" x14ac:dyDescent="0.3">
      <c r="A2748" s="1">
        <v>46235</v>
      </c>
      <c r="B2748" t="s">
        <v>39</v>
      </c>
      <c r="C2748" t="s">
        <v>28</v>
      </c>
      <c r="D2748" t="s">
        <v>14</v>
      </c>
      <c r="E2748" t="s">
        <v>34</v>
      </c>
      <c r="F2748">
        <v>144</v>
      </c>
      <c r="G2748">
        <v>72</v>
      </c>
      <c r="H2748">
        <v>91</v>
      </c>
      <c r="I2748">
        <v>125</v>
      </c>
      <c r="J2748">
        <v>41</v>
      </c>
      <c r="K2748">
        <v>55624</v>
      </c>
      <c r="L2748">
        <v>6953000</v>
      </c>
      <c r="M2748">
        <f>Inventory_Data[[#This Row],[Opening Stock]]+Inventory_Data[[#This Row],[Purchase Qty]]-Inventory_Data[[#This Row],[Sales Qty]]-Inventory_Data[[#This Row],[Closing Stock]]</f>
        <v>0</v>
      </c>
      <c r="N2748">
        <f>Inventory_Data[[#This Row],[Purchase Qty]]*Inventory_Data[[#This Row],[Unit Cost]]</f>
        <v>4004928</v>
      </c>
      <c r="O2748" t="str">
        <f>IF(Inventory_Data[[#This Row],[Closing Stock]]&lt;=Inventory_Data[[#This Row],[Reorder Level]],"Low Stock","In Stock")</f>
        <v>In Stock</v>
      </c>
      <c r="P2748" t="str">
        <f>TEXT(Inventory_Data[[#This Row],[Date]],"MMM")</f>
        <v>Aug</v>
      </c>
      <c r="Q2748" t="str">
        <f>TEXT(Inventory_Data[[#This Row],[Date]],"YYYY")</f>
        <v>2026</v>
      </c>
    </row>
    <row r="2749" spans="1:17" x14ac:dyDescent="0.3">
      <c r="A2749" s="1">
        <v>46236</v>
      </c>
      <c r="B2749" t="s">
        <v>25</v>
      </c>
      <c r="C2749" t="s">
        <v>17</v>
      </c>
      <c r="D2749" t="s">
        <v>14</v>
      </c>
      <c r="E2749" t="s">
        <v>15</v>
      </c>
      <c r="F2749">
        <v>99</v>
      </c>
      <c r="G2749">
        <v>8</v>
      </c>
      <c r="H2749">
        <v>43</v>
      </c>
      <c r="I2749">
        <v>64</v>
      </c>
      <c r="J2749">
        <v>24</v>
      </c>
      <c r="K2749">
        <v>2751</v>
      </c>
      <c r="L2749">
        <v>176064</v>
      </c>
      <c r="M2749">
        <f>Inventory_Data[[#This Row],[Opening Stock]]+Inventory_Data[[#This Row],[Purchase Qty]]-Inventory_Data[[#This Row],[Sales Qty]]-Inventory_Data[[#This Row],[Closing Stock]]</f>
        <v>0</v>
      </c>
      <c r="N2749">
        <f>Inventory_Data[[#This Row],[Purchase Qty]]*Inventory_Data[[#This Row],[Unit Cost]]</f>
        <v>22008</v>
      </c>
      <c r="O2749" t="str">
        <f>IF(Inventory_Data[[#This Row],[Closing Stock]]&lt;=Inventory_Data[[#This Row],[Reorder Level]],"Low Stock","In Stock")</f>
        <v>In Stock</v>
      </c>
      <c r="P2749" t="str">
        <f>TEXT(Inventory_Data[[#This Row],[Date]],"MMM")</f>
        <v>Aug</v>
      </c>
      <c r="Q2749" t="str">
        <f>TEXT(Inventory_Data[[#This Row],[Date]],"YYYY")</f>
        <v>2026</v>
      </c>
    </row>
    <row r="2750" spans="1:17" x14ac:dyDescent="0.3">
      <c r="A2750" s="1">
        <v>46236</v>
      </c>
      <c r="B2750" t="s">
        <v>21</v>
      </c>
      <c r="C2750" t="s">
        <v>22</v>
      </c>
      <c r="D2750" t="s">
        <v>14</v>
      </c>
      <c r="E2750" t="s">
        <v>34</v>
      </c>
      <c r="F2750">
        <v>299</v>
      </c>
      <c r="G2750">
        <v>147</v>
      </c>
      <c r="H2750">
        <v>82</v>
      </c>
      <c r="I2750">
        <v>364</v>
      </c>
      <c r="J2750">
        <v>113</v>
      </c>
      <c r="K2750">
        <v>935</v>
      </c>
      <c r="L2750">
        <v>340340</v>
      </c>
      <c r="M2750">
        <f>Inventory_Data[[#This Row],[Opening Stock]]+Inventory_Data[[#This Row],[Purchase Qty]]-Inventory_Data[[#This Row],[Sales Qty]]-Inventory_Data[[#This Row],[Closing Stock]]</f>
        <v>0</v>
      </c>
      <c r="N2750">
        <f>Inventory_Data[[#This Row],[Purchase Qty]]*Inventory_Data[[#This Row],[Unit Cost]]</f>
        <v>137445</v>
      </c>
      <c r="O2750" t="str">
        <f>IF(Inventory_Data[[#This Row],[Closing Stock]]&lt;=Inventory_Data[[#This Row],[Reorder Level]],"Low Stock","In Stock")</f>
        <v>In Stock</v>
      </c>
      <c r="P2750" t="str">
        <f>TEXT(Inventory_Data[[#This Row],[Date]],"MMM")</f>
        <v>Aug</v>
      </c>
      <c r="Q2750" t="str">
        <f>TEXT(Inventory_Data[[#This Row],[Date]],"YYYY")</f>
        <v>2026</v>
      </c>
    </row>
    <row r="2751" spans="1:17" x14ac:dyDescent="0.3">
      <c r="A2751" s="1">
        <v>46236</v>
      </c>
      <c r="B2751" t="s">
        <v>41</v>
      </c>
      <c r="C2751" t="s">
        <v>22</v>
      </c>
      <c r="D2751" t="s">
        <v>23</v>
      </c>
      <c r="E2751" t="s">
        <v>34</v>
      </c>
      <c r="F2751">
        <v>194</v>
      </c>
      <c r="G2751">
        <v>94</v>
      </c>
      <c r="H2751">
        <v>91</v>
      </c>
      <c r="I2751">
        <v>197</v>
      </c>
      <c r="J2751">
        <v>147</v>
      </c>
      <c r="K2751">
        <v>460</v>
      </c>
      <c r="L2751">
        <v>90620</v>
      </c>
      <c r="M2751">
        <f>Inventory_Data[[#This Row],[Opening Stock]]+Inventory_Data[[#This Row],[Purchase Qty]]-Inventory_Data[[#This Row],[Sales Qty]]-Inventory_Data[[#This Row],[Closing Stock]]</f>
        <v>0</v>
      </c>
      <c r="N2751">
        <f>Inventory_Data[[#This Row],[Purchase Qty]]*Inventory_Data[[#This Row],[Unit Cost]]</f>
        <v>43240</v>
      </c>
      <c r="O2751" t="str">
        <f>IF(Inventory_Data[[#This Row],[Closing Stock]]&lt;=Inventory_Data[[#This Row],[Reorder Level]],"Low Stock","In Stock")</f>
        <v>In Stock</v>
      </c>
      <c r="P2751" t="str">
        <f>TEXT(Inventory_Data[[#This Row],[Date]],"MMM")</f>
        <v>Aug</v>
      </c>
      <c r="Q2751" t="str">
        <f>TEXT(Inventory_Data[[#This Row],[Date]],"YYYY")</f>
        <v>2026</v>
      </c>
    </row>
    <row r="2752" spans="1:17" x14ac:dyDescent="0.3">
      <c r="A2752" s="1">
        <v>46236</v>
      </c>
      <c r="B2752" t="s">
        <v>27</v>
      </c>
      <c r="C2752" t="s">
        <v>28</v>
      </c>
      <c r="D2752" t="s">
        <v>26</v>
      </c>
      <c r="E2752" t="s">
        <v>15</v>
      </c>
      <c r="F2752">
        <v>105</v>
      </c>
      <c r="G2752">
        <v>117</v>
      </c>
      <c r="H2752">
        <v>70</v>
      </c>
      <c r="I2752">
        <v>152</v>
      </c>
      <c r="J2752">
        <v>53</v>
      </c>
      <c r="K2752">
        <v>35575</v>
      </c>
      <c r="L2752">
        <v>5407400</v>
      </c>
      <c r="M2752">
        <f>Inventory_Data[[#This Row],[Opening Stock]]+Inventory_Data[[#This Row],[Purchase Qty]]-Inventory_Data[[#This Row],[Sales Qty]]-Inventory_Data[[#This Row],[Closing Stock]]</f>
        <v>0</v>
      </c>
      <c r="N2752">
        <f>Inventory_Data[[#This Row],[Purchase Qty]]*Inventory_Data[[#This Row],[Unit Cost]]</f>
        <v>4162275</v>
      </c>
      <c r="O2752" t="str">
        <f>IF(Inventory_Data[[#This Row],[Closing Stock]]&lt;=Inventory_Data[[#This Row],[Reorder Level]],"Low Stock","In Stock")</f>
        <v>In Stock</v>
      </c>
      <c r="P2752" t="str">
        <f>TEXT(Inventory_Data[[#This Row],[Date]],"MMM")</f>
        <v>Aug</v>
      </c>
      <c r="Q2752" t="str">
        <f>TEXT(Inventory_Data[[#This Row],[Date]],"YYYY")</f>
        <v>2026</v>
      </c>
    </row>
    <row r="2753" spans="1:17" x14ac:dyDescent="0.3">
      <c r="A2753" s="1">
        <v>46236</v>
      </c>
      <c r="B2753" t="s">
        <v>41</v>
      </c>
      <c r="C2753" t="s">
        <v>22</v>
      </c>
      <c r="D2753" t="s">
        <v>37</v>
      </c>
      <c r="E2753" t="s">
        <v>24</v>
      </c>
      <c r="F2753">
        <v>142</v>
      </c>
      <c r="G2753">
        <v>167</v>
      </c>
      <c r="H2753">
        <v>198</v>
      </c>
      <c r="I2753">
        <v>111</v>
      </c>
      <c r="J2753">
        <v>118</v>
      </c>
      <c r="K2753">
        <v>254</v>
      </c>
      <c r="L2753">
        <v>28194</v>
      </c>
      <c r="M2753">
        <f>Inventory_Data[[#This Row],[Opening Stock]]+Inventory_Data[[#This Row],[Purchase Qty]]-Inventory_Data[[#This Row],[Sales Qty]]-Inventory_Data[[#This Row],[Closing Stock]]</f>
        <v>0</v>
      </c>
      <c r="N2753">
        <f>Inventory_Data[[#This Row],[Purchase Qty]]*Inventory_Data[[#This Row],[Unit Cost]]</f>
        <v>42418</v>
      </c>
      <c r="O2753" t="str">
        <f>IF(Inventory_Data[[#This Row],[Closing Stock]]&lt;=Inventory_Data[[#This Row],[Reorder Level]],"Low Stock","In Stock")</f>
        <v>Low Stock</v>
      </c>
      <c r="P2753" t="str">
        <f>TEXT(Inventory_Data[[#This Row],[Date]],"MMM")</f>
        <v>Aug</v>
      </c>
      <c r="Q2753" t="str">
        <f>TEXT(Inventory_Data[[#This Row],[Date]],"YYYY")</f>
        <v>2026</v>
      </c>
    </row>
    <row r="2754" spans="1:17" x14ac:dyDescent="0.3">
      <c r="A2754" s="1">
        <v>46237</v>
      </c>
      <c r="B2754" t="s">
        <v>30</v>
      </c>
      <c r="C2754" t="s">
        <v>28</v>
      </c>
      <c r="D2754" t="s">
        <v>14</v>
      </c>
      <c r="E2754" t="s">
        <v>24</v>
      </c>
      <c r="F2754">
        <v>47</v>
      </c>
      <c r="G2754">
        <v>27</v>
      </c>
      <c r="H2754">
        <v>30</v>
      </c>
      <c r="I2754">
        <v>44</v>
      </c>
      <c r="J2754">
        <v>38</v>
      </c>
      <c r="K2754">
        <v>11399</v>
      </c>
      <c r="L2754">
        <v>501556</v>
      </c>
      <c r="M2754">
        <f>Inventory_Data[[#This Row],[Opening Stock]]+Inventory_Data[[#This Row],[Purchase Qty]]-Inventory_Data[[#This Row],[Sales Qty]]-Inventory_Data[[#This Row],[Closing Stock]]</f>
        <v>0</v>
      </c>
      <c r="N2754">
        <f>Inventory_Data[[#This Row],[Purchase Qty]]*Inventory_Data[[#This Row],[Unit Cost]]</f>
        <v>307773</v>
      </c>
      <c r="O2754" t="str">
        <f>IF(Inventory_Data[[#This Row],[Closing Stock]]&lt;=Inventory_Data[[#This Row],[Reorder Level]],"Low Stock","In Stock")</f>
        <v>In Stock</v>
      </c>
      <c r="P2754" t="str">
        <f>TEXT(Inventory_Data[[#This Row],[Date]],"MMM")</f>
        <v>Aug</v>
      </c>
      <c r="Q2754" t="str">
        <f>TEXT(Inventory_Data[[#This Row],[Date]],"YYYY")</f>
        <v>2026</v>
      </c>
    </row>
    <row r="2755" spans="1:17" x14ac:dyDescent="0.3">
      <c r="A2755" s="1">
        <v>46237</v>
      </c>
      <c r="B2755" t="s">
        <v>32</v>
      </c>
      <c r="C2755" t="s">
        <v>28</v>
      </c>
      <c r="D2755" t="s">
        <v>37</v>
      </c>
      <c r="E2755" t="s">
        <v>29</v>
      </c>
      <c r="F2755">
        <v>33</v>
      </c>
      <c r="G2755">
        <v>107</v>
      </c>
      <c r="H2755">
        <v>27</v>
      </c>
      <c r="I2755">
        <v>113</v>
      </c>
      <c r="J2755">
        <v>44</v>
      </c>
      <c r="K2755">
        <v>56011</v>
      </c>
      <c r="L2755">
        <v>6329243</v>
      </c>
      <c r="M2755">
        <f>Inventory_Data[[#This Row],[Opening Stock]]+Inventory_Data[[#This Row],[Purchase Qty]]-Inventory_Data[[#This Row],[Sales Qty]]-Inventory_Data[[#This Row],[Closing Stock]]</f>
        <v>0</v>
      </c>
      <c r="N2755">
        <f>Inventory_Data[[#This Row],[Purchase Qty]]*Inventory_Data[[#This Row],[Unit Cost]]</f>
        <v>5993177</v>
      </c>
      <c r="O2755" t="str">
        <f>IF(Inventory_Data[[#This Row],[Closing Stock]]&lt;=Inventory_Data[[#This Row],[Reorder Level]],"Low Stock","In Stock")</f>
        <v>In Stock</v>
      </c>
      <c r="P2755" t="str">
        <f>TEXT(Inventory_Data[[#This Row],[Date]],"MMM")</f>
        <v>Aug</v>
      </c>
      <c r="Q2755" t="str">
        <f>TEXT(Inventory_Data[[#This Row],[Date]],"YYYY")</f>
        <v>2026</v>
      </c>
    </row>
    <row r="2756" spans="1:17" x14ac:dyDescent="0.3">
      <c r="A2756" s="1">
        <v>46237</v>
      </c>
      <c r="B2756" t="s">
        <v>12</v>
      </c>
      <c r="C2756" t="s">
        <v>13</v>
      </c>
      <c r="D2756" t="s">
        <v>26</v>
      </c>
      <c r="E2756" t="s">
        <v>34</v>
      </c>
      <c r="F2756">
        <v>83</v>
      </c>
      <c r="G2756">
        <v>15</v>
      </c>
      <c r="H2756">
        <v>58</v>
      </c>
      <c r="I2756">
        <v>40</v>
      </c>
      <c r="J2756">
        <v>35</v>
      </c>
      <c r="K2756">
        <v>13934</v>
      </c>
      <c r="L2756">
        <v>557360</v>
      </c>
      <c r="M2756">
        <f>Inventory_Data[[#This Row],[Opening Stock]]+Inventory_Data[[#This Row],[Purchase Qty]]-Inventory_Data[[#This Row],[Sales Qty]]-Inventory_Data[[#This Row],[Closing Stock]]</f>
        <v>0</v>
      </c>
      <c r="N2756">
        <f>Inventory_Data[[#This Row],[Purchase Qty]]*Inventory_Data[[#This Row],[Unit Cost]]</f>
        <v>209010</v>
      </c>
      <c r="O2756" t="str">
        <f>IF(Inventory_Data[[#This Row],[Closing Stock]]&lt;=Inventory_Data[[#This Row],[Reorder Level]],"Low Stock","In Stock")</f>
        <v>In Stock</v>
      </c>
      <c r="P2756" t="str">
        <f>TEXT(Inventory_Data[[#This Row],[Date]],"MMM")</f>
        <v>Aug</v>
      </c>
      <c r="Q2756" t="str">
        <f>TEXT(Inventory_Data[[#This Row],[Date]],"YYYY")</f>
        <v>2026</v>
      </c>
    </row>
    <row r="2757" spans="1:17" x14ac:dyDescent="0.3">
      <c r="A2757" s="1">
        <v>46237</v>
      </c>
      <c r="B2757" t="s">
        <v>33</v>
      </c>
      <c r="C2757" t="s">
        <v>13</v>
      </c>
      <c r="D2757" t="s">
        <v>23</v>
      </c>
      <c r="E2757" t="s">
        <v>29</v>
      </c>
      <c r="F2757">
        <v>69</v>
      </c>
      <c r="G2757">
        <v>71</v>
      </c>
      <c r="H2757">
        <v>51</v>
      </c>
      <c r="I2757">
        <v>89</v>
      </c>
      <c r="J2757">
        <v>33</v>
      </c>
      <c r="K2757">
        <v>17457</v>
      </c>
      <c r="L2757">
        <v>1553673</v>
      </c>
      <c r="M2757">
        <f>Inventory_Data[[#This Row],[Opening Stock]]+Inventory_Data[[#This Row],[Purchase Qty]]-Inventory_Data[[#This Row],[Sales Qty]]-Inventory_Data[[#This Row],[Closing Stock]]</f>
        <v>0</v>
      </c>
      <c r="N2757">
        <f>Inventory_Data[[#This Row],[Purchase Qty]]*Inventory_Data[[#This Row],[Unit Cost]]</f>
        <v>1239447</v>
      </c>
      <c r="O2757" t="str">
        <f>IF(Inventory_Data[[#This Row],[Closing Stock]]&lt;=Inventory_Data[[#This Row],[Reorder Level]],"Low Stock","In Stock")</f>
        <v>In Stock</v>
      </c>
      <c r="P2757" t="str">
        <f>TEXT(Inventory_Data[[#This Row],[Date]],"MMM")</f>
        <v>Aug</v>
      </c>
      <c r="Q2757" t="str">
        <f>TEXT(Inventory_Data[[#This Row],[Date]],"YYYY")</f>
        <v>2026</v>
      </c>
    </row>
    <row r="2758" spans="1:17" x14ac:dyDescent="0.3">
      <c r="A2758" s="1">
        <v>46237</v>
      </c>
      <c r="B2758" t="s">
        <v>25</v>
      </c>
      <c r="C2758" t="s">
        <v>17</v>
      </c>
      <c r="D2758" t="s">
        <v>23</v>
      </c>
      <c r="E2758" t="s">
        <v>29</v>
      </c>
      <c r="F2758">
        <v>52</v>
      </c>
      <c r="G2758">
        <v>20</v>
      </c>
      <c r="H2758">
        <v>34</v>
      </c>
      <c r="I2758">
        <v>38</v>
      </c>
      <c r="J2758">
        <v>28</v>
      </c>
      <c r="K2758">
        <v>16331</v>
      </c>
      <c r="L2758">
        <v>620578</v>
      </c>
      <c r="M2758">
        <f>Inventory_Data[[#This Row],[Opening Stock]]+Inventory_Data[[#This Row],[Purchase Qty]]-Inventory_Data[[#This Row],[Sales Qty]]-Inventory_Data[[#This Row],[Closing Stock]]</f>
        <v>0</v>
      </c>
      <c r="N2758">
        <f>Inventory_Data[[#This Row],[Purchase Qty]]*Inventory_Data[[#This Row],[Unit Cost]]</f>
        <v>326620</v>
      </c>
      <c r="O2758" t="str">
        <f>IF(Inventory_Data[[#This Row],[Closing Stock]]&lt;=Inventory_Data[[#This Row],[Reorder Level]],"Low Stock","In Stock")</f>
        <v>In Stock</v>
      </c>
      <c r="P2758" t="str">
        <f>TEXT(Inventory_Data[[#This Row],[Date]],"MMM")</f>
        <v>Aug</v>
      </c>
      <c r="Q2758" t="str">
        <f>TEXT(Inventory_Data[[#This Row],[Date]],"YYYY")</f>
        <v>2026</v>
      </c>
    </row>
    <row r="2759" spans="1:17" x14ac:dyDescent="0.3">
      <c r="A2759" s="1">
        <v>46237</v>
      </c>
      <c r="B2759" t="s">
        <v>27</v>
      </c>
      <c r="C2759" t="s">
        <v>28</v>
      </c>
      <c r="D2759" t="s">
        <v>23</v>
      </c>
      <c r="E2759" t="s">
        <v>34</v>
      </c>
      <c r="F2759">
        <v>35</v>
      </c>
      <c r="G2759">
        <v>110</v>
      </c>
      <c r="H2759">
        <v>26</v>
      </c>
      <c r="I2759">
        <v>119</v>
      </c>
      <c r="J2759">
        <v>57</v>
      </c>
      <c r="K2759">
        <v>23107</v>
      </c>
      <c r="L2759">
        <v>2749733</v>
      </c>
      <c r="M2759">
        <f>Inventory_Data[[#This Row],[Opening Stock]]+Inventory_Data[[#This Row],[Purchase Qty]]-Inventory_Data[[#This Row],[Sales Qty]]-Inventory_Data[[#This Row],[Closing Stock]]</f>
        <v>0</v>
      </c>
      <c r="N2759">
        <f>Inventory_Data[[#This Row],[Purchase Qty]]*Inventory_Data[[#This Row],[Unit Cost]]</f>
        <v>2541770</v>
      </c>
      <c r="O2759" t="str">
        <f>IF(Inventory_Data[[#This Row],[Closing Stock]]&lt;=Inventory_Data[[#This Row],[Reorder Level]],"Low Stock","In Stock")</f>
        <v>In Stock</v>
      </c>
      <c r="P2759" t="str">
        <f>TEXT(Inventory_Data[[#This Row],[Date]],"MMM")</f>
        <v>Aug</v>
      </c>
      <c r="Q2759" t="str">
        <f>TEXT(Inventory_Data[[#This Row],[Date]],"YYYY")</f>
        <v>2026</v>
      </c>
    </row>
    <row r="2760" spans="1:17" x14ac:dyDescent="0.3">
      <c r="A2760" s="1">
        <v>46238</v>
      </c>
      <c r="B2760" t="s">
        <v>31</v>
      </c>
      <c r="C2760" t="s">
        <v>22</v>
      </c>
      <c r="D2760" t="s">
        <v>26</v>
      </c>
      <c r="E2760" t="s">
        <v>24</v>
      </c>
      <c r="F2760">
        <v>398</v>
      </c>
      <c r="G2760">
        <v>78</v>
      </c>
      <c r="H2760">
        <v>83</v>
      </c>
      <c r="I2760">
        <v>393</v>
      </c>
      <c r="J2760">
        <v>54</v>
      </c>
      <c r="K2760">
        <v>723</v>
      </c>
      <c r="L2760">
        <v>284139</v>
      </c>
      <c r="M2760">
        <f>Inventory_Data[[#This Row],[Opening Stock]]+Inventory_Data[[#This Row],[Purchase Qty]]-Inventory_Data[[#This Row],[Sales Qty]]-Inventory_Data[[#This Row],[Closing Stock]]</f>
        <v>0</v>
      </c>
      <c r="N2760">
        <f>Inventory_Data[[#This Row],[Purchase Qty]]*Inventory_Data[[#This Row],[Unit Cost]]</f>
        <v>56394</v>
      </c>
      <c r="O2760" t="str">
        <f>IF(Inventory_Data[[#This Row],[Closing Stock]]&lt;=Inventory_Data[[#This Row],[Reorder Level]],"Low Stock","In Stock")</f>
        <v>In Stock</v>
      </c>
      <c r="P2760" t="str">
        <f>TEXT(Inventory_Data[[#This Row],[Date]],"MMM")</f>
        <v>Aug</v>
      </c>
      <c r="Q2760" t="str">
        <f>TEXT(Inventory_Data[[#This Row],[Date]],"YYYY")</f>
        <v>2026</v>
      </c>
    </row>
    <row r="2761" spans="1:17" x14ac:dyDescent="0.3">
      <c r="A2761" s="1">
        <v>46238</v>
      </c>
      <c r="B2761" t="s">
        <v>19</v>
      </c>
      <c r="C2761" t="s">
        <v>13</v>
      </c>
      <c r="D2761" t="s">
        <v>37</v>
      </c>
      <c r="E2761" t="s">
        <v>20</v>
      </c>
      <c r="F2761">
        <v>109</v>
      </c>
      <c r="G2761">
        <v>57</v>
      </c>
      <c r="H2761">
        <v>64</v>
      </c>
      <c r="I2761">
        <v>102</v>
      </c>
      <c r="J2761">
        <v>39</v>
      </c>
      <c r="K2761">
        <v>5476</v>
      </c>
      <c r="L2761">
        <v>558552</v>
      </c>
      <c r="M2761">
        <f>Inventory_Data[[#This Row],[Opening Stock]]+Inventory_Data[[#This Row],[Purchase Qty]]-Inventory_Data[[#This Row],[Sales Qty]]-Inventory_Data[[#This Row],[Closing Stock]]</f>
        <v>0</v>
      </c>
      <c r="N2761">
        <f>Inventory_Data[[#This Row],[Purchase Qty]]*Inventory_Data[[#This Row],[Unit Cost]]</f>
        <v>312132</v>
      </c>
      <c r="O2761" t="str">
        <f>IF(Inventory_Data[[#This Row],[Closing Stock]]&lt;=Inventory_Data[[#This Row],[Reorder Level]],"Low Stock","In Stock")</f>
        <v>In Stock</v>
      </c>
      <c r="P2761" t="str">
        <f>TEXT(Inventory_Data[[#This Row],[Date]],"MMM")</f>
        <v>Aug</v>
      </c>
      <c r="Q2761" t="str">
        <f>TEXT(Inventory_Data[[#This Row],[Date]],"YYYY")</f>
        <v>2026</v>
      </c>
    </row>
    <row r="2762" spans="1:17" x14ac:dyDescent="0.3">
      <c r="A2762" s="1">
        <v>46238</v>
      </c>
      <c r="B2762" t="s">
        <v>21</v>
      </c>
      <c r="C2762" t="s">
        <v>22</v>
      </c>
      <c r="D2762" t="s">
        <v>26</v>
      </c>
      <c r="E2762" t="s">
        <v>18</v>
      </c>
      <c r="F2762">
        <v>165</v>
      </c>
      <c r="G2762">
        <v>221</v>
      </c>
      <c r="H2762">
        <v>13</v>
      </c>
      <c r="I2762">
        <v>373</v>
      </c>
      <c r="J2762">
        <v>64</v>
      </c>
      <c r="K2762">
        <v>49</v>
      </c>
      <c r="L2762">
        <v>18277</v>
      </c>
      <c r="M2762">
        <f>Inventory_Data[[#This Row],[Opening Stock]]+Inventory_Data[[#This Row],[Purchase Qty]]-Inventory_Data[[#This Row],[Sales Qty]]-Inventory_Data[[#This Row],[Closing Stock]]</f>
        <v>0</v>
      </c>
      <c r="N2762">
        <f>Inventory_Data[[#This Row],[Purchase Qty]]*Inventory_Data[[#This Row],[Unit Cost]]</f>
        <v>10829</v>
      </c>
      <c r="O2762" t="str">
        <f>IF(Inventory_Data[[#This Row],[Closing Stock]]&lt;=Inventory_Data[[#This Row],[Reorder Level]],"Low Stock","In Stock")</f>
        <v>In Stock</v>
      </c>
      <c r="P2762" t="str">
        <f>TEXT(Inventory_Data[[#This Row],[Date]],"MMM")</f>
        <v>Aug</v>
      </c>
      <c r="Q2762" t="str">
        <f>TEXT(Inventory_Data[[#This Row],[Date]],"YYYY")</f>
        <v>2026</v>
      </c>
    </row>
    <row r="2763" spans="1:17" x14ac:dyDescent="0.3">
      <c r="A2763" s="1">
        <v>46239</v>
      </c>
      <c r="B2763" t="s">
        <v>45</v>
      </c>
      <c r="C2763" t="s">
        <v>13</v>
      </c>
      <c r="D2763" t="s">
        <v>23</v>
      </c>
      <c r="E2763" t="s">
        <v>29</v>
      </c>
      <c r="F2763">
        <v>61</v>
      </c>
      <c r="G2763">
        <v>75</v>
      </c>
      <c r="H2763">
        <v>46</v>
      </c>
      <c r="I2763">
        <v>90</v>
      </c>
      <c r="J2763">
        <v>23</v>
      </c>
      <c r="K2763">
        <v>7787</v>
      </c>
      <c r="L2763">
        <v>700830</v>
      </c>
      <c r="M2763">
        <f>Inventory_Data[[#This Row],[Opening Stock]]+Inventory_Data[[#This Row],[Purchase Qty]]-Inventory_Data[[#This Row],[Sales Qty]]-Inventory_Data[[#This Row],[Closing Stock]]</f>
        <v>0</v>
      </c>
      <c r="N2763">
        <f>Inventory_Data[[#This Row],[Purchase Qty]]*Inventory_Data[[#This Row],[Unit Cost]]</f>
        <v>584025</v>
      </c>
      <c r="O2763" t="str">
        <f>IF(Inventory_Data[[#This Row],[Closing Stock]]&lt;=Inventory_Data[[#This Row],[Reorder Level]],"Low Stock","In Stock")</f>
        <v>In Stock</v>
      </c>
      <c r="P2763" t="str">
        <f>TEXT(Inventory_Data[[#This Row],[Date]],"MMM")</f>
        <v>Aug</v>
      </c>
      <c r="Q2763" t="str">
        <f>TEXT(Inventory_Data[[#This Row],[Date]],"YYYY")</f>
        <v>2026</v>
      </c>
    </row>
    <row r="2764" spans="1:17" x14ac:dyDescent="0.3">
      <c r="A2764" s="1">
        <v>46239</v>
      </c>
      <c r="B2764" t="s">
        <v>12</v>
      </c>
      <c r="C2764" t="s">
        <v>13</v>
      </c>
      <c r="D2764" t="s">
        <v>14</v>
      </c>
      <c r="E2764" t="s">
        <v>24</v>
      </c>
      <c r="F2764">
        <v>51</v>
      </c>
      <c r="G2764">
        <v>35</v>
      </c>
      <c r="H2764">
        <v>36</v>
      </c>
      <c r="I2764">
        <v>50</v>
      </c>
      <c r="J2764">
        <v>28</v>
      </c>
      <c r="K2764">
        <v>4964</v>
      </c>
      <c r="L2764">
        <v>248200</v>
      </c>
      <c r="M2764">
        <f>Inventory_Data[[#This Row],[Opening Stock]]+Inventory_Data[[#This Row],[Purchase Qty]]-Inventory_Data[[#This Row],[Sales Qty]]-Inventory_Data[[#This Row],[Closing Stock]]</f>
        <v>0</v>
      </c>
      <c r="N2764">
        <f>Inventory_Data[[#This Row],[Purchase Qty]]*Inventory_Data[[#This Row],[Unit Cost]]</f>
        <v>173740</v>
      </c>
      <c r="O2764" t="str">
        <f>IF(Inventory_Data[[#This Row],[Closing Stock]]&lt;=Inventory_Data[[#This Row],[Reorder Level]],"Low Stock","In Stock")</f>
        <v>In Stock</v>
      </c>
      <c r="P2764" t="str">
        <f>TEXT(Inventory_Data[[#This Row],[Date]],"MMM")</f>
        <v>Aug</v>
      </c>
      <c r="Q2764" t="str">
        <f>TEXT(Inventory_Data[[#This Row],[Date]],"YYYY")</f>
        <v>2026</v>
      </c>
    </row>
    <row r="2765" spans="1:17" x14ac:dyDescent="0.3">
      <c r="A2765" s="1">
        <v>46239</v>
      </c>
      <c r="B2765" t="s">
        <v>40</v>
      </c>
      <c r="C2765" t="s">
        <v>28</v>
      </c>
      <c r="D2765" t="s">
        <v>14</v>
      </c>
      <c r="E2765" t="s">
        <v>20</v>
      </c>
      <c r="F2765">
        <v>101</v>
      </c>
      <c r="G2765">
        <v>58</v>
      </c>
      <c r="H2765">
        <v>48</v>
      </c>
      <c r="I2765">
        <v>111</v>
      </c>
      <c r="J2765">
        <v>46</v>
      </c>
      <c r="K2765">
        <v>62658</v>
      </c>
      <c r="L2765">
        <v>6955038</v>
      </c>
      <c r="M2765">
        <f>Inventory_Data[[#This Row],[Opening Stock]]+Inventory_Data[[#This Row],[Purchase Qty]]-Inventory_Data[[#This Row],[Sales Qty]]-Inventory_Data[[#This Row],[Closing Stock]]</f>
        <v>0</v>
      </c>
      <c r="N2765">
        <f>Inventory_Data[[#This Row],[Purchase Qty]]*Inventory_Data[[#This Row],[Unit Cost]]</f>
        <v>3634164</v>
      </c>
      <c r="O2765" t="str">
        <f>IF(Inventory_Data[[#This Row],[Closing Stock]]&lt;=Inventory_Data[[#This Row],[Reorder Level]],"Low Stock","In Stock")</f>
        <v>In Stock</v>
      </c>
      <c r="P2765" t="str">
        <f>TEXT(Inventory_Data[[#This Row],[Date]],"MMM")</f>
        <v>Aug</v>
      </c>
      <c r="Q2765" t="str">
        <f>TEXT(Inventory_Data[[#This Row],[Date]],"YYYY")</f>
        <v>2026</v>
      </c>
    </row>
    <row r="2766" spans="1:17" x14ac:dyDescent="0.3">
      <c r="A2766" s="1">
        <v>46239</v>
      </c>
      <c r="B2766" t="s">
        <v>21</v>
      </c>
      <c r="C2766" t="s">
        <v>22</v>
      </c>
      <c r="D2766" t="s">
        <v>26</v>
      </c>
      <c r="E2766" t="s">
        <v>29</v>
      </c>
      <c r="F2766">
        <v>413</v>
      </c>
      <c r="G2766">
        <v>225</v>
      </c>
      <c r="H2766">
        <v>142</v>
      </c>
      <c r="I2766">
        <v>496</v>
      </c>
      <c r="J2766">
        <v>89</v>
      </c>
      <c r="K2766">
        <v>778</v>
      </c>
      <c r="L2766">
        <v>385888</v>
      </c>
      <c r="M2766">
        <f>Inventory_Data[[#This Row],[Opening Stock]]+Inventory_Data[[#This Row],[Purchase Qty]]-Inventory_Data[[#This Row],[Sales Qty]]-Inventory_Data[[#This Row],[Closing Stock]]</f>
        <v>0</v>
      </c>
      <c r="N2766">
        <f>Inventory_Data[[#This Row],[Purchase Qty]]*Inventory_Data[[#This Row],[Unit Cost]]</f>
        <v>175050</v>
      </c>
      <c r="O2766" t="str">
        <f>IF(Inventory_Data[[#This Row],[Closing Stock]]&lt;=Inventory_Data[[#This Row],[Reorder Level]],"Low Stock","In Stock")</f>
        <v>In Stock</v>
      </c>
      <c r="P2766" t="str">
        <f>TEXT(Inventory_Data[[#This Row],[Date]],"MMM")</f>
        <v>Aug</v>
      </c>
      <c r="Q2766" t="str">
        <f>TEXT(Inventory_Data[[#This Row],[Date]],"YYYY")</f>
        <v>2026</v>
      </c>
    </row>
    <row r="2767" spans="1:17" x14ac:dyDescent="0.3">
      <c r="A2767" s="1">
        <v>46239</v>
      </c>
      <c r="B2767" t="s">
        <v>12</v>
      </c>
      <c r="C2767" t="s">
        <v>13</v>
      </c>
      <c r="D2767" t="s">
        <v>26</v>
      </c>
      <c r="E2767" t="s">
        <v>15</v>
      </c>
      <c r="F2767">
        <v>106</v>
      </c>
      <c r="G2767">
        <v>38</v>
      </c>
      <c r="H2767">
        <v>53</v>
      </c>
      <c r="I2767">
        <v>91</v>
      </c>
      <c r="J2767">
        <v>18</v>
      </c>
      <c r="K2767">
        <v>13336</v>
      </c>
      <c r="L2767">
        <v>1213576</v>
      </c>
      <c r="M2767">
        <f>Inventory_Data[[#This Row],[Opening Stock]]+Inventory_Data[[#This Row],[Purchase Qty]]-Inventory_Data[[#This Row],[Sales Qty]]-Inventory_Data[[#This Row],[Closing Stock]]</f>
        <v>0</v>
      </c>
      <c r="N2767">
        <f>Inventory_Data[[#This Row],[Purchase Qty]]*Inventory_Data[[#This Row],[Unit Cost]]</f>
        <v>506768</v>
      </c>
      <c r="O2767" t="str">
        <f>IF(Inventory_Data[[#This Row],[Closing Stock]]&lt;=Inventory_Data[[#This Row],[Reorder Level]],"Low Stock","In Stock")</f>
        <v>In Stock</v>
      </c>
      <c r="P2767" t="str">
        <f>TEXT(Inventory_Data[[#This Row],[Date]],"MMM")</f>
        <v>Aug</v>
      </c>
      <c r="Q2767" t="str">
        <f>TEXT(Inventory_Data[[#This Row],[Date]],"YYYY")</f>
        <v>2026</v>
      </c>
    </row>
    <row r="2768" spans="1:17" x14ac:dyDescent="0.3">
      <c r="A2768" s="1">
        <v>46239</v>
      </c>
      <c r="B2768" t="s">
        <v>39</v>
      </c>
      <c r="C2768" t="s">
        <v>28</v>
      </c>
      <c r="D2768" t="s">
        <v>14</v>
      </c>
      <c r="E2768" t="s">
        <v>20</v>
      </c>
      <c r="F2768">
        <v>24</v>
      </c>
      <c r="G2768">
        <v>76</v>
      </c>
      <c r="H2768">
        <v>47</v>
      </c>
      <c r="I2768">
        <v>53</v>
      </c>
      <c r="J2768">
        <v>54</v>
      </c>
      <c r="K2768">
        <v>41519</v>
      </c>
      <c r="L2768">
        <v>2200507</v>
      </c>
      <c r="M2768">
        <f>Inventory_Data[[#This Row],[Opening Stock]]+Inventory_Data[[#This Row],[Purchase Qty]]-Inventory_Data[[#This Row],[Sales Qty]]-Inventory_Data[[#This Row],[Closing Stock]]</f>
        <v>0</v>
      </c>
      <c r="N2768">
        <f>Inventory_Data[[#This Row],[Purchase Qty]]*Inventory_Data[[#This Row],[Unit Cost]]</f>
        <v>3155444</v>
      </c>
      <c r="O2768" t="str">
        <f>IF(Inventory_Data[[#This Row],[Closing Stock]]&lt;=Inventory_Data[[#This Row],[Reorder Level]],"Low Stock","In Stock")</f>
        <v>Low Stock</v>
      </c>
      <c r="P2768" t="str">
        <f>TEXT(Inventory_Data[[#This Row],[Date]],"MMM")</f>
        <v>Aug</v>
      </c>
      <c r="Q2768" t="str">
        <f>TEXT(Inventory_Data[[#This Row],[Date]],"YYYY")</f>
        <v>2026</v>
      </c>
    </row>
    <row r="2769" spans="1:17" x14ac:dyDescent="0.3">
      <c r="A2769" s="1">
        <v>46240</v>
      </c>
      <c r="B2769" t="s">
        <v>44</v>
      </c>
      <c r="C2769" t="s">
        <v>28</v>
      </c>
      <c r="D2769" t="s">
        <v>37</v>
      </c>
      <c r="E2769" t="s">
        <v>18</v>
      </c>
      <c r="F2769">
        <v>156</v>
      </c>
      <c r="G2769">
        <v>25</v>
      </c>
      <c r="H2769">
        <v>9</v>
      </c>
      <c r="I2769">
        <v>172</v>
      </c>
      <c r="J2769">
        <v>42</v>
      </c>
      <c r="K2769">
        <v>49793</v>
      </c>
      <c r="L2769">
        <v>8564396</v>
      </c>
      <c r="M2769">
        <f>Inventory_Data[[#This Row],[Opening Stock]]+Inventory_Data[[#This Row],[Purchase Qty]]-Inventory_Data[[#This Row],[Sales Qty]]-Inventory_Data[[#This Row],[Closing Stock]]</f>
        <v>0</v>
      </c>
      <c r="N2769">
        <f>Inventory_Data[[#This Row],[Purchase Qty]]*Inventory_Data[[#This Row],[Unit Cost]]</f>
        <v>1244825</v>
      </c>
      <c r="O2769" t="str">
        <f>IF(Inventory_Data[[#This Row],[Closing Stock]]&lt;=Inventory_Data[[#This Row],[Reorder Level]],"Low Stock","In Stock")</f>
        <v>In Stock</v>
      </c>
      <c r="P2769" t="str">
        <f>TEXT(Inventory_Data[[#This Row],[Date]],"MMM")</f>
        <v>Aug</v>
      </c>
      <c r="Q2769" t="str">
        <f>TEXT(Inventory_Data[[#This Row],[Date]],"YYYY")</f>
        <v>2026</v>
      </c>
    </row>
    <row r="2770" spans="1:17" x14ac:dyDescent="0.3">
      <c r="A2770" s="1">
        <v>46240</v>
      </c>
      <c r="B2770" t="s">
        <v>35</v>
      </c>
      <c r="C2770" t="s">
        <v>22</v>
      </c>
      <c r="D2770" t="s">
        <v>14</v>
      </c>
      <c r="E2770" t="s">
        <v>20</v>
      </c>
      <c r="F2770">
        <v>186</v>
      </c>
      <c r="G2770">
        <v>128</v>
      </c>
      <c r="H2770">
        <v>160</v>
      </c>
      <c r="I2770">
        <v>154</v>
      </c>
      <c r="J2770">
        <v>96</v>
      </c>
      <c r="K2770">
        <v>969</v>
      </c>
      <c r="L2770">
        <v>149226</v>
      </c>
      <c r="M2770">
        <f>Inventory_Data[[#This Row],[Opening Stock]]+Inventory_Data[[#This Row],[Purchase Qty]]-Inventory_Data[[#This Row],[Sales Qty]]-Inventory_Data[[#This Row],[Closing Stock]]</f>
        <v>0</v>
      </c>
      <c r="N2770">
        <f>Inventory_Data[[#This Row],[Purchase Qty]]*Inventory_Data[[#This Row],[Unit Cost]]</f>
        <v>124032</v>
      </c>
      <c r="O2770" t="str">
        <f>IF(Inventory_Data[[#This Row],[Closing Stock]]&lt;=Inventory_Data[[#This Row],[Reorder Level]],"Low Stock","In Stock")</f>
        <v>In Stock</v>
      </c>
      <c r="P2770" t="str">
        <f>TEXT(Inventory_Data[[#This Row],[Date]],"MMM")</f>
        <v>Aug</v>
      </c>
      <c r="Q2770" t="str">
        <f>TEXT(Inventory_Data[[#This Row],[Date]],"YYYY")</f>
        <v>2026</v>
      </c>
    </row>
    <row r="2771" spans="1:17" x14ac:dyDescent="0.3">
      <c r="A2771" s="1">
        <v>46240</v>
      </c>
      <c r="B2771" t="s">
        <v>31</v>
      </c>
      <c r="C2771" t="s">
        <v>22</v>
      </c>
      <c r="D2771" t="s">
        <v>14</v>
      </c>
      <c r="E2771" t="s">
        <v>34</v>
      </c>
      <c r="F2771">
        <v>345</v>
      </c>
      <c r="G2771">
        <v>117</v>
      </c>
      <c r="H2771">
        <v>270</v>
      </c>
      <c r="I2771">
        <v>192</v>
      </c>
      <c r="J2771">
        <v>107</v>
      </c>
      <c r="K2771">
        <v>361</v>
      </c>
      <c r="L2771">
        <v>69312</v>
      </c>
      <c r="M2771">
        <f>Inventory_Data[[#This Row],[Opening Stock]]+Inventory_Data[[#This Row],[Purchase Qty]]-Inventory_Data[[#This Row],[Sales Qty]]-Inventory_Data[[#This Row],[Closing Stock]]</f>
        <v>0</v>
      </c>
      <c r="N2771">
        <f>Inventory_Data[[#This Row],[Purchase Qty]]*Inventory_Data[[#This Row],[Unit Cost]]</f>
        <v>42237</v>
      </c>
      <c r="O2771" t="str">
        <f>IF(Inventory_Data[[#This Row],[Closing Stock]]&lt;=Inventory_Data[[#This Row],[Reorder Level]],"Low Stock","In Stock")</f>
        <v>In Stock</v>
      </c>
      <c r="P2771" t="str">
        <f>TEXT(Inventory_Data[[#This Row],[Date]],"MMM")</f>
        <v>Aug</v>
      </c>
      <c r="Q2771" t="str">
        <f>TEXT(Inventory_Data[[#This Row],[Date]],"YYYY")</f>
        <v>2026</v>
      </c>
    </row>
    <row r="2772" spans="1:17" x14ac:dyDescent="0.3">
      <c r="A2772" s="1">
        <v>46240</v>
      </c>
      <c r="B2772" t="s">
        <v>25</v>
      </c>
      <c r="C2772" t="s">
        <v>17</v>
      </c>
      <c r="D2772" t="s">
        <v>37</v>
      </c>
      <c r="E2772" t="s">
        <v>20</v>
      </c>
      <c r="F2772">
        <v>55</v>
      </c>
      <c r="G2772">
        <v>39</v>
      </c>
      <c r="H2772">
        <v>14</v>
      </c>
      <c r="I2772">
        <v>80</v>
      </c>
      <c r="J2772">
        <v>11</v>
      </c>
      <c r="K2772">
        <v>5733</v>
      </c>
      <c r="L2772">
        <v>458640</v>
      </c>
      <c r="M2772">
        <f>Inventory_Data[[#This Row],[Opening Stock]]+Inventory_Data[[#This Row],[Purchase Qty]]-Inventory_Data[[#This Row],[Sales Qty]]-Inventory_Data[[#This Row],[Closing Stock]]</f>
        <v>0</v>
      </c>
      <c r="N2772">
        <f>Inventory_Data[[#This Row],[Purchase Qty]]*Inventory_Data[[#This Row],[Unit Cost]]</f>
        <v>223587</v>
      </c>
      <c r="O2772" t="str">
        <f>IF(Inventory_Data[[#This Row],[Closing Stock]]&lt;=Inventory_Data[[#This Row],[Reorder Level]],"Low Stock","In Stock")</f>
        <v>In Stock</v>
      </c>
      <c r="P2772" t="str">
        <f>TEXT(Inventory_Data[[#This Row],[Date]],"MMM")</f>
        <v>Aug</v>
      </c>
      <c r="Q2772" t="str">
        <f>TEXT(Inventory_Data[[#This Row],[Date]],"YYYY")</f>
        <v>2026</v>
      </c>
    </row>
    <row r="2773" spans="1:17" x14ac:dyDescent="0.3">
      <c r="A2773" s="1">
        <v>46240</v>
      </c>
      <c r="B2773" t="s">
        <v>19</v>
      </c>
      <c r="C2773" t="s">
        <v>13</v>
      </c>
      <c r="D2773" t="s">
        <v>37</v>
      </c>
      <c r="E2773" t="s">
        <v>20</v>
      </c>
      <c r="F2773">
        <v>107</v>
      </c>
      <c r="G2773">
        <v>36</v>
      </c>
      <c r="H2773">
        <v>55</v>
      </c>
      <c r="I2773">
        <v>88</v>
      </c>
      <c r="J2773">
        <v>19</v>
      </c>
      <c r="K2773">
        <v>10998</v>
      </c>
      <c r="L2773">
        <v>967824</v>
      </c>
      <c r="M2773">
        <f>Inventory_Data[[#This Row],[Opening Stock]]+Inventory_Data[[#This Row],[Purchase Qty]]-Inventory_Data[[#This Row],[Sales Qty]]-Inventory_Data[[#This Row],[Closing Stock]]</f>
        <v>0</v>
      </c>
      <c r="N2773">
        <f>Inventory_Data[[#This Row],[Purchase Qty]]*Inventory_Data[[#This Row],[Unit Cost]]</f>
        <v>395928</v>
      </c>
      <c r="O2773" t="str">
        <f>IF(Inventory_Data[[#This Row],[Closing Stock]]&lt;=Inventory_Data[[#This Row],[Reorder Level]],"Low Stock","In Stock")</f>
        <v>In Stock</v>
      </c>
      <c r="P2773" t="str">
        <f>TEXT(Inventory_Data[[#This Row],[Date]],"MMM")</f>
        <v>Aug</v>
      </c>
      <c r="Q2773" t="str">
        <f>TEXT(Inventory_Data[[#This Row],[Date]],"YYYY")</f>
        <v>2026</v>
      </c>
    </row>
    <row r="2774" spans="1:17" x14ac:dyDescent="0.3">
      <c r="A2774" s="1">
        <v>46240</v>
      </c>
      <c r="B2774" t="s">
        <v>40</v>
      </c>
      <c r="C2774" t="s">
        <v>28</v>
      </c>
      <c r="D2774" t="s">
        <v>14</v>
      </c>
      <c r="E2774" t="s">
        <v>15</v>
      </c>
      <c r="F2774">
        <v>138</v>
      </c>
      <c r="G2774">
        <v>109</v>
      </c>
      <c r="H2774">
        <v>45</v>
      </c>
      <c r="I2774">
        <v>202</v>
      </c>
      <c r="J2774">
        <v>23</v>
      </c>
      <c r="K2774">
        <v>35075</v>
      </c>
      <c r="L2774">
        <v>7085150</v>
      </c>
      <c r="M2774">
        <f>Inventory_Data[[#This Row],[Opening Stock]]+Inventory_Data[[#This Row],[Purchase Qty]]-Inventory_Data[[#This Row],[Sales Qty]]-Inventory_Data[[#This Row],[Closing Stock]]</f>
        <v>0</v>
      </c>
      <c r="N2774">
        <f>Inventory_Data[[#This Row],[Purchase Qty]]*Inventory_Data[[#This Row],[Unit Cost]]</f>
        <v>3823175</v>
      </c>
      <c r="O2774" t="str">
        <f>IF(Inventory_Data[[#This Row],[Closing Stock]]&lt;=Inventory_Data[[#This Row],[Reorder Level]],"Low Stock","In Stock")</f>
        <v>In Stock</v>
      </c>
      <c r="P2774" t="str">
        <f>TEXT(Inventory_Data[[#This Row],[Date]],"MMM")</f>
        <v>Aug</v>
      </c>
      <c r="Q2774" t="str">
        <f>TEXT(Inventory_Data[[#This Row],[Date]],"YYYY")</f>
        <v>2026</v>
      </c>
    </row>
    <row r="2775" spans="1:17" x14ac:dyDescent="0.3">
      <c r="A2775" s="1">
        <v>46240</v>
      </c>
      <c r="B2775" t="s">
        <v>36</v>
      </c>
      <c r="C2775" t="s">
        <v>22</v>
      </c>
      <c r="D2775" t="s">
        <v>14</v>
      </c>
      <c r="E2775" t="s">
        <v>20</v>
      </c>
      <c r="F2775">
        <v>132</v>
      </c>
      <c r="G2775">
        <v>86</v>
      </c>
      <c r="H2775">
        <v>120</v>
      </c>
      <c r="I2775">
        <v>98</v>
      </c>
      <c r="J2775">
        <v>125</v>
      </c>
      <c r="K2775">
        <v>888</v>
      </c>
      <c r="L2775">
        <v>87024</v>
      </c>
      <c r="M2775">
        <f>Inventory_Data[[#This Row],[Opening Stock]]+Inventory_Data[[#This Row],[Purchase Qty]]-Inventory_Data[[#This Row],[Sales Qty]]-Inventory_Data[[#This Row],[Closing Stock]]</f>
        <v>0</v>
      </c>
      <c r="N2775">
        <f>Inventory_Data[[#This Row],[Purchase Qty]]*Inventory_Data[[#This Row],[Unit Cost]]</f>
        <v>76368</v>
      </c>
      <c r="O2775" t="str">
        <f>IF(Inventory_Data[[#This Row],[Closing Stock]]&lt;=Inventory_Data[[#This Row],[Reorder Level]],"Low Stock","In Stock")</f>
        <v>Low Stock</v>
      </c>
      <c r="P2775" t="str">
        <f>TEXT(Inventory_Data[[#This Row],[Date]],"MMM")</f>
        <v>Aug</v>
      </c>
      <c r="Q2775" t="str">
        <f>TEXT(Inventory_Data[[#This Row],[Date]],"YYYY")</f>
        <v>2026</v>
      </c>
    </row>
    <row r="2776" spans="1:17" x14ac:dyDescent="0.3">
      <c r="A2776" s="1">
        <v>46241</v>
      </c>
      <c r="B2776" t="s">
        <v>19</v>
      </c>
      <c r="C2776" t="s">
        <v>13</v>
      </c>
      <c r="D2776" t="s">
        <v>14</v>
      </c>
      <c r="E2776" t="s">
        <v>20</v>
      </c>
      <c r="F2776">
        <v>41</v>
      </c>
      <c r="G2776">
        <v>51</v>
      </c>
      <c r="H2776">
        <v>61</v>
      </c>
      <c r="I2776">
        <v>31</v>
      </c>
      <c r="J2776">
        <v>27</v>
      </c>
      <c r="K2776">
        <v>12865</v>
      </c>
      <c r="L2776">
        <v>398815</v>
      </c>
      <c r="M2776">
        <f>Inventory_Data[[#This Row],[Opening Stock]]+Inventory_Data[[#This Row],[Purchase Qty]]-Inventory_Data[[#This Row],[Sales Qty]]-Inventory_Data[[#This Row],[Closing Stock]]</f>
        <v>0</v>
      </c>
      <c r="N2776">
        <f>Inventory_Data[[#This Row],[Purchase Qty]]*Inventory_Data[[#This Row],[Unit Cost]]</f>
        <v>656115</v>
      </c>
      <c r="O2776" t="str">
        <f>IF(Inventory_Data[[#This Row],[Closing Stock]]&lt;=Inventory_Data[[#This Row],[Reorder Level]],"Low Stock","In Stock")</f>
        <v>In Stock</v>
      </c>
      <c r="P2776" t="str">
        <f>TEXT(Inventory_Data[[#This Row],[Date]],"MMM")</f>
        <v>Aug</v>
      </c>
      <c r="Q2776" t="str">
        <f>TEXT(Inventory_Data[[#This Row],[Date]],"YYYY")</f>
        <v>2026</v>
      </c>
    </row>
    <row r="2777" spans="1:17" x14ac:dyDescent="0.3">
      <c r="A2777" s="1">
        <v>46241</v>
      </c>
      <c r="B2777" t="s">
        <v>41</v>
      </c>
      <c r="C2777" t="s">
        <v>22</v>
      </c>
      <c r="D2777" t="s">
        <v>37</v>
      </c>
      <c r="E2777" t="s">
        <v>15</v>
      </c>
      <c r="F2777">
        <v>494</v>
      </c>
      <c r="G2777">
        <v>138</v>
      </c>
      <c r="H2777">
        <v>277</v>
      </c>
      <c r="I2777">
        <v>355</v>
      </c>
      <c r="J2777">
        <v>82</v>
      </c>
      <c r="K2777">
        <v>464</v>
      </c>
      <c r="L2777">
        <v>164720</v>
      </c>
      <c r="M2777">
        <f>Inventory_Data[[#This Row],[Opening Stock]]+Inventory_Data[[#This Row],[Purchase Qty]]-Inventory_Data[[#This Row],[Sales Qty]]-Inventory_Data[[#This Row],[Closing Stock]]</f>
        <v>0</v>
      </c>
      <c r="N2777">
        <f>Inventory_Data[[#This Row],[Purchase Qty]]*Inventory_Data[[#This Row],[Unit Cost]]</f>
        <v>64032</v>
      </c>
      <c r="O2777" t="str">
        <f>IF(Inventory_Data[[#This Row],[Closing Stock]]&lt;=Inventory_Data[[#This Row],[Reorder Level]],"Low Stock","In Stock")</f>
        <v>In Stock</v>
      </c>
      <c r="P2777" t="str">
        <f>TEXT(Inventory_Data[[#This Row],[Date]],"MMM")</f>
        <v>Aug</v>
      </c>
      <c r="Q2777" t="str">
        <f>TEXT(Inventory_Data[[#This Row],[Date]],"YYYY")</f>
        <v>2026</v>
      </c>
    </row>
    <row r="2778" spans="1:17" x14ac:dyDescent="0.3">
      <c r="A2778" s="1">
        <v>46241</v>
      </c>
      <c r="B2778" t="s">
        <v>39</v>
      </c>
      <c r="C2778" t="s">
        <v>28</v>
      </c>
      <c r="D2778" t="s">
        <v>37</v>
      </c>
      <c r="E2778" t="s">
        <v>29</v>
      </c>
      <c r="F2778">
        <v>114</v>
      </c>
      <c r="G2778">
        <v>57</v>
      </c>
      <c r="H2778">
        <v>87</v>
      </c>
      <c r="I2778">
        <v>84</v>
      </c>
      <c r="J2778">
        <v>25</v>
      </c>
      <c r="K2778">
        <v>57105</v>
      </c>
      <c r="L2778">
        <v>4796820</v>
      </c>
      <c r="M2778">
        <f>Inventory_Data[[#This Row],[Opening Stock]]+Inventory_Data[[#This Row],[Purchase Qty]]-Inventory_Data[[#This Row],[Sales Qty]]-Inventory_Data[[#This Row],[Closing Stock]]</f>
        <v>0</v>
      </c>
      <c r="N2778">
        <f>Inventory_Data[[#This Row],[Purchase Qty]]*Inventory_Data[[#This Row],[Unit Cost]]</f>
        <v>3254985</v>
      </c>
      <c r="O2778" t="str">
        <f>IF(Inventory_Data[[#This Row],[Closing Stock]]&lt;=Inventory_Data[[#This Row],[Reorder Level]],"Low Stock","In Stock")</f>
        <v>In Stock</v>
      </c>
      <c r="P2778" t="str">
        <f>TEXT(Inventory_Data[[#This Row],[Date]],"MMM")</f>
        <v>Aug</v>
      </c>
      <c r="Q2778" t="str">
        <f>TEXT(Inventory_Data[[#This Row],[Date]],"YYYY")</f>
        <v>2026</v>
      </c>
    </row>
    <row r="2779" spans="1:17" x14ac:dyDescent="0.3">
      <c r="A2779" s="1">
        <v>46241</v>
      </c>
      <c r="B2779" t="s">
        <v>21</v>
      </c>
      <c r="C2779" t="s">
        <v>22</v>
      </c>
      <c r="D2779" t="s">
        <v>37</v>
      </c>
      <c r="E2779" t="s">
        <v>29</v>
      </c>
      <c r="F2779">
        <v>353</v>
      </c>
      <c r="G2779">
        <v>259</v>
      </c>
      <c r="H2779">
        <v>116</v>
      </c>
      <c r="I2779">
        <v>496</v>
      </c>
      <c r="J2779">
        <v>100</v>
      </c>
      <c r="K2779">
        <v>282</v>
      </c>
      <c r="L2779">
        <v>139872</v>
      </c>
      <c r="M2779">
        <f>Inventory_Data[[#This Row],[Opening Stock]]+Inventory_Data[[#This Row],[Purchase Qty]]-Inventory_Data[[#This Row],[Sales Qty]]-Inventory_Data[[#This Row],[Closing Stock]]</f>
        <v>0</v>
      </c>
      <c r="N2779">
        <f>Inventory_Data[[#This Row],[Purchase Qty]]*Inventory_Data[[#This Row],[Unit Cost]]</f>
        <v>73038</v>
      </c>
      <c r="O2779" t="str">
        <f>IF(Inventory_Data[[#This Row],[Closing Stock]]&lt;=Inventory_Data[[#This Row],[Reorder Level]],"Low Stock","In Stock")</f>
        <v>In Stock</v>
      </c>
      <c r="P2779" t="str">
        <f>TEXT(Inventory_Data[[#This Row],[Date]],"MMM")</f>
        <v>Aug</v>
      </c>
      <c r="Q2779" t="str">
        <f>TEXT(Inventory_Data[[#This Row],[Date]],"YYYY")</f>
        <v>2026</v>
      </c>
    </row>
    <row r="2780" spans="1:17" x14ac:dyDescent="0.3">
      <c r="A2780" s="1">
        <v>46242</v>
      </c>
      <c r="B2780" t="s">
        <v>42</v>
      </c>
      <c r="C2780" t="s">
        <v>17</v>
      </c>
      <c r="D2780" t="s">
        <v>37</v>
      </c>
      <c r="E2780" t="s">
        <v>15</v>
      </c>
      <c r="F2780">
        <v>61</v>
      </c>
      <c r="G2780">
        <v>32</v>
      </c>
      <c r="H2780">
        <v>2</v>
      </c>
      <c r="I2780">
        <v>91</v>
      </c>
      <c r="J2780">
        <v>21</v>
      </c>
      <c r="K2780">
        <v>20972</v>
      </c>
      <c r="L2780">
        <v>1908452</v>
      </c>
      <c r="M2780">
        <f>Inventory_Data[[#This Row],[Opening Stock]]+Inventory_Data[[#This Row],[Purchase Qty]]-Inventory_Data[[#This Row],[Sales Qty]]-Inventory_Data[[#This Row],[Closing Stock]]</f>
        <v>0</v>
      </c>
      <c r="N2780">
        <f>Inventory_Data[[#This Row],[Purchase Qty]]*Inventory_Data[[#This Row],[Unit Cost]]</f>
        <v>671104</v>
      </c>
      <c r="O2780" t="str">
        <f>IF(Inventory_Data[[#This Row],[Closing Stock]]&lt;=Inventory_Data[[#This Row],[Reorder Level]],"Low Stock","In Stock")</f>
        <v>In Stock</v>
      </c>
      <c r="P2780" t="str">
        <f>TEXT(Inventory_Data[[#This Row],[Date]],"MMM")</f>
        <v>Aug</v>
      </c>
      <c r="Q2780" t="str">
        <f>TEXT(Inventory_Data[[#This Row],[Date]],"YYYY")</f>
        <v>2026</v>
      </c>
    </row>
    <row r="2781" spans="1:17" x14ac:dyDescent="0.3">
      <c r="A2781" s="1">
        <v>46242</v>
      </c>
      <c r="B2781" t="s">
        <v>21</v>
      </c>
      <c r="C2781" t="s">
        <v>22</v>
      </c>
      <c r="D2781" t="s">
        <v>14</v>
      </c>
      <c r="E2781" t="s">
        <v>34</v>
      </c>
      <c r="F2781">
        <v>482</v>
      </c>
      <c r="G2781">
        <v>225</v>
      </c>
      <c r="H2781">
        <v>96</v>
      </c>
      <c r="I2781">
        <v>611</v>
      </c>
      <c r="J2781">
        <v>129</v>
      </c>
      <c r="K2781">
        <v>575</v>
      </c>
      <c r="L2781">
        <v>351325</v>
      </c>
      <c r="M2781">
        <f>Inventory_Data[[#This Row],[Opening Stock]]+Inventory_Data[[#This Row],[Purchase Qty]]-Inventory_Data[[#This Row],[Sales Qty]]-Inventory_Data[[#This Row],[Closing Stock]]</f>
        <v>0</v>
      </c>
      <c r="N2781">
        <f>Inventory_Data[[#This Row],[Purchase Qty]]*Inventory_Data[[#This Row],[Unit Cost]]</f>
        <v>129375</v>
      </c>
      <c r="O2781" t="str">
        <f>IF(Inventory_Data[[#This Row],[Closing Stock]]&lt;=Inventory_Data[[#This Row],[Reorder Level]],"Low Stock","In Stock")</f>
        <v>In Stock</v>
      </c>
      <c r="P2781" t="str">
        <f>TEXT(Inventory_Data[[#This Row],[Date]],"MMM")</f>
        <v>Aug</v>
      </c>
      <c r="Q2781" t="str">
        <f>TEXT(Inventory_Data[[#This Row],[Date]],"YYYY")</f>
        <v>2026</v>
      </c>
    </row>
    <row r="2782" spans="1:17" x14ac:dyDescent="0.3">
      <c r="A2782" s="1">
        <v>46242</v>
      </c>
      <c r="B2782" t="s">
        <v>39</v>
      </c>
      <c r="C2782" t="s">
        <v>28</v>
      </c>
      <c r="D2782" t="s">
        <v>23</v>
      </c>
      <c r="E2782" t="s">
        <v>15</v>
      </c>
      <c r="F2782">
        <v>129</v>
      </c>
      <c r="G2782">
        <v>116</v>
      </c>
      <c r="H2782">
        <v>6</v>
      </c>
      <c r="I2782">
        <v>239</v>
      </c>
      <c r="J2782">
        <v>53</v>
      </c>
      <c r="K2782">
        <v>51444</v>
      </c>
      <c r="L2782">
        <v>12295116</v>
      </c>
      <c r="M2782">
        <f>Inventory_Data[[#This Row],[Opening Stock]]+Inventory_Data[[#This Row],[Purchase Qty]]-Inventory_Data[[#This Row],[Sales Qty]]-Inventory_Data[[#This Row],[Closing Stock]]</f>
        <v>0</v>
      </c>
      <c r="N2782">
        <f>Inventory_Data[[#This Row],[Purchase Qty]]*Inventory_Data[[#This Row],[Unit Cost]]</f>
        <v>5967504</v>
      </c>
      <c r="O2782" t="str">
        <f>IF(Inventory_Data[[#This Row],[Closing Stock]]&lt;=Inventory_Data[[#This Row],[Reorder Level]],"Low Stock","In Stock")</f>
        <v>In Stock</v>
      </c>
      <c r="P2782" t="str">
        <f>TEXT(Inventory_Data[[#This Row],[Date]],"MMM")</f>
        <v>Aug</v>
      </c>
      <c r="Q2782" t="str">
        <f>TEXT(Inventory_Data[[#This Row],[Date]],"YYYY")</f>
        <v>2026</v>
      </c>
    </row>
    <row r="2783" spans="1:17" x14ac:dyDescent="0.3">
      <c r="A2783" s="1">
        <v>46242</v>
      </c>
      <c r="B2783" t="s">
        <v>25</v>
      </c>
      <c r="C2783" t="s">
        <v>17</v>
      </c>
      <c r="D2783" t="s">
        <v>37</v>
      </c>
      <c r="E2783" t="s">
        <v>29</v>
      </c>
      <c r="F2783">
        <v>78</v>
      </c>
      <c r="G2783">
        <v>5</v>
      </c>
      <c r="H2783">
        <v>2</v>
      </c>
      <c r="I2783">
        <v>81</v>
      </c>
      <c r="J2783">
        <v>29</v>
      </c>
      <c r="K2783">
        <v>2585</v>
      </c>
      <c r="L2783">
        <v>209385</v>
      </c>
      <c r="M2783">
        <f>Inventory_Data[[#This Row],[Opening Stock]]+Inventory_Data[[#This Row],[Purchase Qty]]-Inventory_Data[[#This Row],[Sales Qty]]-Inventory_Data[[#This Row],[Closing Stock]]</f>
        <v>0</v>
      </c>
      <c r="N2783">
        <f>Inventory_Data[[#This Row],[Purchase Qty]]*Inventory_Data[[#This Row],[Unit Cost]]</f>
        <v>12925</v>
      </c>
      <c r="O2783" t="str">
        <f>IF(Inventory_Data[[#This Row],[Closing Stock]]&lt;=Inventory_Data[[#This Row],[Reorder Level]],"Low Stock","In Stock")</f>
        <v>In Stock</v>
      </c>
      <c r="P2783" t="str">
        <f>TEXT(Inventory_Data[[#This Row],[Date]],"MMM")</f>
        <v>Aug</v>
      </c>
      <c r="Q2783" t="str">
        <f>TEXT(Inventory_Data[[#This Row],[Date]],"YYYY")</f>
        <v>2026</v>
      </c>
    </row>
    <row r="2784" spans="1:17" x14ac:dyDescent="0.3">
      <c r="A2784" s="1">
        <v>46243</v>
      </c>
      <c r="B2784" t="s">
        <v>31</v>
      </c>
      <c r="C2784" t="s">
        <v>22</v>
      </c>
      <c r="D2784" t="s">
        <v>14</v>
      </c>
      <c r="E2784" t="s">
        <v>24</v>
      </c>
      <c r="F2784">
        <v>486</v>
      </c>
      <c r="G2784">
        <v>236</v>
      </c>
      <c r="H2784">
        <v>213</v>
      </c>
      <c r="I2784">
        <v>509</v>
      </c>
      <c r="J2784">
        <v>77</v>
      </c>
      <c r="K2784">
        <v>180</v>
      </c>
      <c r="L2784">
        <v>91620</v>
      </c>
      <c r="M2784">
        <f>Inventory_Data[[#This Row],[Opening Stock]]+Inventory_Data[[#This Row],[Purchase Qty]]-Inventory_Data[[#This Row],[Sales Qty]]-Inventory_Data[[#This Row],[Closing Stock]]</f>
        <v>0</v>
      </c>
      <c r="N2784">
        <f>Inventory_Data[[#This Row],[Purchase Qty]]*Inventory_Data[[#This Row],[Unit Cost]]</f>
        <v>42480</v>
      </c>
      <c r="O2784" t="str">
        <f>IF(Inventory_Data[[#This Row],[Closing Stock]]&lt;=Inventory_Data[[#This Row],[Reorder Level]],"Low Stock","In Stock")</f>
        <v>In Stock</v>
      </c>
      <c r="P2784" t="str">
        <f>TEXT(Inventory_Data[[#This Row],[Date]],"MMM")</f>
        <v>Aug</v>
      </c>
      <c r="Q2784" t="str">
        <f>TEXT(Inventory_Data[[#This Row],[Date]],"YYYY")</f>
        <v>2026</v>
      </c>
    </row>
    <row r="2785" spans="1:17" x14ac:dyDescent="0.3">
      <c r="A2785" s="1">
        <v>46243</v>
      </c>
      <c r="B2785" t="s">
        <v>36</v>
      </c>
      <c r="C2785" t="s">
        <v>22</v>
      </c>
      <c r="D2785" t="s">
        <v>23</v>
      </c>
      <c r="E2785" t="s">
        <v>15</v>
      </c>
      <c r="F2785">
        <v>57</v>
      </c>
      <c r="G2785">
        <v>193</v>
      </c>
      <c r="H2785">
        <v>94</v>
      </c>
      <c r="I2785">
        <v>156</v>
      </c>
      <c r="J2785">
        <v>104</v>
      </c>
      <c r="K2785">
        <v>1115</v>
      </c>
      <c r="L2785">
        <v>173940</v>
      </c>
      <c r="M2785">
        <f>Inventory_Data[[#This Row],[Opening Stock]]+Inventory_Data[[#This Row],[Purchase Qty]]-Inventory_Data[[#This Row],[Sales Qty]]-Inventory_Data[[#This Row],[Closing Stock]]</f>
        <v>0</v>
      </c>
      <c r="N2785">
        <f>Inventory_Data[[#This Row],[Purchase Qty]]*Inventory_Data[[#This Row],[Unit Cost]]</f>
        <v>215195</v>
      </c>
      <c r="O2785" t="str">
        <f>IF(Inventory_Data[[#This Row],[Closing Stock]]&lt;=Inventory_Data[[#This Row],[Reorder Level]],"Low Stock","In Stock")</f>
        <v>In Stock</v>
      </c>
      <c r="P2785" t="str">
        <f>TEXT(Inventory_Data[[#This Row],[Date]],"MMM")</f>
        <v>Aug</v>
      </c>
      <c r="Q2785" t="str">
        <f>TEXT(Inventory_Data[[#This Row],[Date]],"YYYY")</f>
        <v>2026</v>
      </c>
    </row>
    <row r="2786" spans="1:17" x14ac:dyDescent="0.3">
      <c r="A2786" s="1">
        <v>46243</v>
      </c>
      <c r="B2786" t="s">
        <v>19</v>
      </c>
      <c r="C2786" t="s">
        <v>13</v>
      </c>
      <c r="D2786" t="s">
        <v>23</v>
      </c>
      <c r="E2786" t="s">
        <v>24</v>
      </c>
      <c r="F2786">
        <v>109</v>
      </c>
      <c r="G2786">
        <v>19</v>
      </c>
      <c r="H2786">
        <v>9</v>
      </c>
      <c r="I2786">
        <v>119</v>
      </c>
      <c r="J2786">
        <v>28</v>
      </c>
      <c r="K2786">
        <v>11743</v>
      </c>
      <c r="L2786">
        <v>1397417</v>
      </c>
      <c r="M2786">
        <f>Inventory_Data[[#This Row],[Opening Stock]]+Inventory_Data[[#This Row],[Purchase Qty]]-Inventory_Data[[#This Row],[Sales Qty]]-Inventory_Data[[#This Row],[Closing Stock]]</f>
        <v>0</v>
      </c>
      <c r="N2786">
        <f>Inventory_Data[[#This Row],[Purchase Qty]]*Inventory_Data[[#This Row],[Unit Cost]]</f>
        <v>223117</v>
      </c>
      <c r="O2786" t="str">
        <f>IF(Inventory_Data[[#This Row],[Closing Stock]]&lt;=Inventory_Data[[#This Row],[Reorder Level]],"Low Stock","In Stock")</f>
        <v>In Stock</v>
      </c>
      <c r="P2786" t="str">
        <f>TEXT(Inventory_Data[[#This Row],[Date]],"MMM")</f>
        <v>Aug</v>
      </c>
      <c r="Q2786" t="str">
        <f>TEXT(Inventory_Data[[#This Row],[Date]],"YYYY")</f>
        <v>2026</v>
      </c>
    </row>
    <row r="2787" spans="1:17" x14ac:dyDescent="0.3">
      <c r="A2787" s="1">
        <v>46244</v>
      </c>
      <c r="B2787" t="s">
        <v>32</v>
      </c>
      <c r="C2787" t="s">
        <v>28</v>
      </c>
      <c r="D2787" t="s">
        <v>26</v>
      </c>
      <c r="E2787" t="s">
        <v>24</v>
      </c>
      <c r="F2787">
        <v>47</v>
      </c>
      <c r="G2787">
        <v>105</v>
      </c>
      <c r="H2787">
        <v>84</v>
      </c>
      <c r="I2787">
        <v>68</v>
      </c>
      <c r="J2787">
        <v>30</v>
      </c>
      <c r="K2787">
        <v>43816</v>
      </c>
      <c r="L2787">
        <v>2979488</v>
      </c>
      <c r="M2787">
        <f>Inventory_Data[[#This Row],[Opening Stock]]+Inventory_Data[[#This Row],[Purchase Qty]]-Inventory_Data[[#This Row],[Sales Qty]]-Inventory_Data[[#This Row],[Closing Stock]]</f>
        <v>0</v>
      </c>
      <c r="N2787">
        <f>Inventory_Data[[#This Row],[Purchase Qty]]*Inventory_Data[[#This Row],[Unit Cost]]</f>
        <v>4600680</v>
      </c>
      <c r="O2787" t="str">
        <f>IF(Inventory_Data[[#This Row],[Closing Stock]]&lt;=Inventory_Data[[#This Row],[Reorder Level]],"Low Stock","In Stock")</f>
        <v>In Stock</v>
      </c>
      <c r="P2787" t="str">
        <f>TEXT(Inventory_Data[[#This Row],[Date]],"MMM")</f>
        <v>Aug</v>
      </c>
      <c r="Q2787" t="str">
        <f>TEXT(Inventory_Data[[#This Row],[Date]],"YYYY")</f>
        <v>2026</v>
      </c>
    </row>
    <row r="2788" spans="1:17" x14ac:dyDescent="0.3">
      <c r="A2788" s="1">
        <v>46244</v>
      </c>
      <c r="B2788" t="s">
        <v>44</v>
      </c>
      <c r="C2788" t="s">
        <v>28</v>
      </c>
      <c r="D2788" t="s">
        <v>26</v>
      </c>
      <c r="E2788" t="s">
        <v>24</v>
      </c>
      <c r="F2788">
        <v>175</v>
      </c>
      <c r="G2788">
        <v>34</v>
      </c>
      <c r="H2788">
        <v>65</v>
      </c>
      <c r="I2788">
        <v>144</v>
      </c>
      <c r="J2788">
        <v>50</v>
      </c>
      <c r="K2788">
        <v>62600</v>
      </c>
      <c r="L2788">
        <v>9014400</v>
      </c>
      <c r="M2788">
        <f>Inventory_Data[[#This Row],[Opening Stock]]+Inventory_Data[[#This Row],[Purchase Qty]]-Inventory_Data[[#This Row],[Sales Qty]]-Inventory_Data[[#This Row],[Closing Stock]]</f>
        <v>0</v>
      </c>
      <c r="N2788">
        <f>Inventory_Data[[#This Row],[Purchase Qty]]*Inventory_Data[[#This Row],[Unit Cost]]</f>
        <v>2128400</v>
      </c>
      <c r="O2788" t="str">
        <f>IF(Inventory_Data[[#This Row],[Closing Stock]]&lt;=Inventory_Data[[#This Row],[Reorder Level]],"Low Stock","In Stock")</f>
        <v>In Stock</v>
      </c>
      <c r="P2788" t="str">
        <f>TEXT(Inventory_Data[[#This Row],[Date]],"MMM")</f>
        <v>Aug</v>
      </c>
      <c r="Q2788" t="str">
        <f>TEXT(Inventory_Data[[#This Row],[Date]],"YYYY")</f>
        <v>2026</v>
      </c>
    </row>
    <row r="2789" spans="1:17" x14ac:dyDescent="0.3">
      <c r="A2789" s="1">
        <v>46244</v>
      </c>
      <c r="B2789" t="s">
        <v>33</v>
      </c>
      <c r="C2789" t="s">
        <v>13</v>
      </c>
      <c r="D2789" t="s">
        <v>37</v>
      </c>
      <c r="E2789" t="s">
        <v>34</v>
      </c>
      <c r="F2789">
        <v>118</v>
      </c>
      <c r="G2789">
        <v>42</v>
      </c>
      <c r="H2789">
        <v>42</v>
      </c>
      <c r="I2789">
        <v>118</v>
      </c>
      <c r="J2789">
        <v>30</v>
      </c>
      <c r="K2789">
        <v>13614</v>
      </c>
      <c r="L2789">
        <v>1606452</v>
      </c>
      <c r="M2789">
        <f>Inventory_Data[[#This Row],[Opening Stock]]+Inventory_Data[[#This Row],[Purchase Qty]]-Inventory_Data[[#This Row],[Sales Qty]]-Inventory_Data[[#This Row],[Closing Stock]]</f>
        <v>0</v>
      </c>
      <c r="N2789">
        <f>Inventory_Data[[#This Row],[Purchase Qty]]*Inventory_Data[[#This Row],[Unit Cost]]</f>
        <v>571788</v>
      </c>
      <c r="O2789" t="str">
        <f>IF(Inventory_Data[[#This Row],[Closing Stock]]&lt;=Inventory_Data[[#This Row],[Reorder Level]],"Low Stock","In Stock")</f>
        <v>In Stock</v>
      </c>
      <c r="P2789" t="str">
        <f>TEXT(Inventory_Data[[#This Row],[Date]],"MMM")</f>
        <v>Aug</v>
      </c>
      <c r="Q2789" t="str">
        <f>TEXT(Inventory_Data[[#This Row],[Date]],"YYYY")</f>
        <v>2026</v>
      </c>
    </row>
    <row r="2790" spans="1:17" x14ac:dyDescent="0.3">
      <c r="A2790" s="1">
        <v>46244</v>
      </c>
      <c r="B2790" t="s">
        <v>32</v>
      </c>
      <c r="C2790" t="s">
        <v>28</v>
      </c>
      <c r="D2790" t="s">
        <v>23</v>
      </c>
      <c r="E2790" t="s">
        <v>29</v>
      </c>
      <c r="F2790">
        <v>41</v>
      </c>
      <c r="G2790">
        <v>67</v>
      </c>
      <c r="H2790">
        <v>72</v>
      </c>
      <c r="I2790">
        <v>36</v>
      </c>
      <c r="J2790">
        <v>53</v>
      </c>
      <c r="K2790">
        <v>61180</v>
      </c>
      <c r="L2790">
        <v>2202480</v>
      </c>
      <c r="M2790">
        <f>Inventory_Data[[#This Row],[Opening Stock]]+Inventory_Data[[#This Row],[Purchase Qty]]-Inventory_Data[[#This Row],[Sales Qty]]-Inventory_Data[[#This Row],[Closing Stock]]</f>
        <v>0</v>
      </c>
      <c r="N2790">
        <f>Inventory_Data[[#This Row],[Purchase Qty]]*Inventory_Data[[#This Row],[Unit Cost]]</f>
        <v>4099060</v>
      </c>
      <c r="O2790" t="str">
        <f>IF(Inventory_Data[[#This Row],[Closing Stock]]&lt;=Inventory_Data[[#This Row],[Reorder Level]],"Low Stock","In Stock")</f>
        <v>Low Stock</v>
      </c>
      <c r="P2790" t="str">
        <f>TEXT(Inventory_Data[[#This Row],[Date]],"MMM")</f>
        <v>Aug</v>
      </c>
      <c r="Q2790" t="str">
        <f>TEXT(Inventory_Data[[#This Row],[Date]],"YYYY")</f>
        <v>2026</v>
      </c>
    </row>
    <row r="2791" spans="1:17" x14ac:dyDescent="0.3">
      <c r="A2791" s="1">
        <v>46245</v>
      </c>
      <c r="B2791" t="s">
        <v>30</v>
      </c>
      <c r="C2791" t="s">
        <v>28</v>
      </c>
      <c r="D2791" t="s">
        <v>14</v>
      </c>
      <c r="E2791" t="s">
        <v>18</v>
      </c>
      <c r="F2791">
        <v>158</v>
      </c>
      <c r="G2791">
        <v>20</v>
      </c>
      <c r="H2791">
        <v>30</v>
      </c>
      <c r="I2791">
        <v>148</v>
      </c>
      <c r="J2791">
        <v>33</v>
      </c>
      <c r="K2791">
        <v>48468</v>
      </c>
      <c r="L2791">
        <v>7173264</v>
      </c>
      <c r="M2791">
        <f>Inventory_Data[[#This Row],[Opening Stock]]+Inventory_Data[[#This Row],[Purchase Qty]]-Inventory_Data[[#This Row],[Sales Qty]]-Inventory_Data[[#This Row],[Closing Stock]]</f>
        <v>0</v>
      </c>
      <c r="N2791">
        <f>Inventory_Data[[#This Row],[Purchase Qty]]*Inventory_Data[[#This Row],[Unit Cost]]</f>
        <v>969360</v>
      </c>
      <c r="O2791" t="str">
        <f>IF(Inventory_Data[[#This Row],[Closing Stock]]&lt;=Inventory_Data[[#This Row],[Reorder Level]],"Low Stock","In Stock")</f>
        <v>In Stock</v>
      </c>
      <c r="P2791" t="str">
        <f>TEXT(Inventory_Data[[#This Row],[Date]],"MMM")</f>
        <v>Aug</v>
      </c>
      <c r="Q2791" t="str">
        <f>TEXT(Inventory_Data[[#This Row],[Date]],"YYYY")</f>
        <v>2026</v>
      </c>
    </row>
    <row r="2792" spans="1:17" x14ac:dyDescent="0.3">
      <c r="A2792" s="1">
        <v>46245</v>
      </c>
      <c r="B2792" t="s">
        <v>35</v>
      </c>
      <c r="C2792" t="s">
        <v>22</v>
      </c>
      <c r="D2792" t="s">
        <v>26</v>
      </c>
      <c r="E2792" t="s">
        <v>15</v>
      </c>
      <c r="F2792">
        <v>434</v>
      </c>
      <c r="G2792">
        <v>69</v>
      </c>
      <c r="H2792">
        <v>110</v>
      </c>
      <c r="I2792">
        <v>393</v>
      </c>
      <c r="J2792">
        <v>50</v>
      </c>
      <c r="K2792">
        <v>130</v>
      </c>
      <c r="L2792">
        <v>51090</v>
      </c>
      <c r="M2792">
        <f>Inventory_Data[[#This Row],[Opening Stock]]+Inventory_Data[[#This Row],[Purchase Qty]]-Inventory_Data[[#This Row],[Sales Qty]]-Inventory_Data[[#This Row],[Closing Stock]]</f>
        <v>0</v>
      </c>
      <c r="N2792">
        <f>Inventory_Data[[#This Row],[Purchase Qty]]*Inventory_Data[[#This Row],[Unit Cost]]</f>
        <v>8970</v>
      </c>
      <c r="O2792" t="str">
        <f>IF(Inventory_Data[[#This Row],[Closing Stock]]&lt;=Inventory_Data[[#This Row],[Reorder Level]],"Low Stock","In Stock")</f>
        <v>In Stock</v>
      </c>
      <c r="P2792" t="str">
        <f>TEXT(Inventory_Data[[#This Row],[Date]],"MMM")</f>
        <v>Aug</v>
      </c>
      <c r="Q2792" t="str">
        <f>TEXT(Inventory_Data[[#This Row],[Date]],"YYYY")</f>
        <v>2026</v>
      </c>
    </row>
    <row r="2793" spans="1:17" x14ac:dyDescent="0.3">
      <c r="A2793" s="1">
        <v>46245</v>
      </c>
      <c r="B2793" t="s">
        <v>44</v>
      </c>
      <c r="C2793" t="s">
        <v>28</v>
      </c>
      <c r="D2793" t="s">
        <v>23</v>
      </c>
      <c r="E2793" t="s">
        <v>20</v>
      </c>
      <c r="F2793">
        <v>38</v>
      </c>
      <c r="G2793">
        <v>18</v>
      </c>
      <c r="H2793">
        <v>56</v>
      </c>
      <c r="I2793">
        <v>0</v>
      </c>
      <c r="J2793">
        <v>59</v>
      </c>
      <c r="K2793">
        <v>52400</v>
      </c>
      <c r="L2793">
        <v>0</v>
      </c>
      <c r="M2793">
        <f>Inventory_Data[[#This Row],[Opening Stock]]+Inventory_Data[[#This Row],[Purchase Qty]]-Inventory_Data[[#This Row],[Sales Qty]]-Inventory_Data[[#This Row],[Closing Stock]]</f>
        <v>0</v>
      </c>
      <c r="N2793">
        <f>Inventory_Data[[#This Row],[Purchase Qty]]*Inventory_Data[[#This Row],[Unit Cost]]</f>
        <v>943200</v>
      </c>
      <c r="O2793" t="str">
        <f>IF(Inventory_Data[[#This Row],[Closing Stock]]&lt;=Inventory_Data[[#This Row],[Reorder Level]],"Low Stock","In Stock")</f>
        <v>Low Stock</v>
      </c>
      <c r="P2793" t="str">
        <f>TEXT(Inventory_Data[[#This Row],[Date]],"MMM")</f>
        <v>Aug</v>
      </c>
      <c r="Q2793" t="str">
        <f>TEXT(Inventory_Data[[#This Row],[Date]],"YYYY")</f>
        <v>2026</v>
      </c>
    </row>
    <row r="2794" spans="1:17" x14ac:dyDescent="0.3">
      <c r="A2794" s="1">
        <v>46246</v>
      </c>
      <c r="B2794" t="s">
        <v>16</v>
      </c>
      <c r="C2794" t="s">
        <v>17</v>
      </c>
      <c r="D2794" t="s">
        <v>23</v>
      </c>
      <c r="E2794" t="s">
        <v>20</v>
      </c>
      <c r="F2794">
        <v>58</v>
      </c>
      <c r="G2794">
        <v>27</v>
      </c>
      <c r="H2794">
        <v>21</v>
      </c>
      <c r="I2794">
        <v>64</v>
      </c>
      <c r="J2794">
        <v>26</v>
      </c>
      <c r="K2794">
        <v>15936</v>
      </c>
      <c r="L2794">
        <v>1019904</v>
      </c>
      <c r="M2794">
        <f>Inventory_Data[[#This Row],[Opening Stock]]+Inventory_Data[[#This Row],[Purchase Qty]]-Inventory_Data[[#This Row],[Sales Qty]]-Inventory_Data[[#This Row],[Closing Stock]]</f>
        <v>0</v>
      </c>
      <c r="N2794">
        <f>Inventory_Data[[#This Row],[Purchase Qty]]*Inventory_Data[[#This Row],[Unit Cost]]</f>
        <v>430272</v>
      </c>
      <c r="O2794" t="str">
        <f>IF(Inventory_Data[[#This Row],[Closing Stock]]&lt;=Inventory_Data[[#This Row],[Reorder Level]],"Low Stock","In Stock")</f>
        <v>In Stock</v>
      </c>
      <c r="P2794" t="str">
        <f>TEXT(Inventory_Data[[#This Row],[Date]],"MMM")</f>
        <v>Aug</v>
      </c>
      <c r="Q2794" t="str">
        <f>TEXT(Inventory_Data[[#This Row],[Date]],"YYYY")</f>
        <v>2026</v>
      </c>
    </row>
    <row r="2795" spans="1:17" x14ac:dyDescent="0.3">
      <c r="A2795" s="1">
        <v>46246</v>
      </c>
      <c r="B2795" t="s">
        <v>36</v>
      </c>
      <c r="C2795" t="s">
        <v>22</v>
      </c>
      <c r="D2795" t="s">
        <v>37</v>
      </c>
      <c r="E2795" t="s">
        <v>29</v>
      </c>
      <c r="F2795">
        <v>195</v>
      </c>
      <c r="G2795">
        <v>254</v>
      </c>
      <c r="H2795">
        <v>112</v>
      </c>
      <c r="I2795">
        <v>337</v>
      </c>
      <c r="J2795">
        <v>140</v>
      </c>
      <c r="K2795">
        <v>938</v>
      </c>
      <c r="L2795">
        <v>316106</v>
      </c>
      <c r="M2795">
        <f>Inventory_Data[[#This Row],[Opening Stock]]+Inventory_Data[[#This Row],[Purchase Qty]]-Inventory_Data[[#This Row],[Sales Qty]]-Inventory_Data[[#This Row],[Closing Stock]]</f>
        <v>0</v>
      </c>
      <c r="N2795">
        <f>Inventory_Data[[#This Row],[Purchase Qty]]*Inventory_Data[[#This Row],[Unit Cost]]</f>
        <v>238252</v>
      </c>
      <c r="O2795" t="str">
        <f>IF(Inventory_Data[[#This Row],[Closing Stock]]&lt;=Inventory_Data[[#This Row],[Reorder Level]],"Low Stock","In Stock")</f>
        <v>In Stock</v>
      </c>
      <c r="P2795" t="str">
        <f>TEXT(Inventory_Data[[#This Row],[Date]],"MMM")</f>
        <v>Aug</v>
      </c>
      <c r="Q2795" t="str">
        <f>TEXT(Inventory_Data[[#This Row],[Date]],"YYYY")</f>
        <v>2026</v>
      </c>
    </row>
    <row r="2796" spans="1:17" x14ac:dyDescent="0.3">
      <c r="A2796" s="1">
        <v>46246</v>
      </c>
      <c r="B2796" t="s">
        <v>12</v>
      </c>
      <c r="C2796" t="s">
        <v>13</v>
      </c>
      <c r="D2796" t="s">
        <v>37</v>
      </c>
      <c r="E2796" t="s">
        <v>18</v>
      </c>
      <c r="F2796">
        <v>66</v>
      </c>
      <c r="G2796">
        <v>70</v>
      </c>
      <c r="H2796">
        <v>54</v>
      </c>
      <c r="I2796">
        <v>82</v>
      </c>
      <c r="J2796">
        <v>36</v>
      </c>
      <c r="K2796">
        <v>13158</v>
      </c>
      <c r="L2796">
        <v>1078956</v>
      </c>
      <c r="M2796">
        <f>Inventory_Data[[#This Row],[Opening Stock]]+Inventory_Data[[#This Row],[Purchase Qty]]-Inventory_Data[[#This Row],[Sales Qty]]-Inventory_Data[[#This Row],[Closing Stock]]</f>
        <v>0</v>
      </c>
      <c r="N2796">
        <f>Inventory_Data[[#This Row],[Purchase Qty]]*Inventory_Data[[#This Row],[Unit Cost]]</f>
        <v>921060</v>
      </c>
      <c r="O2796" t="str">
        <f>IF(Inventory_Data[[#This Row],[Closing Stock]]&lt;=Inventory_Data[[#This Row],[Reorder Level]],"Low Stock","In Stock")</f>
        <v>In Stock</v>
      </c>
      <c r="P2796" t="str">
        <f>TEXT(Inventory_Data[[#This Row],[Date]],"MMM")</f>
        <v>Aug</v>
      </c>
      <c r="Q2796" t="str">
        <f>TEXT(Inventory_Data[[#This Row],[Date]],"YYYY")</f>
        <v>2026</v>
      </c>
    </row>
    <row r="2797" spans="1:17" x14ac:dyDescent="0.3">
      <c r="A2797" s="1">
        <v>46246</v>
      </c>
      <c r="B2797" t="s">
        <v>43</v>
      </c>
      <c r="C2797" t="s">
        <v>22</v>
      </c>
      <c r="D2797" t="s">
        <v>14</v>
      </c>
      <c r="E2797" t="s">
        <v>18</v>
      </c>
      <c r="F2797">
        <v>208</v>
      </c>
      <c r="G2797">
        <v>127</v>
      </c>
      <c r="H2797">
        <v>111</v>
      </c>
      <c r="I2797">
        <v>224</v>
      </c>
      <c r="J2797">
        <v>53</v>
      </c>
      <c r="K2797">
        <v>513</v>
      </c>
      <c r="L2797">
        <v>114912</v>
      </c>
      <c r="M2797">
        <f>Inventory_Data[[#This Row],[Opening Stock]]+Inventory_Data[[#This Row],[Purchase Qty]]-Inventory_Data[[#This Row],[Sales Qty]]-Inventory_Data[[#This Row],[Closing Stock]]</f>
        <v>0</v>
      </c>
      <c r="N2797">
        <f>Inventory_Data[[#This Row],[Purchase Qty]]*Inventory_Data[[#This Row],[Unit Cost]]</f>
        <v>65151</v>
      </c>
      <c r="O2797" t="str">
        <f>IF(Inventory_Data[[#This Row],[Closing Stock]]&lt;=Inventory_Data[[#This Row],[Reorder Level]],"Low Stock","In Stock")</f>
        <v>In Stock</v>
      </c>
      <c r="P2797" t="str">
        <f>TEXT(Inventory_Data[[#This Row],[Date]],"MMM")</f>
        <v>Aug</v>
      </c>
      <c r="Q2797" t="str">
        <f>TEXT(Inventory_Data[[#This Row],[Date]],"YYYY")</f>
        <v>2026</v>
      </c>
    </row>
    <row r="2798" spans="1:17" x14ac:dyDescent="0.3">
      <c r="A2798" s="1">
        <v>46246</v>
      </c>
      <c r="B2798" t="s">
        <v>12</v>
      </c>
      <c r="C2798" t="s">
        <v>13</v>
      </c>
      <c r="D2798" t="s">
        <v>26</v>
      </c>
      <c r="E2798" t="s">
        <v>18</v>
      </c>
      <c r="F2798">
        <v>90</v>
      </c>
      <c r="G2798">
        <v>8</v>
      </c>
      <c r="H2798">
        <v>64</v>
      </c>
      <c r="I2798">
        <v>34</v>
      </c>
      <c r="J2798">
        <v>19</v>
      </c>
      <c r="K2798">
        <v>11104</v>
      </c>
      <c r="L2798">
        <v>377536</v>
      </c>
      <c r="M2798">
        <f>Inventory_Data[[#This Row],[Opening Stock]]+Inventory_Data[[#This Row],[Purchase Qty]]-Inventory_Data[[#This Row],[Sales Qty]]-Inventory_Data[[#This Row],[Closing Stock]]</f>
        <v>0</v>
      </c>
      <c r="N2798">
        <f>Inventory_Data[[#This Row],[Purchase Qty]]*Inventory_Data[[#This Row],[Unit Cost]]</f>
        <v>88832</v>
      </c>
      <c r="O2798" t="str">
        <f>IF(Inventory_Data[[#This Row],[Closing Stock]]&lt;=Inventory_Data[[#This Row],[Reorder Level]],"Low Stock","In Stock")</f>
        <v>In Stock</v>
      </c>
      <c r="P2798" t="str">
        <f>TEXT(Inventory_Data[[#This Row],[Date]],"MMM")</f>
        <v>Aug</v>
      </c>
      <c r="Q2798" t="str">
        <f>TEXT(Inventory_Data[[#This Row],[Date]],"YYYY")</f>
        <v>2026</v>
      </c>
    </row>
    <row r="2799" spans="1:17" x14ac:dyDescent="0.3">
      <c r="A2799" s="1">
        <v>46246</v>
      </c>
      <c r="B2799" t="s">
        <v>45</v>
      </c>
      <c r="C2799" t="s">
        <v>13</v>
      </c>
      <c r="D2799" t="s">
        <v>37</v>
      </c>
      <c r="E2799" t="s">
        <v>20</v>
      </c>
      <c r="F2799">
        <v>46</v>
      </c>
      <c r="G2799">
        <v>5</v>
      </c>
      <c r="H2799">
        <v>15</v>
      </c>
      <c r="I2799">
        <v>36</v>
      </c>
      <c r="J2799">
        <v>36</v>
      </c>
      <c r="K2799">
        <v>4538</v>
      </c>
      <c r="L2799">
        <v>163368</v>
      </c>
      <c r="M2799">
        <f>Inventory_Data[[#This Row],[Opening Stock]]+Inventory_Data[[#This Row],[Purchase Qty]]-Inventory_Data[[#This Row],[Sales Qty]]-Inventory_Data[[#This Row],[Closing Stock]]</f>
        <v>0</v>
      </c>
      <c r="N2799">
        <f>Inventory_Data[[#This Row],[Purchase Qty]]*Inventory_Data[[#This Row],[Unit Cost]]</f>
        <v>22690</v>
      </c>
      <c r="O2799" t="str">
        <f>IF(Inventory_Data[[#This Row],[Closing Stock]]&lt;=Inventory_Data[[#This Row],[Reorder Level]],"Low Stock","In Stock")</f>
        <v>Low Stock</v>
      </c>
      <c r="P2799" t="str">
        <f>TEXT(Inventory_Data[[#This Row],[Date]],"MMM")</f>
        <v>Aug</v>
      </c>
      <c r="Q2799" t="str">
        <f>TEXT(Inventory_Data[[#This Row],[Date]],"YYYY")</f>
        <v>2026</v>
      </c>
    </row>
    <row r="2800" spans="1:17" x14ac:dyDescent="0.3">
      <c r="A2800" s="1">
        <v>46246</v>
      </c>
      <c r="B2800" t="s">
        <v>25</v>
      </c>
      <c r="C2800" t="s">
        <v>17</v>
      </c>
      <c r="D2800" t="s">
        <v>23</v>
      </c>
      <c r="E2800" t="s">
        <v>15</v>
      </c>
      <c r="F2800">
        <v>67</v>
      </c>
      <c r="G2800">
        <v>36</v>
      </c>
      <c r="H2800">
        <v>10</v>
      </c>
      <c r="I2800">
        <v>93</v>
      </c>
      <c r="J2800">
        <v>29</v>
      </c>
      <c r="K2800">
        <v>15390</v>
      </c>
      <c r="L2800">
        <v>1431270</v>
      </c>
      <c r="M2800">
        <f>Inventory_Data[[#This Row],[Opening Stock]]+Inventory_Data[[#This Row],[Purchase Qty]]-Inventory_Data[[#This Row],[Sales Qty]]-Inventory_Data[[#This Row],[Closing Stock]]</f>
        <v>0</v>
      </c>
      <c r="N2800">
        <f>Inventory_Data[[#This Row],[Purchase Qty]]*Inventory_Data[[#This Row],[Unit Cost]]</f>
        <v>554040</v>
      </c>
      <c r="O2800" t="str">
        <f>IF(Inventory_Data[[#This Row],[Closing Stock]]&lt;=Inventory_Data[[#This Row],[Reorder Level]],"Low Stock","In Stock")</f>
        <v>In Stock</v>
      </c>
      <c r="P2800" t="str">
        <f>TEXT(Inventory_Data[[#This Row],[Date]],"MMM")</f>
        <v>Aug</v>
      </c>
      <c r="Q2800" t="str">
        <f>TEXT(Inventory_Data[[#This Row],[Date]],"YYYY")</f>
        <v>2026</v>
      </c>
    </row>
    <row r="2801" spans="1:17" x14ac:dyDescent="0.3">
      <c r="A2801" s="1">
        <v>46246</v>
      </c>
      <c r="B2801" t="s">
        <v>41</v>
      </c>
      <c r="C2801" t="s">
        <v>22</v>
      </c>
      <c r="D2801" t="s">
        <v>23</v>
      </c>
      <c r="E2801" t="s">
        <v>34</v>
      </c>
      <c r="F2801">
        <v>307</v>
      </c>
      <c r="G2801">
        <v>156</v>
      </c>
      <c r="H2801">
        <v>97</v>
      </c>
      <c r="I2801">
        <v>366</v>
      </c>
      <c r="J2801">
        <v>72</v>
      </c>
      <c r="K2801">
        <v>35</v>
      </c>
      <c r="L2801">
        <v>12810</v>
      </c>
      <c r="M2801">
        <f>Inventory_Data[[#This Row],[Opening Stock]]+Inventory_Data[[#This Row],[Purchase Qty]]-Inventory_Data[[#This Row],[Sales Qty]]-Inventory_Data[[#This Row],[Closing Stock]]</f>
        <v>0</v>
      </c>
      <c r="N2801">
        <f>Inventory_Data[[#This Row],[Purchase Qty]]*Inventory_Data[[#This Row],[Unit Cost]]</f>
        <v>5460</v>
      </c>
      <c r="O2801" t="str">
        <f>IF(Inventory_Data[[#This Row],[Closing Stock]]&lt;=Inventory_Data[[#This Row],[Reorder Level]],"Low Stock","In Stock")</f>
        <v>In Stock</v>
      </c>
      <c r="P2801" t="str">
        <f>TEXT(Inventory_Data[[#This Row],[Date]],"MMM")</f>
        <v>Aug</v>
      </c>
      <c r="Q2801" t="str">
        <f>TEXT(Inventory_Data[[#This Row],[Date]],"YYYY")</f>
        <v>2026</v>
      </c>
    </row>
    <row r="2802" spans="1:17" x14ac:dyDescent="0.3">
      <c r="A2802" s="1">
        <v>46246</v>
      </c>
      <c r="B2802" t="s">
        <v>39</v>
      </c>
      <c r="C2802" t="s">
        <v>28</v>
      </c>
      <c r="D2802" t="s">
        <v>23</v>
      </c>
      <c r="E2802" t="s">
        <v>20</v>
      </c>
      <c r="F2802">
        <v>155</v>
      </c>
      <c r="G2802">
        <v>86</v>
      </c>
      <c r="H2802">
        <v>74</v>
      </c>
      <c r="I2802">
        <v>167</v>
      </c>
      <c r="J2802">
        <v>51</v>
      </c>
      <c r="K2802">
        <v>49157</v>
      </c>
      <c r="L2802">
        <v>8209219</v>
      </c>
      <c r="M2802">
        <f>Inventory_Data[[#This Row],[Opening Stock]]+Inventory_Data[[#This Row],[Purchase Qty]]-Inventory_Data[[#This Row],[Sales Qty]]-Inventory_Data[[#This Row],[Closing Stock]]</f>
        <v>0</v>
      </c>
      <c r="N2802">
        <f>Inventory_Data[[#This Row],[Purchase Qty]]*Inventory_Data[[#This Row],[Unit Cost]]</f>
        <v>4227502</v>
      </c>
      <c r="O2802" t="str">
        <f>IF(Inventory_Data[[#This Row],[Closing Stock]]&lt;=Inventory_Data[[#This Row],[Reorder Level]],"Low Stock","In Stock")</f>
        <v>In Stock</v>
      </c>
      <c r="P2802" t="str">
        <f>TEXT(Inventory_Data[[#This Row],[Date]],"MMM")</f>
        <v>Aug</v>
      </c>
      <c r="Q2802" t="str">
        <f>TEXT(Inventory_Data[[#This Row],[Date]],"YYYY")</f>
        <v>2026</v>
      </c>
    </row>
    <row r="2803" spans="1:17" x14ac:dyDescent="0.3">
      <c r="A2803" s="1">
        <v>46247</v>
      </c>
      <c r="B2803" t="s">
        <v>36</v>
      </c>
      <c r="C2803" t="s">
        <v>22</v>
      </c>
      <c r="D2803" t="s">
        <v>26</v>
      </c>
      <c r="E2803" t="s">
        <v>18</v>
      </c>
      <c r="F2803">
        <v>126</v>
      </c>
      <c r="G2803">
        <v>283</v>
      </c>
      <c r="H2803">
        <v>267</v>
      </c>
      <c r="I2803">
        <v>142</v>
      </c>
      <c r="J2803">
        <v>134</v>
      </c>
      <c r="K2803">
        <v>282</v>
      </c>
      <c r="L2803">
        <v>40044</v>
      </c>
      <c r="M2803">
        <f>Inventory_Data[[#This Row],[Opening Stock]]+Inventory_Data[[#This Row],[Purchase Qty]]-Inventory_Data[[#This Row],[Sales Qty]]-Inventory_Data[[#This Row],[Closing Stock]]</f>
        <v>0</v>
      </c>
      <c r="N2803">
        <f>Inventory_Data[[#This Row],[Purchase Qty]]*Inventory_Data[[#This Row],[Unit Cost]]</f>
        <v>79806</v>
      </c>
      <c r="O2803" t="str">
        <f>IF(Inventory_Data[[#This Row],[Closing Stock]]&lt;=Inventory_Data[[#This Row],[Reorder Level]],"Low Stock","In Stock")</f>
        <v>In Stock</v>
      </c>
      <c r="P2803" t="str">
        <f>TEXT(Inventory_Data[[#This Row],[Date]],"MMM")</f>
        <v>Aug</v>
      </c>
      <c r="Q2803" t="str">
        <f>TEXT(Inventory_Data[[#This Row],[Date]],"YYYY")</f>
        <v>2026</v>
      </c>
    </row>
    <row r="2804" spans="1:17" x14ac:dyDescent="0.3">
      <c r="A2804" s="1">
        <v>46248</v>
      </c>
      <c r="B2804" t="s">
        <v>16</v>
      </c>
      <c r="C2804" t="s">
        <v>17</v>
      </c>
      <c r="D2804" t="s">
        <v>26</v>
      </c>
      <c r="E2804" t="s">
        <v>24</v>
      </c>
      <c r="F2804">
        <v>69</v>
      </c>
      <c r="G2804">
        <v>38</v>
      </c>
      <c r="H2804">
        <v>37</v>
      </c>
      <c r="I2804">
        <v>70</v>
      </c>
      <c r="J2804">
        <v>10</v>
      </c>
      <c r="K2804">
        <v>22553</v>
      </c>
      <c r="L2804">
        <v>1578710</v>
      </c>
      <c r="M2804">
        <f>Inventory_Data[[#This Row],[Opening Stock]]+Inventory_Data[[#This Row],[Purchase Qty]]-Inventory_Data[[#This Row],[Sales Qty]]-Inventory_Data[[#This Row],[Closing Stock]]</f>
        <v>0</v>
      </c>
      <c r="N2804">
        <f>Inventory_Data[[#This Row],[Purchase Qty]]*Inventory_Data[[#This Row],[Unit Cost]]</f>
        <v>857014</v>
      </c>
      <c r="O2804" t="str">
        <f>IF(Inventory_Data[[#This Row],[Closing Stock]]&lt;=Inventory_Data[[#This Row],[Reorder Level]],"Low Stock","In Stock")</f>
        <v>In Stock</v>
      </c>
      <c r="P2804" t="str">
        <f>TEXT(Inventory_Data[[#This Row],[Date]],"MMM")</f>
        <v>Aug</v>
      </c>
      <c r="Q2804" t="str">
        <f>TEXT(Inventory_Data[[#This Row],[Date]],"YYYY")</f>
        <v>2026</v>
      </c>
    </row>
    <row r="2805" spans="1:17" x14ac:dyDescent="0.3">
      <c r="A2805" s="1">
        <v>46249</v>
      </c>
      <c r="B2805" t="s">
        <v>32</v>
      </c>
      <c r="C2805" t="s">
        <v>28</v>
      </c>
      <c r="D2805" t="s">
        <v>23</v>
      </c>
      <c r="E2805" t="s">
        <v>24</v>
      </c>
      <c r="F2805">
        <v>160</v>
      </c>
      <c r="G2805">
        <v>99</v>
      </c>
      <c r="H2805">
        <v>35</v>
      </c>
      <c r="I2805">
        <v>224</v>
      </c>
      <c r="J2805">
        <v>58</v>
      </c>
      <c r="K2805">
        <v>26259</v>
      </c>
      <c r="L2805">
        <v>5882016</v>
      </c>
      <c r="M2805">
        <f>Inventory_Data[[#This Row],[Opening Stock]]+Inventory_Data[[#This Row],[Purchase Qty]]-Inventory_Data[[#This Row],[Sales Qty]]-Inventory_Data[[#This Row],[Closing Stock]]</f>
        <v>0</v>
      </c>
      <c r="N2805">
        <f>Inventory_Data[[#This Row],[Purchase Qty]]*Inventory_Data[[#This Row],[Unit Cost]]</f>
        <v>2599641</v>
      </c>
      <c r="O2805" t="str">
        <f>IF(Inventory_Data[[#This Row],[Closing Stock]]&lt;=Inventory_Data[[#This Row],[Reorder Level]],"Low Stock","In Stock")</f>
        <v>In Stock</v>
      </c>
      <c r="P2805" t="str">
        <f>TEXT(Inventory_Data[[#This Row],[Date]],"MMM")</f>
        <v>Aug</v>
      </c>
      <c r="Q2805" t="str">
        <f>TEXT(Inventory_Data[[#This Row],[Date]],"YYYY")</f>
        <v>2026</v>
      </c>
    </row>
    <row r="2806" spans="1:17" x14ac:dyDescent="0.3">
      <c r="A2806" s="1">
        <v>46249</v>
      </c>
      <c r="B2806" t="s">
        <v>40</v>
      </c>
      <c r="C2806" t="s">
        <v>28</v>
      </c>
      <c r="D2806" t="s">
        <v>37</v>
      </c>
      <c r="E2806" t="s">
        <v>34</v>
      </c>
      <c r="F2806">
        <v>92</v>
      </c>
      <c r="G2806">
        <v>12</v>
      </c>
      <c r="H2806">
        <v>76</v>
      </c>
      <c r="I2806">
        <v>28</v>
      </c>
      <c r="J2806">
        <v>23</v>
      </c>
      <c r="K2806">
        <v>14661</v>
      </c>
      <c r="L2806">
        <v>410508</v>
      </c>
      <c r="M2806">
        <f>Inventory_Data[[#This Row],[Opening Stock]]+Inventory_Data[[#This Row],[Purchase Qty]]-Inventory_Data[[#This Row],[Sales Qty]]-Inventory_Data[[#This Row],[Closing Stock]]</f>
        <v>0</v>
      </c>
      <c r="N2806">
        <f>Inventory_Data[[#This Row],[Purchase Qty]]*Inventory_Data[[#This Row],[Unit Cost]]</f>
        <v>175932</v>
      </c>
      <c r="O2806" t="str">
        <f>IF(Inventory_Data[[#This Row],[Closing Stock]]&lt;=Inventory_Data[[#This Row],[Reorder Level]],"Low Stock","In Stock")</f>
        <v>In Stock</v>
      </c>
      <c r="P2806" t="str">
        <f>TEXT(Inventory_Data[[#This Row],[Date]],"MMM")</f>
        <v>Aug</v>
      </c>
      <c r="Q2806" t="str">
        <f>TEXT(Inventory_Data[[#This Row],[Date]],"YYYY")</f>
        <v>2026</v>
      </c>
    </row>
    <row r="2807" spans="1:17" x14ac:dyDescent="0.3">
      <c r="A2807" s="1">
        <v>46249</v>
      </c>
      <c r="B2807" t="s">
        <v>36</v>
      </c>
      <c r="C2807" t="s">
        <v>22</v>
      </c>
      <c r="D2807" t="s">
        <v>37</v>
      </c>
      <c r="E2807" t="s">
        <v>29</v>
      </c>
      <c r="F2807">
        <v>232</v>
      </c>
      <c r="G2807">
        <v>46</v>
      </c>
      <c r="H2807">
        <v>179</v>
      </c>
      <c r="I2807">
        <v>99</v>
      </c>
      <c r="J2807">
        <v>135</v>
      </c>
      <c r="K2807">
        <v>359</v>
      </c>
      <c r="L2807">
        <v>35541</v>
      </c>
      <c r="M2807">
        <f>Inventory_Data[[#This Row],[Opening Stock]]+Inventory_Data[[#This Row],[Purchase Qty]]-Inventory_Data[[#This Row],[Sales Qty]]-Inventory_Data[[#This Row],[Closing Stock]]</f>
        <v>0</v>
      </c>
      <c r="N2807">
        <f>Inventory_Data[[#This Row],[Purchase Qty]]*Inventory_Data[[#This Row],[Unit Cost]]</f>
        <v>16514</v>
      </c>
      <c r="O2807" t="str">
        <f>IF(Inventory_Data[[#This Row],[Closing Stock]]&lt;=Inventory_Data[[#This Row],[Reorder Level]],"Low Stock","In Stock")</f>
        <v>Low Stock</v>
      </c>
      <c r="P2807" t="str">
        <f>TEXT(Inventory_Data[[#This Row],[Date]],"MMM")</f>
        <v>Aug</v>
      </c>
      <c r="Q2807" t="str">
        <f>TEXT(Inventory_Data[[#This Row],[Date]],"YYYY")</f>
        <v>2026</v>
      </c>
    </row>
    <row r="2808" spans="1:17" x14ac:dyDescent="0.3">
      <c r="A2808" s="1">
        <v>46250</v>
      </c>
      <c r="B2808" t="s">
        <v>33</v>
      </c>
      <c r="C2808" t="s">
        <v>13</v>
      </c>
      <c r="D2808" t="s">
        <v>23</v>
      </c>
      <c r="E2808" t="s">
        <v>29</v>
      </c>
      <c r="F2808">
        <v>63</v>
      </c>
      <c r="G2808">
        <v>71</v>
      </c>
      <c r="H2808">
        <v>40</v>
      </c>
      <c r="I2808">
        <v>94</v>
      </c>
      <c r="J2808">
        <v>23</v>
      </c>
      <c r="K2808">
        <v>13320</v>
      </c>
      <c r="L2808">
        <v>1252080</v>
      </c>
      <c r="M2808">
        <f>Inventory_Data[[#This Row],[Opening Stock]]+Inventory_Data[[#This Row],[Purchase Qty]]-Inventory_Data[[#This Row],[Sales Qty]]-Inventory_Data[[#This Row],[Closing Stock]]</f>
        <v>0</v>
      </c>
      <c r="N2808">
        <f>Inventory_Data[[#This Row],[Purchase Qty]]*Inventory_Data[[#This Row],[Unit Cost]]</f>
        <v>945720</v>
      </c>
      <c r="O2808" t="str">
        <f>IF(Inventory_Data[[#This Row],[Closing Stock]]&lt;=Inventory_Data[[#This Row],[Reorder Level]],"Low Stock","In Stock")</f>
        <v>In Stock</v>
      </c>
      <c r="P2808" t="str">
        <f>TEXT(Inventory_Data[[#This Row],[Date]],"MMM")</f>
        <v>Aug</v>
      </c>
      <c r="Q2808" t="str">
        <f>TEXT(Inventory_Data[[#This Row],[Date]],"YYYY")</f>
        <v>2026</v>
      </c>
    </row>
    <row r="2809" spans="1:17" x14ac:dyDescent="0.3">
      <c r="A2809" s="1">
        <v>46250</v>
      </c>
      <c r="B2809" t="s">
        <v>43</v>
      </c>
      <c r="C2809" t="s">
        <v>22</v>
      </c>
      <c r="D2809" t="s">
        <v>14</v>
      </c>
      <c r="E2809" t="s">
        <v>34</v>
      </c>
      <c r="F2809">
        <v>335</v>
      </c>
      <c r="G2809">
        <v>48</v>
      </c>
      <c r="H2809">
        <v>119</v>
      </c>
      <c r="I2809">
        <v>264</v>
      </c>
      <c r="J2809">
        <v>83</v>
      </c>
      <c r="K2809">
        <v>524</v>
      </c>
      <c r="L2809">
        <v>138336</v>
      </c>
      <c r="M2809">
        <f>Inventory_Data[[#This Row],[Opening Stock]]+Inventory_Data[[#This Row],[Purchase Qty]]-Inventory_Data[[#This Row],[Sales Qty]]-Inventory_Data[[#This Row],[Closing Stock]]</f>
        <v>0</v>
      </c>
      <c r="N2809">
        <f>Inventory_Data[[#This Row],[Purchase Qty]]*Inventory_Data[[#This Row],[Unit Cost]]</f>
        <v>25152</v>
      </c>
      <c r="O2809" t="str">
        <f>IF(Inventory_Data[[#This Row],[Closing Stock]]&lt;=Inventory_Data[[#This Row],[Reorder Level]],"Low Stock","In Stock")</f>
        <v>In Stock</v>
      </c>
      <c r="P2809" t="str">
        <f>TEXT(Inventory_Data[[#This Row],[Date]],"MMM")</f>
        <v>Aug</v>
      </c>
      <c r="Q2809" t="str">
        <f>TEXT(Inventory_Data[[#This Row],[Date]],"YYYY")</f>
        <v>2026</v>
      </c>
    </row>
    <row r="2810" spans="1:17" x14ac:dyDescent="0.3">
      <c r="A2810" s="1">
        <v>46250</v>
      </c>
      <c r="B2810" t="s">
        <v>25</v>
      </c>
      <c r="C2810" t="s">
        <v>17</v>
      </c>
      <c r="D2810" t="s">
        <v>14</v>
      </c>
      <c r="E2810" t="s">
        <v>20</v>
      </c>
      <c r="F2810">
        <v>42</v>
      </c>
      <c r="G2810">
        <v>35</v>
      </c>
      <c r="H2810">
        <v>43</v>
      </c>
      <c r="I2810">
        <v>34</v>
      </c>
      <c r="J2810">
        <v>13</v>
      </c>
      <c r="K2810">
        <v>9141</v>
      </c>
      <c r="L2810">
        <v>310794</v>
      </c>
      <c r="M2810">
        <f>Inventory_Data[[#This Row],[Opening Stock]]+Inventory_Data[[#This Row],[Purchase Qty]]-Inventory_Data[[#This Row],[Sales Qty]]-Inventory_Data[[#This Row],[Closing Stock]]</f>
        <v>0</v>
      </c>
      <c r="N2810">
        <f>Inventory_Data[[#This Row],[Purchase Qty]]*Inventory_Data[[#This Row],[Unit Cost]]</f>
        <v>319935</v>
      </c>
      <c r="O2810" t="str">
        <f>IF(Inventory_Data[[#This Row],[Closing Stock]]&lt;=Inventory_Data[[#This Row],[Reorder Level]],"Low Stock","In Stock")</f>
        <v>In Stock</v>
      </c>
      <c r="P2810" t="str">
        <f>TEXT(Inventory_Data[[#This Row],[Date]],"MMM")</f>
        <v>Aug</v>
      </c>
      <c r="Q2810" t="str">
        <f>TEXT(Inventory_Data[[#This Row],[Date]],"YYYY")</f>
        <v>2026</v>
      </c>
    </row>
    <row r="2811" spans="1:17" x14ac:dyDescent="0.3">
      <c r="A2811" s="1">
        <v>46250</v>
      </c>
      <c r="B2811" t="s">
        <v>39</v>
      </c>
      <c r="C2811" t="s">
        <v>28</v>
      </c>
      <c r="D2811" t="s">
        <v>14</v>
      </c>
      <c r="E2811" t="s">
        <v>20</v>
      </c>
      <c r="F2811">
        <v>168</v>
      </c>
      <c r="G2811">
        <v>53</v>
      </c>
      <c r="H2811">
        <v>23</v>
      </c>
      <c r="I2811">
        <v>198</v>
      </c>
      <c r="J2811">
        <v>57</v>
      </c>
      <c r="K2811">
        <v>5862</v>
      </c>
      <c r="L2811">
        <v>1160676</v>
      </c>
      <c r="M2811">
        <f>Inventory_Data[[#This Row],[Opening Stock]]+Inventory_Data[[#This Row],[Purchase Qty]]-Inventory_Data[[#This Row],[Sales Qty]]-Inventory_Data[[#This Row],[Closing Stock]]</f>
        <v>0</v>
      </c>
      <c r="N2811">
        <f>Inventory_Data[[#This Row],[Purchase Qty]]*Inventory_Data[[#This Row],[Unit Cost]]</f>
        <v>310686</v>
      </c>
      <c r="O2811" t="str">
        <f>IF(Inventory_Data[[#This Row],[Closing Stock]]&lt;=Inventory_Data[[#This Row],[Reorder Level]],"Low Stock","In Stock")</f>
        <v>In Stock</v>
      </c>
      <c r="P2811" t="str">
        <f>TEXT(Inventory_Data[[#This Row],[Date]],"MMM")</f>
        <v>Aug</v>
      </c>
      <c r="Q2811" t="str">
        <f>TEXT(Inventory_Data[[#This Row],[Date]],"YYYY")</f>
        <v>2026</v>
      </c>
    </row>
    <row r="2812" spans="1:17" x14ac:dyDescent="0.3">
      <c r="A2812" s="1">
        <v>46250</v>
      </c>
      <c r="B2812" t="s">
        <v>39</v>
      </c>
      <c r="C2812" t="s">
        <v>28</v>
      </c>
      <c r="D2812" t="s">
        <v>26</v>
      </c>
      <c r="E2812" t="s">
        <v>29</v>
      </c>
      <c r="F2812">
        <v>88</v>
      </c>
      <c r="G2812">
        <v>78</v>
      </c>
      <c r="H2812">
        <v>24</v>
      </c>
      <c r="I2812">
        <v>142</v>
      </c>
      <c r="J2812">
        <v>35</v>
      </c>
      <c r="K2812">
        <v>48351</v>
      </c>
      <c r="L2812">
        <v>6865842</v>
      </c>
      <c r="M2812">
        <f>Inventory_Data[[#This Row],[Opening Stock]]+Inventory_Data[[#This Row],[Purchase Qty]]-Inventory_Data[[#This Row],[Sales Qty]]-Inventory_Data[[#This Row],[Closing Stock]]</f>
        <v>0</v>
      </c>
      <c r="N2812">
        <f>Inventory_Data[[#This Row],[Purchase Qty]]*Inventory_Data[[#This Row],[Unit Cost]]</f>
        <v>3771378</v>
      </c>
      <c r="O2812" t="str">
        <f>IF(Inventory_Data[[#This Row],[Closing Stock]]&lt;=Inventory_Data[[#This Row],[Reorder Level]],"Low Stock","In Stock")</f>
        <v>In Stock</v>
      </c>
      <c r="P2812" t="str">
        <f>TEXT(Inventory_Data[[#This Row],[Date]],"MMM")</f>
        <v>Aug</v>
      </c>
      <c r="Q2812" t="str">
        <f>TEXT(Inventory_Data[[#This Row],[Date]],"YYYY")</f>
        <v>2026</v>
      </c>
    </row>
    <row r="2813" spans="1:17" x14ac:dyDescent="0.3">
      <c r="A2813" s="1">
        <v>46251</v>
      </c>
      <c r="B2813" t="s">
        <v>19</v>
      </c>
      <c r="C2813" t="s">
        <v>13</v>
      </c>
      <c r="D2813" t="s">
        <v>23</v>
      </c>
      <c r="E2813" t="s">
        <v>34</v>
      </c>
      <c r="F2813">
        <v>97</v>
      </c>
      <c r="G2813">
        <v>7</v>
      </c>
      <c r="H2813">
        <v>11</v>
      </c>
      <c r="I2813">
        <v>93</v>
      </c>
      <c r="J2813">
        <v>31</v>
      </c>
      <c r="K2813">
        <v>955</v>
      </c>
      <c r="L2813">
        <v>88815</v>
      </c>
      <c r="M2813">
        <f>Inventory_Data[[#This Row],[Opening Stock]]+Inventory_Data[[#This Row],[Purchase Qty]]-Inventory_Data[[#This Row],[Sales Qty]]-Inventory_Data[[#This Row],[Closing Stock]]</f>
        <v>0</v>
      </c>
      <c r="N2813">
        <f>Inventory_Data[[#This Row],[Purchase Qty]]*Inventory_Data[[#This Row],[Unit Cost]]</f>
        <v>6685</v>
      </c>
      <c r="O2813" t="str">
        <f>IF(Inventory_Data[[#This Row],[Closing Stock]]&lt;=Inventory_Data[[#This Row],[Reorder Level]],"Low Stock","In Stock")</f>
        <v>In Stock</v>
      </c>
      <c r="P2813" t="str">
        <f>TEXT(Inventory_Data[[#This Row],[Date]],"MMM")</f>
        <v>Aug</v>
      </c>
      <c r="Q2813" t="str">
        <f>TEXT(Inventory_Data[[#This Row],[Date]],"YYYY")</f>
        <v>2026</v>
      </c>
    </row>
    <row r="2814" spans="1:17" x14ac:dyDescent="0.3">
      <c r="A2814" s="1">
        <v>46251</v>
      </c>
      <c r="B2814" t="s">
        <v>43</v>
      </c>
      <c r="C2814" t="s">
        <v>22</v>
      </c>
      <c r="D2814" t="s">
        <v>26</v>
      </c>
      <c r="E2814" t="s">
        <v>20</v>
      </c>
      <c r="F2814">
        <v>436</v>
      </c>
      <c r="G2814">
        <v>248</v>
      </c>
      <c r="H2814">
        <v>127</v>
      </c>
      <c r="I2814">
        <v>557</v>
      </c>
      <c r="J2814">
        <v>129</v>
      </c>
      <c r="K2814">
        <v>612</v>
      </c>
      <c r="L2814">
        <v>340884</v>
      </c>
      <c r="M2814">
        <f>Inventory_Data[[#This Row],[Opening Stock]]+Inventory_Data[[#This Row],[Purchase Qty]]-Inventory_Data[[#This Row],[Sales Qty]]-Inventory_Data[[#This Row],[Closing Stock]]</f>
        <v>0</v>
      </c>
      <c r="N2814">
        <f>Inventory_Data[[#This Row],[Purchase Qty]]*Inventory_Data[[#This Row],[Unit Cost]]</f>
        <v>151776</v>
      </c>
      <c r="O2814" t="str">
        <f>IF(Inventory_Data[[#This Row],[Closing Stock]]&lt;=Inventory_Data[[#This Row],[Reorder Level]],"Low Stock","In Stock")</f>
        <v>In Stock</v>
      </c>
      <c r="P2814" t="str">
        <f>TEXT(Inventory_Data[[#This Row],[Date]],"MMM")</f>
        <v>Aug</v>
      </c>
      <c r="Q2814" t="str">
        <f>TEXT(Inventory_Data[[#This Row],[Date]],"YYYY")</f>
        <v>2026</v>
      </c>
    </row>
    <row r="2815" spans="1:17" x14ac:dyDescent="0.3">
      <c r="A2815" s="1">
        <v>46251</v>
      </c>
      <c r="B2815" t="s">
        <v>43</v>
      </c>
      <c r="C2815" t="s">
        <v>22</v>
      </c>
      <c r="D2815" t="s">
        <v>14</v>
      </c>
      <c r="E2815" t="s">
        <v>34</v>
      </c>
      <c r="F2815">
        <v>285</v>
      </c>
      <c r="G2815">
        <v>165</v>
      </c>
      <c r="H2815">
        <v>12</v>
      </c>
      <c r="I2815">
        <v>438</v>
      </c>
      <c r="J2815">
        <v>137</v>
      </c>
      <c r="K2815">
        <v>135</v>
      </c>
      <c r="L2815">
        <v>59130</v>
      </c>
      <c r="M2815">
        <f>Inventory_Data[[#This Row],[Opening Stock]]+Inventory_Data[[#This Row],[Purchase Qty]]-Inventory_Data[[#This Row],[Sales Qty]]-Inventory_Data[[#This Row],[Closing Stock]]</f>
        <v>0</v>
      </c>
      <c r="N2815">
        <f>Inventory_Data[[#This Row],[Purchase Qty]]*Inventory_Data[[#This Row],[Unit Cost]]</f>
        <v>22275</v>
      </c>
      <c r="O2815" t="str">
        <f>IF(Inventory_Data[[#This Row],[Closing Stock]]&lt;=Inventory_Data[[#This Row],[Reorder Level]],"Low Stock","In Stock")</f>
        <v>In Stock</v>
      </c>
      <c r="P2815" t="str">
        <f>TEXT(Inventory_Data[[#This Row],[Date]],"MMM")</f>
        <v>Aug</v>
      </c>
      <c r="Q2815" t="str">
        <f>TEXT(Inventory_Data[[#This Row],[Date]],"YYYY")</f>
        <v>2026</v>
      </c>
    </row>
    <row r="2816" spans="1:17" x14ac:dyDescent="0.3">
      <c r="A2816" s="1">
        <v>46251</v>
      </c>
      <c r="B2816" t="s">
        <v>25</v>
      </c>
      <c r="C2816" t="s">
        <v>17</v>
      </c>
      <c r="D2816" t="s">
        <v>14</v>
      </c>
      <c r="E2816" t="s">
        <v>20</v>
      </c>
      <c r="F2816">
        <v>26</v>
      </c>
      <c r="G2816">
        <v>8</v>
      </c>
      <c r="H2816">
        <v>8</v>
      </c>
      <c r="I2816">
        <v>26</v>
      </c>
      <c r="J2816">
        <v>14</v>
      </c>
      <c r="K2816">
        <v>2356</v>
      </c>
      <c r="L2816">
        <v>61256</v>
      </c>
      <c r="M2816">
        <f>Inventory_Data[[#This Row],[Opening Stock]]+Inventory_Data[[#This Row],[Purchase Qty]]-Inventory_Data[[#This Row],[Sales Qty]]-Inventory_Data[[#This Row],[Closing Stock]]</f>
        <v>0</v>
      </c>
      <c r="N2816">
        <f>Inventory_Data[[#This Row],[Purchase Qty]]*Inventory_Data[[#This Row],[Unit Cost]]</f>
        <v>18848</v>
      </c>
      <c r="O2816" t="str">
        <f>IF(Inventory_Data[[#This Row],[Closing Stock]]&lt;=Inventory_Data[[#This Row],[Reorder Level]],"Low Stock","In Stock")</f>
        <v>In Stock</v>
      </c>
      <c r="P2816" t="str">
        <f>TEXT(Inventory_Data[[#This Row],[Date]],"MMM")</f>
        <v>Aug</v>
      </c>
      <c r="Q2816" t="str">
        <f>TEXT(Inventory_Data[[#This Row],[Date]],"YYYY")</f>
        <v>2026</v>
      </c>
    </row>
    <row r="2817" spans="1:17" x14ac:dyDescent="0.3">
      <c r="A2817" s="1">
        <v>46251</v>
      </c>
      <c r="B2817" t="s">
        <v>21</v>
      </c>
      <c r="C2817" t="s">
        <v>22</v>
      </c>
      <c r="D2817" t="s">
        <v>26</v>
      </c>
      <c r="E2817" t="s">
        <v>20</v>
      </c>
      <c r="F2817">
        <v>117</v>
      </c>
      <c r="G2817">
        <v>126</v>
      </c>
      <c r="H2817">
        <v>176</v>
      </c>
      <c r="I2817">
        <v>67</v>
      </c>
      <c r="J2817">
        <v>126</v>
      </c>
      <c r="K2817">
        <v>423</v>
      </c>
      <c r="L2817">
        <v>28341</v>
      </c>
      <c r="M2817">
        <f>Inventory_Data[[#This Row],[Opening Stock]]+Inventory_Data[[#This Row],[Purchase Qty]]-Inventory_Data[[#This Row],[Sales Qty]]-Inventory_Data[[#This Row],[Closing Stock]]</f>
        <v>0</v>
      </c>
      <c r="N2817">
        <f>Inventory_Data[[#This Row],[Purchase Qty]]*Inventory_Data[[#This Row],[Unit Cost]]</f>
        <v>53298</v>
      </c>
      <c r="O2817" t="str">
        <f>IF(Inventory_Data[[#This Row],[Closing Stock]]&lt;=Inventory_Data[[#This Row],[Reorder Level]],"Low Stock","In Stock")</f>
        <v>Low Stock</v>
      </c>
      <c r="P2817" t="str">
        <f>TEXT(Inventory_Data[[#This Row],[Date]],"MMM")</f>
        <v>Aug</v>
      </c>
      <c r="Q2817" t="str">
        <f>TEXT(Inventory_Data[[#This Row],[Date]],"YYYY")</f>
        <v>2026</v>
      </c>
    </row>
    <row r="2818" spans="1:17" x14ac:dyDescent="0.3">
      <c r="A2818" s="1">
        <v>46252</v>
      </c>
      <c r="B2818" t="s">
        <v>16</v>
      </c>
      <c r="C2818" t="s">
        <v>17</v>
      </c>
      <c r="D2818" t="s">
        <v>14</v>
      </c>
      <c r="E2818" t="s">
        <v>29</v>
      </c>
      <c r="F2818">
        <v>72</v>
      </c>
      <c r="G2818">
        <v>37</v>
      </c>
      <c r="H2818">
        <v>16</v>
      </c>
      <c r="I2818">
        <v>93</v>
      </c>
      <c r="J2818">
        <v>12</v>
      </c>
      <c r="K2818">
        <v>23240</v>
      </c>
      <c r="L2818">
        <v>2161320</v>
      </c>
      <c r="M2818">
        <f>Inventory_Data[[#This Row],[Opening Stock]]+Inventory_Data[[#This Row],[Purchase Qty]]-Inventory_Data[[#This Row],[Sales Qty]]-Inventory_Data[[#This Row],[Closing Stock]]</f>
        <v>0</v>
      </c>
      <c r="N2818">
        <f>Inventory_Data[[#This Row],[Purchase Qty]]*Inventory_Data[[#This Row],[Unit Cost]]</f>
        <v>859880</v>
      </c>
      <c r="O2818" t="str">
        <f>IF(Inventory_Data[[#This Row],[Closing Stock]]&lt;=Inventory_Data[[#This Row],[Reorder Level]],"Low Stock","In Stock")</f>
        <v>In Stock</v>
      </c>
      <c r="P2818" t="str">
        <f>TEXT(Inventory_Data[[#This Row],[Date]],"MMM")</f>
        <v>Aug</v>
      </c>
      <c r="Q2818" t="str">
        <f>TEXT(Inventory_Data[[#This Row],[Date]],"YYYY")</f>
        <v>2026</v>
      </c>
    </row>
    <row r="2819" spans="1:17" x14ac:dyDescent="0.3">
      <c r="A2819" s="1">
        <v>46252</v>
      </c>
      <c r="B2819" t="s">
        <v>19</v>
      </c>
      <c r="C2819" t="s">
        <v>13</v>
      </c>
      <c r="D2819" t="s">
        <v>26</v>
      </c>
      <c r="E2819" t="s">
        <v>20</v>
      </c>
      <c r="F2819">
        <v>53</v>
      </c>
      <c r="G2819">
        <v>17</v>
      </c>
      <c r="H2819">
        <v>16</v>
      </c>
      <c r="I2819">
        <v>54</v>
      </c>
      <c r="J2819">
        <v>28</v>
      </c>
      <c r="K2819">
        <v>14717</v>
      </c>
      <c r="L2819">
        <v>794718</v>
      </c>
      <c r="M2819">
        <f>Inventory_Data[[#This Row],[Opening Stock]]+Inventory_Data[[#This Row],[Purchase Qty]]-Inventory_Data[[#This Row],[Sales Qty]]-Inventory_Data[[#This Row],[Closing Stock]]</f>
        <v>0</v>
      </c>
      <c r="N2819">
        <f>Inventory_Data[[#This Row],[Purchase Qty]]*Inventory_Data[[#This Row],[Unit Cost]]</f>
        <v>250189</v>
      </c>
      <c r="O2819" t="str">
        <f>IF(Inventory_Data[[#This Row],[Closing Stock]]&lt;=Inventory_Data[[#This Row],[Reorder Level]],"Low Stock","In Stock")</f>
        <v>In Stock</v>
      </c>
      <c r="P2819" t="str">
        <f>TEXT(Inventory_Data[[#This Row],[Date]],"MMM")</f>
        <v>Aug</v>
      </c>
      <c r="Q2819" t="str">
        <f>TEXT(Inventory_Data[[#This Row],[Date]],"YYYY")</f>
        <v>2026</v>
      </c>
    </row>
    <row r="2820" spans="1:17" x14ac:dyDescent="0.3">
      <c r="A2820" s="1">
        <v>46252</v>
      </c>
      <c r="B2820" t="s">
        <v>45</v>
      </c>
      <c r="C2820" t="s">
        <v>13</v>
      </c>
      <c r="D2820" t="s">
        <v>37</v>
      </c>
      <c r="E2820" t="s">
        <v>29</v>
      </c>
      <c r="F2820">
        <v>91</v>
      </c>
      <c r="G2820">
        <v>30</v>
      </c>
      <c r="H2820">
        <v>24</v>
      </c>
      <c r="I2820">
        <v>97</v>
      </c>
      <c r="J2820">
        <v>18</v>
      </c>
      <c r="K2820">
        <v>8912</v>
      </c>
      <c r="L2820">
        <v>864464</v>
      </c>
      <c r="M2820">
        <f>Inventory_Data[[#This Row],[Opening Stock]]+Inventory_Data[[#This Row],[Purchase Qty]]-Inventory_Data[[#This Row],[Sales Qty]]-Inventory_Data[[#This Row],[Closing Stock]]</f>
        <v>0</v>
      </c>
      <c r="N2820">
        <f>Inventory_Data[[#This Row],[Purchase Qty]]*Inventory_Data[[#This Row],[Unit Cost]]</f>
        <v>267360</v>
      </c>
      <c r="O2820" t="str">
        <f>IF(Inventory_Data[[#This Row],[Closing Stock]]&lt;=Inventory_Data[[#This Row],[Reorder Level]],"Low Stock","In Stock")</f>
        <v>In Stock</v>
      </c>
      <c r="P2820" t="str">
        <f>TEXT(Inventory_Data[[#This Row],[Date]],"MMM")</f>
        <v>Aug</v>
      </c>
      <c r="Q2820" t="str">
        <f>TEXT(Inventory_Data[[#This Row],[Date]],"YYYY")</f>
        <v>2026</v>
      </c>
    </row>
    <row r="2821" spans="1:17" x14ac:dyDescent="0.3">
      <c r="A2821" s="1">
        <v>46253</v>
      </c>
      <c r="B2821" t="s">
        <v>43</v>
      </c>
      <c r="C2821" t="s">
        <v>22</v>
      </c>
      <c r="D2821" t="s">
        <v>23</v>
      </c>
      <c r="E2821" t="s">
        <v>34</v>
      </c>
      <c r="F2821">
        <v>325</v>
      </c>
      <c r="G2821">
        <v>216</v>
      </c>
      <c r="H2821">
        <v>55</v>
      </c>
      <c r="I2821">
        <v>486</v>
      </c>
      <c r="J2821">
        <v>104</v>
      </c>
      <c r="K2821">
        <v>918</v>
      </c>
      <c r="L2821">
        <v>446148</v>
      </c>
      <c r="M2821">
        <f>Inventory_Data[[#This Row],[Opening Stock]]+Inventory_Data[[#This Row],[Purchase Qty]]-Inventory_Data[[#This Row],[Sales Qty]]-Inventory_Data[[#This Row],[Closing Stock]]</f>
        <v>0</v>
      </c>
      <c r="N2821">
        <f>Inventory_Data[[#This Row],[Purchase Qty]]*Inventory_Data[[#This Row],[Unit Cost]]</f>
        <v>198288</v>
      </c>
      <c r="O2821" t="str">
        <f>IF(Inventory_Data[[#This Row],[Closing Stock]]&lt;=Inventory_Data[[#This Row],[Reorder Level]],"Low Stock","In Stock")</f>
        <v>In Stock</v>
      </c>
      <c r="P2821" t="str">
        <f>TEXT(Inventory_Data[[#This Row],[Date]],"MMM")</f>
        <v>Aug</v>
      </c>
      <c r="Q2821" t="str">
        <f>TEXT(Inventory_Data[[#This Row],[Date]],"YYYY")</f>
        <v>2026</v>
      </c>
    </row>
    <row r="2822" spans="1:17" x14ac:dyDescent="0.3">
      <c r="A2822" s="1">
        <v>46253</v>
      </c>
      <c r="B2822" t="s">
        <v>19</v>
      </c>
      <c r="C2822" t="s">
        <v>13</v>
      </c>
      <c r="D2822" t="s">
        <v>14</v>
      </c>
      <c r="E2822" t="s">
        <v>20</v>
      </c>
      <c r="F2822">
        <v>86</v>
      </c>
      <c r="G2822">
        <v>55</v>
      </c>
      <c r="H2822">
        <v>28</v>
      </c>
      <c r="I2822">
        <v>113</v>
      </c>
      <c r="J2822">
        <v>19</v>
      </c>
      <c r="K2822">
        <v>15260</v>
      </c>
      <c r="L2822">
        <v>1724380</v>
      </c>
      <c r="M2822">
        <f>Inventory_Data[[#This Row],[Opening Stock]]+Inventory_Data[[#This Row],[Purchase Qty]]-Inventory_Data[[#This Row],[Sales Qty]]-Inventory_Data[[#This Row],[Closing Stock]]</f>
        <v>0</v>
      </c>
      <c r="N2822">
        <f>Inventory_Data[[#This Row],[Purchase Qty]]*Inventory_Data[[#This Row],[Unit Cost]]</f>
        <v>839300</v>
      </c>
      <c r="O2822" t="str">
        <f>IF(Inventory_Data[[#This Row],[Closing Stock]]&lt;=Inventory_Data[[#This Row],[Reorder Level]],"Low Stock","In Stock")</f>
        <v>In Stock</v>
      </c>
      <c r="P2822" t="str">
        <f>TEXT(Inventory_Data[[#This Row],[Date]],"MMM")</f>
        <v>Aug</v>
      </c>
      <c r="Q2822" t="str">
        <f>TEXT(Inventory_Data[[#This Row],[Date]],"YYYY")</f>
        <v>2026</v>
      </c>
    </row>
    <row r="2823" spans="1:17" x14ac:dyDescent="0.3">
      <c r="A2823" s="1">
        <v>46253</v>
      </c>
      <c r="B2823" t="s">
        <v>19</v>
      </c>
      <c r="C2823" t="s">
        <v>13</v>
      </c>
      <c r="D2823" t="s">
        <v>26</v>
      </c>
      <c r="E2823" t="s">
        <v>29</v>
      </c>
      <c r="F2823">
        <v>62</v>
      </c>
      <c r="G2823">
        <v>45</v>
      </c>
      <c r="H2823">
        <v>36</v>
      </c>
      <c r="I2823">
        <v>71</v>
      </c>
      <c r="J2823">
        <v>17</v>
      </c>
      <c r="K2823">
        <v>12337</v>
      </c>
      <c r="L2823">
        <v>875927</v>
      </c>
      <c r="M2823">
        <f>Inventory_Data[[#This Row],[Opening Stock]]+Inventory_Data[[#This Row],[Purchase Qty]]-Inventory_Data[[#This Row],[Sales Qty]]-Inventory_Data[[#This Row],[Closing Stock]]</f>
        <v>0</v>
      </c>
      <c r="N2823">
        <f>Inventory_Data[[#This Row],[Purchase Qty]]*Inventory_Data[[#This Row],[Unit Cost]]</f>
        <v>555165</v>
      </c>
      <c r="O2823" t="str">
        <f>IF(Inventory_Data[[#This Row],[Closing Stock]]&lt;=Inventory_Data[[#This Row],[Reorder Level]],"Low Stock","In Stock")</f>
        <v>In Stock</v>
      </c>
      <c r="P2823" t="str">
        <f>TEXT(Inventory_Data[[#This Row],[Date]],"MMM")</f>
        <v>Aug</v>
      </c>
      <c r="Q2823" t="str">
        <f>TEXT(Inventory_Data[[#This Row],[Date]],"YYYY")</f>
        <v>2026</v>
      </c>
    </row>
    <row r="2824" spans="1:17" x14ac:dyDescent="0.3">
      <c r="A2824" s="1">
        <v>46253</v>
      </c>
      <c r="B2824" t="s">
        <v>25</v>
      </c>
      <c r="C2824" t="s">
        <v>17</v>
      </c>
      <c r="D2824" t="s">
        <v>23</v>
      </c>
      <c r="E2824" t="s">
        <v>34</v>
      </c>
      <c r="F2824">
        <v>15</v>
      </c>
      <c r="G2824">
        <v>57</v>
      </c>
      <c r="H2824">
        <v>35</v>
      </c>
      <c r="I2824">
        <v>37</v>
      </c>
      <c r="J2824">
        <v>18</v>
      </c>
      <c r="K2824">
        <v>4089</v>
      </c>
      <c r="L2824">
        <v>151293</v>
      </c>
      <c r="M2824">
        <f>Inventory_Data[[#This Row],[Opening Stock]]+Inventory_Data[[#This Row],[Purchase Qty]]-Inventory_Data[[#This Row],[Sales Qty]]-Inventory_Data[[#This Row],[Closing Stock]]</f>
        <v>0</v>
      </c>
      <c r="N2824">
        <f>Inventory_Data[[#This Row],[Purchase Qty]]*Inventory_Data[[#This Row],[Unit Cost]]</f>
        <v>233073</v>
      </c>
      <c r="O2824" t="str">
        <f>IF(Inventory_Data[[#This Row],[Closing Stock]]&lt;=Inventory_Data[[#This Row],[Reorder Level]],"Low Stock","In Stock")</f>
        <v>In Stock</v>
      </c>
      <c r="P2824" t="str">
        <f>TEXT(Inventory_Data[[#This Row],[Date]],"MMM")</f>
        <v>Aug</v>
      </c>
      <c r="Q2824" t="str">
        <f>TEXT(Inventory_Data[[#This Row],[Date]],"YYYY")</f>
        <v>2026</v>
      </c>
    </row>
    <row r="2825" spans="1:17" x14ac:dyDescent="0.3">
      <c r="A2825" s="1">
        <v>46253</v>
      </c>
      <c r="B2825" t="s">
        <v>38</v>
      </c>
      <c r="C2825" t="s">
        <v>17</v>
      </c>
      <c r="D2825" t="s">
        <v>14</v>
      </c>
      <c r="E2825" t="s">
        <v>20</v>
      </c>
      <c r="F2825">
        <v>31</v>
      </c>
      <c r="G2825">
        <v>45</v>
      </c>
      <c r="H2825">
        <v>22</v>
      </c>
      <c r="I2825">
        <v>54</v>
      </c>
      <c r="J2825">
        <v>15</v>
      </c>
      <c r="K2825">
        <v>24576</v>
      </c>
      <c r="L2825">
        <v>1327104</v>
      </c>
      <c r="M2825">
        <f>Inventory_Data[[#This Row],[Opening Stock]]+Inventory_Data[[#This Row],[Purchase Qty]]-Inventory_Data[[#This Row],[Sales Qty]]-Inventory_Data[[#This Row],[Closing Stock]]</f>
        <v>0</v>
      </c>
      <c r="N2825">
        <f>Inventory_Data[[#This Row],[Purchase Qty]]*Inventory_Data[[#This Row],[Unit Cost]]</f>
        <v>1105920</v>
      </c>
      <c r="O2825" t="str">
        <f>IF(Inventory_Data[[#This Row],[Closing Stock]]&lt;=Inventory_Data[[#This Row],[Reorder Level]],"Low Stock","In Stock")</f>
        <v>In Stock</v>
      </c>
      <c r="P2825" t="str">
        <f>TEXT(Inventory_Data[[#This Row],[Date]],"MMM")</f>
        <v>Aug</v>
      </c>
      <c r="Q2825" t="str">
        <f>TEXT(Inventory_Data[[#This Row],[Date]],"YYYY")</f>
        <v>2026</v>
      </c>
    </row>
    <row r="2826" spans="1:17" x14ac:dyDescent="0.3">
      <c r="A2826" s="1">
        <v>46253</v>
      </c>
      <c r="B2826" t="s">
        <v>30</v>
      </c>
      <c r="C2826" t="s">
        <v>28</v>
      </c>
      <c r="D2826" t="s">
        <v>23</v>
      </c>
      <c r="E2826" t="s">
        <v>24</v>
      </c>
      <c r="F2826">
        <v>49</v>
      </c>
      <c r="G2826">
        <v>113</v>
      </c>
      <c r="H2826">
        <v>69</v>
      </c>
      <c r="I2826">
        <v>93</v>
      </c>
      <c r="J2826">
        <v>43</v>
      </c>
      <c r="K2826">
        <v>44855</v>
      </c>
      <c r="L2826">
        <v>4171515</v>
      </c>
      <c r="M2826">
        <f>Inventory_Data[[#This Row],[Opening Stock]]+Inventory_Data[[#This Row],[Purchase Qty]]-Inventory_Data[[#This Row],[Sales Qty]]-Inventory_Data[[#This Row],[Closing Stock]]</f>
        <v>0</v>
      </c>
      <c r="N2826">
        <f>Inventory_Data[[#This Row],[Purchase Qty]]*Inventory_Data[[#This Row],[Unit Cost]]</f>
        <v>5068615</v>
      </c>
      <c r="O2826" t="str">
        <f>IF(Inventory_Data[[#This Row],[Closing Stock]]&lt;=Inventory_Data[[#This Row],[Reorder Level]],"Low Stock","In Stock")</f>
        <v>In Stock</v>
      </c>
      <c r="P2826" t="str">
        <f>TEXT(Inventory_Data[[#This Row],[Date]],"MMM")</f>
        <v>Aug</v>
      </c>
      <c r="Q2826" t="str">
        <f>TEXT(Inventory_Data[[#This Row],[Date]],"YYYY")</f>
        <v>2026</v>
      </c>
    </row>
    <row r="2827" spans="1:17" x14ac:dyDescent="0.3">
      <c r="A2827" s="1">
        <v>46254</v>
      </c>
      <c r="B2827" t="s">
        <v>40</v>
      </c>
      <c r="C2827" t="s">
        <v>28</v>
      </c>
      <c r="D2827" t="s">
        <v>23</v>
      </c>
      <c r="E2827" t="s">
        <v>20</v>
      </c>
      <c r="F2827">
        <v>95</v>
      </c>
      <c r="G2827">
        <v>22</v>
      </c>
      <c r="H2827">
        <v>43</v>
      </c>
      <c r="I2827">
        <v>74</v>
      </c>
      <c r="J2827">
        <v>47</v>
      </c>
      <c r="K2827">
        <v>14646</v>
      </c>
      <c r="L2827">
        <v>1083804</v>
      </c>
      <c r="M2827">
        <f>Inventory_Data[[#This Row],[Opening Stock]]+Inventory_Data[[#This Row],[Purchase Qty]]-Inventory_Data[[#This Row],[Sales Qty]]-Inventory_Data[[#This Row],[Closing Stock]]</f>
        <v>0</v>
      </c>
      <c r="N2827">
        <f>Inventory_Data[[#This Row],[Purchase Qty]]*Inventory_Data[[#This Row],[Unit Cost]]</f>
        <v>322212</v>
      </c>
      <c r="O2827" t="str">
        <f>IF(Inventory_Data[[#This Row],[Closing Stock]]&lt;=Inventory_Data[[#This Row],[Reorder Level]],"Low Stock","In Stock")</f>
        <v>In Stock</v>
      </c>
      <c r="P2827" t="str">
        <f>TEXT(Inventory_Data[[#This Row],[Date]],"MMM")</f>
        <v>Aug</v>
      </c>
      <c r="Q2827" t="str">
        <f>TEXT(Inventory_Data[[#This Row],[Date]],"YYYY")</f>
        <v>2026</v>
      </c>
    </row>
    <row r="2828" spans="1:17" x14ac:dyDescent="0.3">
      <c r="A2828" s="1">
        <v>46254</v>
      </c>
      <c r="B2828" t="s">
        <v>43</v>
      </c>
      <c r="C2828" t="s">
        <v>22</v>
      </c>
      <c r="D2828" t="s">
        <v>26</v>
      </c>
      <c r="E2828" t="s">
        <v>20</v>
      </c>
      <c r="F2828">
        <v>188</v>
      </c>
      <c r="G2828">
        <v>68</v>
      </c>
      <c r="H2828">
        <v>114</v>
      </c>
      <c r="I2828">
        <v>142</v>
      </c>
      <c r="J2828">
        <v>74</v>
      </c>
      <c r="K2828">
        <v>343</v>
      </c>
      <c r="L2828">
        <v>48706</v>
      </c>
      <c r="M2828">
        <f>Inventory_Data[[#This Row],[Opening Stock]]+Inventory_Data[[#This Row],[Purchase Qty]]-Inventory_Data[[#This Row],[Sales Qty]]-Inventory_Data[[#This Row],[Closing Stock]]</f>
        <v>0</v>
      </c>
      <c r="N2828">
        <f>Inventory_Data[[#This Row],[Purchase Qty]]*Inventory_Data[[#This Row],[Unit Cost]]</f>
        <v>23324</v>
      </c>
      <c r="O2828" t="str">
        <f>IF(Inventory_Data[[#This Row],[Closing Stock]]&lt;=Inventory_Data[[#This Row],[Reorder Level]],"Low Stock","In Stock")</f>
        <v>In Stock</v>
      </c>
      <c r="P2828" t="str">
        <f>TEXT(Inventory_Data[[#This Row],[Date]],"MMM")</f>
        <v>Aug</v>
      </c>
      <c r="Q2828" t="str">
        <f>TEXT(Inventory_Data[[#This Row],[Date]],"YYYY")</f>
        <v>2026</v>
      </c>
    </row>
    <row r="2829" spans="1:17" x14ac:dyDescent="0.3">
      <c r="A2829" s="1">
        <v>46254</v>
      </c>
      <c r="B2829" t="s">
        <v>44</v>
      </c>
      <c r="C2829" t="s">
        <v>28</v>
      </c>
      <c r="D2829" t="s">
        <v>14</v>
      </c>
      <c r="E2829" t="s">
        <v>20</v>
      </c>
      <c r="F2829">
        <v>65</v>
      </c>
      <c r="G2829">
        <v>18</v>
      </c>
      <c r="H2829">
        <v>21</v>
      </c>
      <c r="I2829">
        <v>62</v>
      </c>
      <c r="J2829">
        <v>40</v>
      </c>
      <c r="K2829">
        <v>36686</v>
      </c>
      <c r="L2829">
        <v>2274532</v>
      </c>
      <c r="M2829">
        <f>Inventory_Data[[#This Row],[Opening Stock]]+Inventory_Data[[#This Row],[Purchase Qty]]-Inventory_Data[[#This Row],[Sales Qty]]-Inventory_Data[[#This Row],[Closing Stock]]</f>
        <v>0</v>
      </c>
      <c r="N2829">
        <f>Inventory_Data[[#This Row],[Purchase Qty]]*Inventory_Data[[#This Row],[Unit Cost]]</f>
        <v>660348</v>
      </c>
      <c r="O2829" t="str">
        <f>IF(Inventory_Data[[#This Row],[Closing Stock]]&lt;=Inventory_Data[[#This Row],[Reorder Level]],"Low Stock","In Stock")</f>
        <v>In Stock</v>
      </c>
      <c r="P2829" t="str">
        <f>TEXT(Inventory_Data[[#This Row],[Date]],"MMM")</f>
        <v>Aug</v>
      </c>
      <c r="Q2829" t="str">
        <f>TEXT(Inventory_Data[[#This Row],[Date]],"YYYY")</f>
        <v>2026</v>
      </c>
    </row>
    <row r="2830" spans="1:17" x14ac:dyDescent="0.3">
      <c r="A2830" s="1">
        <v>46255</v>
      </c>
      <c r="B2830" t="s">
        <v>32</v>
      </c>
      <c r="C2830" t="s">
        <v>28</v>
      </c>
      <c r="D2830" t="s">
        <v>37</v>
      </c>
      <c r="E2830" t="s">
        <v>34</v>
      </c>
      <c r="F2830">
        <v>145</v>
      </c>
      <c r="G2830">
        <v>17</v>
      </c>
      <c r="H2830">
        <v>85</v>
      </c>
      <c r="I2830">
        <v>77</v>
      </c>
      <c r="J2830">
        <v>46</v>
      </c>
      <c r="K2830">
        <v>18259</v>
      </c>
      <c r="L2830">
        <v>1405943</v>
      </c>
      <c r="M2830">
        <f>Inventory_Data[[#This Row],[Opening Stock]]+Inventory_Data[[#This Row],[Purchase Qty]]-Inventory_Data[[#This Row],[Sales Qty]]-Inventory_Data[[#This Row],[Closing Stock]]</f>
        <v>0</v>
      </c>
      <c r="N2830">
        <f>Inventory_Data[[#This Row],[Purchase Qty]]*Inventory_Data[[#This Row],[Unit Cost]]</f>
        <v>310403</v>
      </c>
      <c r="O2830" t="str">
        <f>IF(Inventory_Data[[#This Row],[Closing Stock]]&lt;=Inventory_Data[[#This Row],[Reorder Level]],"Low Stock","In Stock")</f>
        <v>In Stock</v>
      </c>
      <c r="P2830" t="str">
        <f>TEXT(Inventory_Data[[#This Row],[Date]],"MMM")</f>
        <v>Aug</v>
      </c>
      <c r="Q2830" t="str">
        <f>TEXT(Inventory_Data[[#This Row],[Date]],"YYYY")</f>
        <v>2026</v>
      </c>
    </row>
    <row r="2831" spans="1:17" x14ac:dyDescent="0.3">
      <c r="A2831" s="1">
        <v>46255</v>
      </c>
      <c r="B2831" t="s">
        <v>27</v>
      </c>
      <c r="C2831" t="s">
        <v>28</v>
      </c>
      <c r="D2831" t="s">
        <v>26</v>
      </c>
      <c r="E2831" t="s">
        <v>34</v>
      </c>
      <c r="F2831">
        <v>152</v>
      </c>
      <c r="G2831">
        <v>73</v>
      </c>
      <c r="H2831">
        <v>54</v>
      </c>
      <c r="I2831">
        <v>171</v>
      </c>
      <c r="J2831">
        <v>42</v>
      </c>
      <c r="K2831">
        <v>7945</v>
      </c>
      <c r="L2831">
        <v>1358595</v>
      </c>
      <c r="M2831">
        <f>Inventory_Data[[#This Row],[Opening Stock]]+Inventory_Data[[#This Row],[Purchase Qty]]-Inventory_Data[[#This Row],[Sales Qty]]-Inventory_Data[[#This Row],[Closing Stock]]</f>
        <v>0</v>
      </c>
      <c r="N2831">
        <f>Inventory_Data[[#This Row],[Purchase Qty]]*Inventory_Data[[#This Row],[Unit Cost]]</f>
        <v>579985</v>
      </c>
      <c r="O2831" t="str">
        <f>IF(Inventory_Data[[#This Row],[Closing Stock]]&lt;=Inventory_Data[[#This Row],[Reorder Level]],"Low Stock","In Stock")</f>
        <v>In Stock</v>
      </c>
      <c r="P2831" t="str">
        <f>TEXT(Inventory_Data[[#This Row],[Date]],"MMM")</f>
        <v>Aug</v>
      </c>
      <c r="Q2831" t="str">
        <f>TEXT(Inventory_Data[[#This Row],[Date]],"YYYY")</f>
        <v>2026</v>
      </c>
    </row>
    <row r="2832" spans="1:17" x14ac:dyDescent="0.3">
      <c r="A2832" s="1">
        <v>46255</v>
      </c>
      <c r="B2832" t="s">
        <v>39</v>
      </c>
      <c r="C2832" t="s">
        <v>28</v>
      </c>
      <c r="D2832" t="s">
        <v>14</v>
      </c>
      <c r="E2832" t="s">
        <v>24</v>
      </c>
      <c r="F2832">
        <v>48</v>
      </c>
      <c r="G2832">
        <v>69</v>
      </c>
      <c r="H2832">
        <v>58</v>
      </c>
      <c r="I2832">
        <v>59</v>
      </c>
      <c r="J2832">
        <v>24</v>
      </c>
      <c r="K2832">
        <v>9596</v>
      </c>
      <c r="L2832">
        <v>566164</v>
      </c>
      <c r="M2832">
        <f>Inventory_Data[[#This Row],[Opening Stock]]+Inventory_Data[[#This Row],[Purchase Qty]]-Inventory_Data[[#This Row],[Sales Qty]]-Inventory_Data[[#This Row],[Closing Stock]]</f>
        <v>0</v>
      </c>
      <c r="N2832">
        <f>Inventory_Data[[#This Row],[Purchase Qty]]*Inventory_Data[[#This Row],[Unit Cost]]</f>
        <v>662124</v>
      </c>
      <c r="O2832" t="str">
        <f>IF(Inventory_Data[[#This Row],[Closing Stock]]&lt;=Inventory_Data[[#This Row],[Reorder Level]],"Low Stock","In Stock")</f>
        <v>In Stock</v>
      </c>
      <c r="P2832" t="str">
        <f>TEXT(Inventory_Data[[#This Row],[Date]],"MMM")</f>
        <v>Aug</v>
      </c>
      <c r="Q2832" t="str">
        <f>TEXT(Inventory_Data[[#This Row],[Date]],"YYYY")</f>
        <v>2026</v>
      </c>
    </row>
    <row r="2833" spans="1:17" x14ac:dyDescent="0.3">
      <c r="A2833" s="1">
        <v>46255</v>
      </c>
      <c r="B2833" t="s">
        <v>21</v>
      </c>
      <c r="C2833" t="s">
        <v>22</v>
      </c>
      <c r="D2833" t="s">
        <v>37</v>
      </c>
      <c r="E2833" t="s">
        <v>24</v>
      </c>
      <c r="F2833">
        <v>182</v>
      </c>
      <c r="G2833">
        <v>42</v>
      </c>
      <c r="H2833">
        <v>37</v>
      </c>
      <c r="I2833">
        <v>187</v>
      </c>
      <c r="J2833">
        <v>133</v>
      </c>
      <c r="K2833">
        <v>525</v>
      </c>
      <c r="L2833">
        <v>98175</v>
      </c>
      <c r="M2833">
        <f>Inventory_Data[[#This Row],[Opening Stock]]+Inventory_Data[[#This Row],[Purchase Qty]]-Inventory_Data[[#This Row],[Sales Qty]]-Inventory_Data[[#This Row],[Closing Stock]]</f>
        <v>0</v>
      </c>
      <c r="N2833">
        <f>Inventory_Data[[#This Row],[Purchase Qty]]*Inventory_Data[[#This Row],[Unit Cost]]</f>
        <v>22050</v>
      </c>
      <c r="O2833" t="str">
        <f>IF(Inventory_Data[[#This Row],[Closing Stock]]&lt;=Inventory_Data[[#This Row],[Reorder Level]],"Low Stock","In Stock")</f>
        <v>In Stock</v>
      </c>
      <c r="P2833" t="str">
        <f>TEXT(Inventory_Data[[#This Row],[Date]],"MMM")</f>
        <v>Aug</v>
      </c>
      <c r="Q2833" t="str">
        <f>TEXT(Inventory_Data[[#This Row],[Date]],"YYYY")</f>
        <v>2026</v>
      </c>
    </row>
    <row r="2834" spans="1:17" x14ac:dyDescent="0.3">
      <c r="A2834" s="1">
        <v>46255</v>
      </c>
      <c r="B2834" t="s">
        <v>12</v>
      </c>
      <c r="C2834" t="s">
        <v>13</v>
      </c>
      <c r="D2834" t="s">
        <v>23</v>
      </c>
      <c r="E2834" t="s">
        <v>34</v>
      </c>
      <c r="F2834">
        <v>49</v>
      </c>
      <c r="G2834">
        <v>34</v>
      </c>
      <c r="H2834">
        <v>55</v>
      </c>
      <c r="I2834">
        <v>28</v>
      </c>
      <c r="J2834">
        <v>20</v>
      </c>
      <c r="K2834">
        <v>15712</v>
      </c>
      <c r="L2834">
        <v>439936</v>
      </c>
      <c r="M2834">
        <f>Inventory_Data[[#This Row],[Opening Stock]]+Inventory_Data[[#This Row],[Purchase Qty]]-Inventory_Data[[#This Row],[Sales Qty]]-Inventory_Data[[#This Row],[Closing Stock]]</f>
        <v>0</v>
      </c>
      <c r="N2834">
        <f>Inventory_Data[[#This Row],[Purchase Qty]]*Inventory_Data[[#This Row],[Unit Cost]]</f>
        <v>534208</v>
      </c>
      <c r="O2834" t="str">
        <f>IF(Inventory_Data[[#This Row],[Closing Stock]]&lt;=Inventory_Data[[#This Row],[Reorder Level]],"Low Stock","In Stock")</f>
        <v>In Stock</v>
      </c>
      <c r="P2834" t="str">
        <f>TEXT(Inventory_Data[[#This Row],[Date]],"MMM")</f>
        <v>Aug</v>
      </c>
      <c r="Q2834" t="str">
        <f>TEXT(Inventory_Data[[#This Row],[Date]],"YYYY")</f>
        <v>2026</v>
      </c>
    </row>
    <row r="2835" spans="1:17" x14ac:dyDescent="0.3">
      <c r="A2835" s="1">
        <v>46256</v>
      </c>
      <c r="B2835" t="s">
        <v>43</v>
      </c>
      <c r="C2835" t="s">
        <v>22</v>
      </c>
      <c r="D2835" t="s">
        <v>14</v>
      </c>
      <c r="E2835" t="s">
        <v>20</v>
      </c>
      <c r="F2835">
        <v>191</v>
      </c>
      <c r="G2835">
        <v>228</v>
      </c>
      <c r="H2835">
        <v>55</v>
      </c>
      <c r="I2835">
        <v>364</v>
      </c>
      <c r="J2835">
        <v>103</v>
      </c>
      <c r="K2835">
        <v>700</v>
      </c>
      <c r="L2835">
        <v>254800</v>
      </c>
      <c r="M2835">
        <f>Inventory_Data[[#This Row],[Opening Stock]]+Inventory_Data[[#This Row],[Purchase Qty]]-Inventory_Data[[#This Row],[Sales Qty]]-Inventory_Data[[#This Row],[Closing Stock]]</f>
        <v>0</v>
      </c>
      <c r="N2835">
        <f>Inventory_Data[[#This Row],[Purchase Qty]]*Inventory_Data[[#This Row],[Unit Cost]]</f>
        <v>159600</v>
      </c>
      <c r="O2835" t="str">
        <f>IF(Inventory_Data[[#This Row],[Closing Stock]]&lt;=Inventory_Data[[#This Row],[Reorder Level]],"Low Stock","In Stock")</f>
        <v>In Stock</v>
      </c>
      <c r="P2835" t="str">
        <f>TEXT(Inventory_Data[[#This Row],[Date]],"MMM")</f>
        <v>Aug</v>
      </c>
      <c r="Q2835" t="str">
        <f>TEXT(Inventory_Data[[#This Row],[Date]],"YYYY")</f>
        <v>2026</v>
      </c>
    </row>
    <row r="2836" spans="1:17" x14ac:dyDescent="0.3">
      <c r="A2836" s="1">
        <v>46256</v>
      </c>
      <c r="B2836" t="s">
        <v>43</v>
      </c>
      <c r="C2836" t="s">
        <v>22</v>
      </c>
      <c r="D2836" t="s">
        <v>14</v>
      </c>
      <c r="E2836" t="s">
        <v>20</v>
      </c>
      <c r="F2836">
        <v>253</v>
      </c>
      <c r="G2836">
        <v>248</v>
      </c>
      <c r="H2836">
        <v>250</v>
      </c>
      <c r="I2836">
        <v>251</v>
      </c>
      <c r="J2836">
        <v>113</v>
      </c>
      <c r="K2836">
        <v>942</v>
      </c>
      <c r="L2836">
        <v>236442</v>
      </c>
      <c r="M2836">
        <f>Inventory_Data[[#This Row],[Opening Stock]]+Inventory_Data[[#This Row],[Purchase Qty]]-Inventory_Data[[#This Row],[Sales Qty]]-Inventory_Data[[#This Row],[Closing Stock]]</f>
        <v>0</v>
      </c>
      <c r="N2836">
        <f>Inventory_Data[[#This Row],[Purchase Qty]]*Inventory_Data[[#This Row],[Unit Cost]]</f>
        <v>233616</v>
      </c>
      <c r="O2836" t="str">
        <f>IF(Inventory_Data[[#This Row],[Closing Stock]]&lt;=Inventory_Data[[#This Row],[Reorder Level]],"Low Stock","In Stock")</f>
        <v>In Stock</v>
      </c>
      <c r="P2836" t="str">
        <f>TEXT(Inventory_Data[[#This Row],[Date]],"MMM")</f>
        <v>Aug</v>
      </c>
      <c r="Q2836" t="str">
        <f>TEXT(Inventory_Data[[#This Row],[Date]],"YYYY")</f>
        <v>2026</v>
      </c>
    </row>
    <row r="2837" spans="1:17" x14ac:dyDescent="0.3">
      <c r="A2837" s="1">
        <v>46256</v>
      </c>
      <c r="B2837" t="s">
        <v>39</v>
      </c>
      <c r="C2837" t="s">
        <v>28</v>
      </c>
      <c r="D2837" t="s">
        <v>23</v>
      </c>
      <c r="E2837" t="s">
        <v>34</v>
      </c>
      <c r="F2837">
        <v>67</v>
      </c>
      <c r="G2837">
        <v>97</v>
      </c>
      <c r="H2837">
        <v>83</v>
      </c>
      <c r="I2837">
        <v>81</v>
      </c>
      <c r="J2837">
        <v>23</v>
      </c>
      <c r="K2837">
        <v>52482</v>
      </c>
      <c r="L2837">
        <v>4251042</v>
      </c>
      <c r="M2837">
        <f>Inventory_Data[[#This Row],[Opening Stock]]+Inventory_Data[[#This Row],[Purchase Qty]]-Inventory_Data[[#This Row],[Sales Qty]]-Inventory_Data[[#This Row],[Closing Stock]]</f>
        <v>0</v>
      </c>
      <c r="N2837">
        <f>Inventory_Data[[#This Row],[Purchase Qty]]*Inventory_Data[[#This Row],[Unit Cost]]</f>
        <v>5090754</v>
      </c>
      <c r="O2837" t="str">
        <f>IF(Inventory_Data[[#This Row],[Closing Stock]]&lt;=Inventory_Data[[#This Row],[Reorder Level]],"Low Stock","In Stock")</f>
        <v>In Stock</v>
      </c>
      <c r="P2837" t="str">
        <f>TEXT(Inventory_Data[[#This Row],[Date]],"MMM")</f>
        <v>Aug</v>
      </c>
      <c r="Q2837" t="str">
        <f>TEXT(Inventory_Data[[#This Row],[Date]],"YYYY")</f>
        <v>2026</v>
      </c>
    </row>
    <row r="2838" spans="1:17" x14ac:dyDescent="0.3">
      <c r="A2838" s="1">
        <v>46257</v>
      </c>
      <c r="B2838" t="s">
        <v>25</v>
      </c>
      <c r="C2838" t="s">
        <v>17</v>
      </c>
      <c r="D2838" t="s">
        <v>37</v>
      </c>
      <c r="E2838" t="s">
        <v>29</v>
      </c>
      <c r="F2838">
        <v>90</v>
      </c>
      <c r="G2838">
        <v>48</v>
      </c>
      <c r="H2838">
        <v>37</v>
      </c>
      <c r="I2838">
        <v>101</v>
      </c>
      <c r="J2838">
        <v>15</v>
      </c>
      <c r="K2838">
        <v>18238</v>
      </c>
      <c r="L2838">
        <v>1842038</v>
      </c>
      <c r="M2838">
        <f>Inventory_Data[[#This Row],[Opening Stock]]+Inventory_Data[[#This Row],[Purchase Qty]]-Inventory_Data[[#This Row],[Sales Qty]]-Inventory_Data[[#This Row],[Closing Stock]]</f>
        <v>0</v>
      </c>
      <c r="N2838">
        <f>Inventory_Data[[#This Row],[Purchase Qty]]*Inventory_Data[[#This Row],[Unit Cost]]</f>
        <v>875424</v>
      </c>
      <c r="O2838" t="str">
        <f>IF(Inventory_Data[[#This Row],[Closing Stock]]&lt;=Inventory_Data[[#This Row],[Reorder Level]],"Low Stock","In Stock")</f>
        <v>In Stock</v>
      </c>
      <c r="P2838" t="str">
        <f>TEXT(Inventory_Data[[#This Row],[Date]],"MMM")</f>
        <v>Aug</v>
      </c>
      <c r="Q2838" t="str">
        <f>TEXT(Inventory_Data[[#This Row],[Date]],"YYYY")</f>
        <v>2026</v>
      </c>
    </row>
    <row r="2839" spans="1:17" x14ac:dyDescent="0.3">
      <c r="A2839" s="1">
        <v>46257</v>
      </c>
      <c r="B2839" t="s">
        <v>44</v>
      </c>
      <c r="C2839" t="s">
        <v>28</v>
      </c>
      <c r="D2839" t="s">
        <v>26</v>
      </c>
      <c r="E2839" t="s">
        <v>24</v>
      </c>
      <c r="F2839">
        <v>111</v>
      </c>
      <c r="G2839">
        <v>27</v>
      </c>
      <c r="H2839">
        <v>92</v>
      </c>
      <c r="I2839">
        <v>46</v>
      </c>
      <c r="J2839">
        <v>51</v>
      </c>
      <c r="K2839">
        <v>1817</v>
      </c>
      <c r="L2839">
        <v>83582</v>
      </c>
      <c r="M2839">
        <f>Inventory_Data[[#This Row],[Opening Stock]]+Inventory_Data[[#This Row],[Purchase Qty]]-Inventory_Data[[#This Row],[Sales Qty]]-Inventory_Data[[#This Row],[Closing Stock]]</f>
        <v>0</v>
      </c>
      <c r="N2839">
        <f>Inventory_Data[[#This Row],[Purchase Qty]]*Inventory_Data[[#This Row],[Unit Cost]]</f>
        <v>49059</v>
      </c>
      <c r="O2839" t="str">
        <f>IF(Inventory_Data[[#This Row],[Closing Stock]]&lt;=Inventory_Data[[#This Row],[Reorder Level]],"Low Stock","In Stock")</f>
        <v>Low Stock</v>
      </c>
      <c r="P2839" t="str">
        <f>TEXT(Inventory_Data[[#This Row],[Date]],"MMM")</f>
        <v>Aug</v>
      </c>
      <c r="Q2839" t="str">
        <f>TEXT(Inventory_Data[[#This Row],[Date]],"YYYY")</f>
        <v>2026</v>
      </c>
    </row>
    <row r="2840" spans="1:17" x14ac:dyDescent="0.3">
      <c r="A2840" s="1">
        <v>46257</v>
      </c>
      <c r="B2840" t="s">
        <v>45</v>
      </c>
      <c r="C2840" t="s">
        <v>13</v>
      </c>
      <c r="D2840" t="s">
        <v>23</v>
      </c>
      <c r="E2840" t="s">
        <v>20</v>
      </c>
      <c r="F2840">
        <v>25</v>
      </c>
      <c r="G2840">
        <v>63</v>
      </c>
      <c r="H2840">
        <v>24</v>
      </c>
      <c r="I2840">
        <v>64</v>
      </c>
      <c r="J2840">
        <v>24</v>
      </c>
      <c r="K2840">
        <v>9930</v>
      </c>
      <c r="L2840">
        <v>635520</v>
      </c>
      <c r="M2840">
        <f>Inventory_Data[[#This Row],[Opening Stock]]+Inventory_Data[[#This Row],[Purchase Qty]]-Inventory_Data[[#This Row],[Sales Qty]]-Inventory_Data[[#This Row],[Closing Stock]]</f>
        <v>0</v>
      </c>
      <c r="N2840">
        <f>Inventory_Data[[#This Row],[Purchase Qty]]*Inventory_Data[[#This Row],[Unit Cost]]</f>
        <v>625590</v>
      </c>
      <c r="O2840" t="str">
        <f>IF(Inventory_Data[[#This Row],[Closing Stock]]&lt;=Inventory_Data[[#This Row],[Reorder Level]],"Low Stock","In Stock")</f>
        <v>In Stock</v>
      </c>
      <c r="P2840" t="str">
        <f>TEXT(Inventory_Data[[#This Row],[Date]],"MMM")</f>
        <v>Aug</v>
      </c>
      <c r="Q2840" t="str">
        <f>TEXT(Inventory_Data[[#This Row],[Date]],"YYYY")</f>
        <v>2026</v>
      </c>
    </row>
    <row r="2841" spans="1:17" x14ac:dyDescent="0.3">
      <c r="A2841" s="1">
        <v>46258</v>
      </c>
      <c r="B2841" t="s">
        <v>27</v>
      </c>
      <c r="C2841" t="s">
        <v>28</v>
      </c>
      <c r="D2841" t="s">
        <v>14</v>
      </c>
      <c r="E2841" t="s">
        <v>15</v>
      </c>
      <c r="F2841">
        <v>97</v>
      </c>
      <c r="G2841">
        <v>33</v>
      </c>
      <c r="H2841">
        <v>79</v>
      </c>
      <c r="I2841">
        <v>51</v>
      </c>
      <c r="J2841">
        <v>47</v>
      </c>
      <c r="K2841">
        <v>23096</v>
      </c>
      <c r="L2841">
        <v>1177896</v>
      </c>
      <c r="M2841">
        <f>Inventory_Data[[#This Row],[Opening Stock]]+Inventory_Data[[#This Row],[Purchase Qty]]-Inventory_Data[[#This Row],[Sales Qty]]-Inventory_Data[[#This Row],[Closing Stock]]</f>
        <v>0</v>
      </c>
      <c r="N2841">
        <f>Inventory_Data[[#This Row],[Purchase Qty]]*Inventory_Data[[#This Row],[Unit Cost]]</f>
        <v>762168</v>
      </c>
      <c r="O2841" t="str">
        <f>IF(Inventory_Data[[#This Row],[Closing Stock]]&lt;=Inventory_Data[[#This Row],[Reorder Level]],"Low Stock","In Stock")</f>
        <v>In Stock</v>
      </c>
      <c r="P2841" t="str">
        <f>TEXT(Inventory_Data[[#This Row],[Date]],"MMM")</f>
        <v>Aug</v>
      </c>
      <c r="Q2841" t="str">
        <f>TEXT(Inventory_Data[[#This Row],[Date]],"YYYY")</f>
        <v>2026</v>
      </c>
    </row>
    <row r="2842" spans="1:17" x14ac:dyDescent="0.3">
      <c r="A2842" s="1">
        <v>46258</v>
      </c>
      <c r="B2842" t="s">
        <v>12</v>
      </c>
      <c r="C2842" t="s">
        <v>13</v>
      </c>
      <c r="D2842" t="s">
        <v>14</v>
      </c>
      <c r="E2842" t="s">
        <v>29</v>
      </c>
      <c r="F2842">
        <v>70</v>
      </c>
      <c r="G2842">
        <v>65</v>
      </c>
      <c r="H2842">
        <v>55</v>
      </c>
      <c r="I2842">
        <v>80</v>
      </c>
      <c r="J2842">
        <v>19</v>
      </c>
      <c r="K2842">
        <v>15326</v>
      </c>
      <c r="L2842">
        <v>1226080</v>
      </c>
      <c r="M2842">
        <f>Inventory_Data[[#This Row],[Opening Stock]]+Inventory_Data[[#This Row],[Purchase Qty]]-Inventory_Data[[#This Row],[Sales Qty]]-Inventory_Data[[#This Row],[Closing Stock]]</f>
        <v>0</v>
      </c>
      <c r="N2842">
        <f>Inventory_Data[[#This Row],[Purchase Qty]]*Inventory_Data[[#This Row],[Unit Cost]]</f>
        <v>996190</v>
      </c>
      <c r="O2842" t="str">
        <f>IF(Inventory_Data[[#This Row],[Closing Stock]]&lt;=Inventory_Data[[#This Row],[Reorder Level]],"Low Stock","In Stock")</f>
        <v>In Stock</v>
      </c>
      <c r="P2842" t="str">
        <f>TEXT(Inventory_Data[[#This Row],[Date]],"MMM")</f>
        <v>Aug</v>
      </c>
      <c r="Q2842" t="str">
        <f>TEXT(Inventory_Data[[#This Row],[Date]],"YYYY")</f>
        <v>2026</v>
      </c>
    </row>
    <row r="2843" spans="1:17" x14ac:dyDescent="0.3">
      <c r="A2843" s="1">
        <v>46258</v>
      </c>
      <c r="B2843" t="s">
        <v>21</v>
      </c>
      <c r="C2843" t="s">
        <v>22</v>
      </c>
      <c r="D2843" t="s">
        <v>14</v>
      </c>
      <c r="E2843" t="s">
        <v>15</v>
      </c>
      <c r="F2843">
        <v>121</v>
      </c>
      <c r="G2843">
        <v>276</v>
      </c>
      <c r="H2843">
        <v>138</v>
      </c>
      <c r="I2843">
        <v>259</v>
      </c>
      <c r="J2843">
        <v>136</v>
      </c>
      <c r="K2843">
        <v>959</v>
      </c>
      <c r="L2843">
        <v>248381</v>
      </c>
      <c r="M2843">
        <f>Inventory_Data[[#This Row],[Opening Stock]]+Inventory_Data[[#This Row],[Purchase Qty]]-Inventory_Data[[#This Row],[Sales Qty]]-Inventory_Data[[#This Row],[Closing Stock]]</f>
        <v>0</v>
      </c>
      <c r="N2843">
        <f>Inventory_Data[[#This Row],[Purchase Qty]]*Inventory_Data[[#This Row],[Unit Cost]]</f>
        <v>264684</v>
      </c>
      <c r="O2843" t="str">
        <f>IF(Inventory_Data[[#This Row],[Closing Stock]]&lt;=Inventory_Data[[#This Row],[Reorder Level]],"Low Stock","In Stock")</f>
        <v>In Stock</v>
      </c>
      <c r="P2843" t="str">
        <f>TEXT(Inventory_Data[[#This Row],[Date]],"MMM")</f>
        <v>Aug</v>
      </c>
      <c r="Q2843" t="str">
        <f>TEXT(Inventory_Data[[#This Row],[Date]],"YYYY")</f>
        <v>2026</v>
      </c>
    </row>
    <row r="2844" spans="1:17" x14ac:dyDescent="0.3">
      <c r="A2844" s="1">
        <v>46258</v>
      </c>
      <c r="B2844" t="s">
        <v>41</v>
      </c>
      <c r="C2844" t="s">
        <v>22</v>
      </c>
      <c r="D2844" t="s">
        <v>14</v>
      </c>
      <c r="E2844" t="s">
        <v>29</v>
      </c>
      <c r="F2844">
        <v>498</v>
      </c>
      <c r="G2844">
        <v>286</v>
      </c>
      <c r="H2844">
        <v>169</v>
      </c>
      <c r="I2844">
        <v>615</v>
      </c>
      <c r="J2844">
        <v>52</v>
      </c>
      <c r="K2844">
        <v>509</v>
      </c>
      <c r="L2844">
        <v>313035</v>
      </c>
      <c r="M2844">
        <f>Inventory_Data[[#This Row],[Opening Stock]]+Inventory_Data[[#This Row],[Purchase Qty]]-Inventory_Data[[#This Row],[Sales Qty]]-Inventory_Data[[#This Row],[Closing Stock]]</f>
        <v>0</v>
      </c>
      <c r="N2844">
        <f>Inventory_Data[[#This Row],[Purchase Qty]]*Inventory_Data[[#This Row],[Unit Cost]]</f>
        <v>145574</v>
      </c>
      <c r="O2844" t="str">
        <f>IF(Inventory_Data[[#This Row],[Closing Stock]]&lt;=Inventory_Data[[#This Row],[Reorder Level]],"Low Stock","In Stock")</f>
        <v>In Stock</v>
      </c>
      <c r="P2844" t="str">
        <f>TEXT(Inventory_Data[[#This Row],[Date]],"MMM")</f>
        <v>Aug</v>
      </c>
      <c r="Q2844" t="str">
        <f>TEXT(Inventory_Data[[#This Row],[Date]],"YYYY")</f>
        <v>2026</v>
      </c>
    </row>
    <row r="2845" spans="1:17" x14ac:dyDescent="0.3">
      <c r="A2845" s="1">
        <v>46258</v>
      </c>
      <c r="B2845" t="s">
        <v>12</v>
      </c>
      <c r="C2845" t="s">
        <v>13</v>
      </c>
      <c r="D2845" t="s">
        <v>14</v>
      </c>
      <c r="E2845" t="s">
        <v>24</v>
      </c>
      <c r="F2845">
        <v>109</v>
      </c>
      <c r="G2845">
        <v>63</v>
      </c>
      <c r="H2845">
        <v>39</v>
      </c>
      <c r="I2845">
        <v>133</v>
      </c>
      <c r="J2845">
        <v>30</v>
      </c>
      <c r="K2845">
        <v>2772</v>
      </c>
      <c r="L2845">
        <v>368676</v>
      </c>
      <c r="M2845">
        <f>Inventory_Data[[#This Row],[Opening Stock]]+Inventory_Data[[#This Row],[Purchase Qty]]-Inventory_Data[[#This Row],[Sales Qty]]-Inventory_Data[[#This Row],[Closing Stock]]</f>
        <v>0</v>
      </c>
      <c r="N2845">
        <f>Inventory_Data[[#This Row],[Purchase Qty]]*Inventory_Data[[#This Row],[Unit Cost]]</f>
        <v>174636</v>
      </c>
      <c r="O2845" t="str">
        <f>IF(Inventory_Data[[#This Row],[Closing Stock]]&lt;=Inventory_Data[[#This Row],[Reorder Level]],"Low Stock","In Stock")</f>
        <v>In Stock</v>
      </c>
      <c r="P2845" t="str">
        <f>TEXT(Inventory_Data[[#This Row],[Date]],"MMM")</f>
        <v>Aug</v>
      </c>
      <c r="Q2845" t="str">
        <f>TEXT(Inventory_Data[[#This Row],[Date]],"YYYY")</f>
        <v>2026</v>
      </c>
    </row>
    <row r="2846" spans="1:17" x14ac:dyDescent="0.3">
      <c r="A2846" s="1">
        <v>46258</v>
      </c>
      <c r="B2846" t="s">
        <v>41</v>
      </c>
      <c r="C2846" t="s">
        <v>22</v>
      </c>
      <c r="D2846" t="s">
        <v>37</v>
      </c>
      <c r="E2846" t="s">
        <v>20</v>
      </c>
      <c r="F2846">
        <v>323</v>
      </c>
      <c r="G2846">
        <v>48</v>
      </c>
      <c r="H2846">
        <v>163</v>
      </c>
      <c r="I2846">
        <v>208</v>
      </c>
      <c r="J2846">
        <v>78</v>
      </c>
      <c r="K2846">
        <v>639</v>
      </c>
      <c r="L2846">
        <v>132912</v>
      </c>
      <c r="M2846">
        <f>Inventory_Data[[#This Row],[Opening Stock]]+Inventory_Data[[#This Row],[Purchase Qty]]-Inventory_Data[[#This Row],[Sales Qty]]-Inventory_Data[[#This Row],[Closing Stock]]</f>
        <v>0</v>
      </c>
      <c r="N2846">
        <f>Inventory_Data[[#This Row],[Purchase Qty]]*Inventory_Data[[#This Row],[Unit Cost]]</f>
        <v>30672</v>
      </c>
      <c r="O2846" t="str">
        <f>IF(Inventory_Data[[#This Row],[Closing Stock]]&lt;=Inventory_Data[[#This Row],[Reorder Level]],"Low Stock","In Stock")</f>
        <v>In Stock</v>
      </c>
      <c r="P2846" t="str">
        <f>TEXT(Inventory_Data[[#This Row],[Date]],"MMM")</f>
        <v>Aug</v>
      </c>
      <c r="Q2846" t="str">
        <f>TEXT(Inventory_Data[[#This Row],[Date]],"YYYY")</f>
        <v>2026</v>
      </c>
    </row>
    <row r="2847" spans="1:17" x14ac:dyDescent="0.3">
      <c r="A2847" s="1">
        <v>46258</v>
      </c>
      <c r="B2847" t="s">
        <v>39</v>
      </c>
      <c r="C2847" t="s">
        <v>28</v>
      </c>
      <c r="D2847" t="s">
        <v>37</v>
      </c>
      <c r="E2847" t="s">
        <v>18</v>
      </c>
      <c r="F2847">
        <v>112</v>
      </c>
      <c r="G2847">
        <v>80</v>
      </c>
      <c r="H2847">
        <v>71</v>
      </c>
      <c r="I2847">
        <v>121</v>
      </c>
      <c r="J2847">
        <v>39</v>
      </c>
      <c r="K2847">
        <v>9971</v>
      </c>
      <c r="L2847">
        <v>1206491</v>
      </c>
      <c r="M2847">
        <f>Inventory_Data[[#This Row],[Opening Stock]]+Inventory_Data[[#This Row],[Purchase Qty]]-Inventory_Data[[#This Row],[Sales Qty]]-Inventory_Data[[#This Row],[Closing Stock]]</f>
        <v>0</v>
      </c>
      <c r="N2847">
        <f>Inventory_Data[[#This Row],[Purchase Qty]]*Inventory_Data[[#This Row],[Unit Cost]]</f>
        <v>797680</v>
      </c>
      <c r="O2847" t="str">
        <f>IF(Inventory_Data[[#This Row],[Closing Stock]]&lt;=Inventory_Data[[#This Row],[Reorder Level]],"Low Stock","In Stock")</f>
        <v>In Stock</v>
      </c>
      <c r="P2847" t="str">
        <f>TEXT(Inventory_Data[[#This Row],[Date]],"MMM")</f>
        <v>Aug</v>
      </c>
      <c r="Q2847" t="str">
        <f>TEXT(Inventory_Data[[#This Row],[Date]],"YYYY")</f>
        <v>2026</v>
      </c>
    </row>
    <row r="2848" spans="1:17" x14ac:dyDescent="0.3">
      <c r="A2848" s="1">
        <v>46259</v>
      </c>
      <c r="B2848" t="s">
        <v>35</v>
      </c>
      <c r="C2848" t="s">
        <v>22</v>
      </c>
      <c r="D2848" t="s">
        <v>37</v>
      </c>
      <c r="E2848" t="s">
        <v>29</v>
      </c>
      <c r="F2848">
        <v>155</v>
      </c>
      <c r="G2848">
        <v>201</v>
      </c>
      <c r="H2848">
        <v>239</v>
      </c>
      <c r="I2848">
        <v>117</v>
      </c>
      <c r="J2848">
        <v>126</v>
      </c>
      <c r="K2848">
        <v>944</v>
      </c>
      <c r="L2848">
        <v>110448</v>
      </c>
      <c r="M2848">
        <f>Inventory_Data[[#This Row],[Opening Stock]]+Inventory_Data[[#This Row],[Purchase Qty]]-Inventory_Data[[#This Row],[Sales Qty]]-Inventory_Data[[#This Row],[Closing Stock]]</f>
        <v>0</v>
      </c>
      <c r="N2848">
        <f>Inventory_Data[[#This Row],[Purchase Qty]]*Inventory_Data[[#This Row],[Unit Cost]]</f>
        <v>189744</v>
      </c>
      <c r="O2848" t="str">
        <f>IF(Inventory_Data[[#This Row],[Closing Stock]]&lt;=Inventory_Data[[#This Row],[Reorder Level]],"Low Stock","In Stock")</f>
        <v>Low Stock</v>
      </c>
      <c r="P2848" t="str">
        <f>TEXT(Inventory_Data[[#This Row],[Date]],"MMM")</f>
        <v>Aug</v>
      </c>
      <c r="Q2848" t="str">
        <f>TEXT(Inventory_Data[[#This Row],[Date]],"YYYY")</f>
        <v>2026</v>
      </c>
    </row>
    <row r="2849" spans="1:17" x14ac:dyDescent="0.3">
      <c r="A2849" s="1">
        <v>46259</v>
      </c>
      <c r="B2849" t="s">
        <v>31</v>
      </c>
      <c r="C2849" t="s">
        <v>22</v>
      </c>
      <c r="D2849" t="s">
        <v>26</v>
      </c>
      <c r="E2849" t="s">
        <v>29</v>
      </c>
      <c r="F2849">
        <v>110</v>
      </c>
      <c r="G2849">
        <v>131</v>
      </c>
      <c r="H2849">
        <v>123</v>
      </c>
      <c r="I2849">
        <v>118</v>
      </c>
      <c r="J2849">
        <v>141</v>
      </c>
      <c r="K2849">
        <v>471</v>
      </c>
      <c r="L2849">
        <v>55578</v>
      </c>
      <c r="M2849">
        <f>Inventory_Data[[#This Row],[Opening Stock]]+Inventory_Data[[#This Row],[Purchase Qty]]-Inventory_Data[[#This Row],[Sales Qty]]-Inventory_Data[[#This Row],[Closing Stock]]</f>
        <v>0</v>
      </c>
      <c r="N2849">
        <f>Inventory_Data[[#This Row],[Purchase Qty]]*Inventory_Data[[#This Row],[Unit Cost]]</f>
        <v>61701</v>
      </c>
      <c r="O2849" t="str">
        <f>IF(Inventory_Data[[#This Row],[Closing Stock]]&lt;=Inventory_Data[[#This Row],[Reorder Level]],"Low Stock","In Stock")</f>
        <v>Low Stock</v>
      </c>
      <c r="P2849" t="str">
        <f>TEXT(Inventory_Data[[#This Row],[Date]],"MMM")</f>
        <v>Aug</v>
      </c>
      <c r="Q2849" t="str">
        <f>TEXT(Inventory_Data[[#This Row],[Date]],"YYYY")</f>
        <v>2026</v>
      </c>
    </row>
    <row r="2850" spans="1:17" x14ac:dyDescent="0.3">
      <c r="A2850" s="1">
        <v>46259</v>
      </c>
      <c r="B2850" t="s">
        <v>41</v>
      </c>
      <c r="C2850" t="s">
        <v>22</v>
      </c>
      <c r="D2850" t="s">
        <v>37</v>
      </c>
      <c r="E2850" t="s">
        <v>20</v>
      </c>
      <c r="F2850">
        <v>134</v>
      </c>
      <c r="G2850">
        <v>217</v>
      </c>
      <c r="H2850">
        <v>168</v>
      </c>
      <c r="I2850">
        <v>183</v>
      </c>
      <c r="J2850">
        <v>144</v>
      </c>
      <c r="K2850">
        <v>1116</v>
      </c>
      <c r="L2850">
        <v>204228</v>
      </c>
      <c r="M2850">
        <f>Inventory_Data[[#This Row],[Opening Stock]]+Inventory_Data[[#This Row],[Purchase Qty]]-Inventory_Data[[#This Row],[Sales Qty]]-Inventory_Data[[#This Row],[Closing Stock]]</f>
        <v>0</v>
      </c>
      <c r="N2850">
        <f>Inventory_Data[[#This Row],[Purchase Qty]]*Inventory_Data[[#This Row],[Unit Cost]]</f>
        <v>242172</v>
      </c>
      <c r="O2850" t="str">
        <f>IF(Inventory_Data[[#This Row],[Closing Stock]]&lt;=Inventory_Data[[#This Row],[Reorder Level]],"Low Stock","In Stock")</f>
        <v>In Stock</v>
      </c>
      <c r="P2850" t="str">
        <f>TEXT(Inventory_Data[[#This Row],[Date]],"MMM")</f>
        <v>Aug</v>
      </c>
      <c r="Q2850" t="str">
        <f>TEXT(Inventory_Data[[#This Row],[Date]],"YYYY")</f>
        <v>2026</v>
      </c>
    </row>
    <row r="2851" spans="1:17" x14ac:dyDescent="0.3">
      <c r="A2851" s="1">
        <v>46259</v>
      </c>
      <c r="B2851" t="s">
        <v>33</v>
      </c>
      <c r="C2851" t="s">
        <v>13</v>
      </c>
      <c r="D2851" t="s">
        <v>26</v>
      </c>
      <c r="E2851" t="s">
        <v>24</v>
      </c>
      <c r="F2851">
        <v>89</v>
      </c>
      <c r="G2851">
        <v>32</v>
      </c>
      <c r="H2851">
        <v>58</v>
      </c>
      <c r="I2851">
        <v>63</v>
      </c>
      <c r="J2851">
        <v>22</v>
      </c>
      <c r="K2851">
        <v>14717</v>
      </c>
      <c r="L2851">
        <v>927171</v>
      </c>
      <c r="M2851">
        <f>Inventory_Data[[#This Row],[Opening Stock]]+Inventory_Data[[#This Row],[Purchase Qty]]-Inventory_Data[[#This Row],[Sales Qty]]-Inventory_Data[[#This Row],[Closing Stock]]</f>
        <v>0</v>
      </c>
      <c r="N2851">
        <f>Inventory_Data[[#This Row],[Purchase Qty]]*Inventory_Data[[#This Row],[Unit Cost]]</f>
        <v>470944</v>
      </c>
      <c r="O2851" t="str">
        <f>IF(Inventory_Data[[#This Row],[Closing Stock]]&lt;=Inventory_Data[[#This Row],[Reorder Level]],"Low Stock","In Stock")</f>
        <v>In Stock</v>
      </c>
      <c r="P2851" t="str">
        <f>TEXT(Inventory_Data[[#This Row],[Date]],"MMM")</f>
        <v>Aug</v>
      </c>
      <c r="Q2851" t="str">
        <f>TEXT(Inventory_Data[[#This Row],[Date]],"YYYY")</f>
        <v>2026</v>
      </c>
    </row>
    <row r="2852" spans="1:17" x14ac:dyDescent="0.3">
      <c r="A2852" s="1">
        <v>46260</v>
      </c>
      <c r="B2852" t="s">
        <v>40</v>
      </c>
      <c r="C2852" t="s">
        <v>28</v>
      </c>
      <c r="D2852" t="s">
        <v>37</v>
      </c>
      <c r="E2852" t="s">
        <v>18</v>
      </c>
      <c r="F2852">
        <v>144</v>
      </c>
      <c r="G2852">
        <v>85</v>
      </c>
      <c r="H2852">
        <v>26</v>
      </c>
      <c r="I2852">
        <v>203</v>
      </c>
      <c r="J2852">
        <v>56</v>
      </c>
      <c r="K2852">
        <v>42119</v>
      </c>
      <c r="L2852">
        <v>8550157</v>
      </c>
      <c r="M2852">
        <f>Inventory_Data[[#This Row],[Opening Stock]]+Inventory_Data[[#This Row],[Purchase Qty]]-Inventory_Data[[#This Row],[Sales Qty]]-Inventory_Data[[#This Row],[Closing Stock]]</f>
        <v>0</v>
      </c>
      <c r="N2852">
        <f>Inventory_Data[[#This Row],[Purchase Qty]]*Inventory_Data[[#This Row],[Unit Cost]]</f>
        <v>3580115</v>
      </c>
      <c r="O2852" t="str">
        <f>IF(Inventory_Data[[#This Row],[Closing Stock]]&lt;=Inventory_Data[[#This Row],[Reorder Level]],"Low Stock","In Stock")</f>
        <v>In Stock</v>
      </c>
      <c r="P2852" t="str">
        <f>TEXT(Inventory_Data[[#This Row],[Date]],"MMM")</f>
        <v>Aug</v>
      </c>
      <c r="Q2852" t="str">
        <f>TEXT(Inventory_Data[[#This Row],[Date]],"YYYY")</f>
        <v>2026</v>
      </c>
    </row>
    <row r="2853" spans="1:17" x14ac:dyDescent="0.3">
      <c r="A2853" s="1">
        <v>46260</v>
      </c>
      <c r="B2853" t="s">
        <v>41</v>
      </c>
      <c r="C2853" t="s">
        <v>22</v>
      </c>
      <c r="D2853" t="s">
        <v>14</v>
      </c>
      <c r="E2853" t="s">
        <v>20</v>
      </c>
      <c r="F2853">
        <v>241</v>
      </c>
      <c r="G2853">
        <v>115</v>
      </c>
      <c r="H2853">
        <v>231</v>
      </c>
      <c r="I2853">
        <v>125</v>
      </c>
      <c r="J2853">
        <v>89</v>
      </c>
      <c r="K2853">
        <v>894</v>
      </c>
      <c r="L2853">
        <v>111750</v>
      </c>
      <c r="M2853">
        <f>Inventory_Data[[#This Row],[Opening Stock]]+Inventory_Data[[#This Row],[Purchase Qty]]-Inventory_Data[[#This Row],[Sales Qty]]-Inventory_Data[[#This Row],[Closing Stock]]</f>
        <v>0</v>
      </c>
      <c r="N2853">
        <f>Inventory_Data[[#This Row],[Purchase Qty]]*Inventory_Data[[#This Row],[Unit Cost]]</f>
        <v>102810</v>
      </c>
      <c r="O2853" t="str">
        <f>IF(Inventory_Data[[#This Row],[Closing Stock]]&lt;=Inventory_Data[[#This Row],[Reorder Level]],"Low Stock","In Stock")</f>
        <v>In Stock</v>
      </c>
      <c r="P2853" t="str">
        <f>TEXT(Inventory_Data[[#This Row],[Date]],"MMM")</f>
        <v>Aug</v>
      </c>
      <c r="Q2853" t="str">
        <f>TEXT(Inventory_Data[[#This Row],[Date]],"YYYY")</f>
        <v>2026</v>
      </c>
    </row>
    <row r="2854" spans="1:17" x14ac:dyDescent="0.3">
      <c r="A2854" s="1">
        <v>46260</v>
      </c>
      <c r="B2854" t="s">
        <v>40</v>
      </c>
      <c r="C2854" t="s">
        <v>28</v>
      </c>
      <c r="D2854" t="s">
        <v>23</v>
      </c>
      <c r="E2854" t="s">
        <v>29</v>
      </c>
      <c r="F2854">
        <v>81</v>
      </c>
      <c r="G2854">
        <v>83</v>
      </c>
      <c r="H2854">
        <v>77</v>
      </c>
      <c r="I2854">
        <v>87</v>
      </c>
      <c r="J2854">
        <v>56</v>
      </c>
      <c r="K2854">
        <v>57651</v>
      </c>
      <c r="L2854">
        <v>5015637</v>
      </c>
      <c r="M2854">
        <f>Inventory_Data[[#This Row],[Opening Stock]]+Inventory_Data[[#This Row],[Purchase Qty]]-Inventory_Data[[#This Row],[Sales Qty]]-Inventory_Data[[#This Row],[Closing Stock]]</f>
        <v>0</v>
      </c>
      <c r="N2854">
        <f>Inventory_Data[[#This Row],[Purchase Qty]]*Inventory_Data[[#This Row],[Unit Cost]]</f>
        <v>4785033</v>
      </c>
      <c r="O2854" t="str">
        <f>IF(Inventory_Data[[#This Row],[Closing Stock]]&lt;=Inventory_Data[[#This Row],[Reorder Level]],"Low Stock","In Stock")</f>
        <v>In Stock</v>
      </c>
      <c r="P2854" t="str">
        <f>TEXT(Inventory_Data[[#This Row],[Date]],"MMM")</f>
        <v>Aug</v>
      </c>
      <c r="Q2854" t="str">
        <f>TEXT(Inventory_Data[[#This Row],[Date]],"YYYY")</f>
        <v>2026</v>
      </c>
    </row>
    <row r="2855" spans="1:17" x14ac:dyDescent="0.3">
      <c r="A2855" s="1">
        <v>46260</v>
      </c>
      <c r="B2855" t="s">
        <v>44</v>
      </c>
      <c r="C2855" t="s">
        <v>28</v>
      </c>
      <c r="D2855" t="s">
        <v>37</v>
      </c>
      <c r="E2855" t="s">
        <v>29</v>
      </c>
      <c r="F2855">
        <v>103</v>
      </c>
      <c r="G2855">
        <v>42</v>
      </c>
      <c r="H2855">
        <v>29</v>
      </c>
      <c r="I2855">
        <v>116</v>
      </c>
      <c r="J2855">
        <v>38</v>
      </c>
      <c r="K2855">
        <v>37643</v>
      </c>
      <c r="L2855">
        <v>4366588</v>
      </c>
      <c r="M2855">
        <f>Inventory_Data[[#This Row],[Opening Stock]]+Inventory_Data[[#This Row],[Purchase Qty]]-Inventory_Data[[#This Row],[Sales Qty]]-Inventory_Data[[#This Row],[Closing Stock]]</f>
        <v>0</v>
      </c>
      <c r="N2855">
        <f>Inventory_Data[[#This Row],[Purchase Qty]]*Inventory_Data[[#This Row],[Unit Cost]]</f>
        <v>1581006</v>
      </c>
      <c r="O2855" t="str">
        <f>IF(Inventory_Data[[#This Row],[Closing Stock]]&lt;=Inventory_Data[[#This Row],[Reorder Level]],"Low Stock","In Stock")</f>
        <v>In Stock</v>
      </c>
      <c r="P2855" t="str">
        <f>TEXT(Inventory_Data[[#This Row],[Date]],"MMM")</f>
        <v>Aug</v>
      </c>
      <c r="Q2855" t="str">
        <f>TEXT(Inventory_Data[[#This Row],[Date]],"YYYY")</f>
        <v>2026</v>
      </c>
    </row>
    <row r="2856" spans="1:17" x14ac:dyDescent="0.3">
      <c r="A2856" s="1">
        <v>46260</v>
      </c>
      <c r="B2856" t="s">
        <v>32</v>
      </c>
      <c r="C2856" t="s">
        <v>28</v>
      </c>
      <c r="D2856" t="s">
        <v>37</v>
      </c>
      <c r="E2856" t="s">
        <v>29</v>
      </c>
      <c r="F2856">
        <v>112</v>
      </c>
      <c r="G2856">
        <v>37</v>
      </c>
      <c r="H2856">
        <v>20</v>
      </c>
      <c r="I2856">
        <v>129</v>
      </c>
      <c r="J2856">
        <v>31</v>
      </c>
      <c r="K2856">
        <v>29781</v>
      </c>
      <c r="L2856">
        <v>3841749</v>
      </c>
      <c r="M2856">
        <f>Inventory_Data[[#This Row],[Opening Stock]]+Inventory_Data[[#This Row],[Purchase Qty]]-Inventory_Data[[#This Row],[Sales Qty]]-Inventory_Data[[#This Row],[Closing Stock]]</f>
        <v>0</v>
      </c>
      <c r="N2856">
        <f>Inventory_Data[[#This Row],[Purchase Qty]]*Inventory_Data[[#This Row],[Unit Cost]]</f>
        <v>1101897</v>
      </c>
      <c r="O2856" t="str">
        <f>IF(Inventory_Data[[#This Row],[Closing Stock]]&lt;=Inventory_Data[[#This Row],[Reorder Level]],"Low Stock","In Stock")</f>
        <v>In Stock</v>
      </c>
      <c r="P2856" t="str">
        <f>TEXT(Inventory_Data[[#This Row],[Date]],"MMM")</f>
        <v>Aug</v>
      </c>
      <c r="Q2856" t="str">
        <f>TEXT(Inventory_Data[[#This Row],[Date]],"YYYY")</f>
        <v>2026</v>
      </c>
    </row>
    <row r="2857" spans="1:17" x14ac:dyDescent="0.3">
      <c r="A2857" s="1">
        <v>46261</v>
      </c>
      <c r="B2857" t="s">
        <v>39</v>
      </c>
      <c r="C2857" t="s">
        <v>28</v>
      </c>
      <c r="D2857" t="s">
        <v>26</v>
      </c>
      <c r="E2857" t="s">
        <v>29</v>
      </c>
      <c r="F2857">
        <v>22</v>
      </c>
      <c r="G2857">
        <v>104</v>
      </c>
      <c r="H2857">
        <v>84</v>
      </c>
      <c r="I2857">
        <v>42</v>
      </c>
      <c r="J2857">
        <v>46</v>
      </c>
      <c r="K2857">
        <v>57200</v>
      </c>
      <c r="L2857">
        <v>2402400</v>
      </c>
      <c r="M2857">
        <f>Inventory_Data[[#This Row],[Opening Stock]]+Inventory_Data[[#This Row],[Purchase Qty]]-Inventory_Data[[#This Row],[Sales Qty]]-Inventory_Data[[#This Row],[Closing Stock]]</f>
        <v>0</v>
      </c>
      <c r="N2857">
        <f>Inventory_Data[[#This Row],[Purchase Qty]]*Inventory_Data[[#This Row],[Unit Cost]]</f>
        <v>5948800</v>
      </c>
      <c r="O2857" t="str">
        <f>IF(Inventory_Data[[#This Row],[Closing Stock]]&lt;=Inventory_Data[[#This Row],[Reorder Level]],"Low Stock","In Stock")</f>
        <v>Low Stock</v>
      </c>
      <c r="P2857" t="str">
        <f>TEXT(Inventory_Data[[#This Row],[Date]],"MMM")</f>
        <v>Aug</v>
      </c>
      <c r="Q2857" t="str">
        <f>TEXT(Inventory_Data[[#This Row],[Date]],"YYYY")</f>
        <v>2026</v>
      </c>
    </row>
    <row r="2858" spans="1:17" x14ac:dyDescent="0.3">
      <c r="A2858" s="1">
        <v>46261</v>
      </c>
      <c r="B2858" t="s">
        <v>16</v>
      </c>
      <c r="C2858" t="s">
        <v>17</v>
      </c>
      <c r="D2858" t="s">
        <v>37</v>
      </c>
      <c r="E2858" t="s">
        <v>34</v>
      </c>
      <c r="F2858">
        <v>40</v>
      </c>
      <c r="G2858">
        <v>13</v>
      </c>
      <c r="H2858">
        <v>30</v>
      </c>
      <c r="I2858">
        <v>23</v>
      </c>
      <c r="J2858">
        <v>18</v>
      </c>
      <c r="K2858">
        <v>13059</v>
      </c>
      <c r="L2858">
        <v>300357</v>
      </c>
      <c r="M2858">
        <f>Inventory_Data[[#This Row],[Opening Stock]]+Inventory_Data[[#This Row],[Purchase Qty]]-Inventory_Data[[#This Row],[Sales Qty]]-Inventory_Data[[#This Row],[Closing Stock]]</f>
        <v>0</v>
      </c>
      <c r="N2858">
        <f>Inventory_Data[[#This Row],[Purchase Qty]]*Inventory_Data[[#This Row],[Unit Cost]]</f>
        <v>169767</v>
      </c>
      <c r="O2858" t="str">
        <f>IF(Inventory_Data[[#This Row],[Closing Stock]]&lt;=Inventory_Data[[#This Row],[Reorder Level]],"Low Stock","In Stock")</f>
        <v>In Stock</v>
      </c>
      <c r="P2858" t="str">
        <f>TEXT(Inventory_Data[[#This Row],[Date]],"MMM")</f>
        <v>Aug</v>
      </c>
      <c r="Q2858" t="str">
        <f>TEXT(Inventory_Data[[#This Row],[Date]],"YYYY")</f>
        <v>2026</v>
      </c>
    </row>
    <row r="2859" spans="1:17" x14ac:dyDescent="0.3">
      <c r="A2859" s="1">
        <v>46261</v>
      </c>
      <c r="B2859" t="s">
        <v>39</v>
      </c>
      <c r="C2859" t="s">
        <v>28</v>
      </c>
      <c r="D2859" t="s">
        <v>23</v>
      </c>
      <c r="E2859" t="s">
        <v>15</v>
      </c>
      <c r="F2859">
        <v>94</v>
      </c>
      <c r="G2859">
        <v>86</v>
      </c>
      <c r="H2859">
        <v>35</v>
      </c>
      <c r="I2859">
        <v>145</v>
      </c>
      <c r="J2859">
        <v>44</v>
      </c>
      <c r="K2859">
        <v>45339</v>
      </c>
      <c r="L2859">
        <v>6574155</v>
      </c>
      <c r="M2859">
        <f>Inventory_Data[[#This Row],[Opening Stock]]+Inventory_Data[[#This Row],[Purchase Qty]]-Inventory_Data[[#This Row],[Sales Qty]]-Inventory_Data[[#This Row],[Closing Stock]]</f>
        <v>0</v>
      </c>
      <c r="N2859">
        <f>Inventory_Data[[#This Row],[Purchase Qty]]*Inventory_Data[[#This Row],[Unit Cost]]</f>
        <v>3899154</v>
      </c>
      <c r="O2859" t="str">
        <f>IF(Inventory_Data[[#This Row],[Closing Stock]]&lt;=Inventory_Data[[#This Row],[Reorder Level]],"Low Stock","In Stock")</f>
        <v>In Stock</v>
      </c>
      <c r="P2859" t="str">
        <f>TEXT(Inventory_Data[[#This Row],[Date]],"MMM")</f>
        <v>Aug</v>
      </c>
      <c r="Q2859" t="str">
        <f>TEXT(Inventory_Data[[#This Row],[Date]],"YYYY")</f>
        <v>2026</v>
      </c>
    </row>
    <row r="2860" spans="1:17" x14ac:dyDescent="0.3">
      <c r="A2860" s="1">
        <v>46261</v>
      </c>
      <c r="B2860" t="s">
        <v>27</v>
      </c>
      <c r="C2860" t="s">
        <v>28</v>
      </c>
      <c r="D2860" t="s">
        <v>14</v>
      </c>
      <c r="E2860" t="s">
        <v>18</v>
      </c>
      <c r="F2860">
        <v>107</v>
      </c>
      <c r="G2860">
        <v>90</v>
      </c>
      <c r="H2860">
        <v>54</v>
      </c>
      <c r="I2860">
        <v>143</v>
      </c>
      <c r="J2860">
        <v>59</v>
      </c>
      <c r="K2860">
        <v>29574</v>
      </c>
      <c r="L2860">
        <v>4229082</v>
      </c>
      <c r="M2860">
        <f>Inventory_Data[[#This Row],[Opening Stock]]+Inventory_Data[[#This Row],[Purchase Qty]]-Inventory_Data[[#This Row],[Sales Qty]]-Inventory_Data[[#This Row],[Closing Stock]]</f>
        <v>0</v>
      </c>
      <c r="N2860">
        <f>Inventory_Data[[#This Row],[Purchase Qty]]*Inventory_Data[[#This Row],[Unit Cost]]</f>
        <v>2661660</v>
      </c>
      <c r="O2860" t="str">
        <f>IF(Inventory_Data[[#This Row],[Closing Stock]]&lt;=Inventory_Data[[#This Row],[Reorder Level]],"Low Stock","In Stock")</f>
        <v>In Stock</v>
      </c>
      <c r="P2860" t="str">
        <f>TEXT(Inventory_Data[[#This Row],[Date]],"MMM")</f>
        <v>Aug</v>
      </c>
      <c r="Q2860" t="str">
        <f>TEXT(Inventory_Data[[#This Row],[Date]],"YYYY")</f>
        <v>2026</v>
      </c>
    </row>
    <row r="2861" spans="1:17" x14ac:dyDescent="0.3">
      <c r="A2861" s="1">
        <v>46262</v>
      </c>
      <c r="B2861" t="s">
        <v>38</v>
      </c>
      <c r="C2861" t="s">
        <v>17</v>
      </c>
      <c r="D2861" t="s">
        <v>37</v>
      </c>
      <c r="E2861" t="s">
        <v>20</v>
      </c>
      <c r="F2861">
        <v>98</v>
      </c>
      <c r="G2861">
        <v>37</v>
      </c>
      <c r="H2861">
        <v>33</v>
      </c>
      <c r="I2861">
        <v>102</v>
      </c>
      <c r="J2861">
        <v>15</v>
      </c>
      <c r="K2861">
        <v>23943</v>
      </c>
      <c r="L2861">
        <v>2442186</v>
      </c>
      <c r="M2861">
        <f>Inventory_Data[[#This Row],[Opening Stock]]+Inventory_Data[[#This Row],[Purchase Qty]]-Inventory_Data[[#This Row],[Sales Qty]]-Inventory_Data[[#This Row],[Closing Stock]]</f>
        <v>0</v>
      </c>
      <c r="N2861">
        <f>Inventory_Data[[#This Row],[Purchase Qty]]*Inventory_Data[[#This Row],[Unit Cost]]</f>
        <v>885891</v>
      </c>
      <c r="O2861" t="str">
        <f>IF(Inventory_Data[[#This Row],[Closing Stock]]&lt;=Inventory_Data[[#This Row],[Reorder Level]],"Low Stock","In Stock")</f>
        <v>In Stock</v>
      </c>
      <c r="P2861" t="str">
        <f>TEXT(Inventory_Data[[#This Row],[Date]],"MMM")</f>
        <v>Aug</v>
      </c>
      <c r="Q2861" t="str">
        <f>TEXT(Inventory_Data[[#This Row],[Date]],"YYYY")</f>
        <v>2026</v>
      </c>
    </row>
    <row r="2862" spans="1:17" x14ac:dyDescent="0.3">
      <c r="A2862" s="1">
        <v>46262</v>
      </c>
      <c r="B2862" t="s">
        <v>12</v>
      </c>
      <c r="C2862" t="s">
        <v>13</v>
      </c>
      <c r="D2862" t="s">
        <v>37</v>
      </c>
      <c r="E2862" t="s">
        <v>29</v>
      </c>
      <c r="F2862">
        <v>50</v>
      </c>
      <c r="G2862">
        <v>30</v>
      </c>
      <c r="H2862">
        <v>55</v>
      </c>
      <c r="I2862">
        <v>25</v>
      </c>
      <c r="J2862">
        <v>39</v>
      </c>
      <c r="K2862">
        <v>1297</v>
      </c>
      <c r="L2862">
        <v>32425</v>
      </c>
      <c r="M2862">
        <f>Inventory_Data[[#This Row],[Opening Stock]]+Inventory_Data[[#This Row],[Purchase Qty]]-Inventory_Data[[#This Row],[Sales Qty]]-Inventory_Data[[#This Row],[Closing Stock]]</f>
        <v>0</v>
      </c>
      <c r="N2862">
        <f>Inventory_Data[[#This Row],[Purchase Qty]]*Inventory_Data[[#This Row],[Unit Cost]]</f>
        <v>38910</v>
      </c>
      <c r="O2862" t="str">
        <f>IF(Inventory_Data[[#This Row],[Closing Stock]]&lt;=Inventory_Data[[#This Row],[Reorder Level]],"Low Stock","In Stock")</f>
        <v>Low Stock</v>
      </c>
      <c r="P2862" t="str">
        <f>TEXT(Inventory_Data[[#This Row],[Date]],"MMM")</f>
        <v>Aug</v>
      </c>
      <c r="Q2862" t="str">
        <f>TEXT(Inventory_Data[[#This Row],[Date]],"YYYY")</f>
        <v>2026</v>
      </c>
    </row>
    <row r="2863" spans="1:17" x14ac:dyDescent="0.3">
      <c r="A2863" s="1">
        <v>46262</v>
      </c>
      <c r="B2863" t="s">
        <v>27</v>
      </c>
      <c r="C2863" t="s">
        <v>28</v>
      </c>
      <c r="D2863" t="s">
        <v>14</v>
      </c>
      <c r="E2863" t="s">
        <v>34</v>
      </c>
      <c r="F2863">
        <v>41</v>
      </c>
      <c r="G2863">
        <v>75</v>
      </c>
      <c r="H2863">
        <v>48</v>
      </c>
      <c r="I2863">
        <v>68</v>
      </c>
      <c r="J2863">
        <v>25</v>
      </c>
      <c r="K2863">
        <v>62622</v>
      </c>
      <c r="L2863">
        <v>4258296</v>
      </c>
      <c r="M2863">
        <f>Inventory_Data[[#This Row],[Opening Stock]]+Inventory_Data[[#This Row],[Purchase Qty]]-Inventory_Data[[#This Row],[Sales Qty]]-Inventory_Data[[#This Row],[Closing Stock]]</f>
        <v>0</v>
      </c>
      <c r="N2863">
        <f>Inventory_Data[[#This Row],[Purchase Qty]]*Inventory_Data[[#This Row],[Unit Cost]]</f>
        <v>4696650</v>
      </c>
      <c r="O2863" t="str">
        <f>IF(Inventory_Data[[#This Row],[Closing Stock]]&lt;=Inventory_Data[[#This Row],[Reorder Level]],"Low Stock","In Stock")</f>
        <v>In Stock</v>
      </c>
      <c r="P2863" t="str">
        <f>TEXT(Inventory_Data[[#This Row],[Date]],"MMM")</f>
        <v>Aug</v>
      </c>
      <c r="Q2863" t="str">
        <f>TEXT(Inventory_Data[[#This Row],[Date]],"YYYY")</f>
        <v>2026</v>
      </c>
    </row>
    <row r="2864" spans="1:17" x14ac:dyDescent="0.3">
      <c r="A2864" s="1">
        <v>46262</v>
      </c>
      <c r="B2864" t="s">
        <v>21</v>
      </c>
      <c r="C2864" t="s">
        <v>22</v>
      </c>
      <c r="D2864" t="s">
        <v>26</v>
      </c>
      <c r="E2864" t="s">
        <v>24</v>
      </c>
      <c r="F2864">
        <v>54</v>
      </c>
      <c r="G2864">
        <v>185</v>
      </c>
      <c r="H2864">
        <v>239</v>
      </c>
      <c r="I2864">
        <v>0</v>
      </c>
      <c r="J2864">
        <v>136</v>
      </c>
      <c r="K2864">
        <v>1124</v>
      </c>
      <c r="L2864">
        <v>0</v>
      </c>
      <c r="M2864">
        <f>Inventory_Data[[#This Row],[Opening Stock]]+Inventory_Data[[#This Row],[Purchase Qty]]-Inventory_Data[[#This Row],[Sales Qty]]-Inventory_Data[[#This Row],[Closing Stock]]</f>
        <v>0</v>
      </c>
      <c r="N2864">
        <f>Inventory_Data[[#This Row],[Purchase Qty]]*Inventory_Data[[#This Row],[Unit Cost]]</f>
        <v>207940</v>
      </c>
      <c r="O2864" t="str">
        <f>IF(Inventory_Data[[#This Row],[Closing Stock]]&lt;=Inventory_Data[[#This Row],[Reorder Level]],"Low Stock","In Stock")</f>
        <v>Low Stock</v>
      </c>
      <c r="P2864" t="str">
        <f>TEXT(Inventory_Data[[#This Row],[Date]],"MMM")</f>
        <v>Aug</v>
      </c>
      <c r="Q2864" t="str">
        <f>TEXT(Inventory_Data[[#This Row],[Date]],"YYYY")</f>
        <v>2026</v>
      </c>
    </row>
    <row r="2865" spans="1:17" x14ac:dyDescent="0.3">
      <c r="A2865" s="1">
        <v>46263</v>
      </c>
      <c r="B2865" t="s">
        <v>36</v>
      </c>
      <c r="C2865" t="s">
        <v>22</v>
      </c>
      <c r="D2865" t="s">
        <v>23</v>
      </c>
      <c r="E2865" t="s">
        <v>34</v>
      </c>
      <c r="F2865">
        <v>353</v>
      </c>
      <c r="G2865">
        <v>167</v>
      </c>
      <c r="H2865">
        <v>47</v>
      </c>
      <c r="I2865">
        <v>473</v>
      </c>
      <c r="J2865">
        <v>68</v>
      </c>
      <c r="K2865">
        <v>658</v>
      </c>
      <c r="L2865">
        <v>311234</v>
      </c>
      <c r="M2865">
        <f>Inventory_Data[[#This Row],[Opening Stock]]+Inventory_Data[[#This Row],[Purchase Qty]]-Inventory_Data[[#This Row],[Sales Qty]]-Inventory_Data[[#This Row],[Closing Stock]]</f>
        <v>0</v>
      </c>
      <c r="N2865">
        <f>Inventory_Data[[#This Row],[Purchase Qty]]*Inventory_Data[[#This Row],[Unit Cost]]</f>
        <v>109886</v>
      </c>
      <c r="O2865" t="str">
        <f>IF(Inventory_Data[[#This Row],[Closing Stock]]&lt;=Inventory_Data[[#This Row],[Reorder Level]],"Low Stock","In Stock")</f>
        <v>In Stock</v>
      </c>
      <c r="P2865" t="str">
        <f>TEXT(Inventory_Data[[#This Row],[Date]],"MMM")</f>
        <v>Aug</v>
      </c>
      <c r="Q2865" t="str">
        <f>TEXT(Inventory_Data[[#This Row],[Date]],"YYYY")</f>
        <v>2026</v>
      </c>
    </row>
    <row r="2866" spans="1:17" x14ac:dyDescent="0.3">
      <c r="A2866" s="1">
        <v>46263</v>
      </c>
      <c r="B2866" t="s">
        <v>12</v>
      </c>
      <c r="C2866" t="s">
        <v>13</v>
      </c>
      <c r="D2866" t="s">
        <v>23</v>
      </c>
      <c r="E2866" t="s">
        <v>20</v>
      </c>
      <c r="F2866">
        <v>98</v>
      </c>
      <c r="G2866">
        <v>12</v>
      </c>
      <c r="H2866">
        <v>20</v>
      </c>
      <c r="I2866">
        <v>90</v>
      </c>
      <c r="J2866">
        <v>16</v>
      </c>
      <c r="K2866">
        <v>824</v>
      </c>
      <c r="L2866">
        <v>74160</v>
      </c>
      <c r="M2866">
        <f>Inventory_Data[[#This Row],[Opening Stock]]+Inventory_Data[[#This Row],[Purchase Qty]]-Inventory_Data[[#This Row],[Sales Qty]]-Inventory_Data[[#This Row],[Closing Stock]]</f>
        <v>0</v>
      </c>
      <c r="N2866">
        <f>Inventory_Data[[#This Row],[Purchase Qty]]*Inventory_Data[[#This Row],[Unit Cost]]</f>
        <v>9888</v>
      </c>
      <c r="O2866" t="str">
        <f>IF(Inventory_Data[[#This Row],[Closing Stock]]&lt;=Inventory_Data[[#This Row],[Reorder Level]],"Low Stock","In Stock")</f>
        <v>In Stock</v>
      </c>
      <c r="P2866" t="str">
        <f>TEXT(Inventory_Data[[#This Row],[Date]],"MMM")</f>
        <v>Aug</v>
      </c>
      <c r="Q2866" t="str">
        <f>TEXT(Inventory_Data[[#This Row],[Date]],"YYYY")</f>
        <v>2026</v>
      </c>
    </row>
    <row r="2867" spans="1:17" x14ac:dyDescent="0.3">
      <c r="A2867" s="1">
        <v>46263</v>
      </c>
      <c r="B2867" t="s">
        <v>45</v>
      </c>
      <c r="C2867" t="s">
        <v>13</v>
      </c>
      <c r="D2867" t="s">
        <v>37</v>
      </c>
      <c r="E2867" t="s">
        <v>15</v>
      </c>
      <c r="F2867">
        <v>19</v>
      </c>
      <c r="G2867">
        <v>26</v>
      </c>
      <c r="H2867">
        <v>41</v>
      </c>
      <c r="I2867">
        <v>4</v>
      </c>
      <c r="J2867">
        <v>39</v>
      </c>
      <c r="K2867">
        <v>10120</v>
      </c>
      <c r="L2867">
        <v>40480</v>
      </c>
      <c r="M2867">
        <f>Inventory_Data[[#This Row],[Opening Stock]]+Inventory_Data[[#This Row],[Purchase Qty]]-Inventory_Data[[#This Row],[Sales Qty]]-Inventory_Data[[#This Row],[Closing Stock]]</f>
        <v>0</v>
      </c>
      <c r="N2867">
        <f>Inventory_Data[[#This Row],[Purchase Qty]]*Inventory_Data[[#This Row],[Unit Cost]]</f>
        <v>263120</v>
      </c>
      <c r="O2867" t="str">
        <f>IF(Inventory_Data[[#This Row],[Closing Stock]]&lt;=Inventory_Data[[#This Row],[Reorder Level]],"Low Stock","In Stock")</f>
        <v>Low Stock</v>
      </c>
      <c r="P2867" t="str">
        <f>TEXT(Inventory_Data[[#This Row],[Date]],"MMM")</f>
        <v>Aug</v>
      </c>
      <c r="Q2867" t="str">
        <f>TEXT(Inventory_Data[[#This Row],[Date]],"YYYY")</f>
        <v>2026</v>
      </c>
    </row>
    <row r="2868" spans="1:17" x14ac:dyDescent="0.3">
      <c r="A2868" s="1">
        <v>46263</v>
      </c>
      <c r="B2868" t="s">
        <v>38</v>
      </c>
      <c r="C2868" t="s">
        <v>17</v>
      </c>
      <c r="D2868" t="s">
        <v>23</v>
      </c>
      <c r="E2868" t="s">
        <v>20</v>
      </c>
      <c r="F2868">
        <v>56</v>
      </c>
      <c r="G2868">
        <v>55</v>
      </c>
      <c r="H2868">
        <v>14</v>
      </c>
      <c r="I2868">
        <v>97</v>
      </c>
      <c r="J2868">
        <v>12</v>
      </c>
      <c r="K2868">
        <v>24000</v>
      </c>
      <c r="L2868">
        <v>2328000</v>
      </c>
      <c r="M2868">
        <f>Inventory_Data[[#This Row],[Opening Stock]]+Inventory_Data[[#This Row],[Purchase Qty]]-Inventory_Data[[#This Row],[Sales Qty]]-Inventory_Data[[#This Row],[Closing Stock]]</f>
        <v>0</v>
      </c>
      <c r="N2868">
        <f>Inventory_Data[[#This Row],[Purchase Qty]]*Inventory_Data[[#This Row],[Unit Cost]]</f>
        <v>1320000</v>
      </c>
      <c r="O2868" t="str">
        <f>IF(Inventory_Data[[#This Row],[Closing Stock]]&lt;=Inventory_Data[[#This Row],[Reorder Level]],"Low Stock","In Stock")</f>
        <v>In Stock</v>
      </c>
      <c r="P2868" t="str">
        <f>TEXT(Inventory_Data[[#This Row],[Date]],"MMM")</f>
        <v>Aug</v>
      </c>
      <c r="Q2868" t="str">
        <f>TEXT(Inventory_Data[[#This Row],[Date]],"YYYY")</f>
        <v>2026</v>
      </c>
    </row>
    <row r="2869" spans="1:17" x14ac:dyDescent="0.3">
      <c r="A2869" s="1">
        <v>46263</v>
      </c>
      <c r="B2869" t="s">
        <v>25</v>
      </c>
      <c r="C2869" t="s">
        <v>17</v>
      </c>
      <c r="D2869" t="s">
        <v>37</v>
      </c>
      <c r="E2869" t="s">
        <v>34</v>
      </c>
      <c r="F2869">
        <v>43</v>
      </c>
      <c r="G2869">
        <v>36</v>
      </c>
      <c r="H2869">
        <v>30</v>
      </c>
      <c r="I2869">
        <v>49</v>
      </c>
      <c r="J2869">
        <v>16</v>
      </c>
      <c r="K2869">
        <v>9117</v>
      </c>
      <c r="L2869">
        <v>446733</v>
      </c>
      <c r="M2869">
        <f>Inventory_Data[[#This Row],[Opening Stock]]+Inventory_Data[[#This Row],[Purchase Qty]]-Inventory_Data[[#This Row],[Sales Qty]]-Inventory_Data[[#This Row],[Closing Stock]]</f>
        <v>0</v>
      </c>
      <c r="N2869">
        <f>Inventory_Data[[#This Row],[Purchase Qty]]*Inventory_Data[[#This Row],[Unit Cost]]</f>
        <v>328212</v>
      </c>
      <c r="O2869" t="str">
        <f>IF(Inventory_Data[[#This Row],[Closing Stock]]&lt;=Inventory_Data[[#This Row],[Reorder Level]],"Low Stock","In Stock")</f>
        <v>In Stock</v>
      </c>
      <c r="P2869" t="str">
        <f>TEXT(Inventory_Data[[#This Row],[Date]],"MMM")</f>
        <v>Aug</v>
      </c>
      <c r="Q2869" t="str">
        <f>TEXT(Inventory_Data[[#This Row],[Date]],"YYYY")</f>
        <v>2026</v>
      </c>
    </row>
    <row r="2870" spans="1:17" x14ac:dyDescent="0.3">
      <c r="A2870" s="1">
        <v>46263</v>
      </c>
      <c r="B2870" t="s">
        <v>41</v>
      </c>
      <c r="C2870" t="s">
        <v>22</v>
      </c>
      <c r="D2870" t="s">
        <v>26</v>
      </c>
      <c r="E2870" t="s">
        <v>34</v>
      </c>
      <c r="F2870">
        <v>278</v>
      </c>
      <c r="G2870">
        <v>92</v>
      </c>
      <c r="H2870">
        <v>34</v>
      </c>
      <c r="I2870">
        <v>336</v>
      </c>
      <c r="J2870">
        <v>70</v>
      </c>
      <c r="K2870">
        <v>287</v>
      </c>
      <c r="L2870">
        <v>96432</v>
      </c>
      <c r="M2870">
        <f>Inventory_Data[[#This Row],[Opening Stock]]+Inventory_Data[[#This Row],[Purchase Qty]]-Inventory_Data[[#This Row],[Sales Qty]]-Inventory_Data[[#This Row],[Closing Stock]]</f>
        <v>0</v>
      </c>
      <c r="N2870">
        <f>Inventory_Data[[#This Row],[Purchase Qty]]*Inventory_Data[[#This Row],[Unit Cost]]</f>
        <v>26404</v>
      </c>
      <c r="O2870" t="str">
        <f>IF(Inventory_Data[[#This Row],[Closing Stock]]&lt;=Inventory_Data[[#This Row],[Reorder Level]],"Low Stock","In Stock")</f>
        <v>In Stock</v>
      </c>
      <c r="P2870" t="str">
        <f>TEXT(Inventory_Data[[#This Row],[Date]],"MMM")</f>
        <v>Aug</v>
      </c>
      <c r="Q2870" t="str">
        <f>TEXT(Inventory_Data[[#This Row],[Date]],"YYYY")</f>
        <v>2026</v>
      </c>
    </row>
    <row r="2871" spans="1:17" x14ac:dyDescent="0.3">
      <c r="A2871" s="1">
        <v>46263</v>
      </c>
      <c r="B2871" t="s">
        <v>36</v>
      </c>
      <c r="C2871" t="s">
        <v>22</v>
      </c>
      <c r="D2871" t="s">
        <v>26</v>
      </c>
      <c r="E2871" t="s">
        <v>29</v>
      </c>
      <c r="F2871">
        <v>347</v>
      </c>
      <c r="G2871">
        <v>162</v>
      </c>
      <c r="H2871">
        <v>74</v>
      </c>
      <c r="I2871">
        <v>435</v>
      </c>
      <c r="J2871">
        <v>50</v>
      </c>
      <c r="K2871">
        <v>309</v>
      </c>
      <c r="L2871">
        <v>134415</v>
      </c>
      <c r="M2871">
        <f>Inventory_Data[[#This Row],[Opening Stock]]+Inventory_Data[[#This Row],[Purchase Qty]]-Inventory_Data[[#This Row],[Sales Qty]]-Inventory_Data[[#This Row],[Closing Stock]]</f>
        <v>0</v>
      </c>
      <c r="N2871">
        <f>Inventory_Data[[#This Row],[Purchase Qty]]*Inventory_Data[[#This Row],[Unit Cost]]</f>
        <v>50058</v>
      </c>
      <c r="O2871" t="str">
        <f>IF(Inventory_Data[[#This Row],[Closing Stock]]&lt;=Inventory_Data[[#This Row],[Reorder Level]],"Low Stock","In Stock")</f>
        <v>In Stock</v>
      </c>
      <c r="P2871" t="str">
        <f>TEXT(Inventory_Data[[#This Row],[Date]],"MMM")</f>
        <v>Aug</v>
      </c>
      <c r="Q2871" t="str">
        <f>TEXT(Inventory_Data[[#This Row],[Date]],"YYYY")</f>
        <v>2026</v>
      </c>
    </row>
    <row r="2872" spans="1:17" x14ac:dyDescent="0.3">
      <c r="A2872" s="1">
        <v>46264</v>
      </c>
      <c r="B2872" t="s">
        <v>12</v>
      </c>
      <c r="C2872" t="s">
        <v>13</v>
      </c>
      <c r="D2872" t="s">
        <v>14</v>
      </c>
      <c r="E2872" t="s">
        <v>34</v>
      </c>
      <c r="F2872">
        <v>77</v>
      </c>
      <c r="G2872">
        <v>10</v>
      </c>
      <c r="H2872">
        <v>62</v>
      </c>
      <c r="I2872">
        <v>25</v>
      </c>
      <c r="J2872">
        <v>17</v>
      </c>
      <c r="K2872">
        <v>2074</v>
      </c>
      <c r="L2872">
        <v>51850</v>
      </c>
      <c r="M2872">
        <f>Inventory_Data[[#This Row],[Opening Stock]]+Inventory_Data[[#This Row],[Purchase Qty]]-Inventory_Data[[#This Row],[Sales Qty]]-Inventory_Data[[#This Row],[Closing Stock]]</f>
        <v>0</v>
      </c>
      <c r="N2872">
        <f>Inventory_Data[[#This Row],[Purchase Qty]]*Inventory_Data[[#This Row],[Unit Cost]]</f>
        <v>20740</v>
      </c>
      <c r="O2872" t="str">
        <f>IF(Inventory_Data[[#This Row],[Closing Stock]]&lt;=Inventory_Data[[#This Row],[Reorder Level]],"Low Stock","In Stock")</f>
        <v>In Stock</v>
      </c>
      <c r="P2872" t="str">
        <f>TEXT(Inventory_Data[[#This Row],[Date]],"MMM")</f>
        <v>Aug</v>
      </c>
      <c r="Q2872" t="str">
        <f>TEXT(Inventory_Data[[#This Row],[Date]],"YYYY")</f>
        <v>2026</v>
      </c>
    </row>
    <row r="2873" spans="1:17" x14ac:dyDescent="0.3">
      <c r="A2873" s="1">
        <v>46264</v>
      </c>
      <c r="B2873" t="s">
        <v>42</v>
      </c>
      <c r="C2873" t="s">
        <v>17</v>
      </c>
      <c r="D2873" t="s">
        <v>26</v>
      </c>
      <c r="E2873" t="s">
        <v>18</v>
      </c>
      <c r="F2873">
        <v>21</v>
      </c>
      <c r="G2873">
        <v>27</v>
      </c>
      <c r="H2873">
        <v>6</v>
      </c>
      <c r="I2873">
        <v>42</v>
      </c>
      <c r="J2873">
        <v>13</v>
      </c>
      <c r="K2873">
        <v>11974</v>
      </c>
      <c r="L2873">
        <v>502908</v>
      </c>
      <c r="M2873">
        <f>Inventory_Data[[#This Row],[Opening Stock]]+Inventory_Data[[#This Row],[Purchase Qty]]-Inventory_Data[[#This Row],[Sales Qty]]-Inventory_Data[[#This Row],[Closing Stock]]</f>
        <v>0</v>
      </c>
      <c r="N2873">
        <f>Inventory_Data[[#This Row],[Purchase Qty]]*Inventory_Data[[#This Row],[Unit Cost]]</f>
        <v>323298</v>
      </c>
      <c r="O2873" t="str">
        <f>IF(Inventory_Data[[#This Row],[Closing Stock]]&lt;=Inventory_Data[[#This Row],[Reorder Level]],"Low Stock","In Stock")</f>
        <v>In Stock</v>
      </c>
      <c r="P2873" t="str">
        <f>TEXT(Inventory_Data[[#This Row],[Date]],"MMM")</f>
        <v>Aug</v>
      </c>
      <c r="Q2873" t="str">
        <f>TEXT(Inventory_Data[[#This Row],[Date]],"YYYY")</f>
        <v>2026</v>
      </c>
    </row>
    <row r="2874" spans="1:17" x14ac:dyDescent="0.3">
      <c r="A2874" s="1">
        <v>46264</v>
      </c>
      <c r="B2874" t="s">
        <v>16</v>
      </c>
      <c r="C2874" t="s">
        <v>17</v>
      </c>
      <c r="D2874" t="s">
        <v>23</v>
      </c>
      <c r="E2874" t="s">
        <v>34</v>
      </c>
      <c r="F2874">
        <v>54</v>
      </c>
      <c r="G2874">
        <v>29</v>
      </c>
      <c r="H2874">
        <v>40</v>
      </c>
      <c r="I2874">
        <v>43</v>
      </c>
      <c r="J2874">
        <v>27</v>
      </c>
      <c r="K2874">
        <v>8663</v>
      </c>
      <c r="L2874">
        <v>372509</v>
      </c>
      <c r="M2874">
        <f>Inventory_Data[[#This Row],[Opening Stock]]+Inventory_Data[[#This Row],[Purchase Qty]]-Inventory_Data[[#This Row],[Sales Qty]]-Inventory_Data[[#This Row],[Closing Stock]]</f>
        <v>0</v>
      </c>
      <c r="N2874">
        <f>Inventory_Data[[#This Row],[Purchase Qty]]*Inventory_Data[[#This Row],[Unit Cost]]</f>
        <v>251227</v>
      </c>
      <c r="O2874" t="str">
        <f>IF(Inventory_Data[[#This Row],[Closing Stock]]&lt;=Inventory_Data[[#This Row],[Reorder Level]],"Low Stock","In Stock")</f>
        <v>In Stock</v>
      </c>
      <c r="P2874" t="str">
        <f>TEXT(Inventory_Data[[#This Row],[Date]],"MMM")</f>
        <v>Aug</v>
      </c>
      <c r="Q2874" t="str">
        <f>TEXT(Inventory_Data[[#This Row],[Date]],"YYYY")</f>
        <v>2026</v>
      </c>
    </row>
    <row r="2875" spans="1:17" x14ac:dyDescent="0.3">
      <c r="A2875" s="1">
        <v>46264</v>
      </c>
      <c r="B2875" t="s">
        <v>12</v>
      </c>
      <c r="C2875" t="s">
        <v>13</v>
      </c>
      <c r="D2875" t="s">
        <v>26</v>
      </c>
      <c r="E2875" t="s">
        <v>20</v>
      </c>
      <c r="F2875">
        <v>113</v>
      </c>
      <c r="G2875">
        <v>64</v>
      </c>
      <c r="H2875">
        <v>35</v>
      </c>
      <c r="I2875">
        <v>142</v>
      </c>
      <c r="J2875">
        <v>35</v>
      </c>
      <c r="K2875">
        <v>890</v>
      </c>
      <c r="L2875">
        <v>126380</v>
      </c>
      <c r="M2875">
        <f>Inventory_Data[[#This Row],[Opening Stock]]+Inventory_Data[[#This Row],[Purchase Qty]]-Inventory_Data[[#This Row],[Sales Qty]]-Inventory_Data[[#This Row],[Closing Stock]]</f>
        <v>0</v>
      </c>
      <c r="N2875">
        <f>Inventory_Data[[#This Row],[Purchase Qty]]*Inventory_Data[[#This Row],[Unit Cost]]</f>
        <v>56960</v>
      </c>
      <c r="O2875" t="str">
        <f>IF(Inventory_Data[[#This Row],[Closing Stock]]&lt;=Inventory_Data[[#This Row],[Reorder Level]],"Low Stock","In Stock")</f>
        <v>In Stock</v>
      </c>
      <c r="P2875" t="str">
        <f>TEXT(Inventory_Data[[#This Row],[Date]],"MMM")</f>
        <v>Aug</v>
      </c>
      <c r="Q2875" t="str">
        <f>TEXT(Inventory_Data[[#This Row],[Date]],"YYYY")</f>
        <v>2026</v>
      </c>
    </row>
    <row r="2876" spans="1:17" x14ac:dyDescent="0.3">
      <c r="A2876" s="1">
        <v>46265</v>
      </c>
      <c r="B2876" t="s">
        <v>38</v>
      </c>
      <c r="C2876" t="s">
        <v>17</v>
      </c>
      <c r="D2876" t="s">
        <v>14</v>
      </c>
      <c r="E2876" t="s">
        <v>15</v>
      </c>
      <c r="F2876">
        <v>52</v>
      </c>
      <c r="G2876">
        <v>21</v>
      </c>
      <c r="H2876">
        <v>25</v>
      </c>
      <c r="I2876">
        <v>48</v>
      </c>
      <c r="J2876">
        <v>22</v>
      </c>
      <c r="K2876">
        <v>5209</v>
      </c>
      <c r="L2876">
        <v>250032</v>
      </c>
      <c r="M2876">
        <f>Inventory_Data[[#This Row],[Opening Stock]]+Inventory_Data[[#This Row],[Purchase Qty]]-Inventory_Data[[#This Row],[Sales Qty]]-Inventory_Data[[#This Row],[Closing Stock]]</f>
        <v>0</v>
      </c>
      <c r="N2876">
        <f>Inventory_Data[[#This Row],[Purchase Qty]]*Inventory_Data[[#This Row],[Unit Cost]]</f>
        <v>109389</v>
      </c>
      <c r="O2876" t="str">
        <f>IF(Inventory_Data[[#This Row],[Closing Stock]]&lt;=Inventory_Data[[#This Row],[Reorder Level]],"Low Stock","In Stock")</f>
        <v>In Stock</v>
      </c>
      <c r="P2876" t="str">
        <f>TEXT(Inventory_Data[[#This Row],[Date]],"MMM")</f>
        <v>Aug</v>
      </c>
      <c r="Q2876" t="str">
        <f>TEXT(Inventory_Data[[#This Row],[Date]],"YYYY")</f>
        <v>2026</v>
      </c>
    </row>
    <row r="2877" spans="1:17" x14ac:dyDescent="0.3">
      <c r="A2877" s="1">
        <v>46265</v>
      </c>
      <c r="B2877" t="s">
        <v>33</v>
      </c>
      <c r="C2877" t="s">
        <v>13</v>
      </c>
      <c r="D2877" t="s">
        <v>14</v>
      </c>
      <c r="E2877" t="s">
        <v>24</v>
      </c>
      <c r="F2877">
        <v>119</v>
      </c>
      <c r="G2877">
        <v>40</v>
      </c>
      <c r="H2877">
        <v>60</v>
      </c>
      <c r="I2877">
        <v>99</v>
      </c>
      <c r="J2877">
        <v>16</v>
      </c>
      <c r="K2877">
        <v>12703</v>
      </c>
      <c r="L2877">
        <v>1257597</v>
      </c>
      <c r="M2877">
        <f>Inventory_Data[[#This Row],[Opening Stock]]+Inventory_Data[[#This Row],[Purchase Qty]]-Inventory_Data[[#This Row],[Sales Qty]]-Inventory_Data[[#This Row],[Closing Stock]]</f>
        <v>0</v>
      </c>
      <c r="N2877">
        <f>Inventory_Data[[#This Row],[Purchase Qty]]*Inventory_Data[[#This Row],[Unit Cost]]</f>
        <v>508120</v>
      </c>
      <c r="O2877" t="str">
        <f>IF(Inventory_Data[[#This Row],[Closing Stock]]&lt;=Inventory_Data[[#This Row],[Reorder Level]],"Low Stock","In Stock")</f>
        <v>In Stock</v>
      </c>
      <c r="P2877" t="str">
        <f>TEXT(Inventory_Data[[#This Row],[Date]],"MMM")</f>
        <v>Aug</v>
      </c>
      <c r="Q2877" t="str">
        <f>TEXT(Inventory_Data[[#This Row],[Date]],"YYYY")</f>
        <v>2026</v>
      </c>
    </row>
    <row r="2878" spans="1:17" x14ac:dyDescent="0.3">
      <c r="A2878" s="1">
        <v>46265</v>
      </c>
      <c r="B2878" t="s">
        <v>31</v>
      </c>
      <c r="C2878" t="s">
        <v>22</v>
      </c>
      <c r="D2878" t="s">
        <v>37</v>
      </c>
      <c r="E2878" t="s">
        <v>15</v>
      </c>
      <c r="F2878">
        <v>355</v>
      </c>
      <c r="G2878">
        <v>208</v>
      </c>
      <c r="H2878">
        <v>73</v>
      </c>
      <c r="I2878">
        <v>490</v>
      </c>
      <c r="J2878">
        <v>136</v>
      </c>
      <c r="K2878">
        <v>1175</v>
      </c>
      <c r="L2878">
        <v>575750</v>
      </c>
      <c r="M2878">
        <f>Inventory_Data[[#This Row],[Opening Stock]]+Inventory_Data[[#This Row],[Purchase Qty]]-Inventory_Data[[#This Row],[Sales Qty]]-Inventory_Data[[#This Row],[Closing Stock]]</f>
        <v>0</v>
      </c>
      <c r="N2878">
        <f>Inventory_Data[[#This Row],[Purchase Qty]]*Inventory_Data[[#This Row],[Unit Cost]]</f>
        <v>244400</v>
      </c>
      <c r="O2878" t="str">
        <f>IF(Inventory_Data[[#This Row],[Closing Stock]]&lt;=Inventory_Data[[#This Row],[Reorder Level]],"Low Stock","In Stock")</f>
        <v>In Stock</v>
      </c>
      <c r="P2878" t="str">
        <f>TEXT(Inventory_Data[[#This Row],[Date]],"MMM")</f>
        <v>Aug</v>
      </c>
      <c r="Q2878" t="str">
        <f>TEXT(Inventory_Data[[#This Row],[Date]],"YYYY")</f>
        <v>2026</v>
      </c>
    </row>
    <row r="2879" spans="1:17" x14ac:dyDescent="0.3">
      <c r="A2879" s="1">
        <v>46265</v>
      </c>
      <c r="B2879" t="s">
        <v>32</v>
      </c>
      <c r="C2879" t="s">
        <v>28</v>
      </c>
      <c r="D2879" t="s">
        <v>26</v>
      </c>
      <c r="E2879" t="s">
        <v>24</v>
      </c>
      <c r="F2879">
        <v>136</v>
      </c>
      <c r="G2879">
        <v>81</v>
      </c>
      <c r="H2879">
        <v>68</v>
      </c>
      <c r="I2879">
        <v>149</v>
      </c>
      <c r="J2879">
        <v>53</v>
      </c>
      <c r="K2879">
        <v>52787</v>
      </c>
      <c r="L2879">
        <v>7865263</v>
      </c>
      <c r="M2879">
        <f>Inventory_Data[[#This Row],[Opening Stock]]+Inventory_Data[[#This Row],[Purchase Qty]]-Inventory_Data[[#This Row],[Sales Qty]]-Inventory_Data[[#This Row],[Closing Stock]]</f>
        <v>0</v>
      </c>
      <c r="N2879">
        <f>Inventory_Data[[#This Row],[Purchase Qty]]*Inventory_Data[[#This Row],[Unit Cost]]</f>
        <v>4275747</v>
      </c>
      <c r="O2879" t="str">
        <f>IF(Inventory_Data[[#This Row],[Closing Stock]]&lt;=Inventory_Data[[#This Row],[Reorder Level]],"Low Stock","In Stock")</f>
        <v>In Stock</v>
      </c>
      <c r="P2879" t="str">
        <f>TEXT(Inventory_Data[[#This Row],[Date]],"MMM")</f>
        <v>Aug</v>
      </c>
      <c r="Q2879" t="str">
        <f>TEXT(Inventory_Data[[#This Row],[Date]],"YYYY")</f>
        <v>2026</v>
      </c>
    </row>
    <row r="2880" spans="1:17" x14ac:dyDescent="0.3">
      <c r="A2880" s="1">
        <v>46265</v>
      </c>
      <c r="B2880" t="s">
        <v>25</v>
      </c>
      <c r="C2880" t="s">
        <v>17</v>
      </c>
      <c r="D2880" t="s">
        <v>26</v>
      </c>
      <c r="E2880" t="s">
        <v>34</v>
      </c>
      <c r="F2880">
        <v>82</v>
      </c>
      <c r="G2880">
        <v>41</v>
      </c>
      <c r="H2880">
        <v>11</v>
      </c>
      <c r="I2880">
        <v>112</v>
      </c>
      <c r="J2880">
        <v>25</v>
      </c>
      <c r="K2880">
        <v>10721</v>
      </c>
      <c r="L2880">
        <v>1200752</v>
      </c>
      <c r="M2880">
        <f>Inventory_Data[[#This Row],[Opening Stock]]+Inventory_Data[[#This Row],[Purchase Qty]]-Inventory_Data[[#This Row],[Sales Qty]]-Inventory_Data[[#This Row],[Closing Stock]]</f>
        <v>0</v>
      </c>
      <c r="N2880">
        <f>Inventory_Data[[#This Row],[Purchase Qty]]*Inventory_Data[[#This Row],[Unit Cost]]</f>
        <v>439561</v>
      </c>
      <c r="O2880" t="str">
        <f>IF(Inventory_Data[[#This Row],[Closing Stock]]&lt;=Inventory_Data[[#This Row],[Reorder Level]],"Low Stock","In Stock")</f>
        <v>In Stock</v>
      </c>
      <c r="P2880" t="str">
        <f>TEXT(Inventory_Data[[#This Row],[Date]],"MMM")</f>
        <v>Aug</v>
      </c>
      <c r="Q2880" t="str">
        <f>TEXT(Inventory_Data[[#This Row],[Date]],"YYYY")</f>
        <v>2026</v>
      </c>
    </row>
    <row r="2881" spans="1:17" x14ac:dyDescent="0.3">
      <c r="A2881" s="1">
        <v>46265</v>
      </c>
      <c r="B2881" t="s">
        <v>19</v>
      </c>
      <c r="C2881" t="s">
        <v>13</v>
      </c>
      <c r="D2881" t="s">
        <v>26</v>
      </c>
      <c r="E2881" t="s">
        <v>15</v>
      </c>
      <c r="F2881">
        <v>40</v>
      </c>
      <c r="G2881">
        <v>74</v>
      </c>
      <c r="H2881">
        <v>61</v>
      </c>
      <c r="I2881">
        <v>53</v>
      </c>
      <c r="J2881">
        <v>22</v>
      </c>
      <c r="K2881">
        <v>13471</v>
      </c>
      <c r="L2881">
        <v>713963</v>
      </c>
      <c r="M2881">
        <f>Inventory_Data[[#This Row],[Opening Stock]]+Inventory_Data[[#This Row],[Purchase Qty]]-Inventory_Data[[#This Row],[Sales Qty]]-Inventory_Data[[#This Row],[Closing Stock]]</f>
        <v>0</v>
      </c>
      <c r="N2881">
        <f>Inventory_Data[[#This Row],[Purchase Qty]]*Inventory_Data[[#This Row],[Unit Cost]]</f>
        <v>996854</v>
      </c>
      <c r="O2881" t="str">
        <f>IF(Inventory_Data[[#This Row],[Closing Stock]]&lt;=Inventory_Data[[#This Row],[Reorder Level]],"Low Stock","In Stock")</f>
        <v>In Stock</v>
      </c>
      <c r="P2881" t="str">
        <f>TEXT(Inventory_Data[[#This Row],[Date]],"MMM")</f>
        <v>Aug</v>
      </c>
      <c r="Q2881" t="str">
        <f>TEXT(Inventory_Data[[#This Row],[Date]],"YYYY")</f>
        <v>2026</v>
      </c>
    </row>
    <row r="2882" spans="1:17" x14ac:dyDescent="0.3">
      <c r="A2882" s="1">
        <v>46265</v>
      </c>
      <c r="B2882" t="s">
        <v>35</v>
      </c>
      <c r="C2882" t="s">
        <v>22</v>
      </c>
      <c r="D2882" t="s">
        <v>37</v>
      </c>
      <c r="E2882" t="s">
        <v>29</v>
      </c>
      <c r="F2882">
        <v>282</v>
      </c>
      <c r="G2882">
        <v>209</v>
      </c>
      <c r="H2882">
        <v>122</v>
      </c>
      <c r="I2882">
        <v>369</v>
      </c>
      <c r="J2882">
        <v>101</v>
      </c>
      <c r="K2882">
        <v>461</v>
      </c>
      <c r="L2882">
        <v>170109</v>
      </c>
      <c r="M2882">
        <f>Inventory_Data[[#This Row],[Opening Stock]]+Inventory_Data[[#This Row],[Purchase Qty]]-Inventory_Data[[#This Row],[Sales Qty]]-Inventory_Data[[#This Row],[Closing Stock]]</f>
        <v>0</v>
      </c>
      <c r="N2882">
        <f>Inventory_Data[[#This Row],[Purchase Qty]]*Inventory_Data[[#This Row],[Unit Cost]]</f>
        <v>96349</v>
      </c>
      <c r="O2882" t="str">
        <f>IF(Inventory_Data[[#This Row],[Closing Stock]]&lt;=Inventory_Data[[#This Row],[Reorder Level]],"Low Stock","In Stock")</f>
        <v>In Stock</v>
      </c>
      <c r="P2882" t="str">
        <f>TEXT(Inventory_Data[[#This Row],[Date]],"MMM")</f>
        <v>Aug</v>
      </c>
      <c r="Q2882" t="str">
        <f>TEXT(Inventory_Data[[#This Row],[Date]],"YYYY")</f>
        <v>2026</v>
      </c>
    </row>
    <row r="2883" spans="1:17" x14ac:dyDescent="0.3">
      <c r="A2883" s="1">
        <v>46265</v>
      </c>
      <c r="B2883" t="s">
        <v>12</v>
      </c>
      <c r="C2883" t="s">
        <v>13</v>
      </c>
      <c r="D2883" t="s">
        <v>26</v>
      </c>
      <c r="E2883" t="s">
        <v>20</v>
      </c>
      <c r="F2883">
        <v>107</v>
      </c>
      <c r="G2883">
        <v>17</v>
      </c>
      <c r="H2883">
        <v>45</v>
      </c>
      <c r="I2883">
        <v>79</v>
      </c>
      <c r="J2883">
        <v>30</v>
      </c>
      <c r="K2883">
        <v>15696</v>
      </c>
      <c r="L2883">
        <v>1239984</v>
      </c>
      <c r="M2883">
        <f>Inventory_Data[[#This Row],[Opening Stock]]+Inventory_Data[[#This Row],[Purchase Qty]]-Inventory_Data[[#This Row],[Sales Qty]]-Inventory_Data[[#This Row],[Closing Stock]]</f>
        <v>0</v>
      </c>
      <c r="N2883">
        <f>Inventory_Data[[#This Row],[Purchase Qty]]*Inventory_Data[[#This Row],[Unit Cost]]</f>
        <v>266832</v>
      </c>
      <c r="O2883" t="str">
        <f>IF(Inventory_Data[[#This Row],[Closing Stock]]&lt;=Inventory_Data[[#This Row],[Reorder Level]],"Low Stock","In Stock")</f>
        <v>In Stock</v>
      </c>
      <c r="P2883" t="str">
        <f>TEXT(Inventory_Data[[#This Row],[Date]],"MMM")</f>
        <v>Aug</v>
      </c>
      <c r="Q2883" t="str">
        <f>TEXT(Inventory_Data[[#This Row],[Date]],"YYYY")</f>
        <v>2026</v>
      </c>
    </row>
    <row r="2884" spans="1:17" x14ac:dyDescent="0.3">
      <c r="A2884" s="1">
        <v>46265</v>
      </c>
      <c r="B2884" t="s">
        <v>19</v>
      </c>
      <c r="C2884" t="s">
        <v>13</v>
      </c>
      <c r="D2884" t="s">
        <v>26</v>
      </c>
      <c r="E2884" t="s">
        <v>15</v>
      </c>
      <c r="F2884">
        <v>31</v>
      </c>
      <c r="G2884">
        <v>5</v>
      </c>
      <c r="H2884">
        <v>35</v>
      </c>
      <c r="I2884">
        <v>1</v>
      </c>
      <c r="J2884">
        <v>19</v>
      </c>
      <c r="K2884">
        <v>6105</v>
      </c>
      <c r="L2884">
        <v>6105</v>
      </c>
      <c r="M2884">
        <f>Inventory_Data[[#This Row],[Opening Stock]]+Inventory_Data[[#This Row],[Purchase Qty]]-Inventory_Data[[#This Row],[Sales Qty]]-Inventory_Data[[#This Row],[Closing Stock]]</f>
        <v>0</v>
      </c>
      <c r="N2884">
        <f>Inventory_Data[[#This Row],[Purchase Qty]]*Inventory_Data[[#This Row],[Unit Cost]]</f>
        <v>30525</v>
      </c>
      <c r="O2884" t="str">
        <f>IF(Inventory_Data[[#This Row],[Closing Stock]]&lt;=Inventory_Data[[#This Row],[Reorder Level]],"Low Stock","In Stock")</f>
        <v>Low Stock</v>
      </c>
      <c r="P2884" t="str">
        <f>TEXT(Inventory_Data[[#This Row],[Date]],"MMM")</f>
        <v>Aug</v>
      </c>
      <c r="Q2884" t="str">
        <f>TEXT(Inventory_Data[[#This Row],[Date]],"YYYY")</f>
        <v>2026</v>
      </c>
    </row>
    <row r="2885" spans="1:17" x14ac:dyDescent="0.3">
      <c r="A2885" s="1">
        <v>46265</v>
      </c>
      <c r="B2885" t="s">
        <v>16</v>
      </c>
      <c r="C2885" t="s">
        <v>17</v>
      </c>
      <c r="D2885" t="s">
        <v>14</v>
      </c>
      <c r="E2885" t="s">
        <v>20</v>
      </c>
      <c r="F2885">
        <v>93</v>
      </c>
      <c r="G2885">
        <v>54</v>
      </c>
      <c r="H2885">
        <v>12</v>
      </c>
      <c r="I2885">
        <v>135</v>
      </c>
      <c r="J2885">
        <v>18</v>
      </c>
      <c r="K2885">
        <v>24567</v>
      </c>
      <c r="L2885">
        <v>3316545</v>
      </c>
      <c r="M2885">
        <f>Inventory_Data[[#This Row],[Opening Stock]]+Inventory_Data[[#This Row],[Purchase Qty]]-Inventory_Data[[#This Row],[Sales Qty]]-Inventory_Data[[#This Row],[Closing Stock]]</f>
        <v>0</v>
      </c>
      <c r="N2885">
        <f>Inventory_Data[[#This Row],[Purchase Qty]]*Inventory_Data[[#This Row],[Unit Cost]]</f>
        <v>1326618</v>
      </c>
      <c r="O2885" t="str">
        <f>IF(Inventory_Data[[#This Row],[Closing Stock]]&lt;=Inventory_Data[[#This Row],[Reorder Level]],"Low Stock","In Stock")</f>
        <v>In Stock</v>
      </c>
      <c r="P2885" t="str">
        <f>TEXT(Inventory_Data[[#This Row],[Date]],"MMM")</f>
        <v>Aug</v>
      </c>
      <c r="Q2885" t="str">
        <f>TEXT(Inventory_Data[[#This Row],[Date]],"YYYY")</f>
        <v>2026</v>
      </c>
    </row>
    <row r="2886" spans="1:17" x14ac:dyDescent="0.3">
      <c r="A2886" s="1">
        <v>46266</v>
      </c>
      <c r="B2886" t="s">
        <v>39</v>
      </c>
      <c r="C2886" t="s">
        <v>28</v>
      </c>
      <c r="D2886" t="s">
        <v>37</v>
      </c>
      <c r="E2886" t="s">
        <v>34</v>
      </c>
      <c r="F2886">
        <v>99</v>
      </c>
      <c r="G2886">
        <v>96</v>
      </c>
      <c r="H2886">
        <v>42</v>
      </c>
      <c r="I2886">
        <v>153</v>
      </c>
      <c r="J2886">
        <v>35</v>
      </c>
      <c r="K2886">
        <v>41366</v>
      </c>
      <c r="L2886">
        <v>6328998</v>
      </c>
      <c r="M2886">
        <f>Inventory_Data[[#This Row],[Opening Stock]]+Inventory_Data[[#This Row],[Purchase Qty]]-Inventory_Data[[#This Row],[Sales Qty]]-Inventory_Data[[#This Row],[Closing Stock]]</f>
        <v>0</v>
      </c>
      <c r="N2886">
        <f>Inventory_Data[[#This Row],[Purchase Qty]]*Inventory_Data[[#This Row],[Unit Cost]]</f>
        <v>3971136</v>
      </c>
      <c r="O2886" t="str">
        <f>IF(Inventory_Data[[#This Row],[Closing Stock]]&lt;=Inventory_Data[[#This Row],[Reorder Level]],"Low Stock","In Stock")</f>
        <v>In Stock</v>
      </c>
      <c r="P2886" t="str">
        <f>TEXT(Inventory_Data[[#This Row],[Date]],"MMM")</f>
        <v>Sep</v>
      </c>
      <c r="Q2886" t="str">
        <f>TEXT(Inventory_Data[[#This Row],[Date]],"YYYY")</f>
        <v>2026</v>
      </c>
    </row>
    <row r="2887" spans="1:17" x14ac:dyDescent="0.3">
      <c r="A2887" s="1">
        <v>46266</v>
      </c>
      <c r="B2887" t="s">
        <v>33</v>
      </c>
      <c r="C2887" t="s">
        <v>13</v>
      </c>
      <c r="D2887" t="s">
        <v>14</v>
      </c>
      <c r="E2887" t="s">
        <v>20</v>
      </c>
      <c r="F2887">
        <v>76</v>
      </c>
      <c r="G2887">
        <v>47</v>
      </c>
      <c r="H2887">
        <v>51</v>
      </c>
      <c r="I2887">
        <v>72</v>
      </c>
      <c r="J2887">
        <v>26</v>
      </c>
      <c r="K2887">
        <v>4575</v>
      </c>
      <c r="L2887">
        <v>329400</v>
      </c>
      <c r="M2887">
        <f>Inventory_Data[[#This Row],[Opening Stock]]+Inventory_Data[[#This Row],[Purchase Qty]]-Inventory_Data[[#This Row],[Sales Qty]]-Inventory_Data[[#This Row],[Closing Stock]]</f>
        <v>0</v>
      </c>
      <c r="N2887">
        <f>Inventory_Data[[#This Row],[Purchase Qty]]*Inventory_Data[[#This Row],[Unit Cost]]</f>
        <v>215025</v>
      </c>
      <c r="O2887" t="str">
        <f>IF(Inventory_Data[[#This Row],[Closing Stock]]&lt;=Inventory_Data[[#This Row],[Reorder Level]],"Low Stock","In Stock")</f>
        <v>In Stock</v>
      </c>
      <c r="P2887" t="str">
        <f>TEXT(Inventory_Data[[#This Row],[Date]],"MMM")</f>
        <v>Sep</v>
      </c>
      <c r="Q2887" t="str">
        <f>TEXT(Inventory_Data[[#This Row],[Date]],"YYYY")</f>
        <v>2026</v>
      </c>
    </row>
    <row r="2888" spans="1:17" x14ac:dyDescent="0.3">
      <c r="A2888" s="1">
        <v>46266</v>
      </c>
      <c r="B2888" t="s">
        <v>31</v>
      </c>
      <c r="C2888" t="s">
        <v>22</v>
      </c>
      <c r="D2888" t="s">
        <v>37</v>
      </c>
      <c r="E2888" t="s">
        <v>15</v>
      </c>
      <c r="F2888">
        <v>309</v>
      </c>
      <c r="G2888">
        <v>289</v>
      </c>
      <c r="H2888">
        <v>112</v>
      </c>
      <c r="I2888">
        <v>486</v>
      </c>
      <c r="J2888">
        <v>101</v>
      </c>
      <c r="K2888">
        <v>804</v>
      </c>
      <c r="L2888">
        <v>390744</v>
      </c>
      <c r="M2888">
        <f>Inventory_Data[[#This Row],[Opening Stock]]+Inventory_Data[[#This Row],[Purchase Qty]]-Inventory_Data[[#This Row],[Sales Qty]]-Inventory_Data[[#This Row],[Closing Stock]]</f>
        <v>0</v>
      </c>
      <c r="N2888">
        <f>Inventory_Data[[#This Row],[Purchase Qty]]*Inventory_Data[[#This Row],[Unit Cost]]</f>
        <v>232356</v>
      </c>
      <c r="O2888" t="str">
        <f>IF(Inventory_Data[[#This Row],[Closing Stock]]&lt;=Inventory_Data[[#This Row],[Reorder Level]],"Low Stock","In Stock")</f>
        <v>In Stock</v>
      </c>
      <c r="P2888" t="str">
        <f>TEXT(Inventory_Data[[#This Row],[Date]],"MMM")</f>
        <v>Sep</v>
      </c>
      <c r="Q2888" t="str">
        <f>TEXT(Inventory_Data[[#This Row],[Date]],"YYYY")</f>
        <v>2026</v>
      </c>
    </row>
    <row r="2889" spans="1:17" x14ac:dyDescent="0.3">
      <c r="A2889" s="1">
        <v>46266</v>
      </c>
      <c r="B2889" t="s">
        <v>16</v>
      </c>
      <c r="C2889" t="s">
        <v>17</v>
      </c>
      <c r="D2889" t="s">
        <v>37</v>
      </c>
      <c r="E2889" t="s">
        <v>18</v>
      </c>
      <c r="F2889">
        <v>29</v>
      </c>
      <c r="G2889">
        <v>18</v>
      </c>
      <c r="H2889">
        <v>23</v>
      </c>
      <c r="I2889">
        <v>24</v>
      </c>
      <c r="J2889">
        <v>20</v>
      </c>
      <c r="K2889">
        <v>15247</v>
      </c>
      <c r="L2889">
        <v>365928</v>
      </c>
      <c r="M2889">
        <f>Inventory_Data[[#This Row],[Opening Stock]]+Inventory_Data[[#This Row],[Purchase Qty]]-Inventory_Data[[#This Row],[Sales Qty]]-Inventory_Data[[#This Row],[Closing Stock]]</f>
        <v>0</v>
      </c>
      <c r="N2889">
        <f>Inventory_Data[[#This Row],[Purchase Qty]]*Inventory_Data[[#This Row],[Unit Cost]]</f>
        <v>274446</v>
      </c>
      <c r="O2889" t="str">
        <f>IF(Inventory_Data[[#This Row],[Closing Stock]]&lt;=Inventory_Data[[#This Row],[Reorder Level]],"Low Stock","In Stock")</f>
        <v>In Stock</v>
      </c>
      <c r="P2889" t="str">
        <f>TEXT(Inventory_Data[[#This Row],[Date]],"MMM")</f>
        <v>Sep</v>
      </c>
      <c r="Q2889" t="str">
        <f>TEXT(Inventory_Data[[#This Row],[Date]],"YYYY")</f>
        <v>2026</v>
      </c>
    </row>
    <row r="2890" spans="1:17" x14ac:dyDescent="0.3">
      <c r="A2890" s="1">
        <v>46267</v>
      </c>
      <c r="B2890" t="s">
        <v>38</v>
      </c>
      <c r="C2890" t="s">
        <v>17</v>
      </c>
      <c r="D2890" t="s">
        <v>26</v>
      </c>
      <c r="E2890" t="s">
        <v>18</v>
      </c>
      <c r="F2890">
        <v>31</v>
      </c>
      <c r="G2890">
        <v>33</v>
      </c>
      <c r="H2890">
        <v>35</v>
      </c>
      <c r="I2890">
        <v>29</v>
      </c>
      <c r="J2890">
        <v>29</v>
      </c>
      <c r="K2890">
        <v>22021</v>
      </c>
      <c r="L2890">
        <v>638609</v>
      </c>
      <c r="M2890">
        <f>Inventory_Data[[#This Row],[Opening Stock]]+Inventory_Data[[#This Row],[Purchase Qty]]-Inventory_Data[[#This Row],[Sales Qty]]-Inventory_Data[[#This Row],[Closing Stock]]</f>
        <v>0</v>
      </c>
      <c r="N2890">
        <f>Inventory_Data[[#This Row],[Purchase Qty]]*Inventory_Data[[#This Row],[Unit Cost]]</f>
        <v>726693</v>
      </c>
      <c r="O2890" t="str">
        <f>IF(Inventory_Data[[#This Row],[Closing Stock]]&lt;=Inventory_Data[[#This Row],[Reorder Level]],"Low Stock","In Stock")</f>
        <v>Low Stock</v>
      </c>
      <c r="P2890" t="str">
        <f>TEXT(Inventory_Data[[#This Row],[Date]],"MMM")</f>
        <v>Sep</v>
      </c>
      <c r="Q2890" t="str">
        <f>TEXT(Inventory_Data[[#This Row],[Date]],"YYYY")</f>
        <v>2026</v>
      </c>
    </row>
    <row r="2891" spans="1:17" x14ac:dyDescent="0.3">
      <c r="A2891" s="1">
        <v>46267</v>
      </c>
      <c r="B2891" t="s">
        <v>40</v>
      </c>
      <c r="C2891" t="s">
        <v>28</v>
      </c>
      <c r="D2891" t="s">
        <v>23</v>
      </c>
      <c r="E2891" t="s">
        <v>20</v>
      </c>
      <c r="F2891">
        <v>158</v>
      </c>
      <c r="G2891">
        <v>25</v>
      </c>
      <c r="H2891">
        <v>77</v>
      </c>
      <c r="I2891">
        <v>106</v>
      </c>
      <c r="J2891">
        <v>25</v>
      </c>
      <c r="K2891">
        <v>42907</v>
      </c>
      <c r="L2891">
        <v>4548142</v>
      </c>
      <c r="M2891">
        <f>Inventory_Data[[#This Row],[Opening Stock]]+Inventory_Data[[#This Row],[Purchase Qty]]-Inventory_Data[[#This Row],[Sales Qty]]-Inventory_Data[[#This Row],[Closing Stock]]</f>
        <v>0</v>
      </c>
      <c r="N2891">
        <f>Inventory_Data[[#This Row],[Purchase Qty]]*Inventory_Data[[#This Row],[Unit Cost]]</f>
        <v>1072675</v>
      </c>
      <c r="O2891" t="str">
        <f>IF(Inventory_Data[[#This Row],[Closing Stock]]&lt;=Inventory_Data[[#This Row],[Reorder Level]],"Low Stock","In Stock")</f>
        <v>In Stock</v>
      </c>
      <c r="P2891" t="str">
        <f>TEXT(Inventory_Data[[#This Row],[Date]],"MMM")</f>
        <v>Sep</v>
      </c>
      <c r="Q2891" t="str">
        <f>TEXT(Inventory_Data[[#This Row],[Date]],"YYYY")</f>
        <v>2026</v>
      </c>
    </row>
    <row r="2892" spans="1:17" x14ac:dyDescent="0.3">
      <c r="A2892" s="1">
        <v>46267</v>
      </c>
      <c r="B2892" t="s">
        <v>12</v>
      </c>
      <c r="C2892" t="s">
        <v>13</v>
      </c>
      <c r="D2892" t="s">
        <v>14</v>
      </c>
      <c r="E2892" t="s">
        <v>29</v>
      </c>
      <c r="F2892">
        <v>76</v>
      </c>
      <c r="G2892">
        <v>12</v>
      </c>
      <c r="H2892">
        <v>51</v>
      </c>
      <c r="I2892">
        <v>37</v>
      </c>
      <c r="J2892">
        <v>36</v>
      </c>
      <c r="K2892">
        <v>14739</v>
      </c>
      <c r="L2892">
        <v>545343</v>
      </c>
      <c r="M2892">
        <f>Inventory_Data[[#This Row],[Opening Stock]]+Inventory_Data[[#This Row],[Purchase Qty]]-Inventory_Data[[#This Row],[Sales Qty]]-Inventory_Data[[#This Row],[Closing Stock]]</f>
        <v>0</v>
      </c>
      <c r="N2892">
        <f>Inventory_Data[[#This Row],[Purchase Qty]]*Inventory_Data[[#This Row],[Unit Cost]]</f>
        <v>176868</v>
      </c>
      <c r="O2892" t="str">
        <f>IF(Inventory_Data[[#This Row],[Closing Stock]]&lt;=Inventory_Data[[#This Row],[Reorder Level]],"Low Stock","In Stock")</f>
        <v>In Stock</v>
      </c>
      <c r="P2892" t="str">
        <f>TEXT(Inventory_Data[[#This Row],[Date]],"MMM")</f>
        <v>Sep</v>
      </c>
      <c r="Q2892" t="str">
        <f>TEXT(Inventory_Data[[#This Row],[Date]],"YYYY")</f>
        <v>2026</v>
      </c>
    </row>
    <row r="2893" spans="1:17" x14ac:dyDescent="0.3">
      <c r="A2893" s="1">
        <v>46267</v>
      </c>
      <c r="B2893" t="s">
        <v>12</v>
      </c>
      <c r="C2893" t="s">
        <v>13</v>
      </c>
      <c r="D2893" t="s">
        <v>14</v>
      </c>
      <c r="E2893" t="s">
        <v>24</v>
      </c>
      <c r="F2893">
        <v>97</v>
      </c>
      <c r="G2893">
        <v>66</v>
      </c>
      <c r="H2893">
        <v>50</v>
      </c>
      <c r="I2893">
        <v>113</v>
      </c>
      <c r="J2893">
        <v>32</v>
      </c>
      <c r="K2893">
        <v>14841</v>
      </c>
      <c r="L2893">
        <v>1677033</v>
      </c>
      <c r="M2893">
        <f>Inventory_Data[[#This Row],[Opening Stock]]+Inventory_Data[[#This Row],[Purchase Qty]]-Inventory_Data[[#This Row],[Sales Qty]]-Inventory_Data[[#This Row],[Closing Stock]]</f>
        <v>0</v>
      </c>
      <c r="N2893">
        <f>Inventory_Data[[#This Row],[Purchase Qty]]*Inventory_Data[[#This Row],[Unit Cost]]</f>
        <v>979506</v>
      </c>
      <c r="O2893" t="str">
        <f>IF(Inventory_Data[[#This Row],[Closing Stock]]&lt;=Inventory_Data[[#This Row],[Reorder Level]],"Low Stock","In Stock")</f>
        <v>In Stock</v>
      </c>
      <c r="P2893" t="str">
        <f>TEXT(Inventory_Data[[#This Row],[Date]],"MMM")</f>
        <v>Sep</v>
      </c>
      <c r="Q2893" t="str">
        <f>TEXT(Inventory_Data[[#This Row],[Date]],"YYYY")</f>
        <v>2026</v>
      </c>
    </row>
    <row r="2894" spans="1:17" x14ac:dyDescent="0.3">
      <c r="A2894" s="1">
        <v>46267</v>
      </c>
      <c r="B2894" t="s">
        <v>32</v>
      </c>
      <c r="C2894" t="s">
        <v>28</v>
      </c>
      <c r="D2894" t="s">
        <v>14</v>
      </c>
      <c r="E2894" t="s">
        <v>18</v>
      </c>
      <c r="F2894">
        <v>53</v>
      </c>
      <c r="G2894">
        <v>64</v>
      </c>
      <c r="H2894">
        <v>63</v>
      </c>
      <c r="I2894">
        <v>54</v>
      </c>
      <c r="J2894">
        <v>36</v>
      </c>
      <c r="K2894">
        <v>3618</v>
      </c>
      <c r="L2894">
        <v>195372</v>
      </c>
      <c r="M2894">
        <f>Inventory_Data[[#This Row],[Opening Stock]]+Inventory_Data[[#This Row],[Purchase Qty]]-Inventory_Data[[#This Row],[Sales Qty]]-Inventory_Data[[#This Row],[Closing Stock]]</f>
        <v>0</v>
      </c>
      <c r="N2894">
        <f>Inventory_Data[[#This Row],[Purchase Qty]]*Inventory_Data[[#This Row],[Unit Cost]]</f>
        <v>231552</v>
      </c>
      <c r="O2894" t="str">
        <f>IF(Inventory_Data[[#This Row],[Closing Stock]]&lt;=Inventory_Data[[#This Row],[Reorder Level]],"Low Stock","In Stock")</f>
        <v>In Stock</v>
      </c>
      <c r="P2894" t="str">
        <f>TEXT(Inventory_Data[[#This Row],[Date]],"MMM")</f>
        <v>Sep</v>
      </c>
      <c r="Q2894" t="str">
        <f>TEXT(Inventory_Data[[#This Row],[Date]],"YYYY")</f>
        <v>2026</v>
      </c>
    </row>
    <row r="2895" spans="1:17" x14ac:dyDescent="0.3">
      <c r="A2895" s="1">
        <v>46267</v>
      </c>
      <c r="B2895" t="s">
        <v>35</v>
      </c>
      <c r="C2895" t="s">
        <v>22</v>
      </c>
      <c r="D2895" t="s">
        <v>37</v>
      </c>
      <c r="E2895" t="s">
        <v>24</v>
      </c>
      <c r="F2895">
        <v>488</v>
      </c>
      <c r="G2895">
        <v>245</v>
      </c>
      <c r="H2895">
        <v>186</v>
      </c>
      <c r="I2895">
        <v>547</v>
      </c>
      <c r="J2895">
        <v>139</v>
      </c>
      <c r="K2895">
        <v>399</v>
      </c>
      <c r="L2895">
        <v>218253</v>
      </c>
      <c r="M2895">
        <f>Inventory_Data[[#This Row],[Opening Stock]]+Inventory_Data[[#This Row],[Purchase Qty]]-Inventory_Data[[#This Row],[Sales Qty]]-Inventory_Data[[#This Row],[Closing Stock]]</f>
        <v>0</v>
      </c>
      <c r="N2895">
        <f>Inventory_Data[[#This Row],[Purchase Qty]]*Inventory_Data[[#This Row],[Unit Cost]]</f>
        <v>97755</v>
      </c>
      <c r="O2895" t="str">
        <f>IF(Inventory_Data[[#This Row],[Closing Stock]]&lt;=Inventory_Data[[#This Row],[Reorder Level]],"Low Stock","In Stock")</f>
        <v>In Stock</v>
      </c>
      <c r="P2895" t="str">
        <f>TEXT(Inventory_Data[[#This Row],[Date]],"MMM")</f>
        <v>Sep</v>
      </c>
      <c r="Q2895" t="str">
        <f>TEXT(Inventory_Data[[#This Row],[Date]],"YYYY")</f>
        <v>2026</v>
      </c>
    </row>
    <row r="2896" spans="1:17" x14ac:dyDescent="0.3">
      <c r="A2896" s="1">
        <v>46268</v>
      </c>
      <c r="B2896" t="s">
        <v>25</v>
      </c>
      <c r="C2896" t="s">
        <v>17</v>
      </c>
      <c r="D2896" t="s">
        <v>37</v>
      </c>
      <c r="E2896" t="s">
        <v>15</v>
      </c>
      <c r="F2896">
        <v>88</v>
      </c>
      <c r="G2896">
        <v>12</v>
      </c>
      <c r="H2896">
        <v>21</v>
      </c>
      <c r="I2896">
        <v>79</v>
      </c>
      <c r="J2896">
        <v>10</v>
      </c>
      <c r="K2896">
        <v>2966</v>
      </c>
      <c r="L2896">
        <v>234314</v>
      </c>
      <c r="M2896">
        <f>Inventory_Data[[#This Row],[Opening Stock]]+Inventory_Data[[#This Row],[Purchase Qty]]-Inventory_Data[[#This Row],[Sales Qty]]-Inventory_Data[[#This Row],[Closing Stock]]</f>
        <v>0</v>
      </c>
      <c r="N2896">
        <f>Inventory_Data[[#This Row],[Purchase Qty]]*Inventory_Data[[#This Row],[Unit Cost]]</f>
        <v>35592</v>
      </c>
      <c r="O2896" t="str">
        <f>IF(Inventory_Data[[#This Row],[Closing Stock]]&lt;=Inventory_Data[[#This Row],[Reorder Level]],"Low Stock","In Stock")</f>
        <v>In Stock</v>
      </c>
      <c r="P2896" t="str">
        <f>TEXT(Inventory_Data[[#This Row],[Date]],"MMM")</f>
        <v>Sep</v>
      </c>
      <c r="Q2896" t="str">
        <f>TEXT(Inventory_Data[[#This Row],[Date]],"YYYY")</f>
        <v>2026</v>
      </c>
    </row>
    <row r="2897" spans="1:17" x14ac:dyDescent="0.3">
      <c r="A2897" s="1">
        <v>46268</v>
      </c>
      <c r="B2897" t="s">
        <v>31</v>
      </c>
      <c r="C2897" t="s">
        <v>22</v>
      </c>
      <c r="D2897" t="s">
        <v>26</v>
      </c>
      <c r="E2897" t="s">
        <v>34</v>
      </c>
      <c r="F2897">
        <v>499</v>
      </c>
      <c r="G2897">
        <v>123</v>
      </c>
      <c r="H2897">
        <v>220</v>
      </c>
      <c r="I2897">
        <v>402</v>
      </c>
      <c r="J2897">
        <v>138</v>
      </c>
      <c r="K2897">
        <v>918</v>
      </c>
      <c r="L2897">
        <v>369036</v>
      </c>
      <c r="M2897">
        <f>Inventory_Data[[#This Row],[Opening Stock]]+Inventory_Data[[#This Row],[Purchase Qty]]-Inventory_Data[[#This Row],[Sales Qty]]-Inventory_Data[[#This Row],[Closing Stock]]</f>
        <v>0</v>
      </c>
      <c r="N2897">
        <f>Inventory_Data[[#This Row],[Purchase Qty]]*Inventory_Data[[#This Row],[Unit Cost]]</f>
        <v>112914</v>
      </c>
      <c r="O2897" t="str">
        <f>IF(Inventory_Data[[#This Row],[Closing Stock]]&lt;=Inventory_Data[[#This Row],[Reorder Level]],"Low Stock","In Stock")</f>
        <v>In Stock</v>
      </c>
      <c r="P2897" t="str">
        <f>TEXT(Inventory_Data[[#This Row],[Date]],"MMM")</f>
        <v>Sep</v>
      </c>
      <c r="Q2897" t="str">
        <f>TEXT(Inventory_Data[[#This Row],[Date]],"YYYY")</f>
        <v>2026</v>
      </c>
    </row>
    <row r="2898" spans="1:17" x14ac:dyDescent="0.3">
      <c r="A2898" s="1">
        <v>46268</v>
      </c>
      <c r="B2898" t="s">
        <v>38</v>
      </c>
      <c r="C2898" t="s">
        <v>17</v>
      </c>
      <c r="D2898" t="s">
        <v>23</v>
      </c>
      <c r="E2898" t="s">
        <v>15</v>
      </c>
      <c r="F2898">
        <v>61</v>
      </c>
      <c r="G2898">
        <v>36</v>
      </c>
      <c r="H2898">
        <v>10</v>
      </c>
      <c r="I2898">
        <v>87</v>
      </c>
      <c r="J2898">
        <v>22</v>
      </c>
      <c r="K2898">
        <v>18217</v>
      </c>
      <c r="L2898">
        <v>1584879</v>
      </c>
      <c r="M2898">
        <f>Inventory_Data[[#This Row],[Opening Stock]]+Inventory_Data[[#This Row],[Purchase Qty]]-Inventory_Data[[#This Row],[Sales Qty]]-Inventory_Data[[#This Row],[Closing Stock]]</f>
        <v>0</v>
      </c>
      <c r="N2898">
        <f>Inventory_Data[[#This Row],[Purchase Qty]]*Inventory_Data[[#This Row],[Unit Cost]]</f>
        <v>655812</v>
      </c>
      <c r="O2898" t="str">
        <f>IF(Inventory_Data[[#This Row],[Closing Stock]]&lt;=Inventory_Data[[#This Row],[Reorder Level]],"Low Stock","In Stock")</f>
        <v>In Stock</v>
      </c>
      <c r="P2898" t="str">
        <f>TEXT(Inventory_Data[[#This Row],[Date]],"MMM")</f>
        <v>Sep</v>
      </c>
      <c r="Q2898" t="str">
        <f>TEXT(Inventory_Data[[#This Row],[Date]],"YYYY")</f>
        <v>2026</v>
      </c>
    </row>
    <row r="2899" spans="1:17" x14ac:dyDescent="0.3">
      <c r="A2899" s="1">
        <v>46268</v>
      </c>
      <c r="B2899" t="s">
        <v>30</v>
      </c>
      <c r="C2899" t="s">
        <v>28</v>
      </c>
      <c r="D2899" t="s">
        <v>14</v>
      </c>
      <c r="E2899" t="s">
        <v>18</v>
      </c>
      <c r="F2899">
        <v>71</v>
      </c>
      <c r="G2899">
        <v>102</v>
      </c>
      <c r="H2899">
        <v>86</v>
      </c>
      <c r="I2899">
        <v>87</v>
      </c>
      <c r="J2899">
        <v>38</v>
      </c>
      <c r="K2899">
        <v>27051</v>
      </c>
      <c r="L2899">
        <v>2353437</v>
      </c>
      <c r="M2899">
        <f>Inventory_Data[[#This Row],[Opening Stock]]+Inventory_Data[[#This Row],[Purchase Qty]]-Inventory_Data[[#This Row],[Sales Qty]]-Inventory_Data[[#This Row],[Closing Stock]]</f>
        <v>0</v>
      </c>
      <c r="N2899">
        <f>Inventory_Data[[#This Row],[Purchase Qty]]*Inventory_Data[[#This Row],[Unit Cost]]</f>
        <v>2759202</v>
      </c>
      <c r="O2899" t="str">
        <f>IF(Inventory_Data[[#This Row],[Closing Stock]]&lt;=Inventory_Data[[#This Row],[Reorder Level]],"Low Stock","In Stock")</f>
        <v>In Stock</v>
      </c>
      <c r="P2899" t="str">
        <f>TEXT(Inventory_Data[[#This Row],[Date]],"MMM")</f>
        <v>Sep</v>
      </c>
      <c r="Q2899" t="str">
        <f>TEXT(Inventory_Data[[#This Row],[Date]],"YYYY")</f>
        <v>2026</v>
      </c>
    </row>
    <row r="2900" spans="1:17" x14ac:dyDescent="0.3">
      <c r="A2900" s="1">
        <v>46268</v>
      </c>
      <c r="B2900" t="s">
        <v>19</v>
      </c>
      <c r="C2900" t="s">
        <v>13</v>
      </c>
      <c r="D2900" t="s">
        <v>37</v>
      </c>
      <c r="E2900" t="s">
        <v>29</v>
      </c>
      <c r="F2900">
        <v>28</v>
      </c>
      <c r="G2900">
        <v>67</v>
      </c>
      <c r="H2900">
        <v>50</v>
      </c>
      <c r="I2900">
        <v>45</v>
      </c>
      <c r="J2900">
        <v>31</v>
      </c>
      <c r="K2900">
        <v>12216</v>
      </c>
      <c r="L2900">
        <v>549720</v>
      </c>
      <c r="M2900">
        <f>Inventory_Data[[#This Row],[Opening Stock]]+Inventory_Data[[#This Row],[Purchase Qty]]-Inventory_Data[[#This Row],[Sales Qty]]-Inventory_Data[[#This Row],[Closing Stock]]</f>
        <v>0</v>
      </c>
      <c r="N2900">
        <f>Inventory_Data[[#This Row],[Purchase Qty]]*Inventory_Data[[#This Row],[Unit Cost]]</f>
        <v>818472</v>
      </c>
      <c r="O2900" t="str">
        <f>IF(Inventory_Data[[#This Row],[Closing Stock]]&lt;=Inventory_Data[[#This Row],[Reorder Level]],"Low Stock","In Stock")</f>
        <v>In Stock</v>
      </c>
      <c r="P2900" t="str">
        <f>TEXT(Inventory_Data[[#This Row],[Date]],"MMM")</f>
        <v>Sep</v>
      </c>
      <c r="Q2900" t="str">
        <f>TEXT(Inventory_Data[[#This Row],[Date]],"YYYY")</f>
        <v>2026</v>
      </c>
    </row>
    <row r="2901" spans="1:17" x14ac:dyDescent="0.3">
      <c r="A2901" s="1">
        <v>46268</v>
      </c>
      <c r="B2901" t="s">
        <v>27</v>
      </c>
      <c r="C2901" t="s">
        <v>28</v>
      </c>
      <c r="D2901" t="s">
        <v>14</v>
      </c>
      <c r="E2901" t="s">
        <v>18</v>
      </c>
      <c r="F2901">
        <v>74</v>
      </c>
      <c r="G2901">
        <v>37</v>
      </c>
      <c r="H2901">
        <v>51</v>
      </c>
      <c r="I2901">
        <v>60</v>
      </c>
      <c r="J2901">
        <v>21</v>
      </c>
      <c r="K2901">
        <v>50088</v>
      </c>
      <c r="L2901">
        <v>3005280</v>
      </c>
      <c r="M2901">
        <f>Inventory_Data[[#This Row],[Opening Stock]]+Inventory_Data[[#This Row],[Purchase Qty]]-Inventory_Data[[#This Row],[Sales Qty]]-Inventory_Data[[#This Row],[Closing Stock]]</f>
        <v>0</v>
      </c>
      <c r="N2901">
        <f>Inventory_Data[[#This Row],[Purchase Qty]]*Inventory_Data[[#This Row],[Unit Cost]]</f>
        <v>1853256</v>
      </c>
      <c r="O2901" t="str">
        <f>IF(Inventory_Data[[#This Row],[Closing Stock]]&lt;=Inventory_Data[[#This Row],[Reorder Level]],"Low Stock","In Stock")</f>
        <v>In Stock</v>
      </c>
      <c r="P2901" t="str">
        <f>TEXT(Inventory_Data[[#This Row],[Date]],"MMM")</f>
        <v>Sep</v>
      </c>
      <c r="Q2901" t="str">
        <f>TEXT(Inventory_Data[[#This Row],[Date]],"YYYY")</f>
        <v>2026</v>
      </c>
    </row>
    <row r="2902" spans="1:17" x14ac:dyDescent="0.3">
      <c r="A2902" s="1">
        <v>46269</v>
      </c>
      <c r="B2902" t="s">
        <v>36</v>
      </c>
      <c r="C2902" t="s">
        <v>22</v>
      </c>
      <c r="D2902" t="s">
        <v>26</v>
      </c>
      <c r="E2902" t="s">
        <v>18</v>
      </c>
      <c r="F2902">
        <v>428</v>
      </c>
      <c r="G2902">
        <v>269</v>
      </c>
      <c r="H2902">
        <v>209</v>
      </c>
      <c r="I2902">
        <v>488</v>
      </c>
      <c r="J2902">
        <v>113</v>
      </c>
      <c r="K2902">
        <v>948</v>
      </c>
      <c r="L2902">
        <v>462624</v>
      </c>
      <c r="M2902">
        <f>Inventory_Data[[#This Row],[Opening Stock]]+Inventory_Data[[#This Row],[Purchase Qty]]-Inventory_Data[[#This Row],[Sales Qty]]-Inventory_Data[[#This Row],[Closing Stock]]</f>
        <v>0</v>
      </c>
      <c r="N2902">
        <f>Inventory_Data[[#This Row],[Purchase Qty]]*Inventory_Data[[#This Row],[Unit Cost]]</f>
        <v>255012</v>
      </c>
      <c r="O2902" t="str">
        <f>IF(Inventory_Data[[#This Row],[Closing Stock]]&lt;=Inventory_Data[[#This Row],[Reorder Level]],"Low Stock","In Stock")</f>
        <v>In Stock</v>
      </c>
      <c r="P2902" t="str">
        <f>TEXT(Inventory_Data[[#This Row],[Date]],"MMM")</f>
        <v>Sep</v>
      </c>
      <c r="Q2902" t="str">
        <f>TEXT(Inventory_Data[[#This Row],[Date]],"YYYY")</f>
        <v>2026</v>
      </c>
    </row>
    <row r="2903" spans="1:17" x14ac:dyDescent="0.3">
      <c r="A2903" s="1">
        <v>46269</v>
      </c>
      <c r="B2903" t="s">
        <v>30</v>
      </c>
      <c r="C2903" t="s">
        <v>28</v>
      </c>
      <c r="D2903" t="s">
        <v>37</v>
      </c>
      <c r="E2903" t="s">
        <v>18</v>
      </c>
      <c r="F2903">
        <v>102</v>
      </c>
      <c r="G2903">
        <v>33</v>
      </c>
      <c r="H2903">
        <v>8</v>
      </c>
      <c r="I2903">
        <v>127</v>
      </c>
      <c r="J2903">
        <v>52</v>
      </c>
      <c r="K2903">
        <v>33960</v>
      </c>
      <c r="L2903">
        <v>4312920</v>
      </c>
      <c r="M2903">
        <f>Inventory_Data[[#This Row],[Opening Stock]]+Inventory_Data[[#This Row],[Purchase Qty]]-Inventory_Data[[#This Row],[Sales Qty]]-Inventory_Data[[#This Row],[Closing Stock]]</f>
        <v>0</v>
      </c>
      <c r="N2903">
        <f>Inventory_Data[[#This Row],[Purchase Qty]]*Inventory_Data[[#This Row],[Unit Cost]]</f>
        <v>1120680</v>
      </c>
      <c r="O2903" t="str">
        <f>IF(Inventory_Data[[#This Row],[Closing Stock]]&lt;=Inventory_Data[[#This Row],[Reorder Level]],"Low Stock","In Stock")</f>
        <v>In Stock</v>
      </c>
      <c r="P2903" t="str">
        <f>TEXT(Inventory_Data[[#This Row],[Date]],"MMM")</f>
        <v>Sep</v>
      </c>
      <c r="Q2903" t="str">
        <f>TEXT(Inventory_Data[[#This Row],[Date]],"YYYY")</f>
        <v>2026</v>
      </c>
    </row>
    <row r="2904" spans="1:17" x14ac:dyDescent="0.3">
      <c r="A2904" s="1">
        <v>46269</v>
      </c>
      <c r="B2904" t="s">
        <v>44</v>
      </c>
      <c r="C2904" t="s">
        <v>28</v>
      </c>
      <c r="D2904" t="s">
        <v>23</v>
      </c>
      <c r="E2904" t="s">
        <v>18</v>
      </c>
      <c r="F2904">
        <v>89</v>
      </c>
      <c r="G2904">
        <v>50</v>
      </c>
      <c r="H2904">
        <v>58</v>
      </c>
      <c r="I2904">
        <v>81</v>
      </c>
      <c r="J2904">
        <v>50</v>
      </c>
      <c r="K2904">
        <v>17869</v>
      </c>
      <c r="L2904">
        <v>1447389</v>
      </c>
      <c r="M2904">
        <f>Inventory_Data[[#This Row],[Opening Stock]]+Inventory_Data[[#This Row],[Purchase Qty]]-Inventory_Data[[#This Row],[Sales Qty]]-Inventory_Data[[#This Row],[Closing Stock]]</f>
        <v>0</v>
      </c>
      <c r="N2904">
        <f>Inventory_Data[[#This Row],[Purchase Qty]]*Inventory_Data[[#This Row],[Unit Cost]]</f>
        <v>893450</v>
      </c>
      <c r="O2904" t="str">
        <f>IF(Inventory_Data[[#This Row],[Closing Stock]]&lt;=Inventory_Data[[#This Row],[Reorder Level]],"Low Stock","In Stock")</f>
        <v>In Stock</v>
      </c>
      <c r="P2904" t="str">
        <f>TEXT(Inventory_Data[[#This Row],[Date]],"MMM")</f>
        <v>Sep</v>
      </c>
      <c r="Q2904" t="str">
        <f>TEXT(Inventory_Data[[#This Row],[Date]],"YYYY")</f>
        <v>2026</v>
      </c>
    </row>
    <row r="2905" spans="1:17" x14ac:dyDescent="0.3">
      <c r="A2905" s="1">
        <v>46269</v>
      </c>
      <c r="B2905" t="s">
        <v>33</v>
      </c>
      <c r="C2905" t="s">
        <v>13</v>
      </c>
      <c r="D2905" t="s">
        <v>14</v>
      </c>
      <c r="E2905" t="s">
        <v>24</v>
      </c>
      <c r="F2905">
        <v>59</v>
      </c>
      <c r="G2905">
        <v>21</v>
      </c>
      <c r="H2905">
        <v>58</v>
      </c>
      <c r="I2905">
        <v>22</v>
      </c>
      <c r="J2905">
        <v>17</v>
      </c>
      <c r="K2905">
        <v>4329</v>
      </c>
      <c r="L2905">
        <v>95238</v>
      </c>
      <c r="M2905">
        <f>Inventory_Data[[#This Row],[Opening Stock]]+Inventory_Data[[#This Row],[Purchase Qty]]-Inventory_Data[[#This Row],[Sales Qty]]-Inventory_Data[[#This Row],[Closing Stock]]</f>
        <v>0</v>
      </c>
      <c r="N2905">
        <f>Inventory_Data[[#This Row],[Purchase Qty]]*Inventory_Data[[#This Row],[Unit Cost]]</f>
        <v>90909</v>
      </c>
      <c r="O2905" t="str">
        <f>IF(Inventory_Data[[#This Row],[Closing Stock]]&lt;=Inventory_Data[[#This Row],[Reorder Level]],"Low Stock","In Stock")</f>
        <v>In Stock</v>
      </c>
      <c r="P2905" t="str">
        <f>TEXT(Inventory_Data[[#This Row],[Date]],"MMM")</f>
        <v>Sep</v>
      </c>
      <c r="Q2905" t="str">
        <f>TEXT(Inventory_Data[[#This Row],[Date]],"YYYY")</f>
        <v>2026</v>
      </c>
    </row>
    <row r="2906" spans="1:17" x14ac:dyDescent="0.3">
      <c r="A2906" s="1">
        <v>46269</v>
      </c>
      <c r="B2906" t="s">
        <v>27</v>
      </c>
      <c r="C2906" t="s">
        <v>28</v>
      </c>
      <c r="D2906" t="s">
        <v>14</v>
      </c>
      <c r="E2906" t="s">
        <v>29</v>
      </c>
      <c r="F2906">
        <v>157</v>
      </c>
      <c r="G2906">
        <v>49</v>
      </c>
      <c r="H2906">
        <v>27</v>
      </c>
      <c r="I2906">
        <v>179</v>
      </c>
      <c r="J2906">
        <v>26</v>
      </c>
      <c r="K2906">
        <v>37250</v>
      </c>
      <c r="L2906">
        <v>6667750</v>
      </c>
      <c r="M2906">
        <f>Inventory_Data[[#This Row],[Opening Stock]]+Inventory_Data[[#This Row],[Purchase Qty]]-Inventory_Data[[#This Row],[Sales Qty]]-Inventory_Data[[#This Row],[Closing Stock]]</f>
        <v>0</v>
      </c>
      <c r="N2906">
        <f>Inventory_Data[[#This Row],[Purchase Qty]]*Inventory_Data[[#This Row],[Unit Cost]]</f>
        <v>1825250</v>
      </c>
      <c r="O2906" t="str">
        <f>IF(Inventory_Data[[#This Row],[Closing Stock]]&lt;=Inventory_Data[[#This Row],[Reorder Level]],"Low Stock","In Stock")</f>
        <v>In Stock</v>
      </c>
      <c r="P2906" t="str">
        <f>TEXT(Inventory_Data[[#This Row],[Date]],"MMM")</f>
        <v>Sep</v>
      </c>
      <c r="Q2906" t="str">
        <f>TEXT(Inventory_Data[[#This Row],[Date]],"YYYY")</f>
        <v>2026</v>
      </c>
    </row>
    <row r="2907" spans="1:17" x14ac:dyDescent="0.3">
      <c r="A2907" s="1">
        <v>46269</v>
      </c>
      <c r="B2907" t="s">
        <v>12</v>
      </c>
      <c r="C2907" t="s">
        <v>13</v>
      </c>
      <c r="D2907" t="s">
        <v>37</v>
      </c>
      <c r="E2907" t="s">
        <v>24</v>
      </c>
      <c r="F2907">
        <v>49</v>
      </c>
      <c r="G2907">
        <v>36</v>
      </c>
      <c r="H2907">
        <v>60</v>
      </c>
      <c r="I2907">
        <v>25</v>
      </c>
      <c r="J2907">
        <v>26</v>
      </c>
      <c r="K2907">
        <v>13419</v>
      </c>
      <c r="L2907">
        <v>335475</v>
      </c>
      <c r="M2907">
        <f>Inventory_Data[[#This Row],[Opening Stock]]+Inventory_Data[[#This Row],[Purchase Qty]]-Inventory_Data[[#This Row],[Sales Qty]]-Inventory_Data[[#This Row],[Closing Stock]]</f>
        <v>0</v>
      </c>
      <c r="N2907">
        <f>Inventory_Data[[#This Row],[Purchase Qty]]*Inventory_Data[[#This Row],[Unit Cost]]</f>
        <v>483084</v>
      </c>
      <c r="O2907" t="str">
        <f>IF(Inventory_Data[[#This Row],[Closing Stock]]&lt;=Inventory_Data[[#This Row],[Reorder Level]],"Low Stock","In Stock")</f>
        <v>Low Stock</v>
      </c>
      <c r="P2907" t="str">
        <f>TEXT(Inventory_Data[[#This Row],[Date]],"MMM")</f>
        <v>Sep</v>
      </c>
      <c r="Q2907" t="str">
        <f>TEXT(Inventory_Data[[#This Row],[Date]],"YYYY")</f>
        <v>2026</v>
      </c>
    </row>
    <row r="2908" spans="1:17" x14ac:dyDescent="0.3">
      <c r="A2908" s="1">
        <v>46269</v>
      </c>
      <c r="B2908" t="s">
        <v>31</v>
      </c>
      <c r="C2908" t="s">
        <v>22</v>
      </c>
      <c r="D2908" t="s">
        <v>37</v>
      </c>
      <c r="E2908" t="s">
        <v>15</v>
      </c>
      <c r="F2908">
        <v>61</v>
      </c>
      <c r="G2908">
        <v>266</v>
      </c>
      <c r="H2908">
        <v>267</v>
      </c>
      <c r="I2908">
        <v>60</v>
      </c>
      <c r="J2908">
        <v>78</v>
      </c>
      <c r="K2908">
        <v>426</v>
      </c>
      <c r="L2908">
        <v>25560</v>
      </c>
      <c r="M2908">
        <f>Inventory_Data[[#This Row],[Opening Stock]]+Inventory_Data[[#This Row],[Purchase Qty]]-Inventory_Data[[#This Row],[Sales Qty]]-Inventory_Data[[#This Row],[Closing Stock]]</f>
        <v>0</v>
      </c>
      <c r="N2908">
        <f>Inventory_Data[[#This Row],[Purchase Qty]]*Inventory_Data[[#This Row],[Unit Cost]]</f>
        <v>113316</v>
      </c>
      <c r="O2908" t="str">
        <f>IF(Inventory_Data[[#This Row],[Closing Stock]]&lt;=Inventory_Data[[#This Row],[Reorder Level]],"Low Stock","In Stock")</f>
        <v>Low Stock</v>
      </c>
      <c r="P2908" t="str">
        <f>TEXT(Inventory_Data[[#This Row],[Date]],"MMM")</f>
        <v>Sep</v>
      </c>
      <c r="Q2908" t="str">
        <f>TEXT(Inventory_Data[[#This Row],[Date]],"YYYY")</f>
        <v>2026</v>
      </c>
    </row>
    <row r="2909" spans="1:17" x14ac:dyDescent="0.3">
      <c r="A2909" s="1">
        <v>46270</v>
      </c>
      <c r="B2909" t="s">
        <v>12</v>
      </c>
      <c r="C2909" t="s">
        <v>13</v>
      </c>
      <c r="D2909" t="s">
        <v>14</v>
      </c>
      <c r="E2909" t="s">
        <v>18</v>
      </c>
      <c r="F2909">
        <v>38</v>
      </c>
      <c r="G2909">
        <v>43</v>
      </c>
      <c r="H2909">
        <v>13</v>
      </c>
      <c r="I2909">
        <v>68</v>
      </c>
      <c r="J2909">
        <v>39</v>
      </c>
      <c r="K2909">
        <v>2627</v>
      </c>
      <c r="L2909">
        <v>178636</v>
      </c>
      <c r="M2909">
        <f>Inventory_Data[[#This Row],[Opening Stock]]+Inventory_Data[[#This Row],[Purchase Qty]]-Inventory_Data[[#This Row],[Sales Qty]]-Inventory_Data[[#This Row],[Closing Stock]]</f>
        <v>0</v>
      </c>
      <c r="N2909">
        <f>Inventory_Data[[#This Row],[Purchase Qty]]*Inventory_Data[[#This Row],[Unit Cost]]</f>
        <v>112961</v>
      </c>
      <c r="O2909" t="str">
        <f>IF(Inventory_Data[[#This Row],[Closing Stock]]&lt;=Inventory_Data[[#This Row],[Reorder Level]],"Low Stock","In Stock")</f>
        <v>In Stock</v>
      </c>
      <c r="P2909" t="str">
        <f>TEXT(Inventory_Data[[#This Row],[Date]],"MMM")</f>
        <v>Sep</v>
      </c>
      <c r="Q2909" t="str">
        <f>TEXT(Inventory_Data[[#This Row],[Date]],"YYYY")</f>
        <v>2026</v>
      </c>
    </row>
    <row r="2910" spans="1:17" x14ac:dyDescent="0.3">
      <c r="A2910" s="1">
        <v>46270</v>
      </c>
      <c r="B2910" t="s">
        <v>36</v>
      </c>
      <c r="C2910" t="s">
        <v>22</v>
      </c>
      <c r="D2910" t="s">
        <v>37</v>
      </c>
      <c r="E2910" t="s">
        <v>18</v>
      </c>
      <c r="F2910">
        <v>454</v>
      </c>
      <c r="G2910">
        <v>139</v>
      </c>
      <c r="H2910">
        <v>191</v>
      </c>
      <c r="I2910">
        <v>402</v>
      </c>
      <c r="J2910">
        <v>106</v>
      </c>
      <c r="K2910">
        <v>1002</v>
      </c>
      <c r="L2910">
        <v>402804</v>
      </c>
      <c r="M2910">
        <f>Inventory_Data[[#This Row],[Opening Stock]]+Inventory_Data[[#This Row],[Purchase Qty]]-Inventory_Data[[#This Row],[Sales Qty]]-Inventory_Data[[#This Row],[Closing Stock]]</f>
        <v>0</v>
      </c>
      <c r="N2910">
        <f>Inventory_Data[[#This Row],[Purchase Qty]]*Inventory_Data[[#This Row],[Unit Cost]]</f>
        <v>139278</v>
      </c>
      <c r="O2910" t="str">
        <f>IF(Inventory_Data[[#This Row],[Closing Stock]]&lt;=Inventory_Data[[#This Row],[Reorder Level]],"Low Stock","In Stock")</f>
        <v>In Stock</v>
      </c>
      <c r="P2910" t="str">
        <f>TEXT(Inventory_Data[[#This Row],[Date]],"MMM")</f>
        <v>Sep</v>
      </c>
      <c r="Q2910" t="str">
        <f>TEXT(Inventory_Data[[#This Row],[Date]],"YYYY")</f>
        <v>2026</v>
      </c>
    </row>
    <row r="2911" spans="1:17" x14ac:dyDescent="0.3">
      <c r="A2911" s="1">
        <v>46270</v>
      </c>
      <c r="B2911" t="s">
        <v>40</v>
      </c>
      <c r="C2911" t="s">
        <v>28</v>
      </c>
      <c r="D2911" t="s">
        <v>26</v>
      </c>
      <c r="E2911" t="s">
        <v>24</v>
      </c>
      <c r="F2911">
        <v>65</v>
      </c>
      <c r="G2911">
        <v>68</v>
      </c>
      <c r="H2911">
        <v>74</v>
      </c>
      <c r="I2911">
        <v>59</v>
      </c>
      <c r="J2911">
        <v>43</v>
      </c>
      <c r="K2911">
        <v>13735</v>
      </c>
      <c r="L2911">
        <v>810365</v>
      </c>
      <c r="M2911">
        <f>Inventory_Data[[#This Row],[Opening Stock]]+Inventory_Data[[#This Row],[Purchase Qty]]-Inventory_Data[[#This Row],[Sales Qty]]-Inventory_Data[[#This Row],[Closing Stock]]</f>
        <v>0</v>
      </c>
      <c r="N2911">
        <f>Inventory_Data[[#This Row],[Purchase Qty]]*Inventory_Data[[#This Row],[Unit Cost]]</f>
        <v>933980</v>
      </c>
      <c r="O2911" t="str">
        <f>IF(Inventory_Data[[#This Row],[Closing Stock]]&lt;=Inventory_Data[[#This Row],[Reorder Level]],"Low Stock","In Stock")</f>
        <v>In Stock</v>
      </c>
      <c r="P2911" t="str">
        <f>TEXT(Inventory_Data[[#This Row],[Date]],"MMM")</f>
        <v>Sep</v>
      </c>
      <c r="Q2911" t="str">
        <f>TEXT(Inventory_Data[[#This Row],[Date]],"YYYY")</f>
        <v>2026</v>
      </c>
    </row>
    <row r="2912" spans="1:17" x14ac:dyDescent="0.3">
      <c r="A2912" s="1">
        <v>46270</v>
      </c>
      <c r="B2912" t="s">
        <v>25</v>
      </c>
      <c r="C2912" t="s">
        <v>17</v>
      </c>
      <c r="D2912" t="s">
        <v>23</v>
      </c>
      <c r="E2912" t="s">
        <v>18</v>
      </c>
      <c r="F2912">
        <v>23</v>
      </c>
      <c r="G2912">
        <v>8</v>
      </c>
      <c r="H2912">
        <v>21</v>
      </c>
      <c r="I2912">
        <v>10</v>
      </c>
      <c r="J2912">
        <v>22</v>
      </c>
      <c r="K2912">
        <v>24765</v>
      </c>
      <c r="L2912">
        <v>247650</v>
      </c>
      <c r="M2912">
        <f>Inventory_Data[[#This Row],[Opening Stock]]+Inventory_Data[[#This Row],[Purchase Qty]]-Inventory_Data[[#This Row],[Sales Qty]]-Inventory_Data[[#This Row],[Closing Stock]]</f>
        <v>0</v>
      </c>
      <c r="N2912">
        <f>Inventory_Data[[#This Row],[Purchase Qty]]*Inventory_Data[[#This Row],[Unit Cost]]</f>
        <v>198120</v>
      </c>
      <c r="O2912" t="str">
        <f>IF(Inventory_Data[[#This Row],[Closing Stock]]&lt;=Inventory_Data[[#This Row],[Reorder Level]],"Low Stock","In Stock")</f>
        <v>Low Stock</v>
      </c>
      <c r="P2912" t="str">
        <f>TEXT(Inventory_Data[[#This Row],[Date]],"MMM")</f>
        <v>Sep</v>
      </c>
      <c r="Q2912" t="str">
        <f>TEXT(Inventory_Data[[#This Row],[Date]],"YYYY")</f>
        <v>2026</v>
      </c>
    </row>
    <row r="2913" spans="1:17" x14ac:dyDescent="0.3">
      <c r="A2913" s="1">
        <v>46270</v>
      </c>
      <c r="B2913" t="s">
        <v>25</v>
      </c>
      <c r="C2913" t="s">
        <v>17</v>
      </c>
      <c r="D2913" t="s">
        <v>37</v>
      </c>
      <c r="E2913" t="s">
        <v>20</v>
      </c>
      <c r="F2913">
        <v>43</v>
      </c>
      <c r="G2913">
        <v>20</v>
      </c>
      <c r="H2913">
        <v>42</v>
      </c>
      <c r="I2913">
        <v>21</v>
      </c>
      <c r="J2913">
        <v>15</v>
      </c>
      <c r="K2913">
        <v>11643</v>
      </c>
      <c r="L2913">
        <v>244503</v>
      </c>
      <c r="M2913">
        <f>Inventory_Data[[#This Row],[Opening Stock]]+Inventory_Data[[#This Row],[Purchase Qty]]-Inventory_Data[[#This Row],[Sales Qty]]-Inventory_Data[[#This Row],[Closing Stock]]</f>
        <v>0</v>
      </c>
      <c r="N2913">
        <f>Inventory_Data[[#This Row],[Purchase Qty]]*Inventory_Data[[#This Row],[Unit Cost]]</f>
        <v>232860</v>
      </c>
      <c r="O2913" t="str">
        <f>IF(Inventory_Data[[#This Row],[Closing Stock]]&lt;=Inventory_Data[[#This Row],[Reorder Level]],"Low Stock","In Stock")</f>
        <v>In Stock</v>
      </c>
      <c r="P2913" t="str">
        <f>TEXT(Inventory_Data[[#This Row],[Date]],"MMM")</f>
        <v>Sep</v>
      </c>
      <c r="Q2913" t="str">
        <f>TEXT(Inventory_Data[[#This Row],[Date]],"YYYY")</f>
        <v>2026</v>
      </c>
    </row>
    <row r="2914" spans="1:17" x14ac:dyDescent="0.3">
      <c r="A2914" s="1">
        <v>46270</v>
      </c>
      <c r="B2914" t="s">
        <v>41</v>
      </c>
      <c r="C2914" t="s">
        <v>22</v>
      </c>
      <c r="D2914" t="s">
        <v>23</v>
      </c>
      <c r="E2914" t="s">
        <v>15</v>
      </c>
      <c r="F2914">
        <v>430</v>
      </c>
      <c r="G2914">
        <v>84</v>
      </c>
      <c r="H2914">
        <v>198</v>
      </c>
      <c r="I2914">
        <v>316</v>
      </c>
      <c r="J2914">
        <v>128</v>
      </c>
      <c r="K2914">
        <v>882</v>
      </c>
      <c r="L2914">
        <v>278712</v>
      </c>
      <c r="M2914">
        <f>Inventory_Data[[#This Row],[Opening Stock]]+Inventory_Data[[#This Row],[Purchase Qty]]-Inventory_Data[[#This Row],[Sales Qty]]-Inventory_Data[[#This Row],[Closing Stock]]</f>
        <v>0</v>
      </c>
      <c r="N2914">
        <f>Inventory_Data[[#This Row],[Purchase Qty]]*Inventory_Data[[#This Row],[Unit Cost]]</f>
        <v>74088</v>
      </c>
      <c r="O2914" t="str">
        <f>IF(Inventory_Data[[#This Row],[Closing Stock]]&lt;=Inventory_Data[[#This Row],[Reorder Level]],"Low Stock","In Stock")</f>
        <v>In Stock</v>
      </c>
      <c r="P2914" t="str">
        <f>TEXT(Inventory_Data[[#This Row],[Date]],"MMM")</f>
        <v>Sep</v>
      </c>
      <c r="Q2914" t="str">
        <f>TEXT(Inventory_Data[[#This Row],[Date]],"YYYY")</f>
        <v>2026</v>
      </c>
    </row>
    <row r="2915" spans="1:17" x14ac:dyDescent="0.3">
      <c r="A2915" s="1">
        <v>46270</v>
      </c>
      <c r="B2915" t="s">
        <v>44</v>
      </c>
      <c r="C2915" t="s">
        <v>28</v>
      </c>
      <c r="D2915" t="s">
        <v>23</v>
      </c>
      <c r="E2915" t="s">
        <v>18</v>
      </c>
      <c r="F2915">
        <v>48</v>
      </c>
      <c r="G2915">
        <v>111</v>
      </c>
      <c r="H2915">
        <v>58</v>
      </c>
      <c r="I2915">
        <v>101</v>
      </c>
      <c r="J2915">
        <v>57</v>
      </c>
      <c r="K2915">
        <v>59450</v>
      </c>
      <c r="L2915">
        <v>6004450</v>
      </c>
      <c r="M2915">
        <f>Inventory_Data[[#This Row],[Opening Stock]]+Inventory_Data[[#This Row],[Purchase Qty]]-Inventory_Data[[#This Row],[Sales Qty]]-Inventory_Data[[#This Row],[Closing Stock]]</f>
        <v>0</v>
      </c>
      <c r="N2915">
        <f>Inventory_Data[[#This Row],[Purchase Qty]]*Inventory_Data[[#This Row],[Unit Cost]]</f>
        <v>6598950</v>
      </c>
      <c r="O2915" t="str">
        <f>IF(Inventory_Data[[#This Row],[Closing Stock]]&lt;=Inventory_Data[[#This Row],[Reorder Level]],"Low Stock","In Stock")</f>
        <v>In Stock</v>
      </c>
      <c r="P2915" t="str">
        <f>TEXT(Inventory_Data[[#This Row],[Date]],"MMM")</f>
        <v>Sep</v>
      </c>
      <c r="Q2915" t="str">
        <f>TEXT(Inventory_Data[[#This Row],[Date]],"YYYY")</f>
        <v>2026</v>
      </c>
    </row>
    <row r="2916" spans="1:17" x14ac:dyDescent="0.3">
      <c r="A2916" s="1">
        <v>46270</v>
      </c>
      <c r="B2916" t="s">
        <v>12</v>
      </c>
      <c r="C2916" t="s">
        <v>13</v>
      </c>
      <c r="D2916" t="s">
        <v>37</v>
      </c>
      <c r="E2916" t="s">
        <v>15</v>
      </c>
      <c r="F2916">
        <v>99</v>
      </c>
      <c r="G2916">
        <v>78</v>
      </c>
      <c r="H2916">
        <v>55</v>
      </c>
      <c r="I2916">
        <v>122</v>
      </c>
      <c r="J2916">
        <v>22</v>
      </c>
      <c r="K2916">
        <v>10626</v>
      </c>
      <c r="L2916">
        <v>1296372</v>
      </c>
      <c r="M2916">
        <f>Inventory_Data[[#This Row],[Opening Stock]]+Inventory_Data[[#This Row],[Purchase Qty]]-Inventory_Data[[#This Row],[Sales Qty]]-Inventory_Data[[#This Row],[Closing Stock]]</f>
        <v>0</v>
      </c>
      <c r="N2916">
        <f>Inventory_Data[[#This Row],[Purchase Qty]]*Inventory_Data[[#This Row],[Unit Cost]]</f>
        <v>828828</v>
      </c>
      <c r="O2916" t="str">
        <f>IF(Inventory_Data[[#This Row],[Closing Stock]]&lt;=Inventory_Data[[#This Row],[Reorder Level]],"Low Stock","In Stock")</f>
        <v>In Stock</v>
      </c>
      <c r="P2916" t="str">
        <f>TEXT(Inventory_Data[[#This Row],[Date]],"MMM")</f>
        <v>Sep</v>
      </c>
      <c r="Q2916" t="str">
        <f>TEXT(Inventory_Data[[#This Row],[Date]],"YYYY")</f>
        <v>2026</v>
      </c>
    </row>
    <row r="2917" spans="1:17" x14ac:dyDescent="0.3">
      <c r="A2917" s="1">
        <v>46271</v>
      </c>
      <c r="B2917" t="s">
        <v>39</v>
      </c>
      <c r="C2917" t="s">
        <v>28</v>
      </c>
      <c r="D2917" t="s">
        <v>37</v>
      </c>
      <c r="E2917" t="s">
        <v>15</v>
      </c>
      <c r="F2917">
        <v>54</v>
      </c>
      <c r="G2917">
        <v>107</v>
      </c>
      <c r="H2917">
        <v>91</v>
      </c>
      <c r="I2917">
        <v>70</v>
      </c>
      <c r="J2917">
        <v>27</v>
      </c>
      <c r="K2917">
        <v>47677</v>
      </c>
      <c r="L2917">
        <v>3337390</v>
      </c>
      <c r="M2917">
        <f>Inventory_Data[[#This Row],[Opening Stock]]+Inventory_Data[[#This Row],[Purchase Qty]]-Inventory_Data[[#This Row],[Sales Qty]]-Inventory_Data[[#This Row],[Closing Stock]]</f>
        <v>0</v>
      </c>
      <c r="N2917">
        <f>Inventory_Data[[#This Row],[Purchase Qty]]*Inventory_Data[[#This Row],[Unit Cost]]</f>
        <v>5101439</v>
      </c>
      <c r="O2917" t="str">
        <f>IF(Inventory_Data[[#This Row],[Closing Stock]]&lt;=Inventory_Data[[#This Row],[Reorder Level]],"Low Stock","In Stock")</f>
        <v>In Stock</v>
      </c>
      <c r="P2917" t="str">
        <f>TEXT(Inventory_Data[[#This Row],[Date]],"MMM")</f>
        <v>Sep</v>
      </c>
      <c r="Q2917" t="str">
        <f>TEXT(Inventory_Data[[#This Row],[Date]],"YYYY")</f>
        <v>2026</v>
      </c>
    </row>
    <row r="2918" spans="1:17" x14ac:dyDescent="0.3">
      <c r="A2918" s="1">
        <v>46271</v>
      </c>
      <c r="B2918" t="s">
        <v>25</v>
      </c>
      <c r="C2918" t="s">
        <v>17</v>
      </c>
      <c r="D2918" t="s">
        <v>14</v>
      </c>
      <c r="E2918" t="s">
        <v>24</v>
      </c>
      <c r="F2918">
        <v>87</v>
      </c>
      <c r="G2918">
        <v>31</v>
      </c>
      <c r="H2918">
        <v>43</v>
      </c>
      <c r="I2918">
        <v>75</v>
      </c>
      <c r="J2918">
        <v>27</v>
      </c>
      <c r="K2918">
        <v>19723</v>
      </c>
      <c r="L2918">
        <v>1479225</v>
      </c>
      <c r="M2918">
        <f>Inventory_Data[[#This Row],[Opening Stock]]+Inventory_Data[[#This Row],[Purchase Qty]]-Inventory_Data[[#This Row],[Sales Qty]]-Inventory_Data[[#This Row],[Closing Stock]]</f>
        <v>0</v>
      </c>
      <c r="N2918">
        <f>Inventory_Data[[#This Row],[Purchase Qty]]*Inventory_Data[[#This Row],[Unit Cost]]</f>
        <v>611413</v>
      </c>
      <c r="O2918" t="str">
        <f>IF(Inventory_Data[[#This Row],[Closing Stock]]&lt;=Inventory_Data[[#This Row],[Reorder Level]],"Low Stock","In Stock")</f>
        <v>In Stock</v>
      </c>
      <c r="P2918" t="str">
        <f>TEXT(Inventory_Data[[#This Row],[Date]],"MMM")</f>
        <v>Sep</v>
      </c>
      <c r="Q2918" t="str">
        <f>TEXT(Inventory_Data[[#This Row],[Date]],"YYYY")</f>
        <v>2026</v>
      </c>
    </row>
    <row r="2919" spans="1:17" x14ac:dyDescent="0.3">
      <c r="A2919" s="1">
        <v>46271</v>
      </c>
      <c r="B2919" t="s">
        <v>45</v>
      </c>
      <c r="C2919" t="s">
        <v>13</v>
      </c>
      <c r="D2919" t="s">
        <v>23</v>
      </c>
      <c r="E2919" t="s">
        <v>24</v>
      </c>
      <c r="F2919">
        <v>18</v>
      </c>
      <c r="G2919">
        <v>35</v>
      </c>
      <c r="H2919">
        <v>47</v>
      </c>
      <c r="I2919">
        <v>6</v>
      </c>
      <c r="J2919">
        <v>27</v>
      </c>
      <c r="K2919">
        <v>10870</v>
      </c>
      <c r="L2919">
        <v>65220</v>
      </c>
      <c r="M2919">
        <f>Inventory_Data[[#This Row],[Opening Stock]]+Inventory_Data[[#This Row],[Purchase Qty]]-Inventory_Data[[#This Row],[Sales Qty]]-Inventory_Data[[#This Row],[Closing Stock]]</f>
        <v>0</v>
      </c>
      <c r="N2919">
        <f>Inventory_Data[[#This Row],[Purchase Qty]]*Inventory_Data[[#This Row],[Unit Cost]]</f>
        <v>380450</v>
      </c>
      <c r="O2919" t="str">
        <f>IF(Inventory_Data[[#This Row],[Closing Stock]]&lt;=Inventory_Data[[#This Row],[Reorder Level]],"Low Stock","In Stock")</f>
        <v>Low Stock</v>
      </c>
      <c r="P2919" t="str">
        <f>TEXT(Inventory_Data[[#This Row],[Date]],"MMM")</f>
        <v>Sep</v>
      </c>
      <c r="Q2919" t="str">
        <f>TEXT(Inventory_Data[[#This Row],[Date]],"YYYY")</f>
        <v>2026</v>
      </c>
    </row>
    <row r="2920" spans="1:17" x14ac:dyDescent="0.3">
      <c r="A2920" s="1">
        <v>46271</v>
      </c>
      <c r="B2920" t="s">
        <v>25</v>
      </c>
      <c r="C2920" t="s">
        <v>17</v>
      </c>
      <c r="D2920" t="s">
        <v>23</v>
      </c>
      <c r="E2920" t="s">
        <v>18</v>
      </c>
      <c r="F2920">
        <v>88</v>
      </c>
      <c r="G2920">
        <v>19</v>
      </c>
      <c r="H2920">
        <v>41</v>
      </c>
      <c r="I2920">
        <v>66</v>
      </c>
      <c r="J2920">
        <v>24</v>
      </c>
      <c r="K2920">
        <v>6703</v>
      </c>
      <c r="L2920">
        <v>442398</v>
      </c>
      <c r="M2920">
        <f>Inventory_Data[[#This Row],[Opening Stock]]+Inventory_Data[[#This Row],[Purchase Qty]]-Inventory_Data[[#This Row],[Sales Qty]]-Inventory_Data[[#This Row],[Closing Stock]]</f>
        <v>0</v>
      </c>
      <c r="N2920">
        <f>Inventory_Data[[#This Row],[Purchase Qty]]*Inventory_Data[[#This Row],[Unit Cost]]</f>
        <v>127357</v>
      </c>
      <c r="O2920" t="str">
        <f>IF(Inventory_Data[[#This Row],[Closing Stock]]&lt;=Inventory_Data[[#This Row],[Reorder Level]],"Low Stock","In Stock")</f>
        <v>In Stock</v>
      </c>
      <c r="P2920" t="str">
        <f>TEXT(Inventory_Data[[#This Row],[Date]],"MMM")</f>
        <v>Sep</v>
      </c>
      <c r="Q2920" t="str">
        <f>TEXT(Inventory_Data[[#This Row],[Date]],"YYYY")</f>
        <v>2026</v>
      </c>
    </row>
    <row r="2921" spans="1:17" x14ac:dyDescent="0.3">
      <c r="A2921" s="1">
        <v>46273</v>
      </c>
      <c r="B2921" t="s">
        <v>12</v>
      </c>
      <c r="C2921" t="s">
        <v>13</v>
      </c>
      <c r="D2921" t="s">
        <v>14</v>
      </c>
      <c r="E2921" t="s">
        <v>34</v>
      </c>
      <c r="F2921">
        <v>118</v>
      </c>
      <c r="G2921">
        <v>55</v>
      </c>
      <c r="H2921">
        <v>41</v>
      </c>
      <c r="I2921">
        <v>132</v>
      </c>
      <c r="J2921">
        <v>20</v>
      </c>
      <c r="K2921">
        <v>2670</v>
      </c>
      <c r="L2921">
        <v>352440</v>
      </c>
      <c r="M2921">
        <f>Inventory_Data[[#This Row],[Opening Stock]]+Inventory_Data[[#This Row],[Purchase Qty]]-Inventory_Data[[#This Row],[Sales Qty]]-Inventory_Data[[#This Row],[Closing Stock]]</f>
        <v>0</v>
      </c>
      <c r="N2921">
        <f>Inventory_Data[[#This Row],[Purchase Qty]]*Inventory_Data[[#This Row],[Unit Cost]]</f>
        <v>146850</v>
      </c>
      <c r="O2921" t="str">
        <f>IF(Inventory_Data[[#This Row],[Closing Stock]]&lt;=Inventory_Data[[#This Row],[Reorder Level]],"Low Stock","In Stock")</f>
        <v>In Stock</v>
      </c>
      <c r="P2921" t="str">
        <f>TEXT(Inventory_Data[[#This Row],[Date]],"MMM")</f>
        <v>Sep</v>
      </c>
      <c r="Q2921" t="str">
        <f>TEXT(Inventory_Data[[#This Row],[Date]],"YYYY")</f>
        <v>2026</v>
      </c>
    </row>
    <row r="2922" spans="1:17" x14ac:dyDescent="0.3">
      <c r="A2922" s="1">
        <v>46273</v>
      </c>
      <c r="B2922" t="s">
        <v>21</v>
      </c>
      <c r="C2922" t="s">
        <v>22</v>
      </c>
      <c r="D2922" t="s">
        <v>26</v>
      </c>
      <c r="E2922" t="s">
        <v>15</v>
      </c>
      <c r="F2922">
        <v>166</v>
      </c>
      <c r="G2922">
        <v>122</v>
      </c>
      <c r="H2922">
        <v>153</v>
      </c>
      <c r="I2922">
        <v>135</v>
      </c>
      <c r="J2922">
        <v>84</v>
      </c>
      <c r="K2922">
        <v>129</v>
      </c>
      <c r="L2922">
        <v>17415</v>
      </c>
      <c r="M2922">
        <f>Inventory_Data[[#This Row],[Opening Stock]]+Inventory_Data[[#This Row],[Purchase Qty]]-Inventory_Data[[#This Row],[Sales Qty]]-Inventory_Data[[#This Row],[Closing Stock]]</f>
        <v>0</v>
      </c>
      <c r="N2922">
        <f>Inventory_Data[[#This Row],[Purchase Qty]]*Inventory_Data[[#This Row],[Unit Cost]]</f>
        <v>15738</v>
      </c>
      <c r="O2922" t="str">
        <f>IF(Inventory_Data[[#This Row],[Closing Stock]]&lt;=Inventory_Data[[#This Row],[Reorder Level]],"Low Stock","In Stock")</f>
        <v>In Stock</v>
      </c>
      <c r="P2922" t="str">
        <f>TEXT(Inventory_Data[[#This Row],[Date]],"MMM")</f>
        <v>Sep</v>
      </c>
      <c r="Q2922" t="str">
        <f>TEXT(Inventory_Data[[#This Row],[Date]],"YYYY")</f>
        <v>2026</v>
      </c>
    </row>
    <row r="2923" spans="1:17" x14ac:dyDescent="0.3">
      <c r="A2923" s="1">
        <v>46274</v>
      </c>
      <c r="B2923" t="s">
        <v>31</v>
      </c>
      <c r="C2923" t="s">
        <v>22</v>
      </c>
      <c r="D2923" t="s">
        <v>37</v>
      </c>
      <c r="E2923" t="s">
        <v>24</v>
      </c>
      <c r="F2923">
        <v>120</v>
      </c>
      <c r="G2923">
        <v>113</v>
      </c>
      <c r="H2923">
        <v>218</v>
      </c>
      <c r="I2923">
        <v>15</v>
      </c>
      <c r="J2923">
        <v>95</v>
      </c>
      <c r="K2923">
        <v>278</v>
      </c>
      <c r="L2923">
        <v>4170</v>
      </c>
      <c r="M2923">
        <f>Inventory_Data[[#This Row],[Opening Stock]]+Inventory_Data[[#This Row],[Purchase Qty]]-Inventory_Data[[#This Row],[Sales Qty]]-Inventory_Data[[#This Row],[Closing Stock]]</f>
        <v>0</v>
      </c>
      <c r="N2923">
        <f>Inventory_Data[[#This Row],[Purchase Qty]]*Inventory_Data[[#This Row],[Unit Cost]]</f>
        <v>31414</v>
      </c>
      <c r="O2923" t="str">
        <f>IF(Inventory_Data[[#This Row],[Closing Stock]]&lt;=Inventory_Data[[#This Row],[Reorder Level]],"Low Stock","In Stock")</f>
        <v>Low Stock</v>
      </c>
      <c r="P2923" t="str">
        <f>TEXT(Inventory_Data[[#This Row],[Date]],"MMM")</f>
        <v>Sep</v>
      </c>
      <c r="Q2923" t="str">
        <f>TEXT(Inventory_Data[[#This Row],[Date]],"YYYY")</f>
        <v>2026</v>
      </c>
    </row>
    <row r="2924" spans="1:17" x14ac:dyDescent="0.3">
      <c r="A2924" s="1">
        <v>46274</v>
      </c>
      <c r="B2924" t="s">
        <v>30</v>
      </c>
      <c r="C2924" t="s">
        <v>28</v>
      </c>
      <c r="D2924" t="s">
        <v>26</v>
      </c>
      <c r="E2924" t="s">
        <v>24</v>
      </c>
      <c r="F2924">
        <v>163</v>
      </c>
      <c r="G2924">
        <v>40</v>
      </c>
      <c r="H2924">
        <v>62</v>
      </c>
      <c r="I2924">
        <v>141</v>
      </c>
      <c r="J2924">
        <v>23</v>
      </c>
      <c r="K2924">
        <v>48187</v>
      </c>
      <c r="L2924">
        <v>6794367</v>
      </c>
      <c r="M2924">
        <f>Inventory_Data[[#This Row],[Opening Stock]]+Inventory_Data[[#This Row],[Purchase Qty]]-Inventory_Data[[#This Row],[Sales Qty]]-Inventory_Data[[#This Row],[Closing Stock]]</f>
        <v>0</v>
      </c>
      <c r="N2924">
        <f>Inventory_Data[[#This Row],[Purchase Qty]]*Inventory_Data[[#This Row],[Unit Cost]]</f>
        <v>1927480</v>
      </c>
      <c r="O2924" t="str">
        <f>IF(Inventory_Data[[#This Row],[Closing Stock]]&lt;=Inventory_Data[[#This Row],[Reorder Level]],"Low Stock","In Stock")</f>
        <v>In Stock</v>
      </c>
      <c r="P2924" t="str">
        <f>TEXT(Inventory_Data[[#This Row],[Date]],"MMM")</f>
        <v>Sep</v>
      </c>
      <c r="Q2924" t="str">
        <f>TEXT(Inventory_Data[[#This Row],[Date]],"YYYY")</f>
        <v>2026</v>
      </c>
    </row>
    <row r="2925" spans="1:17" x14ac:dyDescent="0.3">
      <c r="A2925" s="1">
        <v>46274</v>
      </c>
      <c r="B2925" t="s">
        <v>32</v>
      </c>
      <c r="C2925" t="s">
        <v>28</v>
      </c>
      <c r="D2925" t="s">
        <v>26</v>
      </c>
      <c r="E2925" t="s">
        <v>24</v>
      </c>
      <c r="F2925">
        <v>86</v>
      </c>
      <c r="G2925">
        <v>101</v>
      </c>
      <c r="H2925">
        <v>33</v>
      </c>
      <c r="I2925">
        <v>154</v>
      </c>
      <c r="J2925">
        <v>44</v>
      </c>
      <c r="K2925">
        <v>18402</v>
      </c>
      <c r="L2925">
        <v>2833908</v>
      </c>
      <c r="M2925">
        <f>Inventory_Data[[#This Row],[Opening Stock]]+Inventory_Data[[#This Row],[Purchase Qty]]-Inventory_Data[[#This Row],[Sales Qty]]-Inventory_Data[[#This Row],[Closing Stock]]</f>
        <v>0</v>
      </c>
      <c r="N2925">
        <f>Inventory_Data[[#This Row],[Purchase Qty]]*Inventory_Data[[#This Row],[Unit Cost]]</f>
        <v>1858602</v>
      </c>
      <c r="O2925" t="str">
        <f>IF(Inventory_Data[[#This Row],[Closing Stock]]&lt;=Inventory_Data[[#This Row],[Reorder Level]],"Low Stock","In Stock")</f>
        <v>In Stock</v>
      </c>
      <c r="P2925" t="str">
        <f>TEXT(Inventory_Data[[#This Row],[Date]],"MMM")</f>
        <v>Sep</v>
      </c>
      <c r="Q2925" t="str">
        <f>TEXT(Inventory_Data[[#This Row],[Date]],"YYYY")</f>
        <v>2026</v>
      </c>
    </row>
    <row r="2926" spans="1:17" x14ac:dyDescent="0.3">
      <c r="A2926" s="1">
        <v>46274</v>
      </c>
      <c r="B2926" t="s">
        <v>40</v>
      </c>
      <c r="C2926" t="s">
        <v>28</v>
      </c>
      <c r="D2926" t="s">
        <v>14</v>
      </c>
      <c r="E2926" t="s">
        <v>20</v>
      </c>
      <c r="F2926">
        <v>68</v>
      </c>
      <c r="G2926">
        <v>92</v>
      </c>
      <c r="H2926">
        <v>21</v>
      </c>
      <c r="I2926">
        <v>139</v>
      </c>
      <c r="J2926">
        <v>51</v>
      </c>
      <c r="K2926">
        <v>19285</v>
      </c>
      <c r="L2926">
        <v>2680615</v>
      </c>
      <c r="M2926">
        <f>Inventory_Data[[#This Row],[Opening Stock]]+Inventory_Data[[#This Row],[Purchase Qty]]-Inventory_Data[[#This Row],[Sales Qty]]-Inventory_Data[[#This Row],[Closing Stock]]</f>
        <v>0</v>
      </c>
      <c r="N2926">
        <f>Inventory_Data[[#This Row],[Purchase Qty]]*Inventory_Data[[#This Row],[Unit Cost]]</f>
        <v>1774220</v>
      </c>
      <c r="O2926" t="str">
        <f>IF(Inventory_Data[[#This Row],[Closing Stock]]&lt;=Inventory_Data[[#This Row],[Reorder Level]],"Low Stock","In Stock")</f>
        <v>In Stock</v>
      </c>
      <c r="P2926" t="str">
        <f>TEXT(Inventory_Data[[#This Row],[Date]],"MMM")</f>
        <v>Sep</v>
      </c>
      <c r="Q2926" t="str">
        <f>TEXT(Inventory_Data[[#This Row],[Date]],"YYYY")</f>
        <v>2026</v>
      </c>
    </row>
    <row r="2927" spans="1:17" x14ac:dyDescent="0.3">
      <c r="A2927" s="1">
        <v>46275</v>
      </c>
      <c r="B2927" t="s">
        <v>21</v>
      </c>
      <c r="C2927" t="s">
        <v>22</v>
      </c>
      <c r="D2927" t="s">
        <v>26</v>
      </c>
      <c r="E2927" t="s">
        <v>18</v>
      </c>
      <c r="F2927">
        <v>144</v>
      </c>
      <c r="G2927">
        <v>164</v>
      </c>
      <c r="H2927">
        <v>77</v>
      </c>
      <c r="I2927">
        <v>231</v>
      </c>
      <c r="J2927">
        <v>143</v>
      </c>
      <c r="K2927">
        <v>1190</v>
      </c>
      <c r="L2927">
        <v>274890</v>
      </c>
      <c r="M2927">
        <f>Inventory_Data[[#This Row],[Opening Stock]]+Inventory_Data[[#This Row],[Purchase Qty]]-Inventory_Data[[#This Row],[Sales Qty]]-Inventory_Data[[#This Row],[Closing Stock]]</f>
        <v>0</v>
      </c>
      <c r="N2927">
        <f>Inventory_Data[[#This Row],[Purchase Qty]]*Inventory_Data[[#This Row],[Unit Cost]]</f>
        <v>195160</v>
      </c>
      <c r="O2927" t="str">
        <f>IF(Inventory_Data[[#This Row],[Closing Stock]]&lt;=Inventory_Data[[#This Row],[Reorder Level]],"Low Stock","In Stock")</f>
        <v>In Stock</v>
      </c>
      <c r="P2927" t="str">
        <f>TEXT(Inventory_Data[[#This Row],[Date]],"MMM")</f>
        <v>Sep</v>
      </c>
      <c r="Q2927" t="str">
        <f>TEXT(Inventory_Data[[#This Row],[Date]],"YYYY")</f>
        <v>2026</v>
      </c>
    </row>
    <row r="2928" spans="1:17" x14ac:dyDescent="0.3">
      <c r="A2928" s="1">
        <v>46275</v>
      </c>
      <c r="B2928" t="s">
        <v>33</v>
      </c>
      <c r="C2928" t="s">
        <v>13</v>
      </c>
      <c r="D2928" t="s">
        <v>37</v>
      </c>
      <c r="E2928" t="s">
        <v>20</v>
      </c>
      <c r="F2928">
        <v>110</v>
      </c>
      <c r="G2928">
        <v>10</v>
      </c>
      <c r="H2928">
        <v>61</v>
      </c>
      <c r="I2928">
        <v>59</v>
      </c>
      <c r="J2928">
        <v>20</v>
      </c>
      <c r="K2928">
        <v>3273</v>
      </c>
      <c r="L2928">
        <v>193107</v>
      </c>
      <c r="M2928">
        <f>Inventory_Data[[#This Row],[Opening Stock]]+Inventory_Data[[#This Row],[Purchase Qty]]-Inventory_Data[[#This Row],[Sales Qty]]-Inventory_Data[[#This Row],[Closing Stock]]</f>
        <v>0</v>
      </c>
      <c r="N2928">
        <f>Inventory_Data[[#This Row],[Purchase Qty]]*Inventory_Data[[#This Row],[Unit Cost]]</f>
        <v>32730</v>
      </c>
      <c r="O2928" t="str">
        <f>IF(Inventory_Data[[#This Row],[Closing Stock]]&lt;=Inventory_Data[[#This Row],[Reorder Level]],"Low Stock","In Stock")</f>
        <v>In Stock</v>
      </c>
      <c r="P2928" t="str">
        <f>TEXT(Inventory_Data[[#This Row],[Date]],"MMM")</f>
        <v>Sep</v>
      </c>
      <c r="Q2928" t="str">
        <f>TEXT(Inventory_Data[[#This Row],[Date]],"YYYY")</f>
        <v>2026</v>
      </c>
    </row>
    <row r="2929" spans="1:17" x14ac:dyDescent="0.3">
      <c r="A2929" s="1">
        <v>46275</v>
      </c>
      <c r="B2929" t="s">
        <v>19</v>
      </c>
      <c r="C2929" t="s">
        <v>13</v>
      </c>
      <c r="D2929" t="s">
        <v>14</v>
      </c>
      <c r="E2929" t="s">
        <v>34</v>
      </c>
      <c r="F2929">
        <v>118</v>
      </c>
      <c r="G2929">
        <v>37</v>
      </c>
      <c r="H2929">
        <v>17</v>
      </c>
      <c r="I2929">
        <v>138</v>
      </c>
      <c r="J2929">
        <v>15</v>
      </c>
      <c r="K2929">
        <v>10025</v>
      </c>
      <c r="L2929">
        <v>1383450</v>
      </c>
      <c r="M2929">
        <f>Inventory_Data[[#This Row],[Opening Stock]]+Inventory_Data[[#This Row],[Purchase Qty]]-Inventory_Data[[#This Row],[Sales Qty]]-Inventory_Data[[#This Row],[Closing Stock]]</f>
        <v>0</v>
      </c>
      <c r="N2929">
        <f>Inventory_Data[[#This Row],[Purchase Qty]]*Inventory_Data[[#This Row],[Unit Cost]]</f>
        <v>370925</v>
      </c>
      <c r="O2929" t="str">
        <f>IF(Inventory_Data[[#This Row],[Closing Stock]]&lt;=Inventory_Data[[#This Row],[Reorder Level]],"Low Stock","In Stock")</f>
        <v>In Stock</v>
      </c>
      <c r="P2929" t="str">
        <f>TEXT(Inventory_Data[[#This Row],[Date]],"MMM")</f>
        <v>Sep</v>
      </c>
      <c r="Q2929" t="str">
        <f>TEXT(Inventory_Data[[#This Row],[Date]],"YYYY")</f>
        <v>2026</v>
      </c>
    </row>
    <row r="2930" spans="1:17" x14ac:dyDescent="0.3">
      <c r="A2930" s="1">
        <v>46276</v>
      </c>
      <c r="B2930" t="s">
        <v>44</v>
      </c>
      <c r="C2930" t="s">
        <v>28</v>
      </c>
      <c r="D2930" t="s">
        <v>37</v>
      </c>
      <c r="E2930" t="s">
        <v>20</v>
      </c>
      <c r="F2930">
        <v>120</v>
      </c>
      <c r="G2930">
        <v>13</v>
      </c>
      <c r="H2930">
        <v>98</v>
      </c>
      <c r="I2930">
        <v>35</v>
      </c>
      <c r="J2930">
        <v>38</v>
      </c>
      <c r="K2930">
        <v>12005</v>
      </c>
      <c r="L2930">
        <v>420175</v>
      </c>
      <c r="M2930">
        <f>Inventory_Data[[#This Row],[Opening Stock]]+Inventory_Data[[#This Row],[Purchase Qty]]-Inventory_Data[[#This Row],[Sales Qty]]-Inventory_Data[[#This Row],[Closing Stock]]</f>
        <v>0</v>
      </c>
      <c r="N2930">
        <f>Inventory_Data[[#This Row],[Purchase Qty]]*Inventory_Data[[#This Row],[Unit Cost]]</f>
        <v>156065</v>
      </c>
      <c r="O2930" t="str">
        <f>IF(Inventory_Data[[#This Row],[Closing Stock]]&lt;=Inventory_Data[[#This Row],[Reorder Level]],"Low Stock","In Stock")</f>
        <v>Low Stock</v>
      </c>
      <c r="P2930" t="str">
        <f>TEXT(Inventory_Data[[#This Row],[Date]],"MMM")</f>
        <v>Sep</v>
      </c>
      <c r="Q2930" t="str">
        <f>TEXT(Inventory_Data[[#This Row],[Date]],"YYYY")</f>
        <v>2026</v>
      </c>
    </row>
    <row r="2931" spans="1:17" x14ac:dyDescent="0.3">
      <c r="A2931" s="1">
        <v>46276</v>
      </c>
      <c r="B2931" t="s">
        <v>35</v>
      </c>
      <c r="C2931" t="s">
        <v>22</v>
      </c>
      <c r="D2931" t="s">
        <v>14</v>
      </c>
      <c r="E2931" t="s">
        <v>34</v>
      </c>
      <c r="F2931">
        <v>459</v>
      </c>
      <c r="G2931">
        <v>159</v>
      </c>
      <c r="H2931">
        <v>93</v>
      </c>
      <c r="I2931">
        <v>525</v>
      </c>
      <c r="J2931">
        <v>53</v>
      </c>
      <c r="K2931">
        <v>290</v>
      </c>
      <c r="L2931">
        <v>152250</v>
      </c>
      <c r="M2931">
        <f>Inventory_Data[[#This Row],[Opening Stock]]+Inventory_Data[[#This Row],[Purchase Qty]]-Inventory_Data[[#This Row],[Sales Qty]]-Inventory_Data[[#This Row],[Closing Stock]]</f>
        <v>0</v>
      </c>
      <c r="N2931">
        <f>Inventory_Data[[#This Row],[Purchase Qty]]*Inventory_Data[[#This Row],[Unit Cost]]</f>
        <v>46110</v>
      </c>
      <c r="O2931" t="str">
        <f>IF(Inventory_Data[[#This Row],[Closing Stock]]&lt;=Inventory_Data[[#This Row],[Reorder Level]],"Low Stock","In Stock")</f>
        <v>In Stock</v>
      </c>
      <c r="P2931" t="str">
        <f>TEXT(Inventory_Data[[#This Row],[Date]],"MMM")</f>
        <v>Sep</v>
      </c>
      <c r="Q2931" t="str">
        <f>TEXT(Inventory_Data[[#This Row],[Date]],"YYYY")</f>
        <v>2026</v>
      </c>
    </row>
    <row r="2932" spans="1:17" x14ac:dyDescent="0.3">
      <c r="A2932" s="1">
        <v>46276</v>
      </c>
      <c r="B2932" t="s">
        <v>36</v>
      </c>
      <c r="C2932" t="s">
        <v>22</v>
      </c>
      <c r="D2932" t="s">
        <v>37</v>
      </c>
      <c r="E2932" t="s">
        <v>34</v>
      </c>
      <c r="F2932">
        <v>136</v>
      </c>
      <c r="G2932">
        <v>96</v>
      </c>
      <c r="H2932">
        <v>71</v>
      </c>
      <c r="I2932">
        <v>161</v>
      </c>
      <c r="J2932">
        <v>67</v>
      </c>
      <c r="K2932">
        <v>406</v>
      </c>
      <c r="L2932">
        <v>65366</v>
      </c>
      <c r="M2932">
        <f>Inventory_Data[[#This Row],[Opening Stock]]+Inventory_Data[[#This Row],[Purchase Qty]]-Inventory_Data[[#This Row],[Sales Qty]]-Inventory_Data[[#This Row],[Closing Stock]]</f>
        <v>0</v>
      </c>
      <c r="N2932">
        <f>Inventory_Data[[#This Row],[Purchase Qty]]*Inventory_Data[[#This Row],[Unit Cost]]</f>
        <v>38976</v>
      </c>
      <c r="O2932" t="str">
        <f>IF(Inventory_Data[[#This Row],[Closing Stock]]&lt;=Inventory_Data[[#This Row],[Reorder Level]],"Low Stock","In Stock")</f>
        <v>In Stock</v>
      </c>
      <c r="P2932" t="str">
        <f>TEXT(Inventory_Data[[#This Row],[Date]],"MMM")</f>
        <v>Sep</v>
      </c>
      <c r="Q2932" t="str">
        <f>TEXT(Inventory_Data[[#This Row],[Date]],"YYYY")</f>
        <v>2026</v>
      </c>
    </row>
    <row r="2933" spans="1:17" x14ac:dyDescent="0.3">
      <c r="A2933" s="1">
        <v>46276</v>
      </c>
      <c r="B2933" t="s">
        <v>25</v>
      </c>
      <c r="C2933" t="s">
        <v>17</v>
      </c>
      <c r="D2933" t="s">
        <v>26</v>
      </c>
      <c r="E2933" t="s">
        <v>24</v>
      </c>
      <c r="F2933">
        <v>79</v>
      </c>
      <c r="G2933">
        <v>21</v>
      </c>
      <c r="H2933">
        <v>20</v>
      </c>
      <c r="I2933">
        <v>80</v>
      </c>
      <c r="J2933">
        <v>12</v>
      </c>
      <c r="K2933">
        <v>19333</v>
      </c>
      <c r="L2933">
        <v>1546640</v>
      </c>
      <c r="M2933">
        <f>Inventory_Data[[#This Row],[Opening Stock]]+Inventory_Data[[#This Row],[Purchase Qty]]-Inventory_Data[[#This Row],[Sales Qty]]-Inventory_Data[[#This Row],[Closing Stock]]</f>
        <v>0</v>
      </c>
      <c r="N2933">
        <f>Inventory_Data[[#This Row],[Purchase Qty]]*Inventory_Data[[#This Row],[Unit Cost]]</f>
        <v>405993</v>
      </c>
      <c r="O2933" t="str">
        <f>IF(Inventory_Data[[#This Row],[Closing Stock]]&lt;=Inventory_Data[[#This Row],[Reorder Level]],"Low Stock","In Stock")</f>
        <v>In Stock</v>
      </c>
      <c r="P2933" t="str">
        <f>TEXT(Inventory_Data[[#This Row],[Date]],"MMM")</f>
        <v>Sep</v>
      </c>
      <c r="Q2933" t="str">
        <f>TEXT(Inventory_Data[[#This Row],[Date]],"YYYY")</f>
        <v>2026</v>
      </c>
    </row>
    <row r="2934" spans="1:17" x14ac:dyDescent="0.3">
      <c r="A2934" s="1">
        <v>46276</v>
      </c>
      <c r="B2934" t="s">
        <v>35</v>
      </c>
      <c r="C2934" t="s">
        <v>22</v>
      </c>
      <c r="D2934" t="s">
        <v>37</v>
      </c>
      <c r="E2934" t="s">
        <v>34</v>
      </c>
      <c r="F2934">
        <v>446</v>
      </c>
      <c r="G2934">
        <v>76</v>
      </c>
      <c r="H2934">
        <v>255</v>
      </c>
      <c r="I2934">
        <v>267</v>
      </c>
      <c r="J2934">
        <v>138</v>
      </c>
      <c r="K2934">
        <v>522</v>
      </c>
      <c r="L2934">
        <v>139374</v>
      </c>
      <c r="M2934">
        <f>Inventory_Data[[#This Row],[Opening Stock]]+Inventory_Data[[#This Row],[Purchase Qty]]-Inventory_Data[[#This Row],[Sales Qty]]-Inventory_Data[[#This Row],[Closing Stock]]</f>
        <v>0</v>
      </c>
      <c r="N2934">
        <f>Inventory_Data[[#This Row],[Purchase Qty]]*Inventory_Data[[#This Row],[Unit Cost]]</f>
        <v>39672</v>
      </c>
      <c r="O2934" t="str">
        <f>IF(Inventory_Data[[#This Row],[Closing Stock]]&lt;=Inventory_Data[[#This Row],[Reorder Level]],"Low Stock","In Stock")</f>
        <v>In Stock</v>
      </c>
      <c r="P2934" t="str">
        <f>TEXT(Inventory_Data[[#This Row],[Date]],"MMM")</f>
        <v>Sep</v>
      </c>
      <c r="Q2934" t="str">
        <f>TEXT(Inventory_Data[[#This Row],[Date]],"YYYY")</f>
        <v>2026</v>
      </c>
    </row>
    <row r="2935" spans="1:17" x14ac:dyDescent="0.3">
      <c r="A2935" s="1">
        <v>46277</v>
      </c>
      <c r="B2935" t="s">
        <v>41</v>
      </c>
      <c r="C2935" t="s">
        <v>22</v>
      </c>
      <c r="D2935" t="s">
        <v>26</v>
      </c>
      <c r="E2935" t="s">
        <v>20</v>
      </c>
      <c r="F2935">
        <v>227</v>
      </c>
      <c r="G2935">
        <v>175</v>
      </c>
      <c r="H2935">
        <v>83</v>
      </c>
      <c r="I2935">
        <v>319</v>
      </c>
      <c r="J2935">
        <v>143</v>
      </c>
      <c r="K2935">
        <v>482</v>
      </c>
      <c r="L2935">
        <v>153758</v>
      </c>
      <c r="M2935">
        <f>Inventory_Data[[#This Row],[Opening Stock]]+Inventory_Data[[#This Row],[Purchase Qty]]-Inventory_Data[[#This Row],[Sales Qty]]-Inventory_Data[[#This Row],[Closing Stock]]</f>
        <v>0</v>
      </c>
      <c r="N2935">
        <f>Inventory_Data[[#This Row],[Purchase Qty]]*Inventory_Data[[#This Row],[Unit Cost]]</f>
        <v>84350</v>
      </c>
      <c r="O2935" t="str">
        <f>IF(Inventory_Data[[#This Row],[Closing Stock]]&lt;=Inventory_Data[[#This Row],[Reorder Level]],"Low Stock","In Stock")</f>
        <v>In Stock</v>
      </c>
      <c r="P2935" t="str">
        <f>TEXT(Inventory_Data[[#This Row],[Date]],"MMM")</f>
        <v>Sep</v>
      </c>
      <c r="Q2935" t="str">
        <f>TEXT(Inventory_Data[[#This Row],[Date]],"YYYY")</f>
        <v>2026</v>
      </c>
    </row>
    <row r="2936" spans="1:17" x14ac:dyDescent="0.3">
      <c r="A2936" s="1">
        <v>46277</v>
      </c>
      <c r="B2936" t="s">
        <v>44</v>
      </c>
      <c r="C2936" t="s">
        <v>28</v>
      </c>
      <c r="D2936" t="s">
        <v>23</v>
      </c>
      <c r="E2936" t="s">
        <v>24</v>
      </c>
      <c r="F2936">
        <v>45</v>
      </c>
      <c r="G2936">
        <v>70</v>
      </c>
      <c r="H2936">
        <v>41</v>
      </c>
      <c r="I2936">
        <v>74</v>
      </c>
      <c r="J2936">
        <v>48</v>
      </c>
      <c r="K2936">
        <v>53686</v>
      </c>
      <c r="L2936">
        <v>3972764</v>
      </c>
      <c r="M2936">
        <f>Inventory_Data[[#This Row],[Opening Stock]]+Inventory_Data[[#This Row],[Purchase Qty]]-Inventory_Data[[#This Row],[Sales Qty]]-Inventory_Data[[#This Row],[Closing Stock]]</f>
        <v>0</v>
      </c>
      <c r="N2936">
        <f>Inventory_Data[[#This Row],[Purchase Qty]]*Inventory_Data[[#This Row],[Unit Cost]]</f>
        <v>3758020</v>
      </c>
      <c r="O2936" t="str">
        <f>IF(Inventory_Data[[#This Row],[Closing Stock]]&lt;=Inventory_Data[[#This Row],[Reorder Level]],"Low Stock","In Stock")</f>
        <v>In Stock</v>
      </c>
      <c r="P2936" t="str">
        <f>TEXT(Inventory_Data[[#This Row],[Date]],"MMM")</f>
        <v>Sep</v>
      </c>
      <c r="Q2936" t="str">
        <f>TEXT(Inventory_Data[[#This Row],[Date]],"YYYY")</f>
        <v>2026</v>
      </c>
    </row>
    <row r="2937" spans="1:17" x14ac:dyDescent="0.3">
      <c r="A2937" s="1">
        <v>46278</v>
      </c>
      <c r="B2937" t="s">
        <v>44</v>
      </c>
      <c r="C2937" t="s">
        <v>28</v>
      </c>
      <c r="D2937" t="s">
        <v>37</v>
      </c>
      <c r="E2937" t="s">
        <v>15</v>
      </c>
      <c r="F2937">
        <v>74</v>
      </c>
      <c r="G2937">
        <v>73</v>
      </c>
      <c r="H2937">
        <v>95</v>
      </c>
      <c r="I2937">
        <v>52</v>
      </c>
      <c r="J2937">
        <v>24</v>
      </c>
      <c r="K2937">
        <v>46040</v>
      </c>
      <c r="L2937">
        <v>2394080</v>
      </c>
      <c r="M2937">
        <f>Inventory_Data[[#This Row],[Opening Stock]]+Inventory_Data[[#This Row],[Purchase Qty]]-Inventory_Data[[#This Row],[Sales Qty]]-Inventory_Data[[#This Row],[Closing Stock]]</f>
        <v>0</v>
      </c>
      <c r="N2937">
        <f>Inventory_Data[[#This Row],[Purchase Qty]]*Inventory_Data[[#This Row],[Unit Cost]]</f>
        <v>3360920</v>
      </c>
      <c r="O2937" t="str">
        <f>IF(Inventory_Data[[#This Row],[Closing Stock]]&lt;=Inventory_Data[[#This Row],[Reorder Level]],"Low Stock","In Stock")</f>
        <v>In Stock</v>
      </c>
      <c r="P2937" t="str">
        <f>TEXT(Inventory_Data[[#This Row],[Date]],"MMM")</f>
        <v>Sep</v>
      </c>
      <c r="Q2937" t="str">
        <f>TEXT(Inventory_Data[[#This Row],[Date]],"YYYY")</f>
        <v>2026</v>
      </c>
    </row>
    <row r="2938" spans="1:17" x14ac:dyDescent="0.3">
      <c r="A2938" s="1">
        <v>46278</v>
      </c>
      <c r="B2938" t="s">
        <v>43</v>
      </c>
      <c r="C2938" t="s">
        <v>22</v>
      </c>
      <c r="D2938" t="s">
        <v>37</v>
      </c>
      <c r="E2938" t="s">
        <v>15</v>
      </c>
      <c r="F2938">
        <v>322</v>
      </c>
      <c r="G2938">
        <v>197</v>
      </c>
      <c r="H2938">
        <v>189</v>
      </c>
      <c r="I2938">
        <v>330</v>
      </c>
      <c r="J2938">
        <v>145</v>
      </c>
      <c r="K2938">
        <v>1101</v>
      </c>
      <c r="L2938">
        <v>363330</v>
      </c>
      <c r="M2938">
        <f>Inventory_Data[[#This Row],[Opening Stock]]+Inventory_Data[[#This Row],[Purchase Qty]]-Inventory_Data[[#This Row],[Sales Qty]]-Inventory_Data[[#This Row],[Closing Stock]]</f>
        <v>0</v>
      </c>
      <c r="N2938">
        <f>Inventory_Data[[#This Row],[Purchase Qty]]*Inventory_Data[[#This Row],[Unit Cost]]</f>
        <v>216897</v>
      </c>
      <c r="O2938" t="str">
        <f>IF(Inventory_Data[[#This Row],[Closing Stock]]&lt;=Inventory_Data[[#This Row],[Reorder Level]],"Low Stock","In Stock")</f>
        <v>In Stock</v>
      </c>
      <c r="P2938" t="str">
        <f>TEXT(Inventory_Data[[#This Row],[Date]],"MMM")</f>
        <v>Sep</v>
      </c>
      <c r="Q2938" t="str">
        <f>TEXT(Inventory_Data[[#This Row],[Date]],"YYYY")</f>
        <v>2026</v>
      </c>
    </row>
    <row r="2939" spans="1:17" x14ac:dyDescent="0.3">
      <c r="A2939" s="1">
        <v>46278</v>
      </c>
      <c r="B2939" t="s">
        <v>25</v>
      </c>
      <c r="C2939" t="s">
        <v>17</v>
      </c>
      <c r="D2939" t="s">
        <v>23</v>
      </c>
      <c r="E2939" t="s">
        <v>15</v>
      </c>
      <c r="F2939">
        <v>80</v>
      </c>
      <c r="G2939">
        <v>43</v>
      </c>
      <c r="H2939">
        <v>28</v>
      </c>
      <c r="I2939">
        <v>95</v>
      </c>
      <c r="J2939">
        <v>26</v>
      </c>
      <c r="K2939">
        <v>7680</v>
      </c>
      <c r="L2939">
        <v>729600</v>
      </c>
      <c r="M2939">
        <f>Inventory_Data[[#This Row],[Opening Stock]]+Inventory_Data[[#This Row],[Purchase Qty]]-Inventory_Data[[#This Row],[Sales Qty]]-Inventory_Data[[#This Row],[Closing Stock]]</f>
        <v>0</v>
      </c>
      <c r="N2939">
        <f>Inventory_Data[[#This Row],[Purchase Qty]]*Inventory_Data[[#This Row],[Unit Cost]]</f>
        <v>330240</v>
      </c>
      <c r="O2939" t="str">
        <f>IF(Inventory_Data[[#This Row],[Closing Stock]]&lt;=Inventory_Data[[#This Row],[Reorder Level]],"Low Stock","In Stock")</f>
        <v>In Stock</v>
      </c>
      <c r="P2939" t="str">
        <f>TEXT(Inventory_Data[[#This Row],[Date]],"MMM")</f>
        <v>Sep</v>
      </c>
      <c r="Q2939" t="str">
        <f>TEXT(Inventory_Data[[#This Row],[Date]],"YYYY")</f>
        <v>2026</v>
      </c>
    </row>
    <row r="2940" spans="1:17" x14ac:dyDescent="0.3">
      <c r="A2940" s="1">
        <v>46279</v>
      </c>
      <c r="B2940" t="s">
        <v>30</v>
      </c>
      <c r="C2940" t="s">
        <v>28</v>
      </c>
      <c r="D2940" t="s">
        <v>14</v>
      </c>
      <c r="E2940" t="s">
        <v>34</v>
      </c>
      <c r="F2940">
        <v>164</v>
      </c>
      <c r="G2940">
        <v>109</v>
      </c>
      <c r="H2940">
        <v>57</v>
      </c>
      <c r="I2940">
        <v>216</v>
      </c>
      <c r="J2940">
        <v>34</v>
      </c>
      <c r="K2940">
        <v>17595</v>
      </c>
      <c r="L2940">
        <v>3800520</v>
      </c>
      <c r="M2940">
        <f>Inventory_Data[[#This Row],[Opening Stock]]+Inventory_Data[[#This Row],[Purchase Qty]]-Inventory_Data[[#This Row],[Sales Qty]]-Inventory_Data[[#This Row],[Closing Stock]]</f>
        <v>0</v>
      </c>
      <c r="N2940">
        <f>Inventory_Data[[#This Row],[Purchase Qty]]*Inventory_Data[[#This Row],[Unit Cost]]</f>
        <v>1917855</v>
      </c>
      <c r="O2940" t="str">
        <f>IF(Inventory_Data[[#This Row],[Closing Stock]]&lt;=Inventory_Data[[#This Row],[Reorder Level]],"Low Stock","In Stock")</f>
        <v>In Stock</v>
      </c>
      <c r="P2940" t="str">
        <f>TEXT(Inventory_Data[[#This Row],[Date]],"MMM")</f>
        <v>Sep</v>
      </c>
      <c r="Q2940" t="str">
        <f>TEXT(Inventory_Data[[#This Row],[Date]],"YYYY")</f>
        <v>2026</v>
      </c>
    </row>
    <row r="2941" spans="1:17" x14ac:dyDescent="0.3">
      <c r="A2941" s="1">
        <v>46279</v>
      </c>
      <c r="B2941" t="s">
        <v>45</v>
      </c>
      <c r="C2941" t="s">
        <v>13</v>
      </c>
      <c r="D2941" t="s">
        <v>37</v>
      </c>
      <c r="E2941" t="s">
        <v>24</v>
      </c>
      <c r="F2941">
        <v>112</v>
      </c>
      <c r="G2941">
        <v>59</v>
      </c>
      <c r="H2941">
        <v>30</v>
      </c>
      <c r="I2941">
        <v>141</v>
      </c>
      <c r="J2941">
        <v>19</v>
      </c>
      <c r="K2941">
        <v>3962</v>
      </c>
      <c r="L2941">
        <v>558642</v>
      </c>
      <c r="M2941">
        <f>Inventory_Data[[#This Row],[Opening Stock]]+Inventory_Data[[#This Row],[Purchase Qty]]-Inventory_Data[[#This Row],[Sales Qty]]-Inventory_Data[[#This Row],[Closing Stock]]</f>
        <v>0</v>
      </c>
      <c r="N2941">
        <f>Inventory_Data[[#This Row],[Purchase Qty]]*Inventory_Data[[#This Row],[Unit Cost]]</f>
        <v>233758</v>
      </c>
      <c r="O2941" t="str">
        <f>IF(Inventory_Data[[#This Row],[Closing Stock]]&lt;=Inventory_Data[[#This Row],[Reorder Level]],"Low Stock","In Stock")</f>
        <v>In Stock</v>
      </c>
      <c r="P2941" t="str">
        <f>TEXT(Inventory_Data[[#This Row],[Date]],"MMM")</f>
        <v>Sep</v>
      </c>
      <c r="Q2941" t="str">
        <f>TEXT(Inventory_Data[[#This Row],[Date]],"YYYY")</f>
        <v>2026</v>
      </c>
    </row>
    <row r="2942" spans="1:17" x14ac:dyDescent="0.3">
      <c r="A2942" s="1">
        <v>46279</v>
      </c>
      <c r="B2942" t="s">
        <v>43</v>
      </c>
      <c r="C2942" t="s">
        <v>22</v>
      </c>
      <c r="D2942" t="s">
        <v>14</v>
      </c>
      <c r="E2942" t="s">
        <v>24</v>
      </c>
      <c r="F2942">
        <v>484</v>
      </c>
      <c r="G2942">
        <v>230</v>
      </c>
      <c r="H2942">
        <v>182</v>
      </c>
      <c r="I2942">
        <v>532</v>
      </c>
      <c r="J2942">
        <v>122</v>
      </c>
      <c r="K2942">
        <v>1106</v>
      </c>
      <c r="L2942">
        <v>588392</v>
      </c>
      <c r="M2942">
        <f>Inventory_Data[[#This Row],[Opening Stock]]+Inventory_Data[[#This Row],[Purchase Qty]]-Inventory_Data[[#This Row],[Sales Qty]]-Inventory_Data[[#This Row],[Closing Stock]]</f>
        <v>0</v>
      </c>
      <c r="N2942">
        <f>Inventory_Data[[#This Row],[Purchase Qty]]*Inventory_Data[[#This Row],[Unit Cost]]</f>
        <v>254380</v>
      </c>
      <c r="O2942" t="str">
        <f>IF(Inventory_Data[[#This Row],[Closing Stock]]&lt;=Inventory_Data[[#This Row],[Reorder Level]],"Low Stock","In Stock")</f>
        <v>In Stock</v>
      </c>
      <c r="P2942" t="str">
        <f>TEXT(Inventory_Data[[#This Row],[Date]],"MMM")</f>
        <v>Sep</v>
      </c>
      <c r="Q2942" t="str">
        <f>TEXT(Inventory_Data[[#This Row],[Date]],"YYYY")</f>
        <v>2026</v>
      </c>
    </row>
    <row r="2943" spans="1:17" x14ac:dyDescent="0.3">
      <c r="A2943" s="1">
        <v>46279</v>
      </c>
      <c r="B2943" t="s">
        <v>45</v>
      </c>
      <c r="C2943" t="s">
        <v>13</v>
      </c>
      <c r="D2943" t="s">
        <v>23</v>
      </c>
      <c r="E2943" t="s">
        <v>15</v>
      </c>
      <c r="F2943">
        <v>22</v>
      </c>
      <c r="G2943">
        <v>73</v>
      </c>
      <c r="H2943">
        <v>64</v>
      </c>
      <c r="I2943">
        <v>31</v>
      </c>
      <c r="J2943">
        <v>18</v>
      </c>
      <c r="K2943">
        <v>14702</v>
      </c>
      <c r="L2943">
        <v>455762</v>
      </c>
      <c r="M2943">
        <f>Inventory_Data[[#This Row],[Opening Stock]]+Inventory_Data[[#This Row],[Purchase Qty]]-Inventory_Data[[#This Row],[Sales Qty]]-Inventory_Data[[#This Row],[Closing Stock]]</f>
        <v>0</v>
      </c>
      <c r="N2943">
        <f>Inventory_Data[[#This Row],[Purchase Qty]]*Inventory_Data[[#This Row],[Unit Cost]]</f>
        <v>1073246</v>
      </c>
      <c r="O2943" t="str">
        <f>IF(Inventory_Data[[#This Row],[Closing Stock]]&lt;=Inventory_Data[[#This Row],[Reorder Level]],"Low Stock","In Stock")</f>
        <v>In Stock</v>
      </c>
      <c r="P2943" t="str">
        <f>TEXT(Inventory_Data[[#This Row],[Date]],"MMM")</f>
        <v>Sep</v>
      </c>
      <c r="Q2943" t="str">
        <f>TEXT(Inventory_Data[[#This Row],[Date]],"YYYY")</f>
        <v>2026</v>
      </c>
    </row>
    <row r="2944" spans="1:17" x14ac:dyDescent="0.3">
      <c r="A2944" s="1">
        <v>46279</v>
      </c>
      <c r="B2944" t="s">
        <v>25</v>
      </c>
      <c r="C2944" t="s">
        <v>17</v>
      </c>
      <c r="D2944" t="s">
        <v>26</v>
      </c>
      <c r="E2944" t="s">
        <v>24</v>
      </c>
      <c r="F2944">
        <v>29</v>
      </c>
      <c r="G2944">
        <v>22</v>
      </c>
      <c r="H2944">
        <v>12</v>
      </c>
      <c r="I2944">
        <v>39</v>
      </c>
      <c r="J2944">
        <v>21</v>
      </c>
      <c r="K2944">
        <v>7217</v>
      </c>
      <c r="L2944">
        <v>281463</v>
      </c>
      <c r="M2944">
        <f>Inventory_Data[[#This Row],[Opening Stock]]+Inventory_Data[[#This Row],[Purchase Qty]]-Inventory_Data[[#This Row],[Sales Qty]]-Inventory_Data[[#This Row],[Closing Stock]]</f>
        <v>0</v>
      </c>
      <c r="N2944">
        <f>Inventory_Data[[#This Row],[Purchase Qty]]*Inventory_Data[[#This Row],[Unit Cost]]</f>
        <v>158774</v>
      </c>
      <c r="O2944" t="str">
        <f>IF(Inventory_Data[[#This Row],[Closing Stock]]&lt;=Inventory_Data[[#This Row],[Reorder Level]],"Low Stock","In Stock")</f>
        <v>In Stock</v>
      </c>
      <c r="P2944" t="str">
        <f>TEXT(Inventory_Data[[#This Row],[Date]],"MMM")</f>
        <v>Sep</v>
      </c>
      <c r="Q2944" t="str">
        <f>TEXT(Inventory_Data[[#This Row],[Date]],"YYYY")</f>
        <v>2026</v>
      </c>
    </row>
    <row r="2945" spans="1:17" x14ac:dyDescent="0.3">
      <c r="A2945" s="1">
        <v>46280</v>
      </c>
      <c r="B2945" t="s">
        <v>21</v>
      </c>
      <c r="C2945" t="s">
        <v>22</v>
      </c>
      <c r="D2945" t="s">
        <v>37</v>
      </c>
      <c r="E2945" t="s">
        <v>15</v>
      </c>
      <c r="F2945">
        <v>356</v>
      </c>
      <c r="G2945">
        <v>189</v>
      </c>
      <c r="H2945">
        <v>273</v>
      </c>
      <c r="I2945">
        <v>272</v>
      </c>
      <c r="J2945">
        <v>136</v>
      </c>
      <c r="K2945">
        <v>244</v>
      </c>
      <c r="L2945">
        <v>66368</v>
      </c>
      <c r="M2945">
        <f>Inventory_Data[[#This Row],[Opening Stock]]+Inventory_Data[[#This Row],[Purchase Qty]]-Inventory_Data[[#This Row],[Sales Qty]]-Inventory_Data[[#This Row],[Closing Stock]]</f>
        <v>0</v>
      </c>
      <c r="N2945">
        <f>Inventory_Data[[#This Row],[Purchase Qty]]*Inventory_Data[[#This Row],[Unit Cost]]</f>
        <v>46116</v>
      </c>
      <c r="O2945" t="str">
        <f>IF(Inventory_Data[[#This Row],[Closing Stock]]&lt;=Inventory_Data[[#This Row],[Reorder Level]],"Low Stock","In Stock")</f>
        <v>In Stock</v>
      </c>
      <c r="P2945" t="str">
        <f>TEXT(Inventory_Data[[#This Row],[Date]],"MMM")</f>
        <v>Sep</v>
      </c>
      <c r="Q2945" t="str">
        <f>TEXT(Inventory_Data[[#This Row],[Date]],"YYYY")</f>
        <v>2026</v>
      </c>
    </row>
    <row r="2946" spans="1:17" x14ac:dyDescent="0.3">
      <c r="A2946" s="1">
        <v>46280</v>
      </c>
      <c r="B2946" t="s">
        <v>12</v>
      </c>
      <c r="C2946" t="s">
        <v>13</v>
      </c>
      <c r="D2946" t="s">
        <v>23</v>
      </c>
      <c r="E2946" t="s">
        <v>24</v>
      </c>
      <c r="F2946">
        <v>54</v>
      </c>
      <c r="G2946">
        <v>18</v>
      </c>
      <c r="H2946">
        <v>38</v>
      </c>
      <c r="I2946">
        <v>34</v>
      </c>
      <c r="J2946">
        <v>37</v>
      </c>
      <c r="K2946">
        <v>7552</v>
      </c>
      <c r="L2946">
        <v>256768</v>
      </c>
      <c r="M2946">
        <f>Inventory_Data[[#This Row],[Opening Stock]]+Inventory_Data[[#This Row],[Purchase Qty]]-Inventory_Data[[#This Row],[Sales Qty]]-Inventory_Data[[#This Row],[Closing Stock]]</f>
        <v>0</v>
      </c>
      <c r="N2946">
        <f>Inventory_Data[[#This Row],[Purchase Qty]]*Inventory_Data[[#This Row],[Unit Cost]]</f>
        <v>135936</v>
      </c>
      <c r="O2946" t="str">
        <f>IF(Inventory_Data[[#This Row],[Closing Stock]]&lt;=Inventory_Data[[#This Row],[Reorder Level]],"Low Stock","In Stock")</f>
        <v>Low Stock</v>
      </c>
      <c r="P2946" t="str">
        <f>TEXT(Inventory_Data[[#This Row],[Date]],"MMM")</f>
        <v>Sep</v>
      </c>
      <c r="Q2946" t="str">
        <f>TEXT(Inventory_Data[[#This Row],[Date]],"YYYY")</f>
        <v>2026</v>
      </c>
    </row>
    <row r="2947" spans="1:17" x14ac:dyDescent="0.3">
      <c r="A2947" s="1">
        <v>46280</v>
      </c>
      <c r="B2947" t="s">
        <v>21</v>
      </c>
      <c r="C2947" t="s">
        <v>22</v>
      </c>
      <c r="D2947" t="s">
        <v>37</v>
      </c>
      <c r="E2947" t="s">
        <v>24</v>
      </c>
      <c r="F2947">
        <v>254</v>
      </c>
      <c r="G2947">
        <v>285</v>
      </c>
      <c r="H2947">
        <v>153</v>
      </c>
      <c r="I2947">
        <v>386</v>
      </c>
      <c r="J2947">
        <v>94</v>
      </c>
      <c r="K2947">
        <v>410</v>
      </c>
      <c r="L2947">
        <v>158260</v>
      </c>
      <c r="M2947">
        <f>Inventory_Data[[#This Row],[Opening Stock]]+Inventory_Data[[#This Row],[Purchase Qty]]-Inventory_Data[[#This Row],[Sales Qty]]-Inventory_Data[[#This Row],[Closing Stock]]</f>
        <v>0</v>
      </c>
      <c r="N2947">
        <f>Inventory_Data[[#This Row],[Purchase Qty]]*Inventory_Data[[#This Row],[Unit Cost]]</f>
        <v>116850</v>
      </c>
      <c r="O2947" t="str">
        <f>IF(Inventory_Data[[#This Row],[Closing Stock]]&lt;=Inventory_Data[[#This Row],[Reorder Level]],"Low Stock","In Stock")</f>
        <v>In Stock</v>
      </c>
      <c r="P2947" t="str">
        <f>TEXT(Inventory_Data[[#This Row],[Date]],"MMM")</f>
        <v>Sep</v>
      </c>
      <c r="Q2947" t="str">
        <f>TEXT(Inventory_Data[[#This Row],[Date]],"YYYY")</f>
        <v>2026</v>
      </c>
    </row>
    <row r="2948" spans="1:17" x14ac:dyDescent="0.3">
      <c r="A2948" s="1">
        <v>46280</v>
      </c>
      <c r="B2948" t="s">
        <v>30</v>
      </c>
      <c r="C2948" t="s">
        <v>28</v>
      </c>
      <c r="D2948" t="s">
        <v>26</v>
      </c>
      <c r="E2948" t="s">
        <v>15</v>
      </c>
      <c r="F2948">
        <v>57</v>
      </c>
      <c r="G2948">
        <v>86</v>
      </c>
      <c r="H2948">
        <v>97</v>
      </c>
      <c r="I2948">
        <v>46</v>
      </c>
      <c r="J2948">
        <v>22</v>
      </c>
      <c r="K2948">
        <v>12210</v>
      </c>
      <c r="L2948">
        <v>561660</v>
      </c>
      <c r="M2948">
        <f>Inventory_Data[[#This Row],[Opening Stock]]+Inventory_Data[[#This Row],[Purchase Qty]]-Inventory_Data[[#This Row],[Sales Qty]]-Inventory_Data[[#This Row],[Closing Stock]]</f>
        <v>0</v>
      </c>
      <c r="N2948">
        <f>Inventory_Data[[#This Row],[Purchase Qty]]*Inventory_Data[[#This Row],[Unit Cost]]</f>
        <v>1050060</v>
      </c>
      <c r="O2948" t="str">
        <f>IF(Inventory_Data[[#This Row],[Closing Stock]]&lt;=Inventory_Data[[#This Row],[Reorder Level]],"Low Stock","In Stock")</f>
        <v>In Stock</v>
      </c>
      <c r="P2948" t="str">
        <f>TEXT(Inventory_Data[[#This Row],[Date]],"MMM")</f>
        <v>Sep</v>
      </c>
      <c r="Q2948" t="str">
        <f>TEXT(Inventory_Data[[#This Row],[Date]],"YYYY")</f>
        <v>2026</v>
      </c>
    </row>
    <row r="2949" spans="1:17" x14ac:dyDescent="0.3">
      <c r="A2949" s="1">
        <v>46280</v>
      </c>
      <c r="B2949" t="s">
        <v>27</v>
      </c>
      <c r="C2949" t="s">
        <v>28</v>
      </c>
      <c r="D2949" t="s">
        <v>14</v>
      </c>
      <c r="E2949" t="s">
        <v>18</v>
      </c>
      <c r="F2949">
        <v>116</v>
      </c>
      <c r="G2949">
        <v>61</v>
      </c>
      <c r="H2949">
        <v>39</v>
      </c>
      <c r="I2949">
        <v>138</v>
      </c>
      <c r="J2949">
        <v>24</v>
      </c>
      <c r="K2949">
        <v>54678</v>
      </c>
      <c r="L2949">
        <v>7545564</v>
      </c>
      <c r="M2949">
        <f>Inventory_Data[[#This Row],[Opening Stock]]+Inventory_Data[[#This Row],[Purchase Qty]]-Inventory_Data[[#This Row],[Sales Qty]]-Inventory_Data[[#This Row],[Closing Stock]]</f>
        <v>0</v>
      </c>
      <c r="N2949">
        <f>Inventory_Data[[#This Row],[Purchase Qty]]*Inventory_Data[[#This Row],[Unit Cost]]</f>
        <v>3335358</v>
      </c>
      <c r="O2949" t="str">
        <f>IF(Inventory_Data[[#This Row],[Closing Stock]]&lt;=Inventory_Data[[#This Row],[Reorder Level]],"Low Stock","In Stock")</f>
        <v>In Stock</v>
      </c>
      <c r="P2949" t="str">
        <f>TEXT(Inventory_Data[[#This Row],[Date]],"MMM")</f>
        <v>Sep</v>
      </c>
      <c r="Q2949" t="str">
        <f>TEXT(Inventory_Data[[#This Row],[Date]],"YYYY")</f>
        <v>2026</v>
      </c>
    </row>
    <row r="2950" spans="1:17" x14ac:dyDescent="0.3">
      <c r="A2950" s="1">
        <v>46280</v>
      </c>
      <c r="B2950" t="s">
        <v>38</v>
      </c>
      <c r="C2950" t="s">
        <v>17</v>
      </c>
      <c r="D2950" t="s">
        <v>14</v>
      </c>
      <c r="E2950" t="s">
        <v>24</v>
      </c>
      <c r="F2950">
        <v>40</v>
      </c>
      <c r="G2950">
        <v>31</v>
      </c>
      <c r="H2950">
        <v>18</v>
      </c>
      <c r="I2950">
        <v>53</v>
      </c>
      <c r="J2950">
        <v>22</v>
      </c>
      <c r="K2950">
        <v>16216</v>
      </c>
      <c r="L2950">
        <v>859448</v>
      </c>
      <c r="M2950">
        <f>Inventory_Data[[#This Row],[Opening Stock]]+Inventory_Data[[#This Row],[Purchase Qty]]-Inventory_Data[[#This Row],[Sales Qty]]-Inventory_Data[[#This Row],[Closing Stock]]</f>
        <v>0</v>
      </c>
      <c r="N2950">
        <f>Inventory_Data[[#This Row],[Purchase Qty]]*Inventory_Data[[#This Row],[Unit Cost]]</f>
        <v>502696</v>
      </c>
      <c r="O2950" t="str">
        <f>IF(Inventory_Data[[#This Row],[Closing Stock]]&lt;=Inventory_Data[[#This Row],[Reorder Level]],"Low Stock","In Stock")</f>
        <v>In Stock</v>
      </c>
      <c r="P2950" t="str">
        <f>TEXT(Inventory_Data[[#This Row],[Date]],"MMM")</f>
        <v>Sep</v>
      </c>
      <c r="Q2950" t="str">
        <f>TEXT(Inventory_Data[[#This Row],[Date]],"YYYY")</f>
        <v>2026</v>
      </c>
    </row>
    <row r="2951" spans="1:17" x14ac:dyDescent="0.3">
      <c r="A2951" s="1">
        <v>46281</v>
      </c>
      <c r="B2951" t="s">
        <v>21</v>
      </c>
      <c r="C2951" t="s">
        <v>22</v>
      </c>
      <c r="D2951" t="s">
        <v>26</v>
      </c>
      <c r="E2951" t="s">
        <v>15</v>
      </c>
      <c r="F2951">
        <v>400</v>
      </c>
      <c r="G2951">
        <v>194</v>
      </c>
      <c r="H2951">
        <v>36</v>
      </c>
      <c r="I2951">
        <v>558</v>
      </c>
      <c r="J2951">
        <v>139</v>
      </c>
      <c r="K2951">
        <v>1113</v>
      </c>
      <c r="L2951">
        <v>621054</v>
      </c>
      <c r="M2951">
        <f>Inventory_Data[[#This Row],[Opening Stock]]+Inventory_Data[[#This Row],[Purchase Qty]]-Inventory_Data[[#This Row],[Sales Qty]]-Inventory_Data[[#This Row],[Closing Stock]]</f>
        <v>0</v>
      </c>
      <c r="N2951">
        <f>Inventory_Data[[#This Row],[Purchase Qty]]*Inventory_Data[[#This Row],[Unit Cost]]</f>
        <v>215922</v>
      </c>
      <c r="O2951" t="str">
        <f>IF(Inventory_Data[[#This Row],[Closing Stock]]&lt;=Inventory_Data[[#This Row],[Reorder Level]],"Low Stock","In Stock")</f>
        <v>In Stock</v>
      </c>
      <c r="P2951" t="str">
        <f>TEXT(Inventory_Data[[#This Row],[Date]],"MMM")</f>
        <v>Sep</v>
      </c>
      <c r="Q2951" t="str">
        <f>TEXT(Inventory_Data[[#This Row],[Date]],"YYYY")</f>
        <v>2026</v>
      </c>
    </row>
    <row r="2952" spans="1:17" x14ac:dyDescent="0.3">
      <c r="A2952" s="1">
        <v>46281</v>
      </c>
      <c r="B2952" t="s">
        <v>19</v>
      </c>
      <c r="C2952" t="s">
        <v>13</v>
      </c>
      <c r="D2952" t="s">
        <v>26</v>
      </c>
      <c r="E2952" t="s">
        <v>29</v>
      </c>
      <c r="F2952">
        <v>39</v>
      </c>
      <c r="G2952">
        <v>64</v>
      </c>
      <c r="H2952">
        <v>54</v>
      </c>
      <c r="I2952">
        <v>49</v>
      </c>
      <c r="J2952">
        <v>36</v>
      </c>
      <c r="K2952">
        <v>7942</v>
      </c>
      <c r="L2952">
        <v>389158</v>
      </c>
      <c r="M2952">
        <f>Inventory_Data[[#This Row],[Opening Stock]]+Inventory_Data[[#This Row],[Purchase Qty]]-Inventory_Data[[#This Row],[Sales Qty]]-Inventory_Data[[#This Row],[Closing Stock]]</f>
        <v>0</v>
      </c>
      <c r="N2952">
        <f>Inventory_Data[[#This Row],[Purchase Qty]]*Inventory_Data[[#This Row],[Unit Cost]]</f>
        <v>508288</v>
      </c>
      <c r="O2952" t="str">
        <f>IF(Inventory_Data[[#This Row],[Closing Stock]]&lt;=Inventory_Data[[#This Row],[Reorder Level]],"Low Stock","In Stock")</f>
        <v>In Stock</v>
      </c>
      <c r="P2952" t="str">
        <f>TEXT(Inventory_Data[[#This Row],[Date]],"MMM")</f>
        <v>Sep</v>
      </c>
      <c r="Q2952" t="str">
        <f>TEXT(Inventory_Data[[#This Row],[Date]],"YYYY")</f>
        <v>2026</v>
      </c>
    </row>
    <row r="2953" spans="1:17" x14ac:dyDescent="0.3">
      <c r="A2953" s="1">
        <v>46281</v>
      </c>
      <c r="B2953" t="s">
        <v>27</v>
      </c>
      <c r="C2953" t="s">
        <v>28</v>
      </c>
      <c r="D2953" t="s">
        <v>26</v>
      </c>
      <c r="E2953" t="s">
        <v>15</v>
      </c>
      <c r="F2953">
        <v>101</v>
      </c>
      <c r="G2953">
        <v>113</v>
      </c>
      <c r="H2953">
        <v>97</v>
      </c>
      <c r="I2953">
        <v>117</v>
      </c>
      <c r="J2953">
        <v>48</v>
      </c>
      <c r="K2953">
        <v>26835</v>
      </c>
      <c r="L2953">
        <v>3139695</v>
      </c>
      <c r="M2953">
        <f>Inventory_Data[[#This Row],[Opening Stock]]+Inventory_Data[[#This Row],[Purchase Qty]]-Inventory_Data[[#This Row],[Sales Qty]]-Inventory_Data[[#This Row],[Closing Stock]]</f>
        <v>0</v>
      </c>
      <c r="N2953">
        <f>Inventory_Data[[#This Row],[Purchase Qty]]*Inventory_Data[[#This Row],[Unit Cost]]</f>
        <v>3032355</v>
      </c>
      <c r="O2953" t="str">
        <f>IF(Inventory_Data[[#This Row],[Closing Stock]]&lt;=Inventory_Data[[#This Row],[Reorder Level]],"Low Stock","In Stock")</f>
        <v>In Stock</v>
      </c>
      <c r="P2953" t="str">
        <f>TEXT(Inventory_Data[[#This Row],[Date]],"MMM")</f>
        <v>Sep</v>
      </c>
      <c r="Q2953" t="str">
        <f>TEXT(Inventory_Data[[#This Row],[Date]],"YYYY")</f>
        <v>2026</v>
      </c>
    </row>
    <row r="2954" spans="1:17" x14ac:dyDescent="0.3">
      <c r="A2954" s="1">
        <v>46281</v>
      </c>
      <c r="B2954" t="s">
        <v>19</v>
      </c>
      <c r="C2954" t="s">
        <v>13</v>
      </c>
      <c r="D2954" t="s">
        <v>26</v>
      </c>
      <c r="E2954" t="s">
        <v>18</v>
      </c>
      <c r="F2954">
        <v>67</v>
      </c>
      <c r="G2954">
        <v>20</v>
      </c>
      <c r="H2954">
        <v>34</v>
      </c>
      <c r="I2954">
        <v>53</v>
      </c>
      <c r="J2954">
        <v>32</v>
      </c>
      <c r="K2954">
        <v>6112</v>
      </c>
      <c r="L2954">
        <v>323936</v>
      </c>
      <c r="M2954">
        <f>Inventory_Data[[#This Row],[Opening Stock]]+Inventory_Data[[#This Row],[Purchase Qty]]-Inventory_Data[[#This Row],[Sales Qty]]-Inventory_Data[[#This Row],[Closing Stock]]</f>
        <v>0</v>
      </c>
      <c r="N2954">
        <f>Inventory_Data[[#This Row],[Purchase Qty]]*Inventory_Data[[#This Row],[Unit Cost]]</f>
        <v>122240</v>
      </c>
      <c r="O2954" t="str">
        <f>IF(Inventory_Data[[#This Row],[Closing Stock]]&lt;=Inventory_Data[[#This Row],[Reorder Level]],"Low Stock","In Stock")</f>
        <v>In Stock</v>
      </c>
      <c r="P2954" t="str">
        <f>TEXT(Inventory_Data[[#This Row],[Date]],"MMM")</f>
        <v>Sep</v>
      </c>
      <c r="Q2954" t="str">
        <f>TEXT(Inventory_Data[[#This Row],[Date]],"YYYY")</f>
        <v>2026</v>
      </c>
    </row>
    <row r="2955" spans="1:17" x14ac:dyDescent="0.3">
      <c r="A2955" s="1">
        <v>46281</v>
      </c>
      <c r="B2955" t="s">
        <v>21</v>
      </c>
      <c r="C2955" t="s">
        <v>22</v>
      </c>
      <c r="D2955" t="s">
        <v>23</v>
      </c>
      <c r="E2955" t="s">
        <v>29</v>
      </c>
      <c r="F2955">
        <v>104</v>
      </c>
      <c r="G2955">
        <v>44</v>
      </c>
      <c r="H2955">
        <v>46</v>
      </c>
      <c r="I2955">
        <v>102</v>
      </c>
      <c r="J2955">
        <v>133</v>
      </c>
      <c r="K2955">
        <v>197</v>
      </c>
      <c r="L2955">
        <v>20094</v>
      </c>
      <c r="M2955">
        <f>Inventory_Data[[#This Row],[Opening Stock]]+Inventory_Data[[#This Row],[Purchase Qty]]-Inventory_Data[[#This Row],[Sales Qty]]-Inventory_Data[[#This Row],[Closing Stock]]</f>
        <v>0</v>
      </c>
      <c r="N2955">
        <f>Inventory_Data[[#This Row],[Purchase Qty]]*Inventory_Data[[#This Row],[Unit Cost]]</f>
        <v>8668</v>
      </c>
      <c r="O2955" t="str">
        <f>IF(Inventory_Data[[#This Row],[Closing Stock]]&lt;=Inventory_Data[[#This Row],[Reorder Level]],"Low Stock","In Stock")</f>
        <v>Low Stock</v>
      </c>
      <c r="P2955" t="str">
        <f>TEXT(Inventory_Data[[#This Row],[Date]],"MMM")</f>
        <v>Sep</v>
      </c>
      <c r="Q2955" t="str">
        <f>TEXT(Inventory_Data[[#This Row],[Date]],"YYYY")</f>
        <v>2026</v>
      </c>
    </row>
    <row r="2956" spans="1:17" x14ac:dyDescent="0.3">
      <c r="A2956" s="1">
        <v>46281</v>
      </c>
      <c r="B2956" t="s">
        <v>12</v>
      </c>
      <c r="C2956" t="s">
        <v>13</v>
      </c>
      <c r="D2956" t="s">
        <v>14</v>
      </c>
      <c r="E2956" t="s">
        <v>29</v>
      </c>
      <c r="F2956">
        <v>91</v>
      </c>
      <c r="G2956">
        <v>31</v>
      </c>
      <c r="H2956">
        <v>11</v>
      </c>
      <c r="I2956">
        <v>111</v>
      </c>
      <c r="J2956">
        <v>24</v>
      </c>
      <c r="K2956">
        <v>2411</v>
      </c>
      <c r="L2956">
        <v>267621</v>
      </c>
      <c r="M2956">
        <f>Inventory_Data[[#This Row],[Opening Stock]]+Inventory_Data[[#This Row],[Purchase Qty]]-Inventory_Data[[#This Row],[Sales Qty]]-Inventory_Data[[#This Row],[Closing Stock]]</f>
        <v>0</v>
      </c>
      <c r="N2956">
        <f>Inventory_Data[[#This Row],[Purchase Qty]]*Inventory_Data[[#This Row],[Unit Cost]]</f>
        <v>74741</v>
      </c>
      <c r="O2956" t="str">
        <f>IF(Inventory_Data[[#This Row],[Closing Stock]]&lt;=Inventory_Data[[#This Row],[Reorder Level]],"Low Stock","In Stock")</f>
        <v>In Stock</v>
      </c>
      <c r="P2956" t="str">
        <f>TEXT(Inventory_Data[[#This Row],[Date]],"MMM")</f>
        <v>Sep</v>
      </c>
      <c r="Q2956" t="str">
        <f>TEXT(Inventory_Data[[#This Row],[Date]],"YYYY")</f>
        <v>2026</v>
      </c>
    </row>
    <row r="2957" spans="1:17" x14ac:dyDescent="0.3">
      <c r="A2957" s="1">
        <v>46282</v>
      </c>
      <c r="B2957" t="s">
        <v>38</v>
      </c>
      <c r="C2957" t="s">
        <v>17</v>
      </c>
      <c r="D2957" t="s">
        <v>14</v>
      </c>
      <c r="E2957" t="s">
        <v>15</v>
      </c>
      <c r="F2957">
        <v>45</v>
      </c>
      <c r="G2957">
        <v>35</v>
      </c>
      <c r="H2957">
        <v>20</v>
      </c>
      <c r="I2957">
        <v>60</v>
      </c>
      <c r="J2957">
        <v>26</v>
      </c>
      <c r="K2957">
        <v>18413</v>
      </c>
      <c r="L2957">
        <v>1104780</v>
      </c>
      <c r="M2957">
        <f>Inventory_Data[[#This Row],[Opening Stock]]+Inventory_Data[[#This Row],[Purchase Qty]]-Inventory_Data[[#This Row],[Sales Qty]]-Inventory_Data[[#This Row],[Closing Stock]]</f>
        <v>0</v>
      </c>
      <c r="N2957">
        <f>Inventory_Data[[#This Row],[Purchase Qty]]*Inventory_Data[[#This Row],[Unit Cost]]</f>
        <v>644455</v>
      </c>
      <c r="O2957" t="str">
        <f>IF(Inventory_Data[[#This Row],[Closing Stock]]&lt;=Inventory_Data[[#This Row],[Reorder Level]],"Low Stock","In Stock")</f>
        <v>In Stock</v>
      </c>
      <c r="P2957" t="str">
        <f>TEXT(Inventory_Data[[#This Row],[Date]],"MMM")</f>
        <v>Sep</v>
      </c>
      <c r="Q2957" t="str">
        <f>TEXT(Inventory_Data[[#This Row],[Date]],"YYYY")</f>
        <v>2026</v>
      </c>
    </row>
    <row r="2958" spans="1:17" x14ac:dyDescent="0.3">
      <c r="A2958" s="1">
        <v>46282</v>
      </c>
      <c r="B2958" t="s">
        <v>27</v>
      </c>
      <c r="C2958" t="s">
        <v>28</v>
      </c>
      <c r="D2958" t="s">
        <v>26</v>
      </c>
      <c r="E2958" t="s">
        <v>29</v>
      </c>
      <c r="F2958">
        <v>76</v>
      </c>
      <c r="G2958">
        <v>46</v>
      </c>
      <c r="H2958">
        <v>65</v>
      </c>
      <c r="I2958">
        <v>57</v>
      </c>
      <c r="J2958">
        <v>49</v>
      </c>
      <c r="K2958">
        <v>59771</v>
      </c>
      <c r="L2958">
        <v>3406947</v>
      </c>
      <c r="M2958">
        <f>Inventory_Data[[#This Row],[Opening Stock]]+Inventory_Data[[#This Row],[Purchase Qty]]-Inventory_Data[[#This Row],[Sales Qty]]-Inventory_Data[[#This Row],[Closing Stock]]</f>
        <v>0</v>
      </c>
      <c r="N2958">
        <f>Inventory_Data[[#This Row],[Purchase Qty]]*Inventory_Data[[#This Row],[Unit Cost]]</f>
        <v>2749466</v>
      </c>
      <c r="O2958" t="str">
        <f>IF(Inventory_Data[[#This Row],[Closing Stock]]&lt;=Inventory_Data[[#This Row],[Reorder Level]],"Low Stock","In Stock")</f>
        <v>In Stock</v>
      </c>
      <c r="P2958" t="str">
        <f>TEXT(Inventory_Data[[#This Row],[Date]],"MMM")</f>
        <v>Sep</v>
      </c>
      <c r="Q2958" t="str">
        <f>TEXT(Inventory_Data[[#This Row],[Date]],"YYYY")</f>
        <v>2026</v>
      </c>
    </row>
    <row r="2959" spans="1:17" x14ac:dyDescent="0.3">
      <c r="A2959" s="1">
        <v>46282</v>
      </c>
      <c r="B2959" t="s">
        <v>25</v>
      </c>
      <c r="C2959" t="s">
        <v>17</v>
      </c>
      <c r="D2959" t="s">
        <v>37</v>
      </c>
      <c r="E2959" t="s">
        <v>29</v>
      </c>
      <c r="F2959">
        <v>39</v>
      </c>
      <c r="G2959">
        <v>7</v>
      </c>
      <c r="H2959">
        <v>29</v>
      </c>
      <c r="I2959">
        <v>17</v>
      </c>
      <c r="J2959">
        <v>12</v>
      </c>
      <c r="K2959">
        <v>4293</v>
      </c>
      <c r="L2959">
        <v>72981</v>
      </c>
      <c r="M2959">
        <f>Inventory_Data[[#This Row],[Opening Stock]]+Inventory_Data[[#This Row],[Purchase Qty]]-Inventory_Data[[#This Row],[Sales Qty]]-Inventory_Data[[#This Row],[Closing Stock]]</f>
        <v>0</v>
      </c>
      <c r="N2959">
        <f>Inventory_Data[[#This Row],[Purchase Qty]]*Inventory_Data[[#This Row],[Unit Cost]]</f>
        <v>30051</v>
      </c>
      <c r="O2959" t="str">
        <f>IF(Inventory_Data[[#This Row],[Closing Stock]]&lt;=Inventory_Data[[#This Row],[Reorder Level]],"Low Stock","In Stock")</f>
        <v>In Stock</v>
      </c>
      <c r="P2959" t="str">
        <f>TEXT(Inventory_Data[[#This Row],[Date]],"MMM")</f>
        <v>Sep</v>
      </c>
      <c r="Q2959" t="str">
        <f>TEXT(Inventory_Data[[#This Row],[Date]],"YYYY")</f>
        <v>2026</v>
      </c>
    </row>
    <row r="2960" spans="1:17" x14ac:dyDescent="0.3">
      <c r="A2960" s="1">
        <v>46282</v>
      </c>
      <c r="B2960" t="s">
        <v>42</v>
      </c>
      <c r="C2960" t="s">
        <v>17</v>
      </c>
      <c r="D2960" t="s">
        <v>37</v>
      </c>
      <c r="E2960" t="s">
        <v>20</v>
      </c>
      <c r="F2960">
        <v>98</v>
      </c>
      <c r="G2960">
        <v>5</v>
      </c>
      <c r="H2960">
        <v>16</v>
      </c>
      <c r="I2960">
        <v>87</v>
      </c>
      <c r="J2960">
        <v>11</v>
      </c>
      <c r="K2960">
        <v>1818</v>
      </c>
      <c r="L2960">
        <v>158166</v>
      </c>
      <c r="M2960">
        <f>Inventory_Data[[#This Row],[Opening Stock]]+Inventory_Data[[#This Row],[Purchase Qty]]-Inventory_Data[[#This Row],[Sales Qty]]-Inventory_Data[[#This Row],[Closing Stock]]</f>
        <v>0</v>
      </c>
      <c r="N2960">
        <f>Inventory_Data[[#This Row],[Purchase Qty]]*Inventory_Data[[#This Row],[Unit Cost]]</f>
        <v>9090</v>
      </c>
      <c r="O2960" t="str">
        <f>IF(Inventory_Data[[#This Row],[Closing Stock]]&lt;=Inventory_Data[[#This Row],[Reorder Level]],"Low Stock","In Stock")</f>
        <v>In Stock</v>
      </c>
      <c r="P2960" t="str">
        <f>TEXT(Inventory_Data[[#This Row],[Date]],"MMM")</f>
        <v>Sep</v>
      </c>
      <c r="Q2960" t="str">
        <f>TEXT(Inventory_Data[[#This Row],[Date]],"YYYY")</f>
        <v>2026</v>
      </c>
    </row>
    <row r="2961" spans="1:17" x14ac:dyDescent="0.3">
      <c r="A2961" s="1">
        <v>46283</v>
      </c>
      <c r="B2961" t="s">
        <v>42</v>
      </c>
      <c r="C2961" t="s">
        <v>17</v>
      </c>
      <c r="D2961" t="s">
        <v>26</v>
      </c>
      <c r="E2961" t="s">
        <v>20</v>
      </c>
      <c r="F2961">
        <v>31</v>
      </c>
      <c r="G2961">
        <v>39</v>
      </c>
      <c r="H2961">
        <v>18</v>
      </c>
      <c r="I2961">
        <v>52</v>
      </c>
      <c r="J2961">
        <v>14</v>
      </c>
      <c r="K2961">
        <v>11825</v>
      </c>
      <c r="L2961">
        <v>614900</v>
      </c>
      <c r="M2961">
        <f>Inventory_Data[[#This Row],[Opening Stock]]+Inventory_Data[[#This Row],[Purchase Qty]]-Inventory_Data[[#This Row],[Sales Qty]]-Inventory_Data[[#This Row],[Closing Stock]]</f>
        <v>0</v>
      </c>
      <c r="N2961">
        <f>Inventory_Data[[#This Row],[Purchase Qty]]*Inventory_Data[[#This Row],[Unit Cost]]</f>
        <v>461175</v>
      </c>
      <c r="O2961" t="str">
        <f>IF(Inventory_Data[[#This Row],[Closing Stock]]&lt;=Inventory_Data[[#This Row],[Reorder Level]],"Low Stock","In Stock")</f>
        <v>In Stock</v>
      </c>
      <c r="P2961" t="str">
        <f>TEXT(Inventory_Data[[#This Row],[Date]],"MMM")</f>
        <v>Sep</v>
      </c>
      <c r="Q2961" t="str">
        <f>TEXT(Inventory_Data[[#This Row],[Date]],"YYYY")</f>
        <v>2026</v>
      </c>
    </row>
    <row r="2962" spans="1:17" x14ac:dyDescent="0.3">
      <c r="A2962" s="1">
        <v>46283</v>
      </c>
      <c r="B2962" t="s">
        <v>42</v>
      </c>
      <c r="C2962" t="s">
        <v>17</v>
      </c>
      <c r="D2962" t="s">
        <v>26</v>
      </c>
      <c r="E2962" t="s">
        <v>15</v>
      </c>
      <c r="F2962">
        <v>87</v>
      </c>
      <c r="G2962">
        <v>29</v>
      </c>
      <c r="H2962">
        <v>5</v>
      </c>
      <c r="I2962">
        <v>111</v>
      </c>
      <c r="J2962">
        <v>12</v>
      </c>
      <c r="K2962">
        <v>4773</v>
      </c>
      <c r="L2962">
        <v>529803</v>
      </c>
      <c r="M2962">
        <f>Inventory_Data[[#This Row],[Opening Stock]]+Inventory_Data[[#This Row],[Purchase Qty]]-Inventory_Data[[#This Row],[Sales Qty]]-Inventory_Data[[#This Row],[Closing Stock]]</f>
        <v>0</v>
      </c>
      <c r="N2962">
        <f>Inventory_Data[[#This Row],[Purchase Qty]]*Inventory_Data[[#This Row],[Unit Cost]]</f>
        <v>138417</v>
      </c>
      <c r="O2962" t="str">
        <f>IF(Inventory_Data[[#This Row],[Closing Stock]]&lt;=Inventory_Data[[#This Row],[Reorder Level]],"Low Stock","In Stock")</f>
        <v>In Stock</v>
      </c>
      <c r="P2962" t="str">
        <f>TEXT(Inventory_Data[[#This Row],[Date]],"MMM")</f>
        <v>Sep</v>
      </c>
      <c r="Q2962" t="str">
        <f>TEXT(Inventory_Data[[#This Row],[Date]],"YYYY")</f>
        <v>2026</v>
      </c>
    </row>
    <row r="2963" spans="1:17" x14ac:dyDescent="0.3">
      <c r="A2963" s="1">
        <v>46283</v>
      </c>
      <c r="B2963" t="s">
        <v>31</v>
      </c>
      <c r="C2963" t="s">
        <v>22</v>
      </c>
      <c r="D2963" t="s">
        <v>23</v>
      </c>
      <c r="E2963" t="s">
        <v>34</v>
      </c>
      <c r="F2963">
        <v>327</v>
      </c>
      <c r="G2963">
        <v>242</v>
      </c>
      <c r="H2963">
        <v>181</v>
      </c>
      <c r="I2963">
        <v>388</v>
      </c>
      <c r="J2963">
        <v>70</v>
      </c>
      <c r="K2963">
        <v>705</v>
      </c>
      <c r="L2963">
        <v>273540</v>
      </c>
      <c r="M2963">
        <f>Inventory_Data[[#This Row],[Opening Stock]]+Inventory_Data[[#This Row],[Purchase Qty]]-Inventory_Data[[#This Row],[Sales Qty]]-Inventory_Data[[#This Row],[Closing Stock]]</f>
        <v>0</v>
      </c>
      <c r="N2963">
        <f>Inventory_Data[[#This Row],[Purchase Qty]]*Inventory_Data[[#This Row],[Unit Cost]]</f>
        <v>170610</v>
      </c>
      <c r="O2963" t="str">
        <f>IF(Inventory_Data[[#This Row],[Closing Stock]]&lt;=Inventory_Data[[#This Row],[Reorder Level]],"Low Stock","In Stock")</f>
        <v>In Stock</v>
      </c>
      <c r="P2963" t="str">
        <f>TEXT(Inventory_Data[[#This Row],[Date]],"MMM")</f>
        <v>Sep</v>
      </c>
      <c r="Q2963" t="str">
        <f>TEXT(Inventory_Data[[#This Row],[Date]],"YYYY")</f>
        <v>2026</v>
      </c>
    </row>
    <row r="2964" spans="1:17" x14ac:dyDescent="0.3">
      <c r="A2964" s="1">
        <v>46284</v>
      </c>
      <c r="B2964" t="s">
        <v>21</v>
      </c>
      <c r="C2964" t="s">
        <v>22</v>
      </c>
      <c r="D2964" t="s">
        <v>26</v>
      </c>
      <c r="E2964" t="s">
        <v>18</v>
      </c>
      <c r="F2964">
        <v>203</v>
      </c>
      <c r="G2964">
        <v>159</v>
      </c>
      <c r="H2964">
        <v>90</v>
      </c>
      <c r="I2964">
        <v>272</v>
      </c>
      <c r="J2964">
        <v>131</v>
      </c>
      <c r="K2964">
        <v>314</v>
      </c>
      <c r="L2964">
        <v>85408</v>
      </c>
      <c r="M2964">
        <f>Inventory_Data[[#This Row],[Opening Stock]]+Inventory_Data[[#This Row],[Purchase Qty]]-Inventory_Data[[#This Row],[Sales Qty]]-Inventory_Data[[#This Row],[Closing Stock]]</f>
        <v>0</v>
      </c>
      <c r="N2964">
        <f>Inventory_Data[[#This Row],[Purchase Qty]]*Inventory_Data[[#This Row],[Unit Cost]]</f>
        <v>49926</v>
      </c>
      <c r="O2964" t="str">
        <f>IF(Inventory_Data[[#This Row],[Closing Stock]]&lt;=Inventory_Data[[#This Row],[Reorder Level]],"Low Stock","In Stock")</f>
        <v>In Stock</v>
      </c>
      <c r="P2964" t="str">
        <f>TEXT(Inventory_Data[[#This Row],[Date]],"MMM")</f>
        <v>Sep</v>
      </c>
      <c r="Q2964" t="str">
        <f>TEXT(Inventory_Data[[#This Row],[Date]],"YYYY")</f>
        <v>2026</v>
      </c>
    </row>
    <row r="2965" spans="1:17" x14ac:dyDescent="0.3">
      <c r="A2965" s="1">
        <v>46284</v>
      </c>
      <c r="B2965" t="s">
        <v>16</v>
      </c>
      <c r="C2965" t="s">
        <v>17</v>
      </c>
      <c r="D2965" t="s">
        <v>14</v>
      </c>
      <c r="E2965" t="s">
        <v>29</v>
      </c>
      <c r="F2965">
        <v>17</v>
      </c>
      <c r="G2965">
        <v>53</v>
      </c>
      <c r="H2965">
        <v>20</v>
      </c>
      <c r="I2965">
        <v>50</v>
      </c>
      <c r="J2965">
        <v>24</v>
      </c>
      <c r="K2965">
        <v>6087</v>
      </c>
      <c r="L2965">
        <v>304350</v>
      </c>
      <c r="M2965">
        <f>Inventory_Data[[#This Row],[Opening Stock]]+Inventory_Data[[#This Row],[Purchase Qty]]-Inventory_Data[[#This Row],[Sales Qty]]-Inventory_Data[[#This Row],[Closing Stock]]</f>
        <v>0</v>
      </c>
      <c r="N2965">
        <f>Inventory_Data[[#This Row],[Purchase Qty]]*Inventory_Data[[#This Row],[Unit Cost]]</f>
        <v>322611</v>
      </c>
      <c r="O2965" t="str">
        <f>IF(Inventory_Data[[#This Row],[Closing Stock]]&lt;=Inventory_Data[[#This Row],[Reorder Level]],"Low Stock","In Stock")</f>
        <v>In Stock</v>
      </c>
      <c r="P2965" t="str">
        <f>TEXT(Inventory_Data[[#This Row],[Date]],"MMM")</f>
        <v>Sep</v>
      </c>
      <c r="Q2965" t="str">
        <f>TEXT(Inventory_Data[[#This Row],[Date]],"YYYY")</f>
        <v>2026</v>
      </c>
    </row>
    <row r="2966" spans="1:17" x14ac:dyDescent="0.3">
      <c r="A2966" s="1">
        <v>46284</v>
      </c>
      <c r="B2966" t="s">
        <v>36</v>
      </c>
      <c r="C2966" t="s">
        <v>22</v>
      </c>
      <c r="D2966" t="s">
        <v>37</v>
      </c>
      <c r="E2966" t="s">
        <v>18</v>
      </c>
      <c r="F2966">
        <v>414</v>
      </c>
      <c r="G2966">
        <v>119</v>
      </c>
      <c r="H2966">
        <v>217</v>
      </c>
      <c r="I2966">
        <v>316</v>
      </c>
      <c r="J2966">
        <v>133</v>
      </c>
      <c r="K2966">
        <v>500</v>
      </c>
      <c r="L2966">
        <v>158000</v>
      </c>
      <c r="M2966">
        <f>Inventory_Data[[#This Row],[Opening Stock]]+Inventory_Data[[#This Row],[Purchase Qty]]-Inventory_Data[[#This Row],[Sales Qty]]-Inventory_Data[[#This Row],[Closing Stock]]</f>
        <v>0</v>
      </c>
      <c r="N2966">
        <f>Inventory_Data[[#This Row],[Purchase Qty]]*Inventory_Data[[#This Row],[Unit Cost]]</f>
        <v>59500</v>
      </c>
      <c r="O2966" t="str">
        <f>IF(Inventory_Data[[#This Row],[Closing Stock]]&lt;=Inventory_Data[[#This Row],[Reorder Level]],"Low Stock","In Stock")</f>
        <v>In Stock</v>
      </c>
      <c r="P2966" t="str">
        <f>TEXT(Inventory_Data[[#This Row],[Date]],"MMM")</f>
        <v>Sep</v>
      </c>
      <c r="Q2966" t="str">
        <f>TEXT(Inventory_Data[[#This Row],[Date]],"YYYY")</f>
        <v>2026</v>
      </c>
    </row>
    <row r="2967" spans="1:17" x14ac:dyDescent="0.3">
      <c r="A2967" s="1">
        <v>46284</v>
      </c>
      <c r="B2967" t="s">
        <v>27</v>
      </c>
      <c r="C2967" t="s">
        <v>28</v>
      </c>
      <c r="D2967" t="s">
        <v>14</v>
      </c>
      <c r="E2967" t="s">
        <v>29</v>
      </c>
      <c r="F2967">
        <v>77</v>
      </c>
      <c r="G2967">
        <v>46</v>
      </c>
      <c r="H2967">
        <v>53</v>
      </c>
      <c r="I2967">
        <v>70</v>
      </c>
      <c r="J2967">
        <v>38</v>
      </c>
      <c r="K2967">
        <v>26466</v>
      </c>
      <c r="L2967">
        <v>1852620</v>
      </c>
      <c r="M2967">
        <f>Inventory_Data[[#This Row],[Opening Stock]]+Inventory_Data[[#This Row],[Purchase Qty]]-Inventory_Data[[#This Row],[Sales Qty]]-Inventory_Data[[#This Row],[Closing Stock]]</f>
        <v>0</v>
      </c>
      <c r="N2967">
        <f>Inventory_Data[[#This Row],[Purchase Qty]]*Inventory_Data[[#This Row],[Unit Cost]]</f>
        <v>1217436</v>
      </c>
      <c r="O2967" t="str">
        <f>IF(Inventory_Data[[#This Row],[Closing Stock]]&lt;=Inventory_Data[[#This Row],[Reorder Level]],"Low Stock","In Stock")</f>
        <v>In Stock</v>
      </c>
      <c r="P2967" t="str">
        <f>TEXT(Inventory_Data[[#This Row],[Date]],"MMM")</f>
        <v>Sep</v>
      </c>
      <c r="Q2967" t="str">
        <f>TEXT(Inventory_Data[[#This Row],[Date]],"YYYY")</f>
        <v>2026</v>
      </c>
    </row>
    <row r="2968" spans="1:17" x14ac:dyDescent="0.3">
      <c r="A2968" s="1">
        <v>46284</v>
      </c>
      <c r="B2968" t="s">
        <v>21</v>
      </c>
      <c r="C2968" t="s">
        <v>22</v>
      </c>
      <c r="D2968" t="s">
        <v>37</v>
      </c>
      <c r="E2968" t="s">
        <v>29</v>
      </c>
      <c r="F2968">
        <v>216</v>
      </c>
      <c r="G2968">
        <v>294</v>
      </c>
      <c r="H2968">
        <v>236</v>
      </c>
      <c r="I2968">
        <v>274</v>
      </c>
      <c r="J2968">
        <v>61</v>
      </c>
      <c r="K2968">
        <v>682</v>
      </c>
      <c r="L2968">
        <v>186868</v>
      </c>
      <c r="M2968">
        <f>Inventory_Data[[#This Row],[Opening Stock]]+Inventory_Data[[#This Row],[Purchase Qty]]-Inventory_Data[[#This Row],[Sales Qty]]-Inventory_Data[[#This Row],[Closing Stock]]</f>
        <v>0</v>
      </c>
      <c r="N2968">
        <f>Inventory_Data[[#This Row],[Purchase Qty]]*Inventory_Data[[#This Row],[Unit Cost]]</f>
        <v>200508</v>
      </c>
      <c r="O2968" t="str">
        <f>IF(Inventory_Data[[#This Row],[Closing Stock]]&lt;=Inventory_Data[[#This Row],[Reorder Level]],"Low Stock","In Stock")</f>
        <v>In Stock</v>
      </c>
      <c r="P2968" t="str">
        <f>TEXT(Inventory_Data[[#This Row],[Date]],"MMM")</f>
        <v>Sep</v>
      </c>
      <c r="Q2968" t="str">
        <f>TEXT(Inventory_Data[[#This Row],[Date]],"YYYY")</f>
        <v>2026</v>
      </c>
    </row>
    <row r="2969" spans="1:17" x14ac:dyDescent="0.3">
      <c r="A2969" s="1">
        <v>46284</v>
      </c>
      <c r="B2969" t="s">
        <v>25</v>
      </c>
      <c r="C2969" t="s">
        <v>17</v>
      </c>
      <c r="D2969" t="s">
        <v>37</v>
      </c>
      <c r="E2969" t="s">
        <v>24</v>
      </c>
      <c r="F2969">
        <v>88</v>
      </c>
      <c r="G2969">
        <v>58</v>
      </c>
      <c r="H2969">
        <v>18</v>
      </c>
      <c r="I2969">
        <v>128</v>
      </c>
      <c r="J2969">
        <v>12</v>
      </c>
      <c r="K2969">
        <v>20546</v>
      </c>
      <c r="L2969">
        <v>2629888</v>
      </c>
      <c r="M2969">
        <f>Inventory_Data[[#This Row],[Opening Stock]]+Inventory_Data[[#This Row],[Purchase Qty]]-Inventory_Data[[#This Row],[Sales Qty]]-Inventory_Data[[#This Row],[Closing Stock]]</f>
        <v>0</v>
      </c>
      <c r="N2969">
        <f>Inventory_Data[[#This Row],[Purchase Qty]]*Inventory_Data[[#This Row],[Unit Cost]]</f>
        <v>1191668</v>
      </c>
      <c r="O2969" t="str">
        <f>IF(Inventory_Data[[#This Row],[Closing Stock]]&lt;=Inventory_Data[[#This Row],[Reorder Level]],"Low Stock","In Stock")</f>
        <v>In Stock</v>
      </c>
      <c r="P2969" t="str">
        <f>TEXT(Inventory_Data[[#This Row],[Date]],"MMM")</f>
        <v>Sep</v>
      </c>
      <c r="Q2969" t="str">
        <f>TEXT(Inventory_Data[[#This Row],[Date]],"YYYY")</f>
        <v>2026</v>
      </c>
    </row>
    <row r="2970" spans="1:17" x14ac:dyDescent="0.3">
      <c r="A2970" s="1">
        <v>46285</v>
      </c>
      <c r="B2970" t="s">
        <v>25</v>
      </c>
      <c r="C2970" t="s">
        <v>17</v>
      </c>
      <c r="D2970" t="s">
        <v>37</v>
      </c>
      <c r="E2970" t="s">
        <v>15</v>
      </c>
      <c r="F2970">
        <v>13</v>
      </c>
      <c r="G2970">
        <v>42</v>
      </c>
      <c r="H2970">
        <v>5</v>
      </c>
      <c r="I2970">
        <v>50</v>
      </c>
      <c r="J2970">
        <v>18</v>
      </c>
      <c r="K2970">
        <v>4576</v>
      </c>
      <c r="L2970">
        <v>228800</v>
      </c>
      <c r="M2970">
        <f>Inventory_Data[[#This Row],[Opening Stock]]+Inventory_Data[[#This Row],[Purchase Qty]]-Inventory_Data[[#This Row],[Sales Qty]]-Inventory_Data[[#This Row],[Closing Stock]]</f>
        <v>0</v>
      </c>
      <c r="N2970">
        <f>Inventory_Data[[#This Row],[Purchase Qty]]*Inventory_Data[[#This Row],[Unit Cost]]</f>
        <v>192192</v>
      </c>
      <c r="O2970" t="str">
        <f>IF(Inventory_Data[[#This Row],[Closing Stock]]&lt;=Inventory_Data[[#This Row],[Reorder Level]],"Low Stock","In Stock")</f>
        <v>In Stock</v>
      </c>
      <c r="P2970" t="str">
        <f>TEXT(Inventory_Data[[#This Row],[Date]],"MMM")</f>
        <v>Sep</v>
      </c>
      <c r="Q2970" t="str">
        <f>TEXT(Inventory_Data[[#This Row],[Date]],"YYYY")</f>
        <v>2026</v>
      </c>
    </row>
    <row r="2971" spans="1:17" x14ac:dyDescent="0.3">
      <c r="A2971" s="1">
        <v>46285</v>
      </c>
      <c r="B2971" t="s">
        <v>33</v>
      </c>
      <c r="C2971" t="s">
        <v>13</v>
      </c>
      <c r="D2971" t="s">
        <v>26</v>
      </c>
      <c r="E2971" t="s">
        <v>34</v>
      </c>
      <c r="F2971">
        <v>94</v>
      </c>
      <c r="G2971">
        <v>19</v>
      </c>
      <c r="H2971">
        <v>50</v>
      </c>
      <c r="I2971">
        <v>63</v>
      </c>
      <c r="J2971">
        <v>27</v>
      </c>
      <c r="K2971">
        <v>11395</v>
      </c>
      <c r="L2971">
        <v>717885</v>
      </c>
      <c r="M2971">
        <f>Inventory_Data[[#This Row],[Opening Stock]]+Inventory_Data[[#This Row],[Purchase Qty]]-Inventory_Data[[#This Row],[Sales Qty]]-Inventory_Data[[#This Row],[Closing Stock]]</f>
        <v>0</v>
      </c>
      <c r="N2971">
        <f>Inventory_Data[[#This Row],[Purchase Qty]]*Inventory_Data[[#This Row],[Unit Cost]]</f>
        <v>216505</v>
      </c>
      <c r="O2971" t="str">
        <f>IF(Inventory_Data[[#This Row],[Closing Stock]]&lt;=Inventory_Data[[#This Row],[Reorder Level]],"Low Stock","In Stock")</f>
        <v>In Stock</v>
      </c>
      <c r="P2971" t="str">
        <f>TEXT(Inventory_Data[[#This Row],[Date]],"MMM")</f>
        <v>Sep</v>
      </c>
      <c r="Q2971" t="str">
        <f>TEXT(Inventory_Data[[#This Row],[Date]],"YYYY")</f>
        <v>2026</v>
      </c>
    </row>
    <row r="2972" spans="1:17" x14ac:dyDescent="0.3">
      <c r="A2972" s="1">
        <v>46285</v>
      </c>
      <c r="B2972" t="s">
        <v>25</v>
      </c>
      <c r="C2972" t="s">
        <v>17</v>
      </c>
      <c r="D2972" t="s">
        <v>23</v>
      </c>
      <c r="E2972" t="s">
        <v>20</v>
      </c>
      <c r="F2972">
        <v>69</v>
      </c>
      <c r="G2972">
        <v>27</v>
      </c>
      <c r="H2972">
        <v>23</v>
      </c>
      <c r="I2972">
        <v>73</v>
      </c>
      <c r="J2972">
        <v>15</v>
      </c>
      <c r="K2972">
        <v>14973</v>
      </c>
      <c r="L2972">
        <v>1093029</v>
      </c>
      <c r="M2972">
        <f>Inventory_Data[[#This Row],[Opening Stock]]+Inventory_Data[[#This Row],[Purchase Qty]]-Inventory_Data[[#This Row],[Sales Qty]]-Inventory_Data[[#This Row],[Closing Stock]]</f>
        <v>0</v>
      </c>
      <c r="N2972">
        <f>Inventory_Data[[#This Row],[Purchase Qty]]*Inventory_Data[[#This Row],[Unit Cost]]</f>
        <v>404271</v>
      </c>
      <c r="O2972" t="str">
        <f>IF(Inventory_Data[[#This Row],[Closing Stock]]&lt;=Inventory_Data[[#This Row],[Reorder Level]],"Low Stock","In Stock")</f>
        <v>In Stock</v>
      </c>
      <c r="P2972" t="str">
        <f>TEXT(Inventory_Data[[#This Row],[Date]],"MMM")</f>
        <v>Sep</v>
      </c>
      <c r="Q2972" t="str">
        <f>TEXT(Inventory_Data[[#This Row],[Date]],"YYYY")</f>
        <v>2026</v>
      </c>
    </row>
    <row r="2973" spans="1:17" x14ac:dyDescent="0.3">
      <c r="A2973" s="1">
        <v>46285</v>
      </c>
      <c r="B2973" t="s">
        <v>12</v>
      </c>
      <c r="C2973" t="s">
        <v>13</v>
      </c>
      <c r="D2973" t="s">
        <v>23</v>
      </c>
      <c r="E2973" t="s">
        <v>24</v>
      </c>
      <c r="F2973">
        <v>29</v>
      </c>
      <c r="G2973">
        <v>77</v>
      </c>
      <c r="H2973">
        <v>54</v>
      </c>
      <c r="I2973">
        <v>52</v>
      </c>
      <c r="J2973">
        <v>35</v>
      </c>
      <c r="K2973">
        <v>4135</v>
      </c>
      <c r="L2973">
        <v>215020</v>
      </c>
      <c r="M2973">
        <f>Inventory_Data[[#This Row],[Opening Stock]]+Inventory_Data[[#This Row],[Purchase Qty]]-Inventory_Data[[#This Row],[Sales Qty]]-Inventory_Data[[#This Row],[Closing Stock]]</f>
        <v>0</v>
      </c>
      <c r="N2973">
        <f>Inventory_Data[[#This Row],[Purchase Qty]]*Inventory_Data[[#This Row],[Unit Cost]]</f>
        <v>318395</v>
      </c>
      <c r="O2973" t="str">
        <f>IF(Inventory_Data[[#This Row],[Closing Stock]]&lt;=Inventory_Data[[#This Row],[Reorder Level]],"Low Stock","In Stock")</f>
        <v>In Stock</v>
      </c>
      <c r="P2973" t="str">
        <f>TEXT(Inventory_Data[[#This Row],[Date]],"MMM")</f>
        <v>Sep</v>
      </c>
      <c r="Q2973" t="str">
        <f>TEXT(Inventory_Data[[#This Row],[Date]],"YYYY")</f>
        <v>2026</v>
      </c>
    </row>
    <row r="2974" spans="1:17" x14ac:dyDescent="0.3">
      <c r="A2974" s="1">
        <v>46286</v>
      </c>
      <c r="B2974" t="s">
        <v>30</v>
      </c>
      <c r="C2974" t="s">
        <v>28</v>
      </c>
      <c r="D2974" t="s">
        <v>23</v>
      </c>
      <c r="E2974" t="s">
        <v>29</v>
      </c>
      <c r="F2974">
        <v>21</v>
      </c>
      <c r="G2974">
        <v>102</v>
      </c>
      <c r="H2974">
        <v>42</v>
      </c>
      <c r="I2974">
        <v>81</v>
      </c>
      <c r="J2974">
        <v>35</v>
      </c>
      <c r="K2974">
        <v>33954</v>
      </c>
      <c r="L2974">
        <v>2750274</v>
      </c>
      <c r="M2974">
        <f>Inventory_Data[[#This Row],[Opening Stock]]+Inventory_Data[[#This Row],[Purchase Qty]]-Inventory_Data[[#This Row],[Sales Qty]]-Inventory_Data[[#This Row],[Closing Stock]]</f>
        <v>0</v>
      </c>
      <c r="N2974">
        <f>Inventory_Data[[#This Row],[Purchase Qty]]*Inventory_Data[[#This Row],[Unit Cost]]</f>
        <v>3463308</v>
      </c>
      <c r="O2974" t="str">
        <f>IF(Inventory_Data[[#This Row],[Closing Stock]]&lt;=Inventory_Data[[#This Row],[Reorder Level]],"Low Stock","In Stock")</f>
        <v>In Stock</v>
      </c>
      <c r="P2974" t="str">
        <f>TEXT(Inventory_Data[[#This Row],[Date]],"MMM")</f>
        <v>Sep</v>
      </c>
      <c r="Q2974" t="str">
        <f>TEXT(Inventory_Data[[#This Row],[Date]],"YYYY")</f>
        <v>2026</v>
      </c>
    </row>
    <row r="2975" spans="1:17" x14ac:dyDescent="0.3">
      <c r="A2975" s="1">
        <v>46286</v>
      </c>
      <c r="B2975" t="s">
        <v>36</v>
      </c>
      <c r="C2975" t="s">
        <v>22</v>
      </c>
      <c r="D2975" t="s">
        <v>23</v>
      </c>
      <c r="E2975" t="s">
        <v>18</v>
      </c>
      <c r="F2975">
        <v>248</v>
      </c>
      <c r="G2975">
        <v>50</v>
      </c>
      <c r="H2975">
        <v>209</v>
      </c>
      <c r="I2975">
        <v>89</v>
      </c>
      <c r="J2975">
        <v>112</v>
      </c>
      <c r="K2975">
        <v>390</v>
      </c>
      <c r="L2975">
        <v>34710</v>
      </c>
      <c r="M2975">
        <f>Inventory_Data[[#This Row],[Opening Stock]]+Inventory_Data[[#This Row],[Purchase Qty]]-Inventory_Data[[#This Row],[Sales Qty]]-Inventory_Data[[#This Row],[Closing Stock]]</f>
        <v>0</v>
      </c>
      <c r="N2975">
        <f>Inventory_Data[[#This Row],[Purchase Qty]]*Inventory_Data[[#This Row],[Unit Cost]]</f>
        <v>19500</v>
      </c>
      <c r="O2975" t="str">
        <f>IF(Inventory_Data[[#This Row],[Closing Stock]]&lt;=Inventory_Data[[#This Row],[Reorder Level]],"Low Stock","In Stock")</f>
        <v>Low Stock</v>
      </c>
      <c r="P2975" t="str">
        <f>TEXT(Inventory_Data[[#This Row],[Date]],"MMM")</f>
        <v>Sep</v>
      </c>
      <c r="Q2975" t="str">
        <f>TEXT(Inventory_Data[[#This Row],[Date]],"YYYY")</f>
        <v>2026</v>
      </c>
    </row>
    <row r="2976" spans="1:17" x14ac:dyDescent="0.3">
      <c r="A2976" s="1">
        <v>46287</v>
      </c>
      <c r="B2976" t="s">
        <v>19</v>
      </c>
      <c r="C2976" t="s">
        <v>13</v>
      </c>
      <c r="D2976" t="s">
        <v>14</v>
      </c>
      <c r="E2976" t="s">
        <v>24</v>
      </c>
      <c r="F2976">
        <v>30</v>
      </c>
      <c r="G2976">
        <v>77</v>
      </c>
      <c r="H2976">
        <v>49</v>
      </c>
      <c r="I2976">
        <v>58</v>
      </c>
      <c r="J2976">
        <v>33</v>
      </c>
      <c r="K2976">
        <v>16393</v>
      </c>
      <c r="L2976">
        <v>950794</v>
      </c>
      <c r="M2976">
        <f>Inventory_Data[[#This Row],[Opening Stock]]+Inventory_Data[[#This Row],[Purchase Qty]]-Inventory_Data[[#This Row],[Sales Qty]]-Inventory_Data[[#This Row],[Closing Stock]]</f>
        <v>0</v>
      </c>
      <c r="N2976">
        <f>Inventory_Data[[#This Row],[Purchase Qty]]*Inventory_Data[[#This Row],[Unit Cost]]</f>
        <v>1262261</v>
      </c>
      <c r="O2976" t="str">
        <f>IF(Inventory_Data[[#This Row],[Closing Stock]]&lt;=Inventory_Data[[#This Row],[Reorder Level]],"Low Stock","In Stock")</f>
        <v>In Stock</v>
      </c>
      <c r="P2976" t="str">
        <f>TEXT(Inventory_Data[[#This Row],[Date]],"MMM")</f>
        <v>Sep</v>
      </c>
      <c r="Q2976" t="str">
        <f>TEXT(Inventory_Data[[#This Row],[Date]],"YYYY")</f>
        <v>2026</v>
      </c>
    </row>
    <row r="2977" spans="1:17" x14ac:dyDescent="0.3">
      <c r="A2977" s="1">
        <v>46287</v>
      </c>
      <c r="B2977" t="s">
        <v>30</v>
      </c>
      <c r="C2977" t="s">
        <v>28</v>
      </c>
      <c r="D2977" t="s">
        <v>37</v>
      </c>
      <c r="E2977" t="s">
        <v>18</v>
      </c>
      <c r="F2977">
        <v>113</v>
      </c>
      <c r="G2977">
        <v>59</v>
      </c>
      <c r="H2977">
        <v>20</v>
      </c>
      <c r="I2977">
        <v>152</v>
      </c>
      <c r="J2977">
        <v>21</v>
      </c>
      <c r="K2977">
        <v>58432</v>
      </c>
      <c r="L2977">
        <v>8881664</v>
      </c>
      <c r="M2977">
        <f>Inventory_Data[[#This Row],[Opening Stock]]+Inventory_Data[[#This Row],[Purchase Qty]]-Inventory_Data[[#This Row],[Sales Qty]]-Inventory_Data[[#This Row],[Closing Stock]]</f>
        <v>0</v>
      </c>
      <c r="N2977">
        <f>Inventory_Data[[#This Row],[Purchase Qty]]*Inventory_Data[[#This Row],[Unit Cost]]</f>
        <v>3447488</v>
      </c>
      <c r="O2977" t="str">
        <f>IF(Inventory_Data[[#This Row],[Closing Stock]]&lt;=Inventory_Data[[#This Row],[Reorder Level]],"Low Stock","In Stock")</f>
        <v>In Stock</v>
      </c>
      <c r="P2977" t="str">
        <f>TEXT(Inventory_Data[[#This Row],[Date]],"MMM")</f>
        <v>Sep</v>
      </c>
      <c r="Q2977" t="str">
        <f>TEXT(Inventory_Data[[#This Row],[Date]],"YYYY")</f>
        <v>2026</v>
      </c>
    </row>
    <row r="2978" spans="1:17" x14ac:dyDescent="0.3">
      <c r="A2978" s="1">
        <v>46287</v>
      </c>
      <c r="B2978" t="s">
        <v>45</v>
      </c>
      <c r="C2978" t="s">
        <v>13</v>
      </c>
      <c r="D2978" t="s">
        <v>23</v>
      </c>
      <c r="E2978" t="s">
        <v>24</v>
      </c>
      <c r="F2978">
        <v>119</v>
      </c>
      <c r="G2978">
        <v>75</v>
      </c>
      <c r="H2978">
        <v>16</v>
      </c>
      <c r="I2978">
        <v>178</v>
      </c>
      <c r="J2978">
        <v>33</v>
      </c>
      <c r="K2978">
        <v>12376</v>
      </c>
      <c r="L2978">
        <v>2202928</v>
      </c>
      <c r="M2978">
        <f>Inventory_Data[[#This Row],[Opening Stock]]+Inventory_Data[[#This Row],[Purchase Qty]]-Inventory_Data[[#This Row],[Sales Qty]]-Inventory_Data[[#This Row],[Closing Stock]]</f>
        <v>0</v>
      </c>
      <c r="N2978">
        <f>Inventory_Data[[#This Row],[Purchase Qty]]*Inventory_Data[[#This Row],[Unit Cost]]</f>
        <v>928200</v>
      </c>
      <c r="O2978" t="str">
        <f>IF(Inventory_Data[[#This Row],[Closing Stock]]&lt;=Inventory_Data[[#This Row],[Reorder Level]],"Low Stock","In Stock")</f>
        <v>In Stock</v>
      </c>
      <c r="P2978" t="str">
        <f>TEXT(Inventory_Data[[#This Row],[Date]],"MMM")</f>
        <v>Sep</v>
      </c>
      <c r="Q2978" t="str">
        <f>TEXT(Inventory_Data[[#This Row],[Date]],"YYYY")</f>
        <v>2026</v>
      </c>
    </row>
    <row r="2979" spans="1:17" x14ac:dyDescent="0.3">
      <c r="A2979" s="1">
        <v>46288</v>
      </c>
      <c r="B2979" t="s">
        <v>30</v>
      </c>
      <c r="C2979" t="s">
        <v>28</v>
      </c>
      <c r="D2979" t="s">
        <v>26</v>
      </c>
      <c r="E2979" t="s">
        <v>29</v>
      </c>
      <c r="F2979">
        <v>58</v>
      </c>
      <c r="G2979">
        <v>21</v>
      </c>
      <c r="H2979">
        <v>51</v>
      </c>
      <c r="I2979">
        <v>28</v>
      </c>
      <c r="J2979">
        <v>40</v>
      </c>
      <c r="K2979">
        <v>57649</v>
      </c>
      <c r="L2979">
        <v>1614172</v>
      </c>
      <c r="M2979">
        <f>Inventory_Data[[#This Row],[Opening Stock]]+Inventory_Data[[#This Row],[Purchase Qty]]-Inventory_Data[[#This Row],[Sales Qty]]-Inventory_Data[[#This Row],[Closing Stock]]</f>
        <v>0</v>
      </c>
      <c r="N2979">
        <f>Inventory_Data[[#This Row],[Purchase Qty]]*Inventory_Data[[#This Row],[Unit Cost]]</f>
        <v>1210629</v>
      </c>
      <c r="O2979" t="str">
        <f>IF(Inventory_Data[[#This Row],[Closing Stock]]&lt;=Inventory_Data[[#This Row],[Reorder Level]],"Low Stock","In Stock")</f>
        <v>Low Stock</v>
      </c>
      <c r="P2979" t="str">
        <f>TEXT(Inventory_Data[[#This Row],[Date]],"MMM")</f>
        <v>Sep</v>
      </c>
      <c r="Q2979" t="str">
        <f>TEXT(Inventory_Data[[#This Row],[Date]],"YYYY")</f>
        <v>2026</v>
      </c>
    </row>
    <row r="2980" spans="1:17" x14ac:dyDescent="0.3">
      <c r="A2980" s="1">
        <v>46288</v>
      </c>
      <c r="B2980" t="s">
        <v>16</v>
      </c>
      <c r="C2980" t="s">
        <v>17</v>
      </c>
      <c r="D2980" t="s">
        <v>37</v>
      </c>
      <c r="E2980" t="s">
        <v>20</v>
      </c>
      <c r="F2980">
        <v>79</v>
      </c>
      <c r="G2980">
        <v>41</v>
      </c>
      <c r="H2980">
        <v>38</v>
      </c>
      <c r="I2980">
        <v>82</v>
      </c>
      <c r="J2980">
        <v>10</v>
      </c>
      <c r="K2980">
        <v>3028</v>
      </c>
      <c r="L2980">
        <v>248296</v>
      </c>
      <c r="M2980">
        <f>Inventory_Data[[#This Row],[Opening Stock]]+Inventory_Data[[#This Row],[Purchase Qty]]-Inventory_Data[[#This Row],[Sales Qty]]-Inventory_Data[[#This Row],[Closing Stock]]</f>
        <v>0</v>
      </c>
      <c r="N2980">
        <f>Inventory_Data[[#This Row],[Purchase Qty]]*Inventory_Data[[#This Row],[Unit Cost]]</f>
        <v>124148</v>
      </c>
      <c r="O2980" t="str">
        <f>IF(Inventory_Data[[#This Row],[Closing Stock]]&lt;=Inventory_Data[[#This Row],[Reorder Level]],"Low Stock","In Stock")</f>
        <v>In Stock</v>
      </c>
      <c r="P2980" t="str">
        <f>TEXT(Inventory_Data[[#This Row],[Date]],"MMM")</f>
        <v>Sep</v>
      </c>
      <c r="Q2980" t="str">
        <f>TEXT(Inventory_Data[[#This Row],[Date]],"YYYY")</f>
        <v>2026</v>
      </c>
    </row>
    <row r="2981" spans="1:17" x14ac:dyDescent="0.3">
      <c r="A2981" s="1">
        <v>46288</v>
      </c>
      <c r="B2981" t="s">
        <v>33</v>
      </c>
      <c r="C2981" t="s">
        <v>13</v>
      </c>
      <c r="D2981" t="s">
        <v>14</v>
      </c>
      <c r="E2981" t="s">
        <v>18</v>
      </c>
      <c r="F2981">
        <v>106</v>
      </c>
      <c r="G2981">
        <v>41</v>
      </c>
      <c r="H2981">
        <v>31</v>
      </c>
      <c r="I2981">
        <v>116</v>
      </c>
      <c r="J2981">
        <v>36</v>
      </c>
      <c r="K2981">
        <v>12011</v>
      </c>
      <c r="L2981">
        <v>1393276</v>
      </c>
      <c r="M2981">
        <f>Inventory_Data[[#This Row],[Opening Stock]]+Inventory_Data[[#This Row],[Purchase Qty]]-Inventory_Data[[#This Row],[Sales Qty]]-Inventory_Data[[#This Row],[Closing Stock]]</f>
        <v>0</v>
      </c>
      <c r="N2981">
        <f>Inventory_Data[[#This Row],[Purchase Qty]]*Inventory_Data[[#This Row],[Unit Cost]]</f>
        <v>492451</v>
      </c>
      <c r="O2981" t="str">
        <f>IF(Inventory_Data[[#This Row],[Closing Stock]]&lt;=Inventory_Data[[#This Row],[Reorder Level]],"Low Stock","In Stock")</f>
        <v>In Stock</v>
      </c>
      <c r="P2981" t="str">
        <f>TEXT(Inventory_Data[[#This Row],[Date]],"MMM")</f>
        <v>Sep</v>
      </c>
      <c r="Q2981" t="str">
        <f>TEXT(Inventory_Data[[#This Row],[Date]],"YYYY")</f>
        <v>2026</v>
      </c>
    </row>
    <row r="2982" spans="1:17" x14ac:dyDescent="0.3">
      <c r="A2982" s="1">
        <v>46288</v>
      </c>
      <c r="B2982" t="s">
        <v>31</v>
      </c>
      <c r="C2982" t="s">
        <v>22</v>
      </c>
      <c r="D2982" t="s">
        <v>23</v>
      </c>
      <c r="E2982" t="s">
        <v>20</v>
      </c>
      <c r="F2982">
        <v>358</v>
      </c>
      <c r="G2982">
        <v>212</v>
      </c>
      <c r="H2982">
        <v>91</v>
      </c>
      <c r="I2982">
        <v>479</v>
      </c>
      <c r="J2982">
        <v>132</v>
      </c>
      <c r="K2982">
        <v>933</v>
      </c>
      <c r="L2982">
        <v>446907</v>
      </c>
      <c r="M2982">
        <f>Inventory_Data[[#This Row],[Opening Stock]]+Inventory_Data[[#This Row],[Purchase Qty]]-Inventory_Data[[#This Row],[Sales Qty]]-Inventory_Data[[#This Row],[Closing Stock]]</f>
        <v>0</v>
      </c>
      <c r="N2982">
        <f>Inventory_Data[[#This Row],[Purchase Qty]]*Inventory_Data[[#This Row],[Unit Cost]]</f>
        <v>197796</v>
      </c>
      <c r="O2982" t="str">
        <f>IF(Inventory_Data[[#This Row],[Closing Stock]]&lt;=Inventory_Data[[#This Row],[Reorder Level]],"Low Stock","In Stock")</f>
        <v>In Stock</v>
      </c>
      <c r="P2982" t="str">
        <f>TEXT(Inventory_Data[[#This Row],[Date]],"MMM")</f>
        <v>Sep</v>
      </c>
      <c r="Q2982" t="str">
        <f>TEXT(Inventory_Data[[#This Row],[Date]],"YYYY")</f>
        <v>2026</v>
      </c>
    </row>
    <row r="2983" spans="1:17" x14ac:dyDescent="0.3">
      <c r="A2983" s="1">
        <v>46289</v>
      </c>
      <c r="B2983" t="s">
        <v>41</v>
      </c>
      <c r="C2983" t="s">
        <v>22</v>
      </c>
      <c r="D2983" t="s">
        <v>37</v>
      </c>
      <c r="E2983" t="s">
        <v>20</v>
      </c>
      <c r="F2983">
        <v>114</v>
      </c>
      <c r="G2983">
        <v>135</v>
      </c>
      <c r="H2983">
        <v>116</v>
      </c>
      <c r="I2983">
        <v>133</v>
      </c>
      <c r="J2983">
        <v>55</v>
      </c>
      <c r="K2983">
        <v>678</v>
      </c>
      <c r="L2983">
        <v>90174</v>
      </c>
      <c r="M2983">
        <f>Inventory_Data[[#This Row],[Opening Stock]]+Inventory_Data[[#This Row],[Purchase Qty]]-Inventory_Data[[#This Row],[Sales Qty]]-Inventory_Data[[#This Row],[Closing Stock]]</f>
        <v>0</v>
      </c>
      <c r="N2983">
        <f>Inventory_Data[[#This Row],[Purchase Qty]]*Inventory_Data[[#This Row],[Unit Cost]]</f>
        <v>91530</v>
      </c>
      <c r="O2983" t="str">
        <f>IF(Inventory_Data[[#This Row],[Closing Stock]]&lt;=Inventory_Data[[#This Row],[Reorder Level]],"Low Stock","In Stock")</f>
        <v>In Stock</v>
      </c>
      <c r="P2983" t="str">
        <f>TEXT(Inventory_Data[[#This Row],[Date]],"MMM")</f>
        <v>Sep</v>
      </c>
      <c r="Q2983" t="str">
        <f>TEXT(Inventory_Data[[#This Row],[Date]],"YYYY")</f>
        <v>2026</v>
      </c>
    </row>
    <row r="2984" spans="1:17" x14ac:dyDescent="0.3">
      <c r="A2984" s="1">
        <v>46289</v>
      </c>
      <c r="B2984" t="s">
        <v>30</v>
      </c>
      <c r="C2984" t="s">
        <v>28</v>
      </c>
      <c r="D2984" t="s">
        <v>37</v>
      </c>
      <c r="E2984" t="s">
        <v>34</v>
      </c>
      <c r="F2984">
        <v>89</v>
      </c>
      <c r="G2984">
        <v>57</v>
      </c>
      <c r="H2984">
        <v>68</v>
      </c>
      <c r="I2984">
        <v>78</v>
      </c>
      <c r="J2984">
        <v>38</v>
      </c>
      <c r="K2984">
        <v>36112</v>
      </c>
      <c r="L2984">
        <v>2816736</v>
      </c>
      <c r="M2984">
        <f>Inventory_Data[[#This Row],[Opening Stock]]+Inventory_Data[[#This Row],[Purchase Qty]]-Inventory_Data[[#This Row],[Sales Qty]]-Inventory_Data[[#This Row],[Closing Stock]]</f>
        <v>0</v>
      </c>
      <c r="N2984">
        <f>Inventory_Data[[#This Row],[Purchase Qty]]*Inventory_Data[[#This Row],[Unit Cost]]</f>
        <v>2058384</v>
      </c>
      <c r="O2984" t="str">
        <f>IF(Inventory_Data[[#This Row],[Closing Stock]]&lt;=Inventory_Data[[#This Row],[Reorder Level]],"Low Stock","In Stock")</f>
        <v>In Stock</v>
      </c>
      <c r="P2984" t="str">
        <f>TEXT(Inventory_Data[[#This Row],[Date]],"MMM")</f>
        <v>Sep</v>
      </c>
      <c r="Q2984" t="str">
        <f>TEXT(Inventory_Data[[#This Row],[Date]],"YYYY")</f>
        <v>2026</v>
      </c>
    </row>
    <row r="2985" spans="1:17" x14ac:dyDescent="0.3">
      <c r="A2985" s="1">
        <v>46289</v>
      </c>
      <c r="B2985" t="s">
        <v>32</v>
      </c>
      <c r="C2985" t="s">
        <v>28</v>
      </c>
      <c r="D2985" t="s">
        <v>14</v>
      </c>
      <c r="E2985" t="s">
        <v>20</v>
      </c>
      <c r="F2985">
        <v>65</v>
      </c>
      <c r="G2985">
        <v>21</v>
      </c>
      <c r="H2985">
        <v>57</v>
      </c>
      <c r="I2985">
        <v>29</v>
      </c>
      <c r="J2985">
        <v>51</v>
      </c>
      <c r="K2985">
        <v>54348</v>
      </c>
      <c r="L2985">
        <v>1576092</v>
      </c>
      <c r="M2985">
        <f>Inventory_Data[[#This Row],[Opening Stock]]+Inventory_Data[[#This Row],[Purchase Qty]]-Inventory_Data[[#This Row],[Sales Qty]]-Inventory_Data[[#This Row],[Closing Stock]]</f>
        <v>0</v>
      </c>
      <c r="N2985">
        <f>Inventory_Data[[#This Row],[Purchase Qty]]*Inventory_Data[[#This Row],[Unit Cost]]</f>
        <v>1141308</v>
      </c>
      <c r="O2985" t="str">
        <f>IF(Inventory_Data[[#This Row],[Closing Stock]]&lt;=Inventory_Data[[#This Row],[Reorder Level]],"Low Stock","In Stock")</f>
        <v>Low Stock</v>
      </c>
      <c r="P2985" t="str">
        <f>TEXT(Inventory_Data[[#This Row],[Date]],"MMM")</f>
        <v>Sep</v>
      </c>
      <c r="Q2985" t="str">
        <f>TEXT(Inventory_Data[[#This Row],[Date]],"YYYY")</f>
        <v>2026</v>
      </c>
    </row>
    <row r="2986" spans="1:17" x14ac:dyDescent="0.3">
      <c r="A2986" s="1">
        <v>46290</v>
      </c>
      <c r="B2986" t="s">
        <v>16</v>
      </c>
      <c r="C2986" t="s">
        <v>17</v>
      </c>
      <c r="D2986" t="s">
        <v>14</v>
      </c>
      <c r="E2986" t="s">
        <v>20</v>
      </c>
      <c r="F2986">
        <v>32</v>
      </c>
      <c r="G2986">
        <v>37</v>
      </c>
      <c r="H2986">
        <v>9</v>
      </c>
      <c r="I2986">
        <v>60</v>
      </c>
      <c r="J2986">
        <v>22</v>
      </c>
      <c r="K2986">
        <v>6789</v>
      </c>
      <c r="L2986">
        <v>407340</v>
      </c>
      <c r="M2986">
        <f>Inventory_Data[[#This Row],[Opening Stock]]+Inventory_Data[[#This Row],[Purchase Qty]]-Inventory_Data[[#This Row],[Sales Qty]]-Inventory_Data[[#This Row],[Closing Stock]]</f>
        <v>0</v>
      </c>
      <c r="N2986">
        <f>Inventory_Data[[#This Row],[Purchase Qty]]*Inventory_Data[[#This Row],[Unit Cost]]</f>
        <v>251193</v>
      </c>
      <c r="O2986" t="str">
        <f>IF(Inventory_Data[[#This Row],[Closing Stock]]&lt;=Inventory_Data[[#This Row],[Reorder Level]],"Low Stock","In Stock")</f>
        <v>In Stock</v>
      </c>
      <c r="P2986" t="str">
        <f>TEXT(Inventory_Data[[#This Row],[Date]],"MMM")</f>
        <v>Sep</v>
      </c>
      <c r="Q2986" t="str">
        <f>TEXT(Inventory_Data[[#This Row],[Date]],"YYYY")</f>
        <v>2026</v>
      </c>
    </row>
    <row r="2987" spans="1:17" x14ac:dyDescent="0.3">
      <c r="A2987" s="1">
        <v>46290</v>
      </c>
      <c r="B2987" t="s">
        <v>45</v>
      </c>
      <c r="C2987" t="s">
        <v>13</v>
      </c>
      <c r="D2987" t="s">
        <v>37</v>
      </c>
      <c r="E2987" t="s">
        <v>20</v>
      </c>
      <c r="F2987">
        <v>38</v>
      </c>
      <c r="G2987">
        <v>73</v>
      </c>
      <c r="H2987">
        <v>25</v>
      </c>
      <c r="I2987">
        <v>86</v>
      </c>
      <c r="J2987">
        <v>15</v>
      </c>
      <c r="K2987">
        <v>1934</v>
      </c>
      <c r="L2987">
        <v>166324</v>
      </c>
      <c r="M2987">
        <f>Inventory_Data[[#This Row],[Opening Stock]]+Inventory_Data[[#This Row],[Purchase Qty]]-Inventory_Data[[#This Row],[Sales Qty]]-Inventory_Data[[#This Row],[Closing Stock]]</f>
        <v>0</v>
      </c>
      <c r="N2987">
        <f>Inventory_Data[[#This Row],[Purchase Qty]]*Inventory_Data[[#This Row],[Unit Cost]]</f>
        <v>141182</v>
      </c>
      <c r="O2987" t="str">
        <f>IF(Inventory_Data[[#This Row],[Closing Stock]]&lt;=Inventory_Data[[#This Row],[Reorder Level]],"Low Stock","In Stock")</f>
        <v>In Stock</v>
      </c>
      <c r="P2987" t="str">
        <f>TEXT(Inventory_Data[[#This Row],[Date]],"MMM")</f>
        <v>Sep</v>
      </c>
      <c r="Q2987" t="str">
        <f>TEXT(Inventory_Data[[#This Row],[Date]],"YYYY")</f>
        <v>2026</v>
      </c>
    </row>
    <row r="2988" spans="1:17" x14ac:dyDescent="0.3">
      <c r="A2988" s="1">
        <v>46290</v>
      </c>
      <c r="B2988" t="s">
        <v>30</v>
      </c>
      <c r="C2988" t="s">
        <v>28</v>
      </c>
      <c r="D2988" t="s">
        <v>26</v>
      </c>
      <c r="E2988" t="s">
        <v>29</v>
      </c>
      <c r="F2988">
        <v>82</v>
      </c>
      <c r="G2988">
        <v>17</v>
      </c>
      <c r="H2988">
        <v>99</v>
      </c>
      <c r="I2988">
        <v>0</v>
      </c>
      <c r="J2988">
        <v>51</v>
      </c>
      <c r="K2988">
        <v>57759</v>
      </c>
      <c r="L2988">
        <v>0</v>
      </c>
      <c r="M2988">
        <f>Inventory_Data[[#This Row],[Opening Stock]]+Inventory_Data[[#This Row],[Purchase Qty]]-Inventory_Data[[#This Row],[Sales Qty]]-Inventory_Data[[#This Row],[Closing Stock]]</f>
        <v>0</v>
      </c>
      <c r="N2988">
        <f>Inventory_Data[[#This Row],[Purchase Qty]]*Inventory_Data[[#This Row],[Unit Cost]]</f>
        <v>981903</v>
      </c>
      <c r="O2988" t="str">
        <f>IF(Inventory_Data[[#This Row],[Closing Stock]]&lt;=Inventory_Data[[#This Row],[Reorder Level]],"Low Stock","In Stock")</f>
        <v>Low Stock</v>
      </c>
      <c r="P2988" t="str">
        <f>TEXT(Inventory_Data[[#This Row],[Date]],"MMM")</f>
        <v>Sep</v>
      </c>
      <c r="Q2988" t="str">
        <f>TEXT(Inventory_Data[[#This Row],[Date]],"YYYY")</f>
        <v>2026</v>
      </c>
    </row>
    <row r="2989" spans="1:17" x14ac:dyDescent="0.3">
      <c r="A2989" s="1">
        <v>46290</v>
      </c>
      <c r="B2989" t="s">
        <v>41</v>
      </c>
      <c r="C2989" t="s">
        <v>22</v>
      </c>
      <c r="D2989" t="s">
        <v>14</v>
      </c>
      <c r="E2989" t="s">
        <v>29</v>
      </c>
      <c r="F2989">
        <v>477</v>
      </c>
      <c r="G2989">
        <v>77</v>
      </c>
      <c r="H2989">
        <v>211</v>
      </c>
      <c r="I2989">
        <v>343</v>
      </c>
      <c r="J2989">
        <v>106</v>
      </c>
      <c r="K2989">
        <v>1102</v>
      </c>
      <c r="L2989">
        <v>377986</v>
      </c>
      <c r="M2989">
        <f>Inventory_Data[[#This Row],[Opening Stock]]+Inventory_Data[[#This Row],[Purchase Qty]]-Inventory_Data[[#This Row],[Sales Qty]]-Inventory_Data[[#This Row],[Closing Stock]]</f>
        <v>0</v>
      </c>
      <c r="N2989">
        <f>Inventory_Data[[#This Row],[Purchase Qty]]*Inventory_Data[[#This Row],[Unit Cost]]</f>
        <v>84854</v>
      </c>
      <c r="O2989" t="str">
        <f>IF(Inventory_Data[[#This Row],[Closing Stock]]&lt;=Inventory_Data[[#This Row],[Reorder Level]],"Low Stock","In Stock")</f>
        <v>In Stock</v>
      </c>
      <c r="P2989" t="str">
        <f>TEXT(Inventory_Data[[#This Row],[Date]],"MMM")</f>
        <v>Sep</v>
      </c>
      <c r="Q2989" t="str">
        <f>TEXT(Inventory_Data[[#This Row],[Date]],"YYYY")</f>
        <v>2026</v>
      </c>
    </row>
    <row r="2990" spans="1:17" x14ac:dyDescent="0.3">
      <c r="A2990" s="1">
        <v>46291</v>
      </c>
      <c r="B2990" t="s">
        <v>39</v>
      </c>
      <c r="C2990" t="s">
        <v>28</v>
      </c>
      <c r="D2990" t="s">
        <v>26</v>
      </c>
      <c r="E2990" t="s">
        <v>15</v>
      </c>
      <c r="F2990">
        <v>94</v>
      </c>
      <c r="G2990">
        <v>52</v>
      </c>
      <c r="H2990">
        <v>86</v>
      </c>
      <c r="I2990">
        <v>60</v>
      </c>
      <c r="J2990">
        <v>44</v>
      </c>
      <c r="K2990">
        <v>16967</v>
      </c>
      <c r="L2990">
        <v>1018020</v>
      </c>
      <c r="M2990">
        <f>Inventory_Data[[#This Row],[Opening Stock]]+Inventory_Data[[#This Row],[Purchase Qty]]-Inventory_Data[[#This Row],[Sales Qty]]-Inventory_Data[[#This Row],[Closing Stock]]</f>
        <v>0</v>
      </c>
      <c r="N2990">
        <f>Inventory_Data[[#This Row],[Purchase Qty]]*Inventory_Data[[#This Row],[Unit Cost]]</f>
        <v>882284</v>
      </c>
      <c r="O2990" t="str">
        <f>IF(Inventory_Data[[#This Row],[Closing Stock]]&lt;=Inventory_Data[[#This Row],[Reorder Level]],"Low Stock","In Stock")</f>
        <v>In Stock</v>
      </c>
      <c r="P2990" t="str">
        <f>TEXT(Inventory_Data[[#This Row],[Date]],"MMM")</f>
        <v>Sep</v>
      </c>
      <c r="Q2990" t="str">
        <f>TEXT(Inventory_Data[[#This Row],[Date]],"YYYY")</f>
        <v>2026</v>
      </c>
    </row>
    <row r="2991" spans="1:17" x14ac:dyDescent="0.3">
      <c r="A2991" s="1">
        <v>46291</v>
      </c>
      <c r="B2991" t="s">
        <v>32</v>
      </c>
      <c r="C2991" t="s">
        <v>28</v>
      </c>
      <c r="D2991" t="s">
        <v>26</v>
      </c>
      <c r="E2991" t="s">
        <v>29</v>
      </c>
      <c r="F2991">
        <v>127</v>
      </c>
      <c r="G2991">
        <v>13</v>
      </c>
      <c r="H2991">
        <v>97</v>
      </c>
      <c r="I2991">
        <v>43</v>
      </c>
      <c r="J2991">
        <v>25</v>
      </c>
      <c r="K2991">
        <v>28342</v>
      </c>
      <c r="L2991">
        <v>1218706</v>
      </c>
      <c r="M2991">
        <f>Inventory_Data[[#This Row],[Opening Stock]]+Inventory_Data[[#This Row],[Purchase Qty]]-Inventory_Data[[#This Row],[Sales Qty]]-Inventory_Data[[#This Row],[Closing Stock]]</f>
        <v>0</v>
      </c>
      <c r="N2991">
        <f>Inventory_Data[[#This Row],[Purchase Qty]]*Inventory_Data[[#This Row],[Unit Cost]]</f>
        <v>368446</v>
      </c>
      <c r="O2991" t="str">
        <f>IF(Inventory_Data[[#This Row],[Closing Stock]]&lt;=Inventory_Data[[#This Row],[Reorder Level]],"Low Stock","In Stock")</f>
        <v>In Stock</v>
      </c>
      <c r="P2991" t="str">
        <f>TEXT(Inventory_Data[[#This Row],[Date]],"MMM")</f>
        <v>Sep</v>
      </c>
      <c r="Q2991" t="str">
        <f>TEXT(Inventory_Data[[#This Row],[Date]],"YYYY")</f>
        <v>2026</v>
      </c>
    </row>
    <row r="2992" spans="1:17" x14ac:dyDescent="0.3">
      <c r="A2992" s="1">
        <v>46291</v>
      </c>
      <c r="B2992" t="s">
        <v>39</v>
      </c>
      <c r="C2992" t="s">
        <v>28</v>
      </c>
      <c r="D2992" t="s">
        <v>23</v>
      </c>
      <c r="E2992" t="s">
        <v>18</v>
      </c>
      <c r="F2992">
        <v>134</v>
      </c>
      <c r="G2992">
        <v>78</v>
      </c>
      <c r="H2992">
        <v>98</v>
      </c>
      <c r="I2992">
        <v>114</v>
      </c>
      <c r="J2992">
        <v>39</v>
      </c>
      <c r="K2992">
        <v>52213</v>
      </c>
      <c r="L2992">
        <v>5952282</v>
      </c>
      <c r="M2992">
        <f>Inventory_Data[[#This Row],[Opening Stock]]+Inventory_Data[[#This Row],[Purchase Qty]]-Inventory_Data[[#This Row],[Sales Qty]]-Inventory_Data[[#This Row],[Closing Stock]]</f>
        <v>0</v>
      </c>
      <c r="N2992">
        <f>Inventory_Data[[#This Row],[Purchase Qty]]*Inventory_Data[[#This Row],[Unit Cost]]</f>
        <v>4072614</v>
      </c>
      <c r="O2992" t="str">
        <f>IF(Inventory_Data[[#This Row],[Closing Stock]]&lt;=Inventory_Data[[#This Row],[Reorder Level]],"Low Stock","In Stock")</f>
        <v>In Stock</v>
      </c>
      <c r="P2992" t="str">
        <f>TEXT(Inventory_Data[[#This Row],[Date]],"MMM")</f>
        <v>Sep</v>
      </c>
      <c r="Q2992" t="str">
        <f>TEXT(Inventory_Data[[#This Row],[Date]],"YYYY")</f>
        <v>2026</v>
      </c>
    </row>
    <row r="2993" spans="1:17" x14ac:dyDescent="0.3">
      <c r="A2993" s="1">
        <v>46291</v>
      </c>
      <c r="B2993" t="s">
        <v>25</v>
      </c>
      <c r="C2993" t="s">
        <v>17</v>
      </c>
      <c r="D2993" t="s">
        <v>37</v>
      </c>
      <c r="E2993" t="s">
        <v>29</v>
      </c>
      <c r="F2993">
        <v>19</v>
      </c>
      <c r="G2993">
        <v>51</v>
      </c>
      <c r="H2993">
        <v>37</v>
      </c>
      <c r="I2993">
        <v>33</v>
      </c>
      <c r="J2993">
        <v>20</v>
      </c>
      <c r="K2993">
        <v>15045</v>
      </c>
      <c r="L2993">
        <v>496485</v>
      </c>
      <c r="M2993">
        <f>Inventory_Data[[#This Row],[Opening Stock]]+Inventory_Data[[#This Row],[Purchase Qty]]-Inventory_Data[[#This Row],[Sales Qty]]-Inventory_Data[[#This Row],[Closing Stock]]</f>
        <v>0</v>
      </c>
      <c r="N2993">
        <f>Inventory_Data[[#This Row],[Purchase Qty]]*Inventory_Data[[#This Row],[Unit Cost]]</f>
        <v>767295</v>
      </c>
      <c r="O2993" t="str">
        <f>IF(Inventory_Data[[#This Row],[Closing Stock]]&lt;=Inventory_Data[[#This Row],[Reorder Level]],"Low Stock","In Stock")</f>
        <v>In Stock</v>
      </c>
      <c r="P2993" t="str">
        <f>TEXT(Inventory_Data[[#This Row],[Date]],"MMM")</f>
        <v>Sep</v>
      </c>
      <c r="Q2993" t="str">
        <f>TEXT(Inventory_Data[[#This Row],[Date]],"YYYY")</f>
        <v>2026</v>
      </c>
    </row>
    <row r="2994" spans="1:17" x14ac:dyDescent="0.3">
      <c r="A2994" s="1">
        <v>46292</v>
      </c>
      <c r="B2994" t="s">
        <v>25</v>
      </c>
      <c r="C2994" t="s">
        <v>17</v>
      </c>
      <c r="D2994" t="s">
        <v>26</v>
      </c>
      <c r="E2994" t="s">
        <v>20</v>
      </c>
      <c r="F2994">
        <v>68</v>
      </c>
      <c r="G2994">
        <v>10</v>
      </c>
      <c r="H2994">
        <v>30</v>
      </c>
      <c r="I2994">
        <v>48</v>
      </c>
      <c r="J2994">
        <v>26</v>
      </c>
      <c r="K2994">
        <v>2284</v>
      </c>
      <c r="L2994">
        <v>109632</v>
      </c>
      <c r="M2994">
        <f>Inventory_Data[[#This Row],[Opening Stock]]+Inventory_Data[[#This Row],[Purchase Qty]]-Inventory_Data[[#This Row],[Sales Qty]]-Inventory_Data[[#This Row],[Closing Stock]]</f>
        <v>0</v>
      </c>
      <c r="N2994">
        <f>Inventory_Data[[#This Row],[Purchase Qty]]*Inventory_Data[[#This Row],[Unit Cost]]</f>
        <v>22840</v>
      </c>
      <c r="O2994" t="str">
        <f>IF(Inventory_Data[[#This Row],[Closing Stock]]&lt;=Inventory_Data[[#This Row],[Reorder Level]],"Low Stock","In Stock")</f>
        <v>In Stock</v>
      </c>
      <c r="P2994" t="str">
        <f>TEXT(Inventory_Data[[#This Row],[Date]],"MMM")</f>
        <v>Sep</v>
      </c>
      <c r="Q2994" t="str">
        <f>TEXT(Inventory_Data[[#This Row],[Date]],"YYYY")</f>
        <v>2026</v>
      </c>
    </row>
    <row r="2995" spans="1:17" x14ac:dyDescent="0.3">
      <c r="A2995" s="1">
        <v>46292</v>
      </c>
      <c r="B2995" t="s">
        <v>19</v>
      </c>
      <c r="C2995" t="s">
        <v>13</v>
      </c>
      <c r="D2995" t="s">
        <v>26</v>
      </c>
      <c r="E2995" t="s">
        <v>34</v>
      </c>
      <c r="F2995">
        <v>102</v>
      </c>
      <c r="G2995">
        <v>38</v>
      </c>
      <c r="H2995">
        <v>63</v>
      </c>
      <c r="I2995">
        <v>77</v>
      </c>
      <c r="J2995">
        <v>22</v>
      </c>
      <c r="K2995">
        <v>8855</v>
      </c>
      <c r="L2995">
        <v>681835</v>
      </c>
      <c r="M2995">
        <f>Inventory_Data[[#This Row],[Opening Stock]]+Inventory_Data[[#This Row],[Purchase Qty]]-Inventory_Data[[#This Row],[Sales Qty]]-Inventory_Data[[#This Row],[Closing Stock]]</f>
        <v>0</v>
      </c>
      <c r="N2995">
        <f>Inventory_Data[[#This Row],[Purchase Qty]]*Inventory_Data[[#This Row],[Unit Cost]]</f>
        <v>336490</v>
      </c>
      <c r="O2995" t="str">
        <f>IF(Inventory_Data[[#This Row],[Closing Stock]]&lt;=Inventory_Data[[#This Row],[Reorder Level]],"Low Stock","In Stock")</f>
        <v>In Stock</v>
      </c>
      <c r="P2995" t="str">
        <f>TEXT(Inventory_Data[[#This Row],[Date]],"MMM")</f>
        <v>Sep</v>
      </c>
      <c r="Q2995" t="str">
        <f>TEXT(Inventory_Data[[#This Row],[Date]],"YYYY")</f>
        <v>2026</v>
      </c>
    </row>
    <row r="2996" spans="1:17" x14ac:dyDescent="0.3">
      <c r="A2996" s="1">
        <v>46292</v>
      </c>
      <c r="B2996" t="s">
        <v>36</v>
      </c>
      <c r="C2996" t="s">
        <v>22</v>
      </c>
      <c r="D2996" t="s">
        <v>26</v>
      </c>
      <c r="E2996" t="s">
        <v>18</v>
      </c>
      <c r="F2996">
        <v>103</v>
      </c>
      <c r="G2996">
        <v>63</v>
      </c>
      <c r="H2996">
        <v>166</v>
      </c>
      <c r="I2996">
        <v>0</v>
      </c>
      <c r="J2996">
        <v>111</v>
      </c>
      <c r="K2996">
        <v>986</v>
      </c>
      <c r="L2996">
        <v>0</v>
      </c>
      <c r="M2996">
        <f>Inventory_Data[[#This Row],[Opening Stock]]+Inventory_Data[[#This Row],[Purchase Qty]]-Inventory_Data[[#This Row],[Sales Qty]]-Inventory_Data[[#This Row],[Closing Stock]]</f>
        <v>0</v>
      </c>
      <c r="N2996">
        <f>Inventory_Data[[#This Row],[Purchase Qty]]*Inventory_Data[[#This Row],[Unit Cost]]</f>
        <v>62118</v>
      </c>
      <c r="O2996" t="str">
        <f>IF(Inventory_Data[[#This Row],[Closing Stock]]&lt;=Inventory_Data[[#This Row],[Reorder Level]],"Low Stock","In Stock")</f>
        <v>Low Stock</v>
      </c>
      <c r="P2996" t="str">
        <f>TEXT(Inventory_Data[[#This Row],[Date]],"MMM")</f>
        <v>Sep</v>
      </c>
      <c r="Q2996" t="str">
        <f>TEXT(Inventory_Data[[#This Row],[Date]],"YYYY")</f>
        <v>2026</v>
      </c>
    </row>
    <row r="2997" spans="1:17" x14ac:dyDescent="0.3">
      <c r="A2997" s="1">
        <v>46293</v>
      </c>
      <c r="B2997" t="s">
        <v>25</v>
      </c>
      <c r="C2997" t="s">
        <v>17</v>
      </c>
      <c r="D2997" t="s">
        <v>14</v>
      </c>
      <c r="E2997" t="s">
        <v>34</v>
      </c>
      <c r="F2997">
        <v>26</v>
      </c>
      <c r="G2997">
        <v>49</v>
      </c>
      <c r="H2997">
        <v>32</v>
      </c>
      <c r="I2997">
        <v>43</v>
      </c>
      <c r="J2997">
        <v>20</v>
      </c>
      <c r="K2997">
        <v>13879</v>
      </c>
      <c r="L2997">
        <v>596797</v>
      </c>
      <c r="M2997">
        <f>Inventory_Data[[#This Row],[Opening Stock]]+Inventory_Data[[#This Row],[Purchase Qty]]-Inventory_Data[[#This Row],[Sales Qty]]-Inventory_Data[[#This Row],[Closing Stock]]</f>
        <v>0</v>
      </c>
      <c r="N2997">
        <f>Inventory_Data[[#This Row],[Purchase Qty]]*Inventory_Data[[#This Row],[Unit Cost]]</f>
        <v>680071</v>
      </c>
      <c r="O2997" t="str">
        <f>IF(Inventory_Data[[#This Row],[Closing Stock]]&lt;=Inventory_Data[[#This Row],[Reorder Level]],"Low Stock","In Stock")</f>
        <v>In Stock</v>
      </c>
      <c r="P2997" t="str">
        <f>TEXT(Inventory_Data[[#This Row],[Date]],"MMM")</f>
        <v>Sep</v>
      </c>
      <c r="Q2997" t="str">
        <f>TEXT(Inventory_Data[[#This Row],[Date]],"YYYY")</f>
        <v>2026</v>
      </c>
    </row>
    <row r="2998" spans="1:17" x14ac:dyDescent="0.3">
      <c r="A2998" s="1">
        <v>46293</v>
      </c>
      <c r="B2998" t="s">
        <v>30</v>
      </c>
      <c r="C2998" t="s">
        <v>28</v>
      </c>
      <c r="D2998" t="s">
        <v>23</v>
      </c>
      <c r="E2998" t="s">
        <v>34</v>
      </c>
      <c r="F2998">
        <v>43</v>
      </c>
      <c r="G2998">
        <v>83</v>
      </c>
      <c r="H2998">
        <v>42</v>
      </c>
      <c r="I2998">
        <v>84</v>
      </c>
      <c r="J2998">
        <v>45</v>
      </c>
      <c r="K2998">
        <v>4917</v>
      </c>
      <c r="L2998">
        <v>413028</v>
      </c>
      <c r="M2998">
        <f>Inventory_Data[[#This Row],[Opening Stock]]+Inventory_Data[[#This Row],[Purchase Qty]]-Inventory_Data[[#This Row],[Sales Qty]]-Inventory_Data[[#This Row],[Closing Stock]]</f>
        <v>0</v>
      </c>
      <c r="N2998">
        <f>Inventory_Data[[#This Row],[Purchase Qty]]*Inventory_Data[[#This Row],[Unit Cost]]</f>
        <v>408111</v>
      </c>
      <c r="O2998" t="str">
        <f>IF(Inventory_Data[[#This Row],[Closing Stock]]&lt;=Inventory_Data[[#This Row],[Reorder Level]],"Low Stock","In Stock")</f>
        <v>In Stock</v>
      </c>
      <c r="P2998" t="str">
        <f>TEXT(Inventory_Data[[#This Row],[Date]],"MMM")</f>
        <v>Sep</v>
      </c>
      <c r="Q2998" t="str">
        <f>TEXT(Inventory_Data[[#This Row],[Date]],"YYYY")</f>
        <v>2026</v>
      </c>
    </row>
    <row r="2999" spans="1:17" x14ac:dyDescent="0.3">
      <c r="A2999" s="1">
        <v>46293</v>
      </c>
      <c r="B2999" t="s">
        <v>41</v>
      </c>
      <c r="C2999" t="s">
        <v>22</v>
      </c>
      <c r="D2999" t="s">
        <v>14</v>
      </c>
      <c r="E2999" t="s">
        <v>24</v>
      </c>
      <c r="F2999">
        <v>76</v>
      </c>
      <c r="G2999">
        <v>36</v>
      </c>
      <c r="H2999">
        <v>112</v>
      </c>
      <c r="I2999">
        <v>0</v>
      </c>
      <c r="J2999">
        <v>67</v>
      </c>
      <c r="K2999">
        <v>108</v>
      </c>
      <c r="L2999">
        <v>0</v>
      </c>
      <c r="M2999">
        <f>Inventory_Data[[#This Row],[Opening Stock]]+Inventory_Data[[#This Row],[Purchase Qty]]-Inventory_Data[[#This Row],[Sales Qty]]-Inventory_Data[[#This Row],[Closing Stock]]</f>
        <v>0</v>
      </c>
      <c r="N2999">
        <f>Inventory_Data[[#This Row],[Purchase Qty]]*Inventory_Data[[#This Row],[Unit Cost]]</f>
        <v>3888</v>
      </c>
      <c r="O2999" t="str">
        <f>IF(Inventory_Data[[#This Row],[Closing Stock]]&lt;=Inventory_Data[[#This Row],[Reorder Level]],"Low Stock","In Stock")</f>
        <v>Low Stock</v>
      </c>
      <c r="P2999" t="str">
        <f>TEXT(Inventory_Data[[#This Row],[Date]],"MMM")</f>
        <v>Sep</v>
      </c>
      <c r="Q2999" t="str">
        <f>TEXT(Inventory_Data[[#This Row],[Date]],"YYYY")</f>
        <v>2026</v>
      </c>
    </row>
    <row r="3000" spans="1:17" x14ac:dyDescent="0.3">
      <c r="A3000" s="1">
        <v>46293</v>
      </c>
      <c r="B3000" t="s">
        <v>42</v>
      </c>
      <c r="C3000" t="s">
        <v>17</v>
      </c>
      <c r="D3000" t="s">
        <v>26</v>
      </c>
      <c r="E3000" t="s">
        <v>34</v>
      </c>
      <c r="F3000">
        <v>62</v>
      </c>
      <c r="G3000">
        <v>40</v>
      </c>
      <c r="H3000">
        <v>11</v>
      </c>
      <c r="I3000">
        <v>91</v>
      </c>
      <c r="J3000">
        <v>17</v>
      </c>
      <c r="K3000">
        <v>10827</v>
      </c>
      <c r="L3000">
        <v>985257</v>
      </c>
      <c r="M3000">
        <f>Inventory_Data[[#This Row],[Opening Stock]]+Inventory_Data[[#This Row],[Purchase Qty]]-Inventory_Data[[#This Row],[Sales Qty]]-Inventory_Data[[#This Row],[Closing Stock]]</f>
        <v>0</v>
      </c>
      <c r="N3000">
        <f>Inventory_Data[[#This Row],[Purchase Qty]]*Inventory_Data[[#This Row],[Unit Cost]]</f>
        <v>433080</v>
      </c>
      <c r="O3000" t="str">
        <f>IF(Inventory_Data[[#This Row],[Closing Stock]]&lt;=Inventory_Data[[#This Row],[Reorder Level]],"Low Stock","In Stock")</f>
        <v>In Stock</v>
      </c>
      <c r="P3000" t="str">
        <f>TEXT(Inventory_Data[[#This Row],[Date]],"MMM")</f>
        <v>Sep</v>
      </c>
      <c r="Q3000" t="str">
        <f>TEXT(Inventory_Data[[#This Row],[Date]],"YYYY")</f>
        <v>2026</v>
      </c>
    </row>
    <row r="3001" spans="1:17" x14ac:dyDescent="0.3">
      <c r="A3001" s="1">
        <v>46293</v>
      </c>
      <c r="B3001" t="s">
        <v>36</v>
      </c>
      <c r="C3001" t="s">
        <v>22</v>
      </c>
      <c r="D3001" t="s">
        <v>26</v>
      </c>
      <c r="E3001" t="s">
        <v>34</v>
      </c>
      <c r="F3001">
        <v>318</v>
      </c>
      <c r="G3001">
        <v>150</v>
      </c>
      <c r="H3001">
        <v>221</v>
      </c>
      <c r="I3001">
        <v>247</v>
      </c>
      <c r="J3001">
        <v>69</v>
      </c>
      <c r="K3001">
        <v>920</v>
      </c>
      <c r="L3001">
        <v>227240</v>
      </c>
      <c r="M3001">
        <f>Inventory_Data[[#This Row],[Opening Stock]]+Inventory_Data[[#This Row],[Purchase Qty]]-Inventory_Data[[#This Row],[Sales Qty]]-Inventory_Data[[#This Row],[Closing Stock]]</f>
        <v>0</v>
      </c>
      <c r="N3001">
        <f>Inventory_Data[[#This Row],[Purchase Qty]]*Inventory_Data[[#This Row],[Unit Cost]]</f>
        <v>138000</v>
      </c>
      <c r="O3001" t="str">
        <f>IF(Inventory_Data[[#This Row],[Closing Stock]]&lt;=Inventory_Data[[#This Row],[Reorder Level]],"Low Stock","In Stock")</f>
        <v>In Stock</v>
      </c>
      <c r="P3001" t="str">
        <f>TEXT(Inventory_Data[[#This Row],[Date]],"MMM")</f>
        <v>Sep</v>
      </c>
      <c r="Q3001" t="str">
        <f>TEXT(Inventory_Data[[#This Row],[Date]],"YYYY")</f>
        <v>2026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E641-C1DB-429C-AD4F-2B795491F27F}">
  <dimension ref="A3:K38"/>
  <sheetViews>
    <sheetView workbookViewId="0">
      <selection activeCell="D31" sqref="D31"/>
    </sheetView>
  </sheetViews>
  <sheetFormatPr defaultRowHeight="14.4" x14ac:dyDescent="0.3"/>
  <cols>
    <col min="1" max="1" width="14.77734375" bestFit="1" customWidth="1"/>
    <col min="2" max="2" width="16.88671875" bestFit="1" customWidth="1"/>
    <col min="3" max="3" width="18.44140625" bestFit="1" customWidth="1"/>
    <col min="4" max="4" width="12.44140625" bestFit="1" customWidth="1"/>
    <col min="5" max="5" width="16.88671875" bestFit="1" customWidth="1"/>
    <col min="7" max="7" width="12.44140625" bestFit="1" customWidth="1"/>
    <col min="8" max="8" width="14.77734375" bestFit="1" customWidth="1"/>
    <col min="9" max="9" width="17.5546875" bestFit="1" customWidth="1"/>
    <col min="10" max="10" width="14.77734375" bestFit="1" customWidth="1"/>
    <col min="11" max="11" width="14.21875" customWidth="1"/>
    <col min="12" max="12" width="11.77734375" bestFit="1" customWidth="1"/>
    <col min="13" max="13" width="12.44140625" bestFit="1" customWidth="1"/>
    <col min="14" max="14" width="11.44140625" bestFit="1" customWidth="1"/>
    <col min="15" max="15" width="8.88671875" bestFit="1" customWidth="1"/>
    <col min="16" max="16" width="6.77734375" bestFit="1" customWidth="1"/>
    <col min="17" max="17" width="11.21875" bestFit="1" customWidth="1"/>
    <col min="18" max="18" width="9.88671875" bestFit="1" customWidth="1"/>
    <col min="19" max="19" width="7.33203125" bestFit="1" customWidth="1"/>
    <col min="20" max="20" width="6.33203125" bestFit="1" customWidth="1"/>
    <col min="21" max="21" width="9.109375" bestFit="1" customWidth="1"/>
    <col min="22" max="22" width="10.77734375" bestFit="1" customWidth="1"/>
    <col min="23" max="23" width="10.44140625" bestFit="1" customWidth="1"/>
    <col min="24" max="24" width="8.5546875" bestFit="1" customWidth="1"/>
    <col min="25" max="25" width="6.6640625" bestFit="1" customWidth="1"/>
    <col min="26" max="26" width="11.88671875" bestFit="1" customWidth="1"/>
    <col min="27" max="27" width="7.109375" bestFit="1" customWidth="1"/>
    <col min="28" max="28" width="14.77734375" bestFit="1" customWidth="1"/>
    <col min="29" max="29" width="10.5546875" bestFit="1" customWidth="1"/>
    <col min="30" max="48" width="14.77734375" bestFit="1" customWidth="1"/>
    <col min="49" max="49" width="13.88671875" bestFit="1" customWidth="1"/>
    <col min="50" max="69" width="21.88671875" bestFit="1" customWidth="1"/>
    <col min="70" max="70" width="10.5546875" bestFit="1" customWidth="1"/>
  </cols>
  <sheetData>
    <row r="3" spans="1:11" x14ac:dyDescent="0.3">
      <c r="A3" s="3" t="s">
        <v>49</v>
      </c>
      <c r="B3" t="s">
        <v>51</v>
      </c>
      <c r="D3" s="3" t="s">
        <v>49</v>
      </c>
      <c r="E3" t="s">
        <v>51</v>
      </c>
      <c r="J3" s="3" t="s">
        <v>49</v>
      </c>
      <c r="K3" t="s">
        <v>58</v>
      </c>
    </row>
    <row r="4" spans="1:11" x14ac:dyDescent="0.3">
      <c r="A4" s="4" t="s">
        <v>37</v>
      </c>
      <c r="B4" s="9">
        <v>1059775688</v>
      </c>
      <c r="D4" s="4" t="s">
        <v>13</v>
      </c>
      <c r="E4" s="7">
        <v>441440866</v>
      </c>
      <c r="J4" s="4" t="s">
        <v>43</v>
      </c>
      <c r="K4" s="9">
        <v>23596</v>
      </c>
    </row>
    <row r="5" spans="1:11" x14ac:dyDescent="0.3">
      <c r="A5" s="4" t="s">
        <v>14</v>
      </c>
      <c r="B5" s="9">
        <v>1166360944</v>
      </c>
      <c r="D5" s="4" t="s">
        <v>28</v>
      </c>
      <c r="E5" s="7">
        <v>3356435765</v>
      </c>
      <c r="J5" s="4" t="s">
        <v>40</v>
      </c>
      <c r="K5" s="9">
        <v>8908</v>
      </c>
    </row>
    <row r="6" spans="1:11" x14ac:dyDescent="0.3">
      <c r="A6" s="4" t="s">
        <v>26</v>
      </c>
      <c r="B6" s="9">
        <v>1113399978</v>
      </c>
      <c r="D6" s="4" t="s">
        <v>17</v>
      </c>
      <c r="E6" s="7">
        <v>503165100</v>
      </c>
      <c r="J6" s="4" t="s">
        <v>44</v>
      </c>
      <c r="K6" s="9">
        <v>7662</v>
      </c>
    </row>
    <row r="7" spans="1:11" x14ac:dyDescent="0.3">
      <c r="A7" s="4" t="s">
        <v>23</v>
      </c>
      <c r="B7" s="9">
        <v>1125970507</v>
      </c>
      <c r="D7" s="4" t="s">
        <v>22</v>
      </c>
      <c r="E7" s="7">
        <v>164465386</v>
      </c>
      <c r="G7" s="3" t="s">
        <v>49</v>
      </c>
      <c r="H7" t="s">
        <v>52</v>
      </c>
      <c r="J7" s="4" t="s">
        <v>21</v>
      </c>
      <c r="K7" s="9">
        <v>21830</v>
      </c>
    </row>
    <row r="8" spans="1:11" x14ac:dyDescent="0.3">
      <c r="A8" s="4" t="s">
        <v>50</v>
      </c>
      <c r="B8" s="9">
        <v>4465507117</v>
      </c>
      <c r="D8" s="4" t="s">
        <v>50</v>
      </c>
      <c r="E8" s="7">
        <v>4465507117</v>
      </c>
      <c r="G8" s="4" t="s">
        <v>60</v>
      </c>
      <c r="H8" s="12">
        <v>2615</v>
      </c>
      <c r="J8" s="4" t="s">
        <v>39</v>
      </c>
      <c r="K8" s="9">
        <v>8561</v>
      </c>
    </row>
    <row r="9" spans="1:11" x14ac:dyDescent="0.3">
      <c r="G9" s="4" t="s">
        <v>61</v>
      </c>
      <c r="H9" s="12">
        <v>385</v>
      </c>
      <c r="J9" s="4" t="s">
        <v>27</v>
      </c>
      <c r="K9" s="9">
        <v>7970</v>
      </c>
    </row>
    <row r="10" spans="1:11" x14ac:dyDescent="0.3">
      <c r="C10" s="7"/>
      <c r="D10" s="7"/>
      <c r="G10" s="4" t="s">
        <v>50</v>
      </c>
      <c r="H10" s="12">
        <v>3000</v>
      </c>
      <c r="J10" s="4" t="s">
        <v>36</v>
      </c>
      <c r="K10" s="9">
        <v>20116</v>
      </c>
    </row>
    <row r="11" spans="1:11" x14ac:dyDescent="0.3">
      <c r="C11" s="7"/>
      <c r="D11" s="7"/>
      <c r="J11" s="4" t="s">
        <v>41</v>
      </c>
      <c r="K11" s="9">
        <v>21052</v>
      </c>
    </row>
    <row r="12" spans="1:11" x14ac:dyDescent="0.3">
      <c r="C12" s="7"/>
      <c r="D12" s="7"/>
      <c r="J12" s="4" t="s">
        <v>31</v>
      </c>
      <c r="K12" s="9">
        <v>23907</v>
      </c>
    </row>
    <row r="13" spans="1:11" x14ac:dyDescent="0.3">
      <c r="C13" s="7"/>
      <c r="D13" s="3" t="s">
        <v>49</v>
      </c>
      <c r="E13" t="s">
        <v>59</v>
      </c>
      <c r="G13" s="3" t="s">
        <v>49</v>
      </c>
      <c r="J13" s="4" t="s">
        <v>35</v>
      </c>
      <c r="K13" s="9">
        <v>21290</v>
      </c>
    </row>
    <row r="14" spans="1:11" x14ac:dyDescent="0.3">
      <c r="C14" s="7"/>
      <c r="D14" s="4" t="s">
        <v>29</v>
      </c>
      <c r="E14" s="9">
        <v>40078</v>
      </c>
      <c r="G14" s="4" t="s">
        <v>45</v>
      </c>
      <c r="J14" s="4" t="s">
        <v>50</v>
      </c>
      <c r="K14" s="9">
        <v>164892</v>
      </c>
    </row>
    <row r="15" spans="1:11" x14ac:dyDescent="0.3">
      <c r="A15" t="s">
        <v>51</v>
      </c>
      <c r="C15" s="7"/>
      <c r="D15" s="4" t="s">
        <v>15</v>
      </c>
      <c r="E15" s="9">
        <v>43547</v>
      </c>
      <c r="G15" s="4" t="s">
        <v>25</v>
      </c>
    </row>
    <row r="16" spans="1:11" x14ac:dyDescent="0.3">
      <c r="A16" s="9">
        <v>4465507117</v>
      </c>
      <c r="B16" s="6" t="s">
        <v>66</v>
      </c>
      <c r="C16" s="11">
        <f>GETPIVOTDATA("Product",$A$18)</f>
        <v>3000</v>
      </c>
      <c r="D16" s="4" t="s">
        <v>20</v>
      </c>
      <c r="E16" s="9">
        <v>41168</v>
      </c>
      <c r="G16" s="4" t="s">
        <v>43</v>
      </c>
      <c r="I16" s="3" t="s">
        <v>49</v>
      </c>
      <c r="J16" t="s">
        <v>52</v>
      </c>
    </row>
    <row r="17" spans="1:10" x14ac:dyDescent="0.3">
      <c r="A17" s="9"/>
      <c r="B17" s="6" t="s">
        <v>62</v>
      </c>
      <c r="C17" s="10">
        <f>GETPIVOTDATA("Closing Stock",$A$27)</f>
        <v>462244</v>
      </c>
      <c r="D17" s="4" t="s">
        <v>34</v>
      </c>
      <c r="E17" s="9">
        <v>45575</v>
      </c>
      <c r="G17" s="4" t="s">
        <v>12</v>
      </c>
      <c r="I17" s="4" t="s">
        <v>61</v>
      </c>
      <c r="J17" s="12">
        <v>385</v>
      </c>
    </row>
    <row r="18" spans="1:10" x14ac:dyDescent="0.3">
      <c r="A18" t="s">
        <v>52</v>
      </c>
      <c r="B18" s="6" t="s">
        <v>11</v>
      </c>
      <c r="C18" s="8">
        <f>GETPIVOTDATA("Stock Value",$A$15)</f>
        <v>4465507117</v>
      </c>
      <c r="D18" s="4" t="s">
        <v>24</v>
      </c>
      <c r="E18" s="9">
        <v>41294</v>
      </c>
      <c r="G18" s="4" t="s">
        <v>42</v>
      </c>
      <c r="I18" s="5" t="s">
        <v>45</v>
      </c>
      <c r="J18" s="12">
        <v>17</v>
      </c>
    </row>
    <row r="19" spans="1:10" x14ac:dyDescent="0.3">
      <c r="A19" s="12">
        <v>3000</v>
      </c>
      <c r="B19" s="6" t="s">
        <v>63</v>
      </c>
      <c r="C19" s="10">
        <f>GETPIVOTDATA("Purchase Qty",$A$21)</f>
        <v>255546</v>
      </c>
      <c r="D19" s="4" t="s">
        <v>18</v>
      </c>
      <c r="E19" s="9">
        <v>43884</v>
      </c>
      <c r="G19" s="4" t="s">
        <v>40</v>
      </c>
      <c r="I19" s="5" t="s">
        <v>25</v>
      </c>
      <c r="J19" s="12">
        <v>17</v>
      </c>
    </row>
    <row r="20" spans="1:10" x14ac:dyDescent="0.3">
      <c r="A20" s="9"/>
      <c r="B20" s="6" t="s">
        <v>64</v>
      </c>
      <c r="C20" s="10">
        <f>GETPIVOTDATA("Sales Qty",$A$24)</f>
        <v>212117</v>
      </c>
      <c r="D20" s="4" t="s">
        <v>50</v>
      </c>
      <c r="E20" s="9">
        <v>255546</v>
      </c>
      <c r="G20" s="4" t="s">
        <v>30</v>
      </c>
      <c r="I20" s="5" t="s">
        <v>43</v>
      </c>
      <c r="J20" s="12">
        <v>21</v>
      </c>
    </row>
    <row r="21" spans="1:10" x14ac:dyDescent="0.3">
      <c r="A21" t="s">
        <v>59</v>
      </c>
      <c r="B21" s="6" t="s">
        <v>65</v>
      </c>
      <c r="C21" s="6">
        <f>GETPIVOTDATA("Product",$G$7,"Stock status","Low Stock")</f>
        <v>385</v>
      </c>
      <c r="G21" s="4" t="s">
        <v>44</v>
      </c>
      <c r="I21" s="5" t="s">
        <v>12</v>
      </c>
      <c r="J21" s="12">
        <v>16</v>
      </c>
    </row>
    <row r="22" spans="1:10" x14ac:dyDescent="0.3">
      <c r="A22" s="9">
        <v>255546</v>
      </c>
      <c r="G22" s="4" t="s">
        <v>21</v>
      </c>
      <c r="I22" s="5" t="s">
        <v>42</v>
      </c>
      <c r="J22" s="12">
        <v>14</v>
      </c>
    </row>
    <row r="23" spans="1:10" x14ac:dyDescent="0.3">
      <c r="A23" s="9"/>
      <c r="G23" s="4" t="s">
        <v>19</v>
      </c>
      <c r="I23" s="5" t="s">
        <v>40</v>
      </c>
      <c r="J23" s="12">
        <v>26</v>
      </c>
    </row>
    <row r="24" spans="1:10" x14ac:dyDescent="0.3">
      <c r="A24" t="s">
        <v>58</v>
      </c>
      <c r="G24" s="4" t="s">
        <v>39</v>
      </c>
      <c r="I24" s="5" t="s">
        <v>30</v>
      </c>
      <c r="J24" s="12">
        <v>19</v>
      </c>
    </row>
    <row r="25" spans="1:10" x14ac:dyDescent="0.3">
      <c r="A25" s="12">
        <v>212117</v>
      </c>
      <c r="C25" t="s">
        <v>59</v>
      </c>
      <c r="D25" t="s">
        <v>58</v>
      </c>
      <c r="G25" s="4" t="s">
        <v>27</v>
      </c>
      <c r="I25" s="5" t="s">
        <v>44</v>
      </c>
      <c r="J25" s="12">
        <v>18</v>
      </c>
    </row>
    <row r="26" spans="1:10" x14ac:dyDescent="0.3">
      <c r="A26" s="9"/>
      <c r="C26" s="9">
        <v>255546</v>
      </c>
      <c r="D26" s="9">
        <v>212117</v>
      </c>
      <c r="G26" s="4" t="s">
        <v>36</v>
      </c>
      <c r="I26" s="5" t="s">
        <v>21</v>
      </c>
      <c r="J26" s="12">
        <v>24</v>
      </c>
    </row>
    <row r="27" spans="1:10" x14ac:dyDescent="0.3">
      <c r="A27" t="s">
        <v>57</v>
      </c>
      <c r="G27" s="4" t="s">
        <v>38</v>
      </c>
      <c r="I27" s="5" t="s">
        <v>19</v>
      </c>
      <c r="J27" s="12">
        <v>14</v>
      </c>
    </row>
    <row r="28" spans="1:10" x14ac:dyDescent="0.3">
      <c r="A28" s="9">
        <v>462244</v>
      </c>
      <c r="G28" s="4" t="s">
        <v>16</v>
      </c>
      <c r="I28" s="5" t="s">
        <v>39</v>
      </c>
      <c r="J28" s="12">
        <v>15</v>
      </c>
    </row>
    <row r="29" spans="1:10" x14ac:dyDescent="0.3">
      <c r="A29" s="9"/>
      <c r="G29" s="4" t="s">
        <v>41</v>
      </c>
      <c r="I29" s="5" t="s">
        <v>27</v>
      </c>
      <c r="J29" s="12">
        <v>21</v>
      </c>
    </row>
    <row r="30" spans="1:10" x14ac:dyDescent="0.3">
      <c r="A30" s="3" t="s">
        <v>49</v>
      </c>
      <c r="G30" s="4" t="s">
        <v>32</v>
      </c>
      <c r="I30" s="5" t="s">
        <v>36</v>
      </c>
      <c r="J30" s="12">
        <v>30</v>
      </c>
    </row>
    <row r="31" spans="1:10" x14ac:dyDescent="0.3">
      <c r="A31" s="4" t="s">
        <v>53</v>
      </c>
      <c r="G31" s="4" t="s">
        <v>31</v>
      </c>
      <c r="I31" s="5" t="s">
        <v>38</v>
      </c>
      <c r="J31" s="12">
        <v>14</v>
      </c>
    </row>
    <row r="32" spans="1:10" x14ac:dyDescent="0.3">
      <c r="A32" s="4" t="s">
        <v>54</v>
      </c>
      <c r="G32" s="4" t="s">
        <v>35</v>
      </c>
      <c r="I32" s="5" t="s">
        <v>16</v>
      </c>
      <c r="J32" s="12">
        <v>21</v>
      </c>
    </row>
    <row r="33" spans="1:10" x14ac:dyDescent="0.3">
      <c r="A33" s="4" t="s">
        <v>50</v>
      </c>
      <c r="G33" s="4" t="s">
        <v>33</v>
      </c>
      <c r="I33" s="5" t="s">
        <v>41</v>
      </c>
      <c r="J33" s="12">
        <v>20</v>
      </c>
    </row>
    <row r="34" spans="1:10" x14ac:dyDescent="0.3">
      <c r="G34" s="4" t="s">
        <v>50</v>
      </c>
      <c r="I34" s="5" t="s">
        <v>32</v>
      </c>
      <c r="J34" s="12">
        <v>10</v>
      </c>
    </row>
    <row r="35" spans="1:10" x14ac:dyDescent="0.3">
      <c r="I35" s="5" t="s">
        <v>31</v>
      </c>
      <c r="J35" s="12">
        <v>26</v>
      </c>
    </row>
    <row r="36" spans="1:10" x14ac:dyDescent="0.3">
      <c r="I36" s="5" t="s">
        <v>35</v>
      </c>
      <c r="J36" s="12">
        <v>24</v>
      </c>
    </row>
    <row r="37" spans="1:10" x14ac:dyDescent="0.3">
      <c r="I37" s="5" t="s">
        <v>33</v>
      </c>
      <c r="J37" s="12">
        <v>18</v>
      </c>
    </row>
    <row r="38" spans="1:10" x14ac:dyDescent="0.3">
      <c r="I38" s="4" t="s">
        <v>50</v>
      </c>
      <c r="J38" s="12">
        <v>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AAF92-2EEA-4668-8D6D-A4CB1A92A42D}">
  <dimension ref="Y19"/>
  <sheetViews>
    <sheetView showGridLines="0" tabSelected="1" workbookViewId="0">
      <selection activeCell="Y10" sqref="Y10"/>
    </sheetView>
  </sheetViews>
  <sheetFormatPr defaultRowHeight="14.4" x14ac:dyDescent="0.3"/>
  <cols>
    <col min="1" max="16384" width="8.88671875" style="2"/>
  </cols>
  <sheetData>
    <row r="19" spans="25:25" x14ac:dyDescent="0.3">
      <c r="Y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AF23A-3578-4C51-89F2-ECE5AEC2B4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Inventory 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 Kumar</dc:creator>
  <cp:lastModifiedBy>Narayan Kumar</cp:lastModifiedBy>
  <dcterms:created xsi:type="dcterms:W3CDTF">2026-09-28T17:04:44Z</dcterms:created>
  <dcterms:modified xsi:type="dcterms:W3CDTF">2026-09-30T06:30:57Z</dcterms:modified>
</cp:coreProperties>
</file>